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T8252\Desktop\2026年各專案\PONE-D-26-11871\題目_answer(新增模型)\"/>
    </mc:Choice>
  </mc:AlternateContent>
  <xr:revisionPtr revIDLastSave="0" documentId="13_ncr:1_{5BDB762E-28A4-4904-976B-FCA951C903B2}" xr6:coauthVersionLast="47" xr6:coauthVersionMax="47" xr10:uidLastSave="{00000000-0000-0000-0000-000000000000}"/>
  <bookViews>
    <workbookView xWindow="28680" yWindow="-120" windowWidth="29040" windowHeight="15720" xr2:uid="{00000000-000D-0000-FFFF-FFFF00000000}"/>
  </bookViews>
  <sheets>
    <sheet name="2015" sheetId="2" r:id="rId1"/>
    <sheet name="2016" sheetId="3" r:id="rId2"/>
    <sheet name="2017" sheetId="4" r:id="rId3"/>
    <sheet name="2018" sheetId="5" r:id="rId4"/>
    <sheet name="2019" sheetId="6" r:id="rId5"/>
    <sheet name="2020" sheetId="7" r:id="rId6"/>
    <sheet name="2021" sheetId="8" r:id="rId7"/>
    <sheet name="2022" sheetId="9" r:id="rId8"/>
    <sheet name="2023" sheetId="10" r:id="rId9"/>
    <sheet name="2024" sheetId="11" r:id="rId10"/>
  </sheets>
  <definedNames>
    <definedName name="_xlnm._FilterDatabase" localSheetId="0" hidden="1">'2015'!$A$1:$K$75</definedName>
    <definedName name="_xlnm._FilterDatabase" localSheetId="1" hidden="1">'2016'!$A$1:$K$77</definedName>
    <definedName name="_xlnm._FilterDatabase" localSheetId="2" hidden="1">'2017'!$A$1:$K$74</definedName>
    <definedName name="_xlnm._FilterDatabase" localSheetId="3" hidden="1">'2018'!$A$1:$K$76</definedName>
    <definedName name="_xlnm._FilterDatabase" localSheetId="4" hidden="1">'2019'!$A$1:$K$77</definedName>
    <definedName name="_xlnm._FilterDatabase" localSheetId="5" hidden="1">'2020'!$A$1:$K$76</definedName>
    <definedName name="_xlnm._FilterDatabase" localSheetId="6" hidden="1">'2021'!$A$1:$K$75</definedName>
    <definedName name="_xlnm._FilterDatabase" localSheetId="7" hidden="1">'2022'!$A$1:$M$73</definedName>
    <definedName name="_xlnm._FilterDatabase" localSheetId="8" hidden="1">'2023'!$A$1:$M$69</definedName>
    <definedName name="_xlnm._FilterDatabase" localSheetId="9" hidden="1">'2024'!$A$1:$M$68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5" roundtripDataChecksum="yZXxfkwwn9WwSCt4OvmZ4ujLlp7edtDEUd+ykVBcnr0="/>
    </ext>
  </extLst>
</workbook>
</file>

<file path=xl/calcChain.xml><?xml version="1.0" encoding="utf-8"?>
<calcChain xmlns="http://schemas.openxmlformats.org/spreadsheetml/2006/main">
  <c r="M67" i="11" l="1"/>
  <c r="L67" i="11"/>
  <c r="K67" i="11"/>
  <c r="J67" i="11"/>
  <c r="I67" i="11"/>
  <c r="M66" i="11"/>
  <c r="L66" i="11"/>
  <c r="K66" i="11"/>
  <c r="J66" i="11"/>
  <c r="I66" i="11"/>
  <c r="M63" i="11"/>
  <c r="L63" i="11"/>
  <c r="K63" i="11"/>
  <c r="J63" i="11"/>
  <c r="I63" i="11"/>
  <c r="M61" i="11"/>
  <c r="L61" i="11"/>
  <c r="K61" i="11"/>
  <c r="J61" i="11"/>
  <c r="I61" i="11"/>
  <c r="M58" i="11"/>
  <c r="L58" i="11"/>
  <c r="K58" i="11"/>
  <c r="J58" i="11"/>
  <c r="I58" i="11"/>
  <c r="M57" i="11"/>
  <c r="L57" i="11"/>
  <c r="K57" i="11"/>
  <c r="J57" i="11"/>
  <c r="I57" i="11"/>
  <c r="M54" i="11"/>
  <c r="L54" i="11"/>
  <c r="K54" i="11"/>
  <c r="J54" i="11"/>
  <c r="I54" i="11"/>
  <c r="M53" i="11"/>
  <c r="L53" i="11"/>
  <c r="K53" i="11"/>
  <c r="J53" i="11"/>
  <c r="I53" i="11"/>
  <c r="M50" i="11"/>
  <c r="L50" i="11"/>
  <c r="K50" i="11"/>
  <c r="J50" i="11"/>
  <c r="I50" i="11"/>
  <c r="M48" i="11"/>
  <c r="L48" i="11"/>
  <c r="K48" i="11"/>
  <c r="J48" i="11"/>
  <c r="I48" i="11"/>
  <c r="M46" i="11"/>
  <c r="L46" i="11"/>
  <c r="K46" i="11"/>
  <c r="J46" i="11"/>
  <c r="I46" i="11"/>
  <c r="M44" i="11"/>
  <c r="L44" i="11"/>
  <c r="K44" i="11"/>
  <c r="J44" i="11"/>
  <c r="I44" i="11"/>
  <c r="M42" i="11"/>
  <c r="L42" i="11"/>
  <c r="K42" i="11"/>
  <c r="J42" i="11"/>
  <c r="I42" i="11"/>
  <c r="M41" i="11"/>
  <c r="L41" i="11"/>
  <c r="K41" i="11"/>
  <c r="J41" i="11"/>
  <c r="I41" i="11"/>
  <c r="M40" i="11"/>
  <c r="L40" i="11"/>
  <c r="K40" i="11"/>
  <c r="J40" i="11"/>
  <c r="I40" i="11"/>
  <c r="M39" i="11"/>
  <c r="L39" i="11"/>
  <c r="K39" i="11"/>
  <c r="J39" i="11"/>
  <c r="I39" i="11"/>
  <c r="M38" i="11"/>
  <c r="L38" i="11"/>
  <c r="K38" i="11"/>
  <c r="J38" i="11"/>
  <c r="I38" i="11"/>
  <c r="M37" i="11"/>
  <c r="L37" i="11"/>
  <c r="K37" i="11"/>
  <c r="J37" i="11"/>
  <c r="I37" i="11"/>
  <c r="M36" i="11"/>
  <c r="L36" i="11"/>
  <c r="K36" i="11"/>
  <c r="J36" i="11"/>
  <c r="I36" i="11"/>
  <c r="M35" i="11"/>
  <c r="L35" i="11"/>
  <c r="K35" i="11"/>
  <c r="J35" i="11"/>
  <c r="I35" i="11"/>
  <c r="M34" i="11"/>
  <c r="L34" i="11"/>
  <c r="K34" i="11"/>
  <c r="J34" i="11"/>
  <c r="I34" i="11"/>
  <c r="M33" i="11"/>
  <c r="L33" i="11"/>
  <c r="K33" i="11"/>
  <c r="J33" i="11"/>
  <c r="I33" i="11"/>
  <c r="M32" i="11"/>
  <c r="L32" i="11"/>
  <c r="K32" i="11"/>
  <c r="J32" i="11"/>
  <c r="I32" i="11"/>
  <c r="M30" i="11"/>
  <c r="L30" i="11"/>
  <c r="K30" i="11"/>
  <c r="J30" i="11"/>
  <c r="I30" i="11"/>
  <c r="M29" i="11"/>
  <c r="L29" i="11"/>
  <c r="K29" i="11"/>
  <c r="J29" i="11"/>
  <c r="I29" i="11"/>
  <c r="M27" i="11"/>
  <c r="L27" i="11"/>
  <c r="K27" i="11"/>
  <c r="J27" i="11"/>
  <c r="I27" i="11"/>
  <c r="M26" i="11"/>
  <c r="L26" i="11"/>
  <c r="K26" i="11"/>
  <c r="J26" i="11"/>
  <c r="I26" i="11"/>
  <c r="M24" i="11"/>
  <c r="L24" i="11"/>
  <c r="K24" i="11"/>
  <c r="J24" i="11"/>
  <c r="I24" i="11"/>
  <c r="M23" i="11"/>
  <c r="L23" i="11"/>
  <c r="K23" i="11"/>
  <c r="J23" i="11"/>
  <c r="I23" i="11"/>
  <c r="M22" i="11"/>
  <c r="L22" i="11"/>
  <c r="K22" i="11"/>
  <c r="J22" i="11"/>
  <c r="I22" i="11"/>
  <c r="M21" i="11"/>
  <c r="L21" i="11"/>
  <c r="K21" i="11"/>
  <c r="J21" i="11"/>
  <c r="I21" i="11"/>
  <c r="M20" i="11"/>
  <c r="L20" i="11"/>
  <c r="K20" i="11"/>
  <c r="J20" i="11"/>
  <c r="I20" i="11"/>
  <c r="M19" i="11"/>
  <c r="L19" i="11"/>
  <c r="K19" i="11"/>
  <c r="J19" i="11"/>
  <c r="I19" i="11"/>
  <c r="M17" i="11"/>
  <c r="L17" i="11"/>
  <c r="K17" i="11"/>
  <c r="J17" i="11"/>
  <c r="I17" i="11"/>
  <c r="M16" i="11"/>
  <c r="L16" i="11"/>
  <c r="K16" i="11"/>
  <c r="J16" i="11"/>
  <c r="I16" i="11"/>
  <c r="M15" i="11"/>
  <c r="L15" i="11"/>
  <c r="K15" i="11"/>
  <c r="J15" i="11"/>
  <c r="I15" i="11"/>
  <c r="M14" i="11"/>
  <c r="L14" i="11"/>
  <c r="K14" i="11"/>
  <c r="J14" i="11"/>
  <c r="I14" i="11"/>
  <c r="M12" i="11"/>
  <c r="L12" i="11"/>
  <c r="K12" i="11"/>
  <c r="J12" i="11"/>
  <c r="I12" i="11"/>
  <c r="M11" i="11"/>
  <c r="L11" i="11"/>
  <c r="K11" i="11"/>
  <c r="J11" i="11"/>
  <c r="I11" i="11"/>
  <c r="M10" i="11"/>
  <c r="L10" i="11"/>
  <c r="K10" i="11"/>
  <c r="J10" i="11"/>
  <c r="I10" i="11"/>
  <c r="M9" i="11"/>
  <c r="L9" i="11"/>
  <c r="K9" i="11"/>
  <c r="J9" i="11"/>
  <c r="I9" i="11"/>
  <c r="M8" i="11"/>
  <c r="L8" i="11"/>
  <c r="K8" i="11"/>
  <c r="J8" i="11"/>
  <c r="I8" i="11"/>
  <c r="M7" i="11"/>
  <c r="L7" i="11"/>
  <c r="K7" i="11"/>
  <c r="J7" i="11"/>
  <c r="I7" i="11"/>
  <c r="M6" i="11"/>
  <c r="L6" i="11"/>
  <c r="K6" i="11"/>
  <c r="J6" i="11"/>
  <c r="I6" i="11"/>
  <c r="M5" i="11"/>
  <c r="L5" i="11"/>
  <c r="K5" i="11"/>
  <c r="J5" i="11"/>
  <c r="I5" i="11"/>
  <c r="M4" i="11"/>
  <c r="L4" i="11"/>
  <c r="K4" i="11"/>
  <c r="J4" i="11"/>
  <c r="I4" i="11"/>
  <c r="M3" i="11"/>
  <c r="L3" i="11"/>
  <c r="K3" i="11"/>
  <c r="J3" i="11"/>
  <c r="I3" i="11"/>
  <c r="M2" i="11"/>
  <c r="L2" i="11"/>
  <c r="K2" i="11"/>
  <c r="J2" i="11"/>
  <c r="I2" i="11"/>
  <c r="M68" i="10"/>
  <c r="L68" i="10"/>
  <c r="K68" i="10"/>
  <c r="J68" i="10"/>
  <c r="I68" i="10"/>
  <c r="M67" i="10"/>
  <c r="L67" i="10"/>
  <c r="K67" i="10"/>
  <c r="J67" i="10"/>
  <c r="I67" i="10"/>
  <c r="M65" i="10"/>
  <c r="L65" i="10"/>
  <c r="K65" i="10"/>
  <c r="J65" i="10"/>
  <c r="I65" i="10"/>
  <c r="M64" i="10"/>
  <c r="L64" i="10"/>
  <c r="K64" i="10"/>
  <c r="J64" i="10"/>
  <c r="I64" i="10"/>
  <c r="M61" i="10"/>
  <c r="L61" i="10"/>
  <c r="K61" i="10"/>
  <c r="J61" i="10"/>
  <c r="I61" i="10"/>
  <c r="M59" i="10"/>
  <c r="L59" i="10"/>
  <c r="K59" i="10"/>
  <c r="J59" i="10"/>
  <c r="I59" i="10"/>
  <c r="I56" i="10"/>
  <c r="M56" i="10"/>
  <c r="L56" i="10"/>
  <c r="K56" i="10"/>
  <c r="J56" i="10"/>
  <c r="M55" i="10"/>
  <c r="L55" i="10"/>
  <c r="K55" i="10"/>
  <c r="J55" i="10"/>
  <c r="I55" i="10"/>
  <c r="M53" i="10"/>
  <c r="L53" i="10"/>
  <c r="K53" i="10"/>
  <c r="J53" i="10"/>
  <c r="I53" i="10"/>
  <c r="M52" i="10"/>
  <c r="L52" i="10"/>
  <c r="K52" i="10"/>
  <c r="J52" i="10"/>
  <c r="I52" i="10"/>
  <c r="M49" i="10"/>
  <c r="L49" i="10"/>
  <c r="K49" i="10"/>
  <c r="J49" i="10"/>
  <c r="I49" i="10"/>
  <c r="M48" i="10"/>
  <c r="L48" i="10"/>
  <c r="K48" i="10"/>
  <c r="J48" i="10"/>
  <c r="I48" i="10"/>
  <c r="M47" i="10"/>
  <c r="L47" i="10"/>
  <c r="K47" i="10"/>
  <c r="J47" i="10"/>
  <c r="I47" i="10"/>
  <c r="M44" i="10"/>
  <c r="L44" i="10"/>
  <c r="K44" i="10"/>
  <c r="J44" i="10"/>
  <c r="I44" i="10"/>
  <c r="M43" i="10"/>
  <c r="L43" i="10"/>
  <c r="K43" i="10"/>
  <c r="J43" i="10"/>
  <c r="I43" i="10"/>
  <c r="M42" i="10"/>
  <c r="L42" i="10"/>
  <c r="K42" i="10"/>
  <c r="J42" i="10"/>
  <c r="I42" i="10"/>
  <c r="M40" i="10"/>
  <c r="L40" i="10"/>
  <c r="K40" i="10"/>
  <c r="J40" i="10"/>
  <c r="I40" i="10"/>
  <c r="M39" i="10"/>
  <c r="L39" i="10"/>
  <c r="K39" i="10"/>
  <c r="J39" i="10"/>
  <c r="I39" i="10"/>
  <c r="M38" i="10"/>
  <c r="L38" i="10"/>
  <c r="K38" i="10"/>
  <c r="J38" i="10"/>
  <c r="I38" i="10"/>
  <c r="M37" i="10"/>
  <c r="L37" i="10"/>
  <c r="K37" i="10"/>
  <c r="J37" i="10"/>
  <c r="I37" i="10"/>
  <c r="M36" i="10"/>
  <c r="L36" i="10"/>
  <c r="K36" i="10"/>
  <c r="J36" i="10"/>
  <c r="I36" i="10"/>
  <c r="M35" i="10"/>
  <c r="L35" i="10"/>
  <c r="K35" i="10"/>
  <c r="J35" i="10"/>
  <c r="I35" i="10"/>
  <c r="M34" i="10"/>
  <c r="L34" i="10"/>
  <c r="K34" i="10"/>
  <c r="J34" i="10"/>
  <c r="I34" i="10"/>
  <c r="M32" i="10"/>
  <c r="L32" i="10"/>
  <c r="K32" i="10"/>
  <c r="J32" i="10"/>
  <c r="I32" i="10"/>
  <c r="M31" i="10"/>
  <c r="L31" i="10"/>
  <c r="K31" i="10"/>
  <c r="J31" i="10"/>
  <c r="I31" i="10"/>
  <c r="M30" i="10"/>
  <c r="L30" i="10"/>
  <c r="K30" i="10"/>
  <c r="J30" i="10"/>
  <c r="I30" i="10"/>
  <c r="M29" i="10"/>
  <c r="L29" i="10"/>
  <c r="K29" i="10"/>
  <c r="J29" i="10"/>
  <c r="I29" i="10"/>
  <c r="M28" i="10"/>
  <c r="L28" i="10"/>
  <c r="K28" i="10"/>
  <c r="J28" i="10"/>
  <c r="I28" i="10"/>
  <c r="M26" i="10"/>
  <c r="L26" i="10"/>
  <c r="K26" i="10"/>
  <c r="J26" i="10"/>
  <c r="I26" i="10"/>
  <c r="M25" i="10"/>
  <c r="L25" i="10"/>
  <c r="K25" i="10"/>
  <c r="J25" i="10"/>
  <c r="I25" i="10"/>
  <c r="M24" i="10"/>
  <c r="L24" i="10"/>
  <c r="K24" i="10"/>
  <c r="J24" i="10"/>
  <c r="I24" i="10"/>
  <c r="M23" i="10"/>
  <c r="L23" i="10"/>
  <c r="K23" i="10"/>
  <c r="J23" i="10"/>
  <c r="I23" i="10"/>
  <c r="M22" i="10"/>
  <c r="L22" i="10"/>
  <c r="K22" i="10"/>
  <c r="J22" i="10"/>
  <c r="I22" i="10"/>
  <c r="M21" i="10"/>
  <c r="L21" i="10"/>
  <c r="K21" i="10"/>
  <c r="J21" i="10"/>
  <c r="I21" i="10"/>
  <c r="M20" i="10"/>
  <c r="L20" i="10"/>
  <c r="K20" i="10"/>
  <c r="J20" i="10"/>
  <c r="I20" i="10"/>
  <c r="M19" i="10"/>
  <c r="L19" i="10"/>
  <c r="K19" i="10"/>
  <c r="J19" i="10"/>
  <c r="I19" i="10"/>
  <c r="M18" i="10"/>
  <c r="L18" i="10"/>
  <c r="K18" i="10"/>
  <c r="J18" i="10"/>
  <c r="I18" i="10"/>
  <c r="M17" i="10"/>
  <c r="L17" i="10"/>
  <c r="K17" i="10"/>
  <c r="J17" i="10"/>
  <c r="I17" i="10"/>
  <c r="M16" i="10"/>
  <c r="L16" i="10"/>
  <c r="K16" i="10"/>
  <c r="J16" i="10"/>
  <c r="I16" i="10"/>
  <c r="M15" i="10"/>
  <c r="L15" i="10"/>
  <c r="K15" i="10"/>
  <c r="J15" i="10"/>
  <c r="I15" i="10"/>
  <c r="M14" i="10"/>
  <c r="L14" i="10"/>
  <c r="K14" i="10"/>
  <c r="J14" i="10"/>
  <c r="I14" i="10"/>
  <c r="M13" i="10"/>
  <c r="L13" i="10"/>
  <c r="K13" i="10"/>
  <c r="J13" i="10"/>
  <c r="I13" i="10"/>
  <c r="M12" i="10"/>
  <c r="L12" i="10"/>
  <c r="K12" i="10"/>
  <c r="J12" i="10"/>
  <c r="I12" i="10"/>
  <c r="M10" i="10"/>
  <c r="L10" i="10"/>
  <c r="K10" i="10"/>
  <c r="J10" i="10"/>
  <c r="I10" i="10"/>
  <c r="M9" i="10"/>
  <c r="L9" i="10"/>
  <c r="K9" i="10"/>
  <c r="J9" i="10"/>
  <c r="I9" i="10"/>
  <c r="M8" i="10"/>
  <c r="L8" i="10"/>
  <c r="K8" i="10"/>
  <c r="J8" i="10"/>
  <c r="I8" i="10"/>
  <c r="M7" i="10"/>
  <c r="L7" i="10"/>
  <c r="K7" i="10"/>
  <c r="J7" i="10"/>
  <c r="I7" i="10"/>
  <c r="M6" i="10"/>
  <c r="L6" i="10"/>
  <c r="K6" i="10"/>
  <c r="J6" i="10"/>
  <c r="I6" i="10"/>
  <c r="M5" i="10"/>
  <c r="L5" i="10"/>
  <c r="K5" i="10"/>
  <c r="J5" i="10"/>
  <c r="I5" i="10"/>
  <c r="M4" i="10"/>
  <c r="L4" i="10"/>
  <c r="K4" i="10"/>
  <c r="J4" i="10"/>
  <c r="I4" i="10"/>
  <c r="M3" i="10"/>
  <c r="L3" i="10"/>
  <c r="K3" i="10"/>
  <c r="J3" i="10"/>
  <c r="I3" i="10"/>
  <c r="M2" i="10"/>
  <c r="L2" i="10"/>
  <c r="K2" i="10"/>
  <c r="J2" i="10"/>
  <c r="I2" i="10"/>
  <c r="M72" i="9"/>
  <c r="L72" i="9"/>
  <c r="K72" i="9"/>
  <c r="J72" i="9"/>
  <c r="I72" i="9"/>
  <c r="M71" i="9"/>
  <c r="L71" i="9"/>
  <c r="K71" i="9"/>
  <c r="J71" i="9"/>
  <c r="I71" i="9"/>
  <c r="M68" i="9"/>
  <c r="L68" i="9"/>
  <c r="K68" i="9"/>
  <c r="J68" i="9"/>
  <c r="I68" i="9"/>
  <c r="M67" i="9"/>
  <c r="L67" i="9"/>
  <c r="K67" i="9"/>
  <c r="J67" i="9"/>
  <c r="I67" i="9"/>
  <c r="M64" i="9"/>
  <c r="L64" i="9"/>
  <c r="K64" i="9"/>
  <c r="J64" i="9"/>
  <c r="I64" i="9"/>
  <c r="M63" i="9"/>
  <c r="L63" i="9"/>
  <c r="K63" i="9"/>
  <c r="J63" i="9"/>
  <c r="I63" i="9"/>
  <c r="M61" i="9"/>
  <c r="L61" i="9"/>
  <c r="K61" i="9"/>
  <c r="J61" i="9"/>
  <c r="I61" i="9"/>
  <c r="M60" i="9"/>
  <c r="L60" i="9"/>
  <c r="K60" i="9"/>
  <c r="J60" i="9"/>
  <c r="I60" i="9"/>
  <c r="M57" i="9"/>
  <c r="L57" i="9"/>
  <c r="K57" i="9"/>
  <c r="J57" i="9"/>
  <c r="I57" i="9"/>
  <c r="M56" i="9"/>
  <c r="L56" i="9"/>
  <c r="K56" i="9"/>
  <c r="J56" i="9"/>
  <c r="I56" i="9"/>
  <c r="M53" i="9"/>
  <c r="L53" i="9"/>
  <c r="K53" i="9"/>
  <c r="J53" i="9"/>
  <c r="I53" i="9"/>
  <c r="M52" i="9"/>
  <c r="L52" i="9"/>
  <c r="K52" i="9"/>
  <c r="J52" i="9"/>
  <c r="I52" i="9"/>
  <c r="M50" i="9"/>
  <c r="L50" i="9"/>
  <c r="K50" i="9"/>
  <c r="J50" i="9"/>
  <c r="I50" i="9"/>
  <c r="M49" i="9"/>
  <c r="L49" i="9"/>
  <c r="K49" i="9"/>
  <c r="J49" i="9"/>
  <c r="I49" i="9"/>
  <c r="M47" i="9"/>
  <c r="L47" i="9"/>
  <c r="K47" i="9"/>
  <c r="J47" i="9"/>
  <c r="I47" i="9"/>
  <c r="J45" i="9"/>
  <c r="K45" i="9"/>
  <c r="L45" i="9"/>
  <c r="M45" i="9"/>
  <c r="I45" i="9"/>
  <c r="M43" i="9"/>
  <c r="L43" i="9"/>
  <c r="K43" i="9"/>
  <c r="J43" i="9"/>
  <c r="I43" i="9"/>
  <c r="M42" i="9"/>
  <c r="L42" i="9"/>
  <c r="K42" i="9"/>
  <c r="J42" i="9"/>
  <c r="I42" i="9"/>
  <c r="M40" i="9"/>
  <c r="L40" i="9"/>
  <c r="K40" i="9"/>
  <c r="J40" i="9"/>
  <c r="I40" i="9"/>
  <c r="M39" i="9"/>
  <c r="L39" i="9"/>
  <c r="K39" i="9"/>
  <c r="J39" i="9"/>
  <c r="I39" i="9"/>
  <c r="M38" i="9"/>
  <c r="L38" i="9"/>
  <c r="K38" i="9"/>
  <c r="J38" i="9"/>
  <c r="I38" i="9"/>
  <c r="M37" i="9"/>
  <c r="L37" i="9"/>
  <c r="K37" i="9"/>
  <c r="J37" i="9"/>
  <c r="I37" i="9"/>
  <c r="M36" i="9"/>
  <c r="L36" i="9"/>
  <c r="K36" i="9"/>
  <c r="J36" i="9"/>
  <c r="I36" i="9"/>
  <c r="M35" i="9"/>
  <c r="L35" i="9"/>
  <c r="K35" i="9"/>
  <c r="J35" i="9"/>
  <c r="I35" i="9"/>
  <c r="M34" i="9"/>
  <c r="L34" i="9"/>
  <c r="K34" i="9"/>
  <c r="J34" i="9"/>
  <c r="I34" i="9"/>
  <c r="M32" i="9"/>
  <c r="L32" i="9"/>
  <c r="K32" i="9"/>
  <c r="J32" i="9"/>
  <c r="I32" i="9"/>
  <c r="M31" i="9"/>
  <c r="L31" i="9"/>
  <c r="K31" i="9"/>
  <c r="J31" i="9"/>
  <c r="I31" i="9"/>
  <c r="M30" i="9"/>
  <c r="L30" i="9"/>
  <c r="K30" i="9"/>
  <c r="J30" i="9"/>
  <c r="I30" i="9"/>
  <c r="M29" i="9"/>
  <c r="L29" i="9"/>
  <c r="K29" i="9"/>
  <c r="J29" i="9"/>
  <c r="I29" i="9"/>
  <c r="M27" i="9"/>
  <c r="L27" i="9"/>
  <c r="K27" i="9"/>
  <c r="J27" i="9"/>
  <c r="I27" i="9"/>
  <c r="M26" i="9"/>
  <c r="L26" i="9"/>
  <c r="K26" i="9"/>
  <c r="J26" i="9"/>
  <c r="I26" i="9"/>
  <c r="M25" i="9"/>
  <c r="L25" i="9"/>
  <c r="K25" i="9"/>
  <c r="J25" i="9"/>
  <c r="I25" i="9"/>
  <c r="M24" i="9"/>
  <c r="L24" i="9"/>
  <c r="K24" i="9"/>
  <c r="J24" i="9"/>
  <c r="I24" i="9"/>
  <c r="M23" i="9"/>
  <c r="L23" i="9"/>
  <c r="K23" i="9"/>
  <c r="J23" i="9"/>
  <c r="I23" i="9"/>
  <c r="M21" i="9"/>
  <c r="L21" i="9"/>
  <c r="K21" i="9"/>
  <c r="J21" i="9"/>
  <c r="I21" i="9"/>
  <c r="M20" i="9"/>
  <c r="L20" i="9"/>
  <c r="K20" i="9"/>
  <c r="J20" i="9"/>
  <c r="I20" i="9"/>
  <c r="M19" i="9"/>
  <c r="L19" i="9"/>
  <c r="K19" i="9"/>
  <c r="J19" i="9"/>
  <c r="I19" i="9"/>
  <c r="M18" i="9"/>
  <c r="L18" i="9"/>
  <c r="K18" i="9"/>
  <c r="J18" i="9"/>
  <c r="I18" i="9"/>
  <c r="M17" i="9"/>
  <c r="L17" i="9"/>
  <c r="K17" i="9"/>
  <c r="J17" i="9"/>
  <c r="I17" i="9"/>
  <c r="M16" i="9"/>
  <c r="L16" i="9"/>
  <c r="K16" i="9"/>
  <c r="J16" i="9"/>
  <c r="I16" i="9"/>
  <c r="M15" i="9"/>
  <c r="L15" i="9"/>
  <c r="K15" i="9"/>
  <c r="J15" i="9"/>
  <c r="I15" i="9"/>
  <c r="M14" i="9"/>
  <c r="L14" i="9"/>
  <c r="K14" i="9"/>
  <c r="J14" i="9"/>
  <c r="I14" i="9"/>
  <c r="M13" i="9"/>
  <c r="L13" i="9"/>
  <c r="K13" i="9"/>
  <c r="J13" i="9"/>
  <c r="I13" i="9"/>
  <c r="M12" i="9"/>
  <c r="L12" i="9"/>
  <c r="K12" i="9"/>
  <c r="J12" i="9"/>
  <c r="I12" i="9"/>
  <c r="M11" i="9"/>
  <c r="L11" i="9"/>
  <c r="K11" i="9"/>
  <c r="J11" i="9"/>
  <c r="I11" i="9"/>
  <c r="M10" i="9"/>
  <c r="L10" i="9"/>
  <c r="K10" i="9"/>
  <c r="J10" i="9"/>
  <c r="I10" i="9"/>
  <c r="J3" i="9"/>
  <c r="K3" i="9"/>
  <c r="L3" i="9"/>
  <c r="M3" i="9"/>
  <c r="J4" i="9"/>
  <c r="K4" i="9"/>
  <c r="L4" i="9"/>
  <c r="M4" i="9"/>
  <c r="J5" i="9"/>
  <c r="K5" i="9"/>
  <c r="L5" i="9"/>
  <c r="M5" i="9"/>
  <c r="J6" i="9"/>
  <c r="K6" i="9"/>
  <c r="L6" i="9"/>
  <c r="M6" i="9"/>
  <c r="J7" i="9"/>
  <c r="K7" i="9"/>
  <c r="L7" i="9"/>
  <c r="M7" i="9"/>
  <c r="J8" i="9"/>
  <c r="K8" i="9"/>
  <c r="L8" i="9"/>
  <c r="M8" i="9"/>
  <c r="I4" i="9"/>
  <c r="I5" i="9"/>
  <c r="I6" i="9"/>
  <c r="I7" i="9"/>
  <c r="I8" i="9"/>
  <c r="I3" i="9"/>
  <c r="M75" i="8"/>
  <c r="L75" i="8"/>
  <c r="K75" i="8"/>
  <c r="J75" i="8"/>
  <c r="I75" i="8"/>
  <c r="M74" i="8"/>
  <c r="L74" i="8"/>
  <c r="K74" i="8"/>
  <c r="J74" i="8"/>
  <c r="I74" i="8"/>
  <c r="M73" i="8"/>
  <c r="L73" i="8"/>
  <c r="K73" i="8"/>
  <c r="J73" i="8"/>
  <c r="I73" i="8"/>
  <c r="M72" i="8"/>
  <c r="L72" i="8"/>
  <c r="K72" i="8"/>
  <c r="J72" i="8"/>
  <c r="I72" i="8"/>
  <c r="M71" i="8"/>
  <c r="L71" i="8"/>
  <c r="K71" i="8"/>
  <c r="J71" i="8"/>
  <c r="I71" i="8"/>
  <c r="M70" i="8"/>
  <c r="L70" i="8"/>
  <c r="K70" i="8"/>
  <c r="J70" i="8"/>
  <c r="I70" i="8"/>
  <c r="M68" i="8"/>
  <c r="L68" i="8"/>
  <c r="K68" i="8"/>
  <c r="J68" i="8"/>
  <c r="I68" i="8"/>
  <c r="M67" i="8"/>
  <c r="L67" i="8"/>
  <c r="K67" i="8"/>
  <c r="J67" i="8"/>
  <c r="I67" i="8"/>
  <c r="M66" i="8"/>
  <c r="L66" i="8"/>
  <c r="K66" i="8"/>
  <c r="J66" i="8"/>
  <c r="I66" i="8"/>
  <c r="M64" i="8"/>
  <c r="L64" i="8"/>
  <c r="K64" i="8"/>
  <c r="J64" i="8"/>
  <c r="I64" i="8"/>
  <c r="M63" i="8"/>
  <c r="L63" i="8"/>
  <c r="K63" i="8"/>
  <c r="J63" i="8"/>
  <c r="I63" i="8"/>
  <c r="M61" i="8"/>
  <c r="L61" i="8"/>
  <c r="K61" i="8"/>
  <c r="J61" i="8"/>
  <c r="I61" i="8"/>
  <c r="M60" i="8"/>
  <c r="L60" i="8"/>
  <c r="K60" i="8"/>
  <c r="J60" i="8"/>
  <c r="I60" i="8"/>
  <c r="M59" i="8"/>
  <c r="L59" i="8"/>
  <c r="K59" i="8"/>
  <c r="J59" i="8"/>
  <c r="I59" i="8"/>
  <c r="M58" i="8"/>
  <c r="L58" i="8"/>
  <c r="K58" i="8"/>
  <c r="J58" i="8"/>
  <c r="I58" i="8"/>
  <c r="M57" i="8"/>
  <c r="L57" i="8"/>
  <c r="K57" i="8"/>
  <c r="J57" i="8"/>
  <c r="I57" i="8"/>
  <c r="M56" i="8"/>
  <c r="L56" i="8"/>
  <c r="K56" i="8"/>
  <c r="J56" i="8"/>
  <c r="I56" i="8"/>
  <c r="M55" i="8"/>
  <c r="L55" i="8"/>
  <c r="K55" i="8"/>
  <c r="J55" i="8"/>
  <c r="I55" i="8"/>
  <c r="M53" i="8"/>
  <c r="L53" i="8"/>
  <c r="K53" i="8"/>
  <c r="J53" i="8"/>
  <c r="I53" i="8"/>
  <c r="M52" i="8"/>
  <c r="L52" i="8"/>
  <c r="K52" i="8"/>
  <c r="J52" i="8"/>
  <c r="I52" i="8"/>
  <c r="M51" i="8"/>
  <c r="L51" i="8"/>
  <c r="K51" i="8"/>
  <c r="J51" i="8"/>
  <c r="I51" i="8"/>
  <c r="M50" i="8"/>
  <c r="L50" i="8"/>
  <c r="K50" i="8"/>
  <c r="J50" i="8"/>
  <c r="I50" i="8"/>
  <c r="M49" i="8"/>
  <c r="L49" i="8"/>
  <c r="K49" i="8"/>
  <c r="J49" i="8"/>
  <c r="I49" i="8"/>
  <c r="M48" i="8"/>
  <c r="L48" i="8"/>
  <c r="K48" i="8"/>
  <c r="J48" i="8"/>
  <c r="I48" i="8"/>
  <c r="M47" i="8"/>
  <c r="L47" i="8"/>
  <c r="K47" i="8"/>
  <c r="J47" i="8"/>
  <c r="I47" i="8"/>
  <c r="M46" i="8"/>
  <c r="L46" i="8"/>
  <c r="K46" i="8"/>
  <c r="J46" i="8"/>
  <c r="I46" i="8"/>
  <c r="M45" i="8"/>
  <c r="L45" i="8"/>
  <c r="K45" i="8"/>
  <c r="J45" i="8"/>
  <c r="I45" i="8"/>
  <c r="M44" i="8"/>
  <c r="L44" i="8"/>
  <c r="K44" i="8"/>
  <c r="J44" i="8"/>
  <c r="I44" i="8"/>
  <c r="M43" i="8"/>
  <c r="L43" i="8"/>
  <c r="K43" i="8"/>
  <c r="J43" i="8"/>
  <c r="I43" i="8"/>
  <c r="M42" i="8"/>
  <c r="L42" i="8"/>
  <c r="K42" i="8"/>
  <c r="J42" i="8"/>
  <c r="I42" i="8"/>
  <c r="M41" i="8"/>
  <c r="L41" i="8"/>
  <c r="K41" i="8"/>
  <c r="J41" i="8"/>
  <c r="I41" i="8"/>
  <c r="M40" i="8"/>
  <c r="L40" i="8"/>
  <c r="K40" i="8"/>
  <c r="J40" i="8"/>
  <c r="I40" i="8"/>
  <c r="M38" i="8"/>
  <c r="L38" i="8"/>
  <c r="K38" i="8"/>
  <c r="J38" i="8"/>
  <c r="I38" i="8"/>
  <c r="M37" i="8"/>
  <c r="L37" i="8"/>
  <c r="K37" i="8"/>
  <c r="J37" i="8"/>
  <c r="I37" i="8"/>
  <c r="M36" i="8"/>
  <c r="L36" i="8"/>
  <c r="K36" i="8"/>
  <c r="J36" i="8"/>
  <c r="I36" i="8"/>
  <c r="M35" i="8"/>
  <c r="L35" i="8"/>
  <c r="K35" i="8"/>
  <c r="J35" i="8"/>
  <c r="I35" i="8"/>
  <c r="M34" i="8"/>
  <c r="L34" i="8"/>
  <c r="K34" i="8"/>
  <c r="J34" i="8"/>
  <c r="I34" i="8"/>
  <c r="M33" i="8"/>
  <c r="L33" i="8"/>
  <c r="K33" i="8"/>
  <c r="J33" i="8"/>
  <c r="I33" i="8"/>
  <c r="M31" i="8"/>
  <c r="L31" i="8"/>
  <c r="K31" i="8"/>
  <c r="J31" i="8"/>
  <c r="I31" i="8"/>
  <c r="M30" i="8"/>
  <c r="L30" i="8"/>
  <c r="K30" i="8"/>
  <c r="J30" i="8"/>
  <c r="I30" i="8"/>
  <c r="M29" i="8"/>
  <c r="L29" i="8"/>
  <c r="K29" i="8"/>
  <c r="J29" i="8"/>
  <c r="I29" i="8"/>
  <c r="M28" i="8"/>
  <c r="L28" i="8"/>
  <c r="K28" i="8"/>
  <c r="J28" i="8"/>
  <c r="I28" i="8"/>
  <c r="M27" i="8"/>
  <c r="L27" i="8"/>
  <c r="K27" i="8"/>
  <c r="J27" i="8"/>
  <c r="I27" i="8"/>
  <c r="M26" i="8"/>
  <c r="L26" i="8"/>
  <c r="K26" i="8"/>
  <c r="J26" i="8"/>
  <c r="I26" i="8"/>
  <c r="M25" i="8"/>
  <c r="L25" i="8"/>
  <c r="K25" i="8"/>
  <c r="J25" i="8"/>
  <c r="I25" i="8"/>
  <c r="M24" i="8"/>
  <c r="L24" i="8"/>
  <c r="K24" i="8"/>
  <c r="J24" i="8"/>
  <c r="I24" i="8"/>
  <c r="M23" i="8"/>
  <c r="L23" i="8"/>
  <c r="K23" i="8"/>
  <c r="J23" i="8"/>
  <c r="I23" i="8"/>
  <c r="M22" i="8"/>
  <c r="L22" i="8"/>
  <c r="K22" i="8"/>
  <c r="J22" i="8"/>
  <c r="I22" i="8"/>
  <c r="M21" i="8"/>
  <c r="L21" i="8"/>
  <c r="K21" i="8"/>
  <c r="J21" i="8"/>
  <c r="I21" i="8"/>
  <c r="M20" i="8"/>
  <c r="L20" i="8"/>
  <c r="K20" i="8"/>
  <c r="J20" i="8"/>
  <c r="I20" i="8"/>
  <c r="M19" i="8"/>
  <c r="L19" i="8"/>
  <c r="K19" i="8"/>
  <c r="J19" i="8"/>
  <c r="I19" i="8"/>
  <c r="M18" i="8"/>
  <c r="L18" i="8"/>
  <c r="K18" i="8"/>
  <c r="J18" i="8"/>
  <c r="I18" i="8"/>
  <c r="M17" i="8"/>
  <c r="L17" i="8"/>
  <c r="K17" i="8"/>
  <c r="J17" i="8"/>
  <c r="I17" i="8"/>
  <c r="M16" i="8"/>
  <c r="L16" i="8"/>
  <c r="K16" i="8"/>
  <c r="J16" i="8"/>
  <c r="I16" i="8"/>
  <c r="M15" i="8"/>
  <c r="L15" i="8"/>
  <c r="K15" i="8"/>
  <c r="J15" i="8"/>
  <c r="I15" i="8"/>
  <c r="M14" i="8"/>
  <c r="L14" i="8"/>
  <c r="K14" i="8"/>
  <c r="J14" i="8"/>
  <c r="I14" i="8"/>
  <c r="M13" i="8"/>
  <c r="L13" i="8"/>
  <c r="K13" i="8"/>
  <c r="J13" i="8"/>
  <c r="I13" i="8"/>
  <c r="M12" i="8"/>
  <c r="L12" i="8"/>
  <c r="K12" i="8"/>
  <c r="J12" i="8"/>
  <c r="I12" i="8"/>
  <c r="M11" i="8"/>
  <c r="L11" i="8"/>
  <c r="K11" i="8"/>
  <c r="J11" i="8"/>
  <c r="I11" i="8"/>
  <c r="M10" i="8"/>
  <c r="L10" i="8"/>
  <c r="K10" i="8"/>
  <c r="J10" i="8"/>
  <c r="I10" i="8"/>
  <c r="M9" i="8"/>
  <c r="L9" i="8"/>
  <c r="K9" i="8"/>
  <c r="J9" i="8"/>
  <c r="I9" i="8"/>
  <c r="M8" i="8"/>
  <c r="L8" i="8"/>
  <c r="K8" i="8"/>
  <c r="J8" i="8"/>
  <c r="I8" i="8"/>
  <c r="M7" i="8"/>
  <c r="L7" i="8"/>
  <c r="K7" i="8"/>
  <c r="J7" i="8"/>
  <c r="I7" i="8"/>
  <c r="M6" i="8"/>
  <c r="L6" i="8"/>
  <c r="K6" i="8"/>
  <c r="J6" i="8"/>
  <c r="I6" i="8"/>
  <c r="M5" i="8"/>
  <c r="L5" i="8"/>
  <c r="K5" i="8"/>
  <c r="J5" i="8"/>
  <c r="I5" i="8"/>
  <c r="M4" i="8"/>
  <c r="L4" i="8"/>
  <c r="K4" i="8"/>
  <c r="J4" i="8"/>
  <c r="I4" i="8"/>
  <c r="M3" i="8"/>
  <c r="L3" i="8"/>
  <c r="K3" i="8"/>
  <c r="J3" i="8"/>
  <c r="I3" i="8"/>
  <c r="M2" i="8"/>
  <c r="L2" i="8"/>
  <c r="K2" i="8"/>
  <c r="J2" i="8"/>
  <c r="I2" i="8"/>
  <c r="M76" i="7"/>
  <c r="L76" i="7"/>
  <c r="K76" i="7"/>
  <c r="J76" i="7"/>
  <c r="I76" i="7"/>
  <c r="M75" i="7"/>
  <c r="L75" i="7"/>
  <c r="K75" i="7"/>
  <c r="J75" i="7"/>
  <c r="I75" i="7"/>
  <c r="M74" i="7"/>
  <c r="L74" i="7"/>
  <c r="K74" i="7"/>
  <c r="J74" i="7"/>
  <c r="I74" i="7"/>
  <c r="M73" i="7"/>
  <c r="L73" i="7"/>
  <c r="K73" i="7"/>
  <c r="J73" i="7"/>
  <c r="I73" i="7"/>
  <c r="M72" i="7"/>
  <c r="L72" i="7"/>
  <c r="K72" i="7"/>
  <c r="J72" i="7"/>
  <c r="I72" i="7"/>
  <c r="M71" i="7"/>
  <c r="L71" i="7"/>
  <c r="K71" i="7"/>
  <c r="J71" i="7"/>
  <c r="I71" i="7"/>
  <c r="M70" i="7"/>
  <c r="L70" i="7"/>
  <c r="K70" i="7"/>
  <c r="J70" i="7"/>
  <c r="I70" i="7"/>
  <c r="M69" i="7"/>
  <c r="L69" i="7"/>
  <c r="K69" i="7"/>
  <c r="J69" i="7"/>
  <c r="I69" i="7"/>
  <c r="M68" i="7"/>
  <c r="L68" i="7"/>
  <c r="K68" i="7"/>
  <c r="J68" i="7"/>
  <c r="I68" i="7"/>
  <c r="M67" i="7"/>
  <c r="L67" i="7"/>
  <c r="K67" i="7"/>
  <c r="J67" i="7"/>
  <c r="I67" i="7"/>
  <c r="M66" i="7"/>
  <c r="L66" i="7"/>
  <c r="K66" i="7"/>
  <c r="J66" i="7"/>
  <c r="I66" i="7"/>
  <c r="M65" i="7"/>
  <c r="L65" i="7"/>
  <c r="K65" i="7"/>
  <c r="J65" i="7"/>
  <c r="I65" i="7"/>
  <c r="M64" i="7"/>
  <c r="L64" i="7"/>
  <c r="K64" i="7"/>
  <c r="J64" i="7"/>
  <c r="I64" i="7"/>
  <c r="M63" i="7"/>
  <c r="L63" i="7"/>
  <c r="K63" i="7"/>
  <c r="J63" i="7"/>
  <c r="I63" i="7"/>
  <c r="M62" i="7"/>
  <c r="L62" i="7"/>
  <c r="K62" i="7"/>
  <c r="J62" i="7"/>
  <c r="I62" i="7"/>
  <c r="M61" i="7"/>
  <c r="L61" i="7"/>
  <c r="K61" i="7"/>
  <c r="J61" i="7"/>
  <c r="I61" i="7"/>
  <c r="M60" i="7"/>
  <c r="L60" i="7"/>
  <c r="K60" i="7"/>
  <c r="J60" i="7"/>
  <c r="I60" i="7"/>
  <c r="M59" i="7"/>
  <c r="L59" i="7"/>
  <c r="K59" i="7"/>
  <c r="J59" i="7"/>
  <c r="I59" i="7"/>
  <c r="M58" i="7"/>
  <c r="L58" i="7"/>
  <c r="K58" i="7"/>
  <c r="J58" i="7"/>
  <c r="I58" i="7"/>
  <c r="M57" i="7"/>
  <c r="L57" i="7"/>
  <c r="K57" i="7"/>
  <c r="J57" i="7"/>
  <c r="I57" i="7"/>
  <c r="M56" i="7"/>
  <c r="L56" i="7"/>
  <c r="K56" i="7"/>
  <c r="J56" i="7"/>
  <c r="I56" i="7"/>
  <c r="M54" i="7"/>
  <c r="L54" i="7"/>
  <c r="K54" i="7"/>
  <c r="J54" i="7"/>
  <c r="I54" i="7"/>
  <c r="M53" i="7"/>
  <c r="L53" i="7"/>
  <c r="K53" i="7"/>
  <c r="J53" i="7"/>
  <c r="I53" i="7"/>
  <c r="M51" i="7"/>
  <c r="L51" i="7"/>
  <c r="K51" i="7"/>
  <c r="J51" i="7"/>
  <c r="I51" i="7"/>
  <c r="M50" i="7"/>
  <c r="L50" i="7"/>
  <c r="K50" i="7"/>
  <c r="J50" i="7"/>
  <c r="I50" i="7"/>
  <c r="M49" i="7"/>
  <c r="L49" i="7"/>
  <c r="K49" i="7"/>
  <c r="J49" i="7"/>
  <c r="I49" i="7"/>
  <c r="M47" i="7"/>
  <c r="L47" i="7"/>
  <c r="K47" i="7"/>
  <c r="J47" i="7"/>
  <c r="I47" i="7"/>
  <c r="M46" i="7"/>
  <c r="L46" i="7"/>
  <c r="K46" i="7"/>
  <c r="J46" i="7"/>
  <c r="I46" i="7"/>
  <c r="M44" i="7"/>
  <c r="L44" i="7"/>
  <c r="K44" i="7"/>
  <c r="J44" i="7"/>
  <c r="I44" i="7"/>
  <c r="M43" i="7"/>
  <c r="L43" i="7"/>
  <c r="K43" i="7"/>
  <c r="J43" i="7"/>
  <c r="I43" i="7"/>
  <c r="M42" i="7"/>
  <c r="L42" i="7"/>
  <c r="K42" i="7"/>
  <c r="J42" i="7"/>
  <c r="I42" i="7"/>
  <c r="M41" i="7"/>
  <c r="L41" i="7"/>
  <c r="K41" i="7"/>
  <c r="J41" i="7"/>
  <c r="I41" i="7"/>
  <c r="M40" i="7"/>
  <c r="L40" i="7"/>
  <c r="K40" i="7"/>
  <c r="J40" i="7"/>
  <c r="I40" i="7"/>
  <c r="M38" i="7"/>
  <c r="L38" i="7"/>
  <c r="K38" i="7"/>
  <c r="J38" i="7"/>
  <c r="I38" i="7"/>
  <c r="M37" i="7"/>
  <c r="L37" i="7"/>
  <c r="K37" i="7"/>
  <c r="J37" i="7"/>
  <c r="I37" i="7"/>
  <c r="M36" i="7"/>
  <c r="L36" i="7"/>
  <c r="K36" i="7"/>
  <c r="J36" i="7"/>
  <c r="I36" i="7"/>
  <c r="M35" i="7"/>
  <c r="L35" i="7"/>
  <c r="K35" i="7"/>
  <c r="J35" i="7"/>
  <c r="I35" i="7"/>
  <c r="M34" i="7"/>
  <c r="L34" i="7"/>
  <c r="K34" i="7"/>
  <c r="J34" i="7"/>
  <c r="I34" i="7"/>
  <c r="M33" i="7"/>
  <c r="L33" i="7"/>
  <c r="K33" i="7"/>
  <c r="J33" i="7"/>
  <c r="I33" i="7"/>
  <c r="M32" i="7"/>
  <c r="L32" i="7"/>
  <c r="K32" i="7"/>
  <c r="J32" i="7"/>
  <c r="I32" i="7"/>
  <c r="M31" i="7"/>
  <c r="L31" i="7"/>
  <c r="K31" i="7"/>
  <c r="J31" i="7"/>
  <c r="I31" i="7"/>
  <c r="M30" i="7"/>
  <c r="L30" i="7"/>
  <c r="K30" i="7"/>
  <c r="J30" i="7"/>
  <c r="I30" i="7"/>
  <c r="M29" i="7"/>
  <c r="L29" i="7"/>
  <c r="K29" i="7"/>
  <c r="J29" i="7"/>
  <c r="I29" i="7"/>
  <c r="M28" i="7"/>
  <c r="L28" i="7"/>
  <c r="K28" i="7"/>
  <c r="J28" i="7"/>
  <c r="I28" i="7"/>
  <c r="M27" i="7"/>
  <c r="L27" i="7"/>
  <c r="K27" i="7"/>
  <c r="J27" i="7"/>
  <c r="I27" i="7"/>
  <c r="M26" i="7"/>
  <c r="L26" i="7"/>
  <c r="K26" i="7"/>
  <c r="J26" i="7"/>
  <c r="I26" i="7"/>
  <c r="M25" i="7"/>
  <c r="L25" i="7"/>
  <c r="K25" i="7"/>
  <c r="J25" i="7"/>
  <c r="I25" i="7"/>
  <c r="M24" i="7"/>
  <c r="L24" i="7"/>
  <c r="K24" i="7"/>
  <c r="J24" i="7"/>
  <c r="I24" i="7"/>
  <c r="M23" i="7"/>
  <c r="L23" i="7"/>
  <c r="K23" i="7"/>
  <c r="J23" i="7"/>
  <c r="I23" i="7"/>
  <c r="M22" i="7"/>
  <c r="L22" i="7"/>
  <c r="K22" i="7"/>
  <c r="J22" i="7"/>
  <c r="I22" i="7"/>
  <c r="M20" i="7"/>
  <c r="L20" i="7"/>
  <c r="K20" i="7"/>
  <c r="J20" i="7"/>
  <c r="I20" i="7"/>
  <c r="M19" i="7"/>
  <c r="L19" i="7"/>
  <c r="K19" i="7"/>
  <c r="J19" i="7"/>
  <c r="I19" i="7"/>
  <c r="M18" i="7"/>
  <c r="L18" i="7"/>
  <c r="K18" i="7"/>
  <c r="J18" i="7"/>
  <c r="I18" i="7"/>
  <c r="M17" i="7"/>
  <c r="L17" i="7"/>
  <c r="K17" i="7"/>
  <c r="J17" i="7"/>
  <c r="I17" i="7"/>
  <c r="M16" i="7"/>
  <c r="L16" i="7"/>
  <c r="K16" i="7"/>
  <c r="J16" i="7"/>
  <c r="I16" i="7"/>
  <c r="M15" i="7"/>
  <c r="L15" i="7"/>
  <c r="K15" i="7"/>
  <c r="J15" i="7"/>
  <c r="I15" i="7"/>
  <c r="M14" i="7"/>
  <c r="L14" i="7"/>
  <c r="K14" i="7"/>
  <c r="J14" i="7"/>
  <c r="I14" i="7"/>
  <c r="M13" i="7"/>
  <c r="L13" i="7"/>
  <c r="K13" i="7"/>
  <c r="J13" i="7"/>
  <c r="I13" i="7"/>
  <c r="M11" i="7"/>
  <c r="L11" i="7"/>
  <c r="K11" i="7"/>
  <c r="J11" i="7"/>
  <c r="I11" i="7"/>
  <c r="M10" i="7"/>
  <c r="L10" i="7"/>
  <c r="K10" i="7"/>
  <c r="J10" i="7"/>
  <c r="I10" i="7"/>
  <c r="M9" i="7"/>
  <c r="L9" i="7"/>
  <c r="K9" i="7"/>
  <c r="J9" i="7"/>
  <c r="I9" i="7"/>
  <c r="M8" i="7"/>
  <c r="L8" i="7"/>
  <c r="K8" i="7"/>
  <c r="J8" i="7"/>
  <c r="I8" i="7"/>
  <c r="M7" i="7"/>
  <c r="L7" i="7"/>
  <c r="K7" i="7"/>
  <c r="J7" i="7"/>
  <c r="I7" i="7"/>
  <c r="M6" i="7"/>
  <c r="L6" i="7"/>
  <c r="K6" i="7"/>
  <c r="J6" i="7"/>
  <c r="I6" i="7"/>
  <c r="M5" i="7"/>
  <c r="L5" i="7"/>
  <c r="K5" i="7"/>
  <c r="J5" i="7"/>
  <c r="I5" i="7"/>
  <c r="M4" i="7"/>
  <c r="L4" i="7"/>
  <c r="K4" i="7"/>
  <c r="J4" i="7"/>
  <c r="I4" i="7"/>
  <c r="M3" i="7"/>
  <c r="L3" i="7"/>
  <c r="K3" i="7"/>
  <c r="J3" i="7"/>
  <c r="I3" i="7"/>
  <c r="M2" i="7"/>
  <c r="L2" i="7"/>
  <c r="K2" i="7"/>
  <c r="J2" i="7"/>
  <c r="I2" i="7"/>
  <c r="M77" i="6"/>
  <c r="L77" i="6"/>
  <c r="K77" i="6"/>
  <c r="J77" i="6"/>
  <c r="I77" i="6"/>
  <c r="M76" i="6"/>
  <c r="L76" i="6"/>
  <c r="K76" i="6"/>
  <c r="J76" i="6"/>
  <c r="I76" i="6"/>
  <c r="M75" i="6"/>
  <c r="L75" i="6"/>
  <c r="K75" i="6"/>
  <c r="J75" i="6"/>
  <c r="I75" i="6"/>
  <c r="M73" i="6"/>
  <c r="L73" i="6"/>
  <c r="K73" i="6"/>
  <c r="J73" i="6"/>
  <c r="I73" i="6"/>
  <c r="M72" i="6"/>
  <c r="L72" i="6"/>
  <c r="K72" i="6"/>
  <c r="J72" i="6"/>
  <c r="I72" i="6"/>
  <c r="M71" i="6"/>
  <c r="L71" i="6"/>
  <c r="K71" i="6"/>
  <c r="J71" i="6"/>
  <c r="I71" i="6"/>
  <c r="M70" i="6"/>
  <c r="L70" i="6"/>
  <c r="K70" i="6"/>
  <c r="J70" i="6"/>
  <c r="I70" i="6"/>
  <c r="M69" i="6"/>
  <c r="L69" i="6"/>
  <c r="K69" i="6"/>
  <c r="J69" i="6"/>
  <c r="I69" i="6"/>
  <c r="M68" i="6"/>
  <c r="L68" i="6"/>
  <c r="K68" i="6"/>
  <c r="J68" i="6"/>
  <c r="I68" i="6"/>
  <c r="M67" i="6"/>
  <c r="L67" i="6"/>
  <c r="K67" i="6"/>
  <c r="J67" i="6"/>
  <c r="I67" i="6"/>
  <c r="M66" i="6"/>
  <c r="L66" i="6"/>
  <c r="K66" i="6"/>
  <c r="J66" i="6"/>
  <c r="I66" i="6"/>
  <c r="M65" i="6"/>
  <c r="L65" i="6"/>
  <c r="K65" i="6"/>
  <c r="J65" i="6"/>
  <c r="I65" i="6"/>
  <c r="M64" i="6"/>
  <c r="L64" i="6"/>
  <c r="K64" i="6"/>
  <c r="J64" i="6"/>
  <c r="I64" i="6"/>
  <c r="M63" i="6"/>
  <c r="L63" i="6"/>
  <c r="K63" i="6"/>
  <c r="J63" i="6"/>
  <c r="I63" i="6"/>
  <c r="M62" i="6"/>
  <c r="L62" i="6"/>
  <c r="K62" i="6"/>
  <c r="J62" i="6"/>
  <c r="I62" i="6"/>
  <c r="M60" i="6"/>
  <c r="L60" i="6"/>
  <c r="K60" i="6"/>
  <c r="J60" i="6"/>
  <c r="I60" i="6"/>
  <c r="M59" i="6"/>
  <c r="L59" i="6"/>
  <c r="K59" i="6"/>
  <c r="J59" i="6"/>
  <c r="I59" i="6"/>
  <c r="M57" i="6"/>
  <c r="L57" i="6"/>
  <c r="K57" i="6"/>
  <c r="J57" i="6"/>
  <c r="I57" i="6"/>
  <c r="M56" i="6"/>
  <c r="L56" i="6"/>
  <c r="K56" i="6"/>
  <c r="J56" i="6"/>
  <c r="I56" i="6"/>
  <c r="M55" i="6"/>
  <c r="L55" i="6"/>
  <c r="K55" i="6"/>
  <c r="J55" i="6"/>
  <c r="I55" i="6"/>
  <c r="M54" i="6"/>
  <c r="L54" i="6"/>
  <c r="K54" i="6"/>
  <c r="J54" i="6"/>
  <c r="I54" i="6"/>
  <c r="M53" i="6"/>
  <c r="L53" i="6"/>
  <c r="K53" i="6"/>
  <c r="J53" i="6"/>
  <c r="I53" i="6"/>
  <c r="M52" i="6"/>
  <c r="L52" i="6"/>
  <c r="K52" i="6"/>
  <c r="J52" i="6"/>
  <c r="I52" i="6"/>
  <c r="M51" i="6"/>
  <c r="L51" i="6"/>
  <c r="K51" i="6"/>
  <c r="J51" i="6"/>
  <c r="I51" i="6"/>
  <c r="M49" i="6"/>
  <c r="L49" i="6"/>
  <c r="K49" i="6"/>
  <c r="J49" i="6"/>
  <c r="I49" i="6"/>
  <c r="M48" i="6"/>
  <c r="L48" i="6"/>
  <c r="K48" i="6"/>
  <c r="J48" i="6"/>
  <c r="I48" i="6"/>
  <c r="M46" i="6"/>
  <c r="L46" i="6"/>
  <c r="K46" i="6"/>
  <c r="J46" i="6"/>
  <c r="I46" i="6"/>
  <c r="M45" i="6"/>
  <c r="L45" i="6"/>
  <c r="K45" i="6"/>
  <c r="J45" i="6"/>
  <c r="I45" i="6"/>
  <c r="M43" i="6"/>
  <c r="L43" i="6"/>
  <c r="K43" i="6"/>
  <c r="J43" i="6"/>
  <c r="I43" i="6"/>
  <c r="M42" i="6"/>
  <c r="L42" i="6"/>
  <c r="K42" i="6"/>
  <c r="J42" i="6"/>
  <c r="I42" i="6"/>
  <c r="M40" i="6"/>
  <c r="L40" i="6"/>
  <c r="K40" i="6"/>
  <c r="J40" i="6"/>
  <c r="I40" i="6"/>
  <c r="M39" i="6"/>
  <c r="L39" i="6"/>
  <c r="K39" i="6"/>
  <c r="J39" i="6"/>
  <c r="I39" i="6"/>
  <c r="M37" i="6"/>
  <c r="L37" i="6"/>
  <c r="K37" i="6"/>
  <c r="J37" i="6"/>
  <c r="I37" i="6"/>
  <c r="M36" i="6"/>
  <c r="L36" i="6"/>
  <c r="K36" i="6"/>
  <c r="J36" i="6"/>
  <c r="I36" i="6"/>
  <c r="M35" i="6"/>
  <c r="L35" i="6"/>
  <c r="K35" i="6"/>
  <c r="J35" i="6"/>
  <c r="I35" i="6"/>
  <c r="M34" i="6"/>
  <c r="L34" i="6"/>
  <c r="K34" i="6"/>
  <c r="J34" i="6"/>
  <c r="I34" i="6"/>
  <c r="M33" i="6"/>
  <c r="L33" i="6"/>
  <c r="K33" i="6"/>
  <c r="J33" i="6"/>
  <c r="I33" i="6"/>
  <c r="M32" i="6"/>
  <c r="L32" i="6"/>
  <c r="K32" i="6"/>
  <c r="J32" i="6"/>
  <c r="I32" i="6"/>
  <c r="M31" i="6"/>
  <c r="L31" i="6"/>
  <c r="K31" i="6"/>
  <c r="J31" i="6"/>
  <c r="I31" i="6"/>
  <c r="M30" i="6"/>
  <c r="L30" i="6"/>
  <c r="K30" i="6"/>
  <c r="J30" i="6"/>
  <c r="I30" i="6"/>
  <c r="M29" i="6"/>
  <c r="L29" i="6"/>
  <c r="K29" i="6"/>
  <c r="J29" i="6"/>
  <c r="I29" i="6"/>
  <c r="M28" i="6"/>
  <c r="L28" i="6"/>
  <c r="K28" i="6"/>
  <c r="J28" i="6"/>
  <c r="I28" i="6"/>
  <c r="M27" i="6"/>
  <c r="L27" i="6"/>
  <c r="K27" i="6"/>
  <c r="J27" i="6"/>
  <c r="I27" i="6"/>
  <c r="M26" i="6"/>
  <c r="L26" i="6"/>
  <c r="K26" i="6"/>
  <c r="J26" i="6"/>
  <c r="I26" i="6"/>
  <c r="M25" i="6"/>
  <c r="L25" i="6"/>
  <c r="K25" i="6"/>
  <c r="J25" i="6"/>
  <c r="I25" i="6"/>
  <c r="M24" i="6"/>
  <c r="L24" i="6"/>
  <c r="K24" i="6"/>
  <c r="J24" i="6"/>
  <c r="I24" i="6"/>
  <c r="M23" i="6"/>
  <c r="L23" i="6"/>
  <c r="K23" i="6"/>
  <c r="J23" i="6"/>
  <c r="I23" i="6"/>
  <c r="M22" i="6"/>
  <c r="L22" i="6"/>
  <c r="K22" i="6"/>
  <c r="J22" i="6"/>
  <c r="I22" i="6"/>
  <c r="M21" i="6"/>
  <c r="L21" i="6"/>
  <c r="K21" i="6"/>
  <c r="J21" i="6"/>
  <c r="I21" i="6"/>
  <c r="M20" i="6"/>
  <c r="L20" i="6"/>
  <c r="K20" i="6"/>
  <c r="J20" i="6"/>
  <c r="I20" i="6"/>
  <c r="M19" i="6"/>
  <c r="L19" i="6"/>
  <c r="K19" i="6"/>
  <c r="J19" i="6"/>
  <c r="I19" i="6"/>
  <c r="M18" i="6"/>
  <c r="L18" i="6"/>
  <c r="K18" i="6"/>
  <c r="J18" i="6"/>
  <c r="I18" i="6"/>
  <c r="M17" i="6"/>
  <c r="L17" i="6"/>
  <c r="K17" i="6"/>
  <c r="J17" i="6"/>
  <c r="I17" i="6"/>
  <c r="M16" i="6"/>
  <c r="L16" i="6"/>
  <c r="K16" i="6"/>
  <c r="J16" i="6"/>
  <c r="I16" i="6"/>
  <c r="M15" i="6"/>
  <c r="L15" i="6"/>
  <c r="K15" i="6"/>
  <c r="J15" i="6"/>
  <c r="I15" i="6"/>
  <c r="M14" i="6"/>
  <c r="L14" i="6"/>
  <c r="K14" i="6"/>
  <c r="J14" i="6"/>
  <c r="I14" i="6"/>
  <c r="M13" i="6"/>
  <c r="L13" i="6"/>
  <c r="K13" i="6"/>
  <c r="J13" i="6"/>
  <c r="I13" i="6"/>
  <c r="M12" i="6"/>
  <c r="L12" i="6"/>
  <c r="K12" i="6"/>
  <c r="J12" i="6"/>
  <c r="I12" i="6"/>
  <c r="M11" i="6"/>
  <c r="L11" i="6"/>
  <c r="K11" i="6"/>
  <c r="J11" i="6"/>
  <c r="I11" i="6"/>
  <c r="M10" i="6"/>
  <c r="L10" i="6"/>
  <c r="K10" i="6"/>
  <c r="J10" i="6"/>
  <c r="I10" i="6"/>
  <c r="M9" i="6"/>
  <c r="L9" i="6"/>
  <c r="K9" i="6"/>
  <c r="J9" i="6"/>
  <c r="I9" i="6"/>
  <c r="M8" i="6"/>
  <c r="L8" i="6"/>
  <c r="K8" i="6"/>
  <c r="J8" i="6"/>
  <c r="I8" i="6"/>
  <c r="M7" i="6"/>
  <c r="L7" i="6"/>
  <c r="K7" i="6"/>
  <c r="J7" i="6"/>
  <c r="I7" i="6"/>
  <c r="M6" i="6"/>
  <c r="L6" i="6"/>
  <c r="K6" i="6"/>
  <c r="J6" i="6"/>
  <c r="I6" i="6"/>
  <c r="M5" i="6"/>
  <c r="L5" i="6"/>
  <c r="K5" i="6"/>
  <c r="J5" i="6"/>
  <c r="I5" i="6"/>
  <c r="M4" i="6"/>
  <c r="L4" i="6"/>
  <c r="K4" i="6"/>
  <c r="J4" i="6"/>
  <c r="I4" i="6"/>
  <c r="M3" i="6"/>
  <c r="L3" i="6"/>
  <c r="K3" i="6"/>
  <c r="J3" i="6"/>
  <c r="I3" i="6"/>
  <c r="M2" i="6"/>
  <c r="L2" i="6"/>
  <c r="K2" i="6"/>
  <c r="J2" i="6"/>
  <c r="I2" i="6"/>
  <c r="M76" i="5"/>
  <c r="L76" i="5"/>
  <c r="K76" i="5"/>
  <c r="J76" i="5"/>
  <c r="I76" i="5"/>
  <c r="M75" i="5"/>
  <c r="L75" i="5"/>
  <c r="K75" i="5"/>
  <c r="J75" i="5"/>
  <c r="I75" i="5"/>
  <c r="M74" i="5"/>
  <c r="L74" i="5"/>
  <c r="K74" i="5"/>
  <c r="J74" i="5"/>
  <c r="I74" i="5"/>
  <c r="M73" i="5"/>
  <c r="L73" i="5"/>
  <c r="K73" i="5"/>
  <c r="J73" i="5"/>
  <c r="I73" i="5"/>
  <c r="M72" i="5"/>
  <c r="L72" i="5"/>
  <c r="K72" i="5"/>
  <c r="J72" i="5"/>
  <c r="I72" i="5"/>
  <c r="M70" i="5"/>
  <c r="L70" i="5"/>
  <c r="K70" i="5"/>
  <c r="J70" i="5"/>
  <c r="I70" i="5"/>
  <c r="M69" i="5"/>
  <c r="L69" i="5"/>
  <c r="K69" i="5"/>
  <c r="J69" i="5"/>
  <c r="I69" i="5"/>
  <c r="M68" i="5"/>
  <c r="L68" i="5"/>
  <c r="K68" i="5"/>
  <c r="J68" i="5"/>
  <c r="I68" i="5"/>
  <c r="M67" i="5"/>
  <c r="L67" i="5"/>
  <c r="K67" i="5"/>
  <c r="J67" i="5"/>
  <c r="I67" i="5"/>
  <c r="M66" i="5"/>
  <c r="L66" i="5"/>
  <c r="K66" i="5"/>
  <c r="J66" i="5"/>
  <c r="I66" i="5"/>
  <c r="M65" i="5"/>
  <c r="L65" i="5"/>
  <c r="K65" i="5"/>
  <c r="J65" i="5"/>
  <c r="I65" i="5"/>
  <c r="M64" i="5"/>
  <c r="L64" i="5"/>
  <c r="K64" i="5"/>
  <c r="J64" i="5"/>
  <c r="I64" i="5"/>
  <c r="M62" i="5"/>
  <c r="L62" i="5"/>
  <c r="K62" i="5"/>
  <c r="J62" i="5"/>
  <c r="I62" i="5"/>
  <c r="M61" i="5"/>
  <c r="L61" i="5"/>
  <c r="K61" i="5"/>
  <c r="J61" i="5"/>
  <c r="I61" i="5"/>
  <c r="M59" i="5"/>
  <c r="L59" i="5"/>
  <c r="K59" i="5"/>
  <c r="J59" i="5"/>
  <c r="I59" i="5"/>
  <c r="M58" i="5"/>
  <c r="L58" i="5"/>
  <c r="K58" i="5"/>
  <c r="J58" i="5"/>
  <c r="I58" i="5"/>
  <c r="M57" i="5"/>
  <c r="L57" i="5"/>
  <c r="K57" i="5"/>
  <c r="J57" i="5"/>
  <c r="I57" i="5"/>
  <c r="M56" i="5"/>
  <c r="L56" i="5"/>
  <c r="K56" i="5"/>
  <c r="J56" i="5"/>
  <c r="I56" i="5"/>
  <c r="M55" i="5"/>
  <c r="L55" i="5"/>
  <c r="K55" i="5"/>
  <c r="J55" i="5"/>
  <c r="I55" i="5"/>
  <c r="M54" i="5"/>
  <c r="L54" i="5"/>
  <c r="K54" i="5"/>
  <c r="J54" i="5"/>
  <c r="I54" i="5"/>
  <c r="M53" i="5"/>
  <c r="L53" i="5"/>
  <c r="K53" i="5"/>
  <c r="J53" i="5"/>
  <c r="I53" i="5"/>
  <c r="M52" i="5"/>
  <c r="L52" i="5"/>
  <c r="K52" i="5"/>
  <c r="J52" i="5"/>
  <c r="I52" i="5"/>
  <c r="M51" i="5"/>
  <c r="L51" i="5"/>
  <c r="K51" i="5"/>
  <c r="J51" i="5"/>
  <c r="I51" i="5"/>
  <c r="M50" i="5"/>
  <c r="L50" i="5"/>
  <c r="K50" i="5"/>
  <c r="J50" i="5"/>
  <c r="I50" i="5"/>
  <c r="M49" i="5"/>
  <c r="L49" i="5"/>
  <c r="K49" i="5"/>
  <c r="J49" i="5"/>
  <c r="I49" i="5"/>
  <c r="M48" i="5"/>
  <c r="L48" i="5"/>
  <c r="K48" i="5"/>
  <c r="J48" i="5"/>
  <c r="I48" i="5"/>
  <c r="M47" i="5"/>
  <c r="L47" i="5"/>
  <c r="K47" i="5"/>
  <c r="J47" i="5"/>
  <c r="I47" i="5"/>
  <c r="M46" i="5"/>
  <c r="L46" i="5"/>
  <c r="K46" i="5"/>
  <c r="J46" i="5"/>
  <c r="I46" i="5"/>
  <c r="I41" i="5"/>
  <c r="M44" i="5"/>
  <c r="L44" i="5"/>
  <c r="K44" i="5"/>
  <c r="J44" i="5"/>
  <c r="I44" i="5"/>
  <c r="M43" i="5"/>
  <c r="L43" i="5"/>
  <c r="K43" i="5"/>
  <c r="J43" i="5"/>
  <c r="I43" i="5"/>
  <c r="M42" i="5"/>
  <c r="L42" i="5"/>
  <c r="K42" i="5"/>
  <c r="J42" i="5"/>
  <c r="I42" i="5"/>
  <c r="M41" i="5"/>
  <c r="L41" i="5"/>
  <c r="K41" i="5"/>
  <c r="J41" i="5"/>
  <c r="M39" i="5"/>
  <c r="L39" i="5"/>
  <c r="K39" i="5"/>
  <c r="J39" i="5"/>
  <c r="I39" i="5"/>
  <c r="M38" i="5"/>
  <c r="L38" i="5"/>
  <c r="K38" i="5"/>
  <c r="J38" i="5"/>
  <c r="I38" i="5"/>
  <c r="M37" i="5"/>
  <c r="L37" i="5"/>
  <c r="K37" i="5"/>
  <c r="J37" i="5"/>
  <c r="I37" i="5"/>
  <c r="M36" i="5"/>
  <c r="L36" i="5"/>
  <c r="K36" i="5"/>
  <c r="J36" i="5"/>
  <c r="I36" i="5"/>
  <c r="M35" i="5"/>
  <c r="L35" i="5"/>
  <c r="K35" i="5"/>
  <c r="J35" i="5"/>
  <c r="I35" i="5"/>
  <c r="M34" i="5"/>
  <c r="L34" i="5"/>
  <c r="K34" i="5"/>
  <c r="J34" i="5"/>
  <c r="I34" i="5"/>
  <c r="M33" i="5"/>
  <c r="L33" i="5"/>
  <c r="K33" i="5"/>
  <c r="J33" i="5"/>
  <c r="I33" i="5"/>
  <c r="M32" i="5"/>
  <c r="L32" i="5"/>
  <c r="K32" i="5"/>
  <c r="J32" i="5"/>
  <c r="I32" i="5"/>
  <c r="M30" i="5"/>
  <c r="L30" i="5"/>
  <c r="K30" i="5"/>
  <c r="J30" i="5"/>
  <c r="I30" i="5"/>
  <c r="M29" i="5"/>
  <c r="L29" i="5"/>
  <c r="K29" i="5"/>
  <c r="J29" i="5"/>
  <c r="I29" i="5"/>
  <c r="M28" i="5"/>
  <c r="L28" i="5"/>
  <c r="K28" i="5"/>
  <c r="J28" i="5"/>
  <c r="I28" i="5"/>
  <c r="M27" i="5"/>
  <c r="L27" i="5"/>
  <c r="K27" i="5"/>
  <c r="J27" i="5"/>
  <c r="I27" i="5"/>
  <c r="M26" i="5"/>
  <c r="L26" i="5"/>
  <c r="K26" i="5"/>
  <c r="J26" i="5"/>
  <c r="I26" i="5"/>
  <c r="M25" i="5"/>
  <c r="L25" i="5"/>
  <c r="K25" i="5"/>
  <c r="J25" i="5"/>
  <c r="I25" i="5"/>
  <c r="M24" i="5"/>
  <c r="L24" i="5"/>
  <c r="K24" i="5"/>
  <c r="J24" i="5"/>
  <c r="I24" i="5"/>
  <c r="M22" i="5"/>
  <c r="L22" i="5"/>
  <c r="K22" i="5"/>
  <c r="J22" i="5"/>
  <c r="I22" i="5"/>
  <c r="M21" i="5"/>
  <c r="L21" i="5"/>
  <c r="K21" i="5"/>
  <c r="J21" i="5"/>
  <c r="I21" i="5"/>
  <c r="M20" i="5"/>
  <c r="L20" i="5"/>
  <c r="K20" i="5"/>
  <c r="J20" i="5"/>
  <c r="I20" i="5"/>
  <c r="M19" i="5"/>
  <c r="L19" i="5"/>
  <c r="K19" i="5"/>
  <c r="J19" i="5"/>
  <c r="I19" i="5"/>
  <c r="M18" i="5"/>
  <c r="L18" i="5"/>
  <c r="K18" i="5"/>
  <c r="J18" i="5"/>
  <c r="I18" i="5"/>
  <c r="M17" i="5"/>
  <c r="L17" i="5"/>
  <c r="K17" i="5"/>
  <c r="J17" i="5"/>
  <c r="I17" i="5"/>
  <c r="M16" i="5"/>
  <c r="L16" i="5"/>
  <c r="K16" i="5"/>
  <c r="J16" i="5"/>
  <c r="I16" i="5"/>
  <c r="M15" i="5"/>
  <c r="L15" i="5"/>
  <c r="K15" i="5"/>
  <c r="J15" i="5"/>
  <c r="I15" i="5"/>
  <c r="M14" i="5"/>
  <c r="L14" i="5"/>
  <c r="K14" i="5"/>
  <c r="J14" i="5"/>
  <c r="I14" i="5"/>
  <c r="M13" i="5"/>
  <c r="L13" i="5"/>
  <c r="K13" i="5"/>
  <c r="J13" i="5"/>
  <c r="I13" i="5"/>
  <c r="M12" i="5"/>
  <c r="L12" i="5"/>
  <c r="K12" i="5"/>
  <c r="J12" i="5"/>
  <c r="I12" i="5"/>
  <c r="M11" i="5"/>
  <c r="L11" i="5"/>
  <c r="K11" i="5"/>
  <c r="J11" i="5"/>
  <c r="I11" i="5"/>
  <c r="M10" i="5"/>
  <c r="L10" i="5"/>
  <c r="K10" i="5"/>
  <c r="J10" i="5"/>
  <c r="I10" i="5"/>
  <c r="M9" i="5"/>
  <c r="L9" i="5"/>
  <c r="K9" i="5"/>
  <c r="J9" i="5"/>
  <c r="I9" i="5"/>
  <c r="M8" i="5"/>
  <c r="L8" i="5"/>
  <c r="K8" i="5"/>
  <c r="J8" i="5"/>
  <c r="I8" i="5"/>
  <c r="M7" i="5"/>
  <c r="L7" i="5"/>
  <c r="K7" i="5"/>
  <c r="J7" i="5"/>
  <c r="I7" i="5"/>
  <c r="M6" i="5"/>
  <c r="L6" i="5"/>
  <c r="K6" i="5"/>
  <c r="J6" i="5"/>
  <c r="I6" i="5"/>
  <c r="M5" i="5"/>
  <c r="L5" i="5"/>
  <c r="K5" i="5"/>
  <c r="J5" i="5"/>
  <c r="I5" i="5"/>
  <c r="M4" i="5"/>
  <c r="L4" i="5"/>
  <c r="K4" i="5"/>
  <c r="J4" i="5"/>
  <c r="I4" i="5"/>
  <c r="M3" i="5"/>
  <c r="L3" i="5"/>
  <c r="K3" i="5"/>
  <c r="J3" i="5"/>
  <c r="I3" i="5"/>
  <c r="M2" i="5"/>
  <c r="L2" i="5"/>
  <c r="K2" i="5"/>
  <c r="J2" i="5"/>
  <c r="I2" i="5"/>
  <c r="M74" i="4"/>
  <c r="L74" i="4"/>
  <c r="K74" i="4"/>
  <c r="J74" i="4"/>
  <c r="I74" i="4"/>
  <c r="M73" i="4"/>
  <c r="L73" i="4"/>
  <c r="K73" i="4"/>
  <c r="J73" i="4"/>
  <c r="I73" i="4"/>
  <c r="M72" i="4"/>
  <c r="L72" i="4"/>
  <c r="K72" i="4"/>
  <c r="J72" i="4"/>
  <c r="I72" i="4"/>
  <c r="M71" i="4"/>
  <c r="L71" i="4"/>
  <c r="K71" i="4"/>
  <c r="J71" i="4"/>
  <c r="I71" i="4"/>
  <c r="M70" i="4"/>
  <c r="L70" i="4"/>
  <c r="K70" i="4"/>
  <c r="J70" i="4"/>
  <c r="I70" i="4"/>
  <c r="M69" i="4"/>
  <c r="L69" i="4"/>
  <c r="K69" i="4"/>
  <c r="J69" i="4"/>
  <c r="I69" i="4"/>
  <c r="M67" i="4"/>
  <c r="L67" i="4"/>
  <c r="K67" i="4"/>
  <c r="J67" i="4"/>
  <c r="I67" i="4"/>
  <c r="M66" i="4"/>
  <c r="L66" i="4"/>
  <c r="K66" i="4"/>
  <c r="J66" i="4"/>
  <c r="I66" i="4"/>
  <c r="M65" i="4"/>
  <c r="L65" i="4"/>
  <c r="K65" i="4"/>
  <c r="J65" i="4"/>
  <c r="I65" i="4"/>
  <c r="M63" i="4"/>
  <c r="L63" i="4"/>
  <c r="K63" i="4"/>
  <c r="J63" i="4"/>
  <c r="I63" i="4"/>
  <c r="M62" i="4"/>
  <c r="L62" i="4"/>
  <c r="K62" i="4"/>
  <c r="J62" i="4"/>
  <c r="I62" i="4"/>
  <c r="M61" i="4"/>
  <c r="L61" i="4"/>
  <c r="K61" i="4"/>
  <c r="J61" i="4"/>
  <c r="I61" i="4"/>
  <c r="M60" i="4"/>
  <c r="L60" i="4"/>
  <c r="K60" i="4"/>
  <c r="J60" i="4"/>
  <c r="I60" i="4"/>
  <c r="M59" i="4"/>
  <c r="L59" i="4"/>
  <c r="K59" i="4"/>
  <c r="J59" i="4"/>
  <c r="I59" i="4"/>
  <c r="I45" i="4"/>
  <c r="J45" i="4"/>
  <c r="K45" i="4"/>
  <c r="L45" i="4"/>
  <c r="M45" i="4"/>
  <c r="I46" i="4"/>
  <c r="J46" i="4"/>
  <c r="K46" i="4"/>
  <c r="L46" i="4"/>
  <c r="M46" i="4"/>
  <c r="I47" i="4"/>
  <c r="J47" i="4"/>
  <c r="K47" i="4"/>
  <c r="L47" i="4"/>
  <c r="M47" i="4"/>
  <c r="I48" i="4"/>
  <c r="J48" i="4"/>
  <c r="K48" i="4"/>
  <c r="L48" i="4"/>
  <c r="M48" i="4"/>
  <c r="I49" i="4"/>
  <c r="J49" i="4"/>
  <c r="K49" i="4"/>
  <c r="L49" i="4"/>
  <c r="M49" i="4"/>
  <c r="I50" i="4"/>
  <c r="J50" i="4"/>
  <c r="K50" i="4"/>
  <c r="L50" i="4"/>
  <c r="M50" i="4"/>
  <c r="I51" i="4"/>
  <c r="J51" i="4"/>
  <c r="K51" i="4"/>
  <c r="L51" i="4"/>
  <c r="M51" i="4"/>
  <c r="I52" i="4"/>
  <c r="J52" i="4"/>
  <c r="K52" i="4"/>
  <c r="L52" i="4"/>
  <c r="M52" i="4"/>
  <c r="I53" i="4"/>
  <c r="J53" i="4"/>
  <c r="K53" i="4"/>
  <c r="L53" i="4"/>
  <c r="M53" i="4"/>
  <c r="I54" i="4"/>
  <c r="J54" i="4"/>
  <c r="K54" i="4"/>
  <c r="L54" i="4"/>
  <c r="M54" i="4"/>
  <c r="I55" i="4"/>
  <c r="J55" i="4"/>
  <c r="K55" i="4"/>
  <c r="L55" i="4"/>
  <c r="M55" i="4"/>
  <c r="I56" i="4"/>
  <c r="J56" i="4"/>
  <c r="K56" i="4"/>
  <c r="L56" i="4"/>
  <c r="M56" i="4"/>
  <c r="I57" i="4"/>
  <c r="J57" i="4"/>
  <c r="K57" i="4"/>
  <c r="L57" i="4"/>
  <c r="M57" i="4"/>
  <c r="M44" i="4"/>
  <c r="L44" i="4"/>
  <c r="K44" i="4"/>
  <c r="J44" i="4"/>
  <c r="I44" i="4"/>
  <c r="I41" i="4"/>
  <c r="J41" i="4"/>
  <c r="K41" i="4"/>
  <c r="L41" i="4"/>
  <c r="M41" i="4"/>
  <c r="I42" i="4"/>
  <c r="J42" i="4"/>
  <c r="K42" i="4"/>
  <c r="L42" i="4"/>
  <c r="M42" i="4"/>
  <c r="I43" i="4"/>
  <c r="J43" i="4"/>
  <c r="K43" i="4"/>
  <c r="L43" i="4"/>
  <c r="M43" i="4"/>
  <c r="M40" i="4"/>
  <c r="L40" i="4"/>
  <c r="K40" i="4"/>
  <c r="J40" i="4"/>
  <c r="I40" i="4"/>
  <c r="I26" i="4"/>
  <c r="J26" i="4"/>
  <c r="K26" i="4"/>
  <c r="L26" i="4"/>
  <c r="M26" i="4"/>
  <c r="I27" i="4"/>
  <c r="J27" i="4"/>
  <c r="K27" i="4"/>
  <c r="L27" i="4"/>
  <c r="M27" i="4"/>
  <c r="I28" i="4"/>
  <c r="J28" i="4"/>
  <c r="K28" i="4"/>
  <c r="L28" i="4"/>
  <c r="M28" i="4"/>
  <c r="I29" i="4"/>
  <c r="J29" i="4"/>
  <c r="K29" i="4"/>
  <c r="L29" i="4"/>
  <c r="M29" i="4"/>
  <c r="I30" i="4"/>
  <c r="J30" i="4"/>
  <c r="K30" i="4"/>
  <c r="L30" i="4"/>
  <c r="M30" i="4"/>
  <c r="I31" i="4"/>
  <c r="J31" i="4"/>
  <c r="K31" i="4"/>
  <c r="L31" i="4"/>
  <c r="M31" i="4"/>
  <c r="I32" i="4"/>
  <c r="J32" i="4"/>
  <c r="K32" i="4"/>
  <c r="L32" i="4"/>
  <c r="M32" i="4"/>
  <c r="I33" i="4"/>
  <c r="J33" i="4"/>
  <c r="K33" i="4"/>
  <c r="L33" i="4"/>
  <c r="M33" i="4"/>
  <c r="I34" i="4"/>
  <c r="J34" i="4"/>
  <c r="K34" i="4"/>
  <c r="L34" i="4"/>
  <c r="M34" i="4"/>
  <c r="I35" i="4"/>
  <c r="J35" i="4"/>
  <c r="K35" i="4"/>
  <c r="L35" i="4"/>
  <c r="M35" i="4"/>
  <c r="I36" i="4"/>
  <c r="J36" i="4"/>
  <c r="K36" i="4"/>
  <c r="L36" i="4"/>
  <c r="M36" i="4"/>
  <c r="I37" i="4"/>
  <c r="J37" i="4"/>
  <c r="K37" i="4"/>
  <c r="L37" i="4"/>
  <c r="M37" i="4"/>
  <c r="I38" i="4"/>
  <c r="J38" i="4"/>
  <c r="K38" i="4"/>
  <c r="L38" i="4"/>
  <c r="M38" i="4"/>
  <c r="M25" i="4"/>
  <c r="L25" i="4"/>
  <c r="K25" i="4"/>
  <c r="J25" i="4"/>
  <c r="I25" i="4"/>
  <c r="M24" i="4"/>
  <c r="L24" i="4"/>
  <c r="K24" i="4"/>
  <c r="J24" i="4"/>
  <c r="I24" i="4"/>
  <c r="M23" i="4"/>
  <c r="L23" i="4"/>
  <c r="K23" i="4"/>
  <c r="J23" i="4"/>
  <c r="I23" i="4"/>
  <c r="M22" i="4"/>
  <c r="L22" i="4"/>
  <c r="K22" i="4"/>
  <c r="J22" i="4"/>
  <c r="I22" i="4"/>
  <c r="M21" i="4"/>
  <c r="L21" i="4"/>
  <c r="K21" i="4"/>
  <c r="J21" i="4"/>
  <c r="I21" i="4"/>
  <c r="M20" i="4"/>
  <c r="L20" i="4"/>
  <c r="K20" i="4"/>
  <c r="J20" i="4"/>
  <c r="I20" i="4"/>
  <c r="M19" i="4"/>
  <c r="L19" i="4"/>
  <c r="K19" i="4"/>
  <c r="J19" i="4"/>
  <c r="I19" i="4"/>
  <c r="M18" i="4"/>
  <c r="L18" i="4"/>
  <c r="K18" i="4"/>
  <c r="J18" i="4"/>
  <c r="I18" i="4"/>
  <c r="I3" i="4"/>
  <c r="J3" i="4"/>
  <c r="K3" i="4"/>
  <c r="L3" i="4"/>
  <c r="M3" i="4"/>
  <c r="I4" i="4"/>
  <c r="J4" i="4"/>
  <c r="K4" i="4"/>
  <c r="L4" i="4"/>
  <c r="M4" i="4"/>
  <c r="I5" i="4"/>
  <c r="J5" i="4"/>
  <c r="K5" i="4"/>
  <c r="L5" i="4"/>
  <c r="M5" i="4"/>
  <c r="I6" i="4"/>
  <c r="J6" i="4"/>
  <c r="K6" i="4"/>
  <c r="L6" i="4"/>
  <c r="M6" i="4"/>
  <c r="I7" i="4"/>
  <c r="J7" i="4"/>
  <c r="K7" i="4"/>
  <c r="L7" i="4"/>
  <c r="M7" i="4"/>
  <c r="I8" i="4"/>
  <c r="J8" i="4"/>
  <c r="K8" i="4"/>
  <c r="L8" i="4"/>
  <c r="M8" i="4"/>
  <c r="I9" i="4"/>
  <c r="J9" i="4"/>
  <c r="K9" i="4"/>
  <c r="L9" i="4"/>
  <c r="M9" i="4"/>
  <c r="I10" i="4"/>
  <c r="J10" i="4"/>
  <c r="K10" i="4"/>
  <c r="L10" i="4"/>
  <c r="M10" i="4"/>
  <c r="I11" i="4"/>
  <c r="J11" i="4"/>
  <c r="K11" i="4"/>
  <c r="L11" i="4"/>
  <c r="M11" i="4"/>
  <c r="I12" i="4"/>
  <c r="J12" i="4"/>
  <c r="K12" i="4"/>
  <c r="L12" i="4"/>
  <c r="M12" i="4"/>
  <c r="I13" i="4"/>
  <c r="J13" i="4"/>
  <c r="K13" i="4"/>
  <c r="L13" i="4"/>
  <c r="M13" i="4"/>
  <c r="I14" i="4"/>
  <c r="J14" i="4"/>
  <c r="K14" i="4"/>
  <c r="L14" i="4"/>
  <c r="M14" i="4"/>
  <c r="I15" i="4"/>
  <c r="J15" i="4"/>
  <c r="K15" i="4"/>
  <c r="L15" i="4"/>
  <c r="M15" i="4"/>
  <c r="I16" i="4"/>
  <c r="J16" i="4"/>
  <c r="K16" i="4"/>
  <c r="L16" i="4"/>
  <c r="M16" i="4"/>
  <c r="M2" i="4"/>
  <c r="L2" i="4"/>
  <c r="K2" i="4"/>
  <c r="J2" i="4"/>
  <c r="I2" i="4"/>
  <c r="M77" i="3"/>
  <c r="L77" i="3"/>
  <c r="K77" i="3"/>
  <c r="J77" i="3"/>
  <c r="I77" i="3"/>
  <c r="M76" i="3"/>
  <c r="L76" i="3"/>
  <c r="K76" i="3"/>
  <c r="J76" i="3"/>
  <c r="I76" i="3"/>
  <c r="M75" i="3"/>
  <c r="L75" i="3"/>
  <c r="K75" i="3"/>
  <c r="J75" i="3"/>
  <c r="I75" i="3"/>
  <c r="M74" i="3"/>
  <c r="L74" i="3"/>
  <c r="K74" i="3"/>
  <c r="J74" i="3"/>
  <c r="I74" i="3"/>
  <c r="M73" i="3"/>
  <c r="L73" i="3"/>
  <c r="K73" i="3"/>
  <c r="J73" i="3"/>
  <c r="I73" i="3"/>
  <c r="M72" i="3"/>
  <c r="L72" i="3"/>
  <c r="K72" i="3"/>
  <c r="J72" i="3"/>
  <c r="I72" i="3"/>
  <c r="M71" i="3"/>
  <c r="L71" i="3"/>
  <c r="K71" i="3"/>
  <c r="J71" i="3"/>
  <c r="I71" i="3"/>
  <c r="M70" i="3"/>
  <c r="L70" i="3"/>
  <c r="K70" i="3"/>
  <c r="J70" i="3"/>
  <c r="I70" i="3"/>
  <c r="M69" i="3"/>
  <c r="L69" i="3"/>
  <c r="K69" i="3"/>
  <c r="J69" i="3"/>
  <c r="I69" i="3"/>
  <c r="M68" i="3"/>
  <c r="L68" i="3"/>
  <c r="K68" i="3"/>
  <c r="J68" i="3"/>
  <c r="I68" i="3"/>
  <c r="M67" i="3"/>
  <c r="L67" i="3"/>
  <c r="K67" i="3"/>
  <c r="J67" i="3"/>
  <c r="I67" i="3"/>
  <c r="M66" i="3"/>
  <c r="L66" i="3"/>
  <c r="K66" i="3"/>
  <c r="J66" i="3"/>
  <c r="I66" i="3"/>
  <c r="M65" i="3"/>
  <c r="L65" i="3"/>
  <c r="K65" i="3"/>
  <c r="J65" i="3"/>
  <c r="I65" i="3"/>
  <c r="M64" i="3"/>
  <c r="L64" i="3"/>
  <c r="K64" i="3"/>
  <c r="J64" i="3"/>
  <c r="I64" i="3"/>
  <c r="M63" i="3"/>
  <c r="L63" i="3"/>
  <c r="K63" i="3"/>
  <c r="J63" i="3"/>
  <c r="I63" i="3"/>
  <c r="M62" i="3"/>
  <c r="L62" i="3"/>
  <c r="K62" i="3"/>
  <c r="J62" i="3"/>
  <c r="I62" i="3"/>
  <c r="M61" i="3"/>
  <c r="L61" i="3"/>
  <c r="K61" i="3"/>
  <c r="J61" i="3"/>
  <c r="I61" i="3"/>
  <c r="M60" i="3"/>
  <c r="L60" i="3"/>
  <c r="K60" i="3"/>
  <c r="J60" i="3"/>
  <c r="I60" i="3"/>
  <c r="M58" i="3"/>
  <c r="L58" i="3"/>
  <c r="K58" i="3"/>
  <c r="J58" i="3"/>
  <c r="I58" i="3"/>
  <c r="M57" i="3"/>
  <c r="L57" i="3"/>
  <c r="K57" i="3"/>
  <c r="J57" i="3"/>
  <c r="I57" i="3"/>
  <c r="M56" i="3"/>
  <c r="L56" i="3"/>
  <c r="K56" i="3"/>
  <c r="J56" i="3"/>
  <c r="I56" i="3"/>
  <c r="M54" i="3"/>
  <c r="L54" i="3"/>
  <c r="K54" i="3"/>
  <c r="J54" i="3"/>
  <c r="I54" i="3"/>
  <c r="M53" i="3"/>
  <c r="L53" i="3"/>
  <c r="K53" i="3"/>
  <c r="J53" i="3"/>
  <c r="I53" i="3"/>
  <c r="M52" i="3"/>
  <c r="L52" i="3"/>
  <c r="K52" i="3"/>
  <c r="J52" i="3"/>
  <c r="I52" i="3"/>
  <c r="M51" i="3"/>
  <c r="L51" i="3"/>
  <c r="K51" i="3"/>
  <c r="J51" i="3"/>
  <c r="I51" i="3"/>
  <c r="M49" i="3"/>
  <c r="L49" i="3"/>
  <c r="K49" i="3"/>
  <c r="J49" i="3"/>
  <c r="I49" i="3"/>
  <c r="M48" i="3"/>
  <c r="L48" i="3"/>
  <c r="K48" i="3"/>
  <c r="J48" i="3"/>
  <c r="I48" i="3"/>
  <c r="M47" i="3"/>
  <c r="L47" i="3"/>
  <c r="K47" i="3"/>
  <c r="J47" i="3"/>
  <c r="I47" i="3"/>
  <c r="M45" i="2"/>
  <c r="L45" i="2"/>
  <c r="K45" i="2"/>
  <c r="J45" i="2"/>
  <c r="I45" i="2"/>
  <c r="M42" i="3"/>
  <c r="L42" i="3"/>
  <c r="K42" i="3"/>
  <c r="J42" i="3"/>
  <c r="I42" i="3"/>
  <c r="M40" i="3"/>
  <c r="L40" i="3"/>
  <c r="K40" i="3"/>
  <c r="J40" i="3"/>
  <c r="I40" i="3"/>
  <c r="M39" i="3"/>
  <c r="L39" i="3"/>
  <c r="K39" i="3"/>
  <c r="J39" i="3"/>
  <c r="I39" i="3"/>
  <c r="M38" i="3"/>
  <c r="L38" i="3"/>
  <c r="K38" i="3"/>
  <c r="J38" i="3"/>
  <c r="I38" i="3"/>
  <c r="M37" i="3"/>
  <c r="L37" i="3"/>
  <c r="K37" i="3"/>
  <c r="J37" i="3"/>
  <c r="I37" i="3"/>
  <c r="M36" i="3"/>
  <c r="L36" i="3"/>
  <c r="K36" i="3"/>
  <c r="J36" i="3"/>
  <c r="I36" i="3"/>
  <c r="M35" i="3"/>
  <c r="L35" i="3"/>
  <c r="K35" i="3"/>
  <c r="J35" i="3"/>
  <c r="I35" i="3"/>
  <c r="M34" i="3"/>
  <c r="L34" i="3"/>
  <c r="K34" i="3"/>
  <c r="J34" i="3"/>
  <c r="I34" i="3"/>
  <c r="I33" i="3"/>
  <c r="M33" i="3"/>
  <c r="L33" i="3"/>
  <c r="K33" i="3"/>
  <c r="J33" i="3"/>
  <c r="M32" i="3"/>
  <c r="L32" i="3"/>
  <c r="K32" i="3"/>
  <c r="J32" i="3"/>
  <c r="I32" i="3"/>
  <c r="M31" i="3"/>
  <c r="L31" i="3"/>
  <c r="K31" i="3"/>
  <c r="J31" i="3"/>
  <c r="I31" i="3"/>
  <c r="M30" i="3"/>
  <c r="L30" i="3"/>
  <c r="K30" i="3"/>
  <c r="J30" i="3"/>
  <c r="I30" i="3"/>
  <c r="M29" i="3"/>
  <c r="L29" i="3"/>
  <c r="K29" i="3"/>
  <c r="J29" i="3"/>
  <c r="I29" i="3"/>
  <c r="M28" i="3"/>
  <c r="L28" i="3"/>
  <c r="K28" i="3"/>
  <c r="J28" i="3"/>
  <c r="I28" i="3"/>
  <c r="M27" i="3"/>
  <c r="L27" i="3"/>
  <c r="K27" i="3"/>
  <c r="J27" i="3"/>
  <c r="I27" i="3"/>
  <c r="M26" i="3"/>
  <c r="L26" i="3"/>
  <c r="K26" i="3"/>
  <c r="J26" i="3"/>
  <c r="I26" i="3"/>
  <c r="M25" i="3"/>
  <c r="L25" i="3"/>
  <c r="K25" i="3"/>
  <c r="J25" i="3"/>
  <c r="I25" i="3"/>
  <c r="M24" i="3"/>
  <c r="L24" i="3"/>
  <c r="K24" i="3"/>
  <c r="J24" i="3"/>
  <c r="I24" i="3"/>
  <c r="M23" i="3"/>
  <c r="L23" i="3"/>
  <c r="K23" i="3"/>
  <c r="J23" i="3"/>
  <c r="I23" i="3"/>
  <c r="M22" i="3"/>
  <c r="L22" i="3"/>
  <c r="K22" i="3"/>
  <c r="J22" i="3"/>
  <c r="I22" i="3"/>
  <c r="M21" i="3"/>
  <c r="L21" i="3"/>
  <c r="K21" i="3"/>
  <c r="J21" i="3"/>
  <c r="I21" i="3"/>
  <c r="M20" i="3"/>
  <c r="L20" i="3"/>
  <c r="K20" i="3"/>
  <c r="J20" i="3"/>
  <c r="I20" i="3"/>
  <c r="M19" i="3"/>
  <c r="L19" i="3"/>
  <c r="K19" i="3"/>
  <c r="J19" i="3"/>
  <c r="I19" i="3"/>
  <c r="M18" i="3"/>
  <c r="L18" i="3"/>
  <c r="K18" i="3"/>
  <c r="J18" i="3"/>
  <c r="I18" i="3"/>
  <c r="L15" i="3"/>
  <c r="M16" i="3"/>
  <c r="L16" i="3"/>
  <c r="K16" i="3"/>
  <c r="J16" i="3"/>
  <c r="I16" i="3"/>
  <c r="M15" i="3"/>
  <c r="K15" i="3"/>
  <c r="J15" i="3"/>
  <c r="I15" i="3"/>
  <c r="M13" i="3"/>
  <c r="L13" i="3"/>
  <c r="K13" i="3"/>
  <c r="J13" i="3"/>
  <c r="I13" i="3"/>
  <c r="M12" i="3"/>
  <c r="L12" i="3"/>
  <c r="K12" i="3"/>
  <c r="J12" i="3"/>
  <c r="I12" i="3"/>
  <c r="M11" i="3"/>
  <c r="L11" i="3"/>
  <c r="K11" i="3"/>
  <c r="J11" i="3"/>
  <c r="I11" i="3"/>
  <c r="M10" i="3"/>
  <c r="L10" i="3"/>
  <c r="K10" i="3"/>
  <c r="J10" i="3"/>
  <c r="I10" i="3"/>
  <c r="M9" i="3"/>
  <c r="L9" i="3"/>
  <c r="K9" i="3"/>
  <c r="J9" i="3"/>
  <c r="I9" i="3"/>
  <c r="M7" i="3"/>
  <c r="L7" i="3"/>
  <c r="K7" i="3"/>
  <c r="J7" i="3"/>
  <c r="I7" i="3"/>
  <c r="M6" i="3"/>
  <c r="L6" i="3"/>
  <c r="K6" i="3"/>
  <c r="J6" i="3"/>
  <c r="I6" i="3"/>
  <c r="M5" i="3"/>
  <c r="L5" i="3"/>
  <c r="K5" i="3"/>
  <c r="J5" i="3"/>
  <c r="I5" i="3"/>
  <c r="M4" i="3"/>
  <c r="L4" i="3"/>
  <c r="K4" i="3"/>
  <c r="J4" i="3"/>
  <c r="I4" i="3"/>
  <c r="M3" i="3"/>
  <c r="L3" i="3"/>
  <c r="K3" i="3"/>
  <c r="J3" i="3"/>
  <c r="I3" i="3"/>
  <c r="M2" i="3"/>
  <c r="L2" i="3"/>
  <c r="K2" i="3"/>
  <c r="J2" i="3"/>
  <c r="I2" i="3"/>
  <c r="M75" i="2"/>
  <c r="L75" i="2"/>
  <c r="K75" i="2"/>
  <c r="J75" i="2"/>
  <c r="I75" i="2"/>
  <c r="M74" i="2"/>
  <c r="L74" i="2"/>
  <c r="K74" i="2"/>
  <c r="J74" i="2"/>
  <c r="I74" i="2"/>
  <c r="M73" i="2"/>
  <c r="L73" i="2"/>
  <c r="K73" i="2"/>
  <c r="J73" i="2"/>
  <c r="I73" i="2"/>
  <c r="M72" i="2"/>
  <c r="L72" i="2"/>
  <c r="K72" i="2"/>
  <c r="J72" i="2"/>
  <c r="I72" i="2"/>
  <c r="M71" i="2"/>
  <c r="L71" i="2"/>
  <c r="K71" i="2"/>
  <c r="J71" i="2"/>
  <c r="I71" i="2"/>
  <c r="M70" i="2"/>
  <c r="L70" i="2"/>
  <c r="K70" i="2"/>
  <c r="J70" i="2"/>
  <c r="I70" i="2"/>
  <c r="M69" i="2"/>
  <c r="L69" i="2"/>
  <c r="K69" i="2"/>
  <c r="J69" i="2"/>
  <c r="I69" i="2"/>
  <c r="M67" i="2"/>
  <c r="L67" i="2"/>
  <c r="K67" i="2"/>
  <c r="J67" i="2"/>
  <c r="I67" i="2"/>
  <c r="M66" i="2"/>
  <c r="L66" i="2"/>
  <c r="K66" i="2"/>
  <c r="J66" i="2"/>
  <c r="I66" i="2"/>
  <c r="M65" i="2"/>
  <c r="L65" i="2"/>
  <c r="K65" i="2"/>
  <c r="J65" i="2"/>
  <c r="I65" i="2"/>
  <c r="M64" i="2"/>
  <c r="L64" i="2"/>
  <c r="K64" i="2"/>
  <c r="J64" i="2"/>
  <c r="I64" i="2"/>
  <c r="M63" i="2"/>
  <c r="L63" i="2"/>
  <c r="K63" i="2"/>
  <c r="J63" i="2"/>
  <c r="I63" i="2"/>
  <c r="M62" i="2"/>
  <c r="L62" i="2"/>
  <c r="K62" i="2"/>
  <c r="J62" i="2"/>
  <c r="I62" i="2"/>
  <c r="M61" i="2"/>
  <c r="L61" i="2"/>
  <c r="K61" i="2"/>
  <c r="J61" i="2"/>
  <c r="I61" i="2"/>
  <c r="M60" i="2"/>
  <c r="L60" i="2"/>
  <c r="K60" i="2"/>
  <c r="J60" i="2"/>
  <c r="I60" i="2"/>
  <c r="M59" i="2"/>
  <c r="L59" i="2"/>
  <c r="K59" i="2"/>
  <c r="J59" i="2"/>
  <c r="I59" i="2"/>
  <c r="M57" i="2"/>
  <c r="L57" i="2"/>
  <c r="K57" i="2"/>
  <c r="J57" i="2"/>
  <c r="I57" i="2"/>
  <c r="M56" i="2"/>
  <c r="L56" i="2"/>
  <c r="K56" i="2"/>
  <c r="J56" i="2"/>
  <c r="I56" i="2"/>
  <c r="M55" i="2"/>
  <c r="L55" i="2"/>
  <c r="K55" i="2"/>
  <c r="J55" i="2"/>
  <c r="I55" i="2"/>
  <c r="M54" i="2"/>
  <c r="L54" i="2"/>
  <c r="K54" i="2"/>
  <c r="J54" i="2"/>
  <c r="I54" i="2"/>
  <c r="M53" i="2"/>
  <c r="L53" i="2"/>
  <c r="K53" i="2"/>
  <c r="J53" i="2"/>
  <c r="I53" i="2"/>
  <c r="M52" i="2"/>
  <c r="L52" i="2"/>
  <c r="K52" i="2"/>
  <c r="J52" i="2"/>
  <c r="I52" i="2"/>
  <c r="M51" i="2"/>
  <c r="L51" i="2"/>
  <c r="K51" i="2"/>
  <c r="J51" i="2"/>
  <c r="I51" i="2"/>
  <c r="M50" i="2"/>
  <c r="L50" i="2"/>
  <c r="K50" i="2"/>
  <c r="J50" i="2"/>
  <c r="I50" i="2"/>
  <c r="M49" i="2"/>
  <c r="L49" i="2"/>
  <c r="K49" i="2"/>
  <c r="J49" i="2"/>
  <c r="I49" i="2"/>
  <c r="J46" i="2"/>
  <c r="K46" i="2"/>
  <c r="L46" i="2"/>
  <c r="M46" i="2"/>
  <c r="J47" i="2"/>
  <c r="K47" i="2"/>
  <c r="L47" i="2"/>
  <c r="M47" i="2"/>
  <c r="I46" i="2"/>
  <c r="I47" i="2"/>
  <c r="J40" i="2"/>
  <c r="K40" i="2"/>
  <c r="L40" i="2"/>
  <c r="M40" i="2"/>
  <c r="J41" i="2"/>
  <c r="K41" i="2"/>
  <c r="L41" i="2"/>
  <c r="M41" i="2"/>
  <c r="J42" i="2"/>
  <c r="K42" i="2"/>
  <c r="L42" i="2"/>
  <c r="M42" i="2"/>
  <c r="J43" i="2"/>
  <c r="K43" i="2"/>
  <c r="L43" i="2"/>
  <c r="M43" i="2"/>
  <c r="I41" i="2"/>
  <c r="I42" i="2"/>
  <c r="I43" i="2"/>
  <c r="I40" i="2"/>
  <c r="J26" i="2"/>
  <c r="K26" i="2"/>
  <c r="L26" i="2"/>
  <c r="M26" i="2"/>
  <c r="J27" i="2"/>
  <c r="K27" i="2"/>
  <c r="L27" i="2"/>
  <c r="M27" i="2"/>
  <c r="J28" i="2"/>
  <c r="K28" i="2"/>
  <c r="L28" i="2"/>
  <c r="M28" i="2"/>
  <c r="J29" i="2"/>
  <c r="K29" i="2"/>
  <c r="L29" i="2"/>
  <c r="M29" i="2"/>
  <c r="J30" i="2"/>
  <c r="K30" i="2"/>
  <c r="L30" i="2"/>
  <c r="M30" i="2"/>
  <c r="J31" i="2"/>
  <c r="K31" i="2"/>
  <c r="L31" i="2"/>
  <c r="M31" i="2"/>
  <c r="J32" i="2"/>
  <c r="K32" i="2"/>
  <c r="L32" i="2"/>
  <c r="M32" i="2"/>
  <c r="J33" i="2"/>
  <c r="K33" i="2"/>
  <c r="L33" i="2"/>
  <c r="M33" i="2"/>
  <c r="J34" i="2"/>
  <c r="K34" i="2"/>
  <c r="L34" i="2"/>
  <c r="M34" i="2"/>
  <c r="J35" i="2"/>
  <c r="K35" i="2"/>
  <c r="L35" i="2"/>
  <c r="M35" i="2"/>
  <c r="J36" i="2"/>
  <c r="K36" i="2"/>
  <c r="L36" i="2"/>
  <c r="M36" i="2"/>
  <c r="J37" i="2"/>
  <c r="K37" i="2"/>
  <c r="L37" i="2"/>
  <c r="M37" i="2"/>
  <c r="J38" i="2"/>
  <c r="K38" i="2"/>
  <c r="L38" i="2"/>
  <c r="M38" i="2"/>
  <c r="I27" i="2"/>
  <c r="I28" i="2"/>
  <c r="I29" i="2"/>
  <c r="I30" i="2"/>
  <c r="I31" i="2"/>
  <c r="I32" i="2"/>
  <c r="I33" i="2"/>
  <c r="I34" i="2"/>
  <c r="I35" i="2"/>
  <c r="I36" i="2"/>
  <c r="I37" i="2"/>
  <c r="I38" i="2"/>
  <c r="I26" i="2"/>
  <c r="M25" i="2"/>
  <c r="L25" i="2"/>
  <c r="K25" i="2"/>
  <c r="J25" i="2"/>
  <c r="I25" i="2"/>
  <c r="M24" i="2"/>
  <c r="L24" i="2"/>
  <c r="K24" i="2"/>
  <c r="J24" i="2"/>
  <c r="I24" i="2"/>
  <c r="M23" i="2"/>
  <c r="L23" i="2"/>
  <c r="K23" i="2"/>
  <c r="J23" i="2"/>
  <c r="I23" i="2"/>
  <c r="M22" i="2"/>
  <c r="L22" i="2"/>
  <c r="K22" i="2"/>
  <c r="J22" i="2"/>
  <c r="I22" i="2"/>
  <c r="M21" i="2"/>
  <c r="L21" i="2"/>
  <c r="K21" i="2"/>
  <c r="J21" i="2"/>
  <c r="I21" i="2"/>
  <c r="M20" i="2"/>
  <c r="L20" i="2"/>
  <c r="K20" i="2"/>
  <c r="J20" i="2"/>
  <c r="I20" i="2"/>
  <c r="M19" i="2"/>
  <c r="L19" i="2"/>
  <c r="K19" i="2"/>
  <c r="J19" i="2"/>
  <c r="I19" i="2"/>
  <c r="M18" i="2"/>
  <c r="L18" i="2"/>
  <c r="K18" i="2"/>
  <c r="J18" i="2"/>
  <c r="I18" i="2"/>
  <c r="M17" i="2"/>
  <c r="L17" i="2"/>
  <c r="K17" i="2"/>
  <c r="J17" i="2"/>
  <c r="I17" i="2"/>
  <c r="M16" i="2"/>
  <c r="L16" i="2"/>
  <c r="K16" i="2"/>
  <c r="J16" i="2"/>
  <c r="I16" i="2"/>
  <c r="M15" i="2"/>
  <c r="L15" i="2"/>
  <c r="K15" i="2"/>
  <c r="J15" i="2"/>
  <c r="I15" i="2"/>
  <c r="M14" i="2"/>
  <c r="L14" i="2"/>
  <c r="K14" i="2"/>
  <c r="J14" i="2"/>
  <c r="I14" i="2"/>
  <c r="M13" i="2"/>
  <c r="L13" i="2"/>
  <c r="K13" i="2"/>
  <c r="J13" i="2"/>
  <c r="I13" i="2"/>
  <c r="M12" i="2"/>
  <c r="L12" i="2"/>
  <c r="K12" i="2"/>
  <c r="J12" i="2"/>
  <c r="I12" i="2"/>
  <c r="M11" i="2"/>
  <c r="L11" i="2"/>
  <c r="K11" i="2"/>
  <c r="J11" i="2"/>
  <c r="I11" i="2"/>
  <c r="J2" i="2"/>
  <c r="K2" i="2"/>
  <c r="L2" i="2"/>
  <c r="M2" i="2"/>
  <c r="J3" i="2"/>
  <c r="K3" i="2"/>
  <c r="L3" i="2"/>
  <c r="M3" i="2"/>
  <c r="J4" i="2"/>
  <c r="K4" i="2"/>
  <c r="L4" i="2"/>
  <c r="M4" i="2"/>
  <c r="J5" i="2"/>
  <c r="K5" i="2"/>
  <c r="L5" i="2"/>
  <c r="M5" i="2"/>
  <c r="J6" i="2"/>
  <c r="K6" i="2"/>
  <c r="L6" i="2"/>
  <c r="M6" i="2"/>
  <c r="J7" i="2"/>
  <c r="K7" i="2"/>
  <c r="L7" i="2"/>
  <c r="M7" i="2"/>
  <c r="J8" i="2"/>
  <c r="K8" i="2"/>
  <c r="L8" i="2"/>
  <c r="M8" i="2"/>
  <c r="J9" i="2"/>
  <c r="K9" i="2"/>
  <c r="L9" i="2"/>
  <c r="M9" i="2"/>
  <c r="I3" i="2"/>
  <c r="I4" i="2"/>
  <c r="I5" i="2"/>
  <c r="I6" i="2"/>
  <c r="I7" i="2"/>
  <c r="I8" i="2"/>
  <c r="I9" i="2"/>
  <c r="I2" i="2"/>
  <c r="M45" i="3" a="1"/>
  <c r="M45" i="3" s="1"/>
  <c r="L45" i="3" a="1"/>
  <c r="L45" i="3" s="1"/>
  <c r="K45" i="3"/>
  <c r="J45" i="3"/>
  <c r="I45" i="3"/>
  <c r="M44" i="3" a="1"/>
  <c r="M44" i="3" s="1"/>
  <c r="L44" i="3" a="1"/>
  <c r="L44" i="3" s="1"/>
  <c r="K44" i="3"/>
  <c r="J44" i="3"/>
  <c r="I44" i="3"/>
  <c r="M43" i="3" a="1"/>
  <c r="M43" i="3" s="1"/>
  <c r="L43" i="3" a="1"/>
  <c r="L43" i="3" s="1"/>
  <c r="K43" i="3"/>
  <c r="J43" i="3"/>
  <c r="I4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54" authorId="0" shapeId="0" xr:uid="{00000000-0006-0000-0800-000001000000}">
      <text>
        <r>
          <rPr>
            <sz val="11"/>
            <color theme="1"/>
            <rFont val="Calibri"/>
            <family val="2"/>
            <scheme val="minor"/>
          </rPr>
          <t>======
ID#AAAB3tNDM9g
cmuh    (2024-10-22 15:56:02)
4分
畫出此海岸0 T 到3 T 期間，最符合上
述地體抬升情形之累積高程（縱軸）隨時間（橫軸）的變化圖（2 分）。注意：由大地震
引起的快速抬升，和緩慢抬升是有所不同的。並列式計算此海岸0 T 到3 T 期間的平均抬升
速率（單位為mm/年，計算至小數點第一位）（2 分）。</t>
        </r>
      </text>
    </comment>
  </commentList>
  <extLst>
    <ext xmlns:r="http://schemas.openxmlformats.org/officeDocument/2006/relationships" uri="GoogleSheetsCustomDataVersion2">
      <go:sheetsCustomData xmlns:go="http://customooxmlschemas.google.com/" r:id="rId1" roundtripDataSignature="AMtx7mj4bpoSXltDPyyiWtuJEVr4POWWZQ=="/>
    </ext>
  </extLst>
</comments>
</file>

<file path=xl/sharedStrings.xml><?xml version="1.0" encoding="utf-8"?>
<sst xmlns="http://schemas.openxmlformats.org/spreadsheetml/2006/main" count="5115" uniqueCount="930">
  <si>
    <t>GPT-4o</t>
  </si>
  <si>
    <t>o1-preview</t>
  </si>
  <si>
    <t>o1-mini</t>
  </si>
  <si>
    <t>Gemini 3 Flash (Thinking Mode)</t>
  </si>
  <si>
    <t>2015_Questions</t>
  </si>
  <si>
    <t>Question Type</t>
  </si>
  <si>
    <t>Answer Key</t>
  </si>
  <si>
    <t>GPT-5.4_Thinking</t>
  </si>
  <si>
    <t>GPT-4o_Score</t>
  </si>
  <si>
    <t>o1-preview_Score</t>
  </si>
  <si>
    <t>o1-mini_Score</t>
  </si>
  <si>
    <t>GPT-5.4_Thinking_Score</t>
  </si>
  <si>
    <t>Gemini 3 Flash (Thinking Mode)_Score</t>
  </si>
  <si>
    <t xml:space="preserve">1. 下列何者為能量的單位？
(A): kg·m
(B)kg·m/s²
(C)kg·m²/s²
(D)kg·m/s
(E)kg·m²/s
</t>
  </si>
  <si>
    <t>C</t>
  </si>
  <si>
    <t>2. 某生靜坐在樹幹筆直的果樹下，觀測以下（I)至（Ⅳ)四者的高度隨時間變化的情況： （Ⅰ)樹幹上的凹洞 （Ⅱ)從樹下沿樹幹等速向上爬行的松鼠 （Ⅲ)樹上落下的果實 （Ⅳ)從樹上起飛且越飛越高的小鳥 該生將各運動簡化為質點運動，並以質點距地面的高度為縱坐標，時間為橫坐標，繪製高度對時間的關係圖，如圖1所示。
這張圖展示了不同物體在時間和高度上的變化。根據圖中的曲線，可以描述各條線代表的情況：
甲（虛線)：代表物體高度隨時間逐漸增加，呈現加速上升的趨勢。
乙（虛線+點線)：高度隨時間以穩定速度上升。
丙（實線)：物體保持在同一高度，隨時間不變，表示沒有垂直位移。
丁（虛線)：高度隨時間逐漸下降。
關於圖線（甲)至（丁)與（Ⅰ)至（Ⅳ)四者的高度隨時間變化的對應關係，下列選項何者最可能？
情境（A)：甲:I，乙:Ⅱ，丙:Ⅲ，丁:Ⅳ
情境（B)：乙:I，甲:Ⅱ，丁:Ⅲ，丙:Ⅳ
情境（C)：丙:I，丁:Ⅱ，乙:Ⅲ，甲:Ⅳ
情境（D)：丁:I，丙:Ⅱ，甲:Ⅲ，乙:Ⅳ
情境（E)：丙:I，乙:Ⅱ，丁:Ⅲ，甲:Ⅳ</t>
  </si>
  <si>
    <t>Figure</t>
  </si>
  <si>
    <t>E</t>
  </si>
  <si>
    <t>3.已知空氣中的光速
{
  "equation": "c = 3.0 × 10^8 m/s"
}
。若某一手機採用通訊頻率1.9GHz，則此手機發出的電磁波，在空氣中的波長約為多少m？ （A) 1.6        （B) 1.0        （C) 0.33        （D) 0.16        （E) 0.10</t>
  </si>
  <si>
    <t>D</t>
  </si>
  <si>
    <t>4.	有一南北走向且平行水平地面的空中電纜線，原本沒有電流通過。某生將小羅盤平放在此電纜線正下方的地面上，當電纜線內通有由南向北的大電流時，小羅盤磁針N極的指向將如何偏轉？ （A)由北向西偏轉	（B)由北向東偏轉	（C)由南向西偏轉 （D)由南向東偏轉	（E)磁針仍靜止不動</t>
  </si>
  <si>
    <t>A</t>
  </si>
  <si>
    <t>B</t>
  </si>
  <si>
    <t>5.	下列是四個高中生針對宇宙演化概念的敘述，哪幾個學生正確？ 甲：宇宙中大多數的恆星，是在大霹靂時一起誕生 乙：宇宙微波背景輻射比星光還古老 丙：宇宙誕生後，既不膨脹也不收縮 丁：若哈伯定律中的哈伯常數越大，則表示宇宙膨脹越快 （A)僅有甲、乙、丙	（B)僅有甲、丙	（C)僅有甲、丁 （D)僅有乙、丁	（E)僅有丁</t>
  </si>
  <si>
    <t>6.在一個密閉的容器中，含有甲烷1.6克和氧氣8.0克。燃燒反應完全後，則容器中所含的分子總莫耳數為何？ （A) 0.20        （B) 0.25        （C) 0.30        （D) 0.35        （E) 0.40</t>
  </si>
  <si>
    <t>7. 下列反應，哪一項化學變化屬於氧化還原反應？ （A)鉛蓄電池的放電反應 （B)加熱氯化銨與氫氧化鈣混合物產生氨氣 （C)在高溫下，碳酸鈣分解產生氧化鈣與二氧化碳 （D)硝酸銀水溶液與溴化鉀水溶液混合產生溴化銀沉澱 （E)將濃硫酸緩慢加入氯化鈉粉末，產生的氣體經乾燥後得氯化氫，及留於溶液中的硫酸鈉或硫酸氫鈉</t>
  </si>
  <si>
    <t xml:space="preserve">8. 下列哪一種容器較適合用來測量酸鹼中和之反應熱？ （A)玻璃燒杯        （B)紙杯        （C)瓷杯        （D)保麗龍杯        （E)不鏽鋼杯 </t>
  </si>
  <si>
    <r>
      <rPr>
        <sz val="11"/>
        <color theme="1"/>
        <rFont val="PMingLiu"/>
        <family val="1"/>
        <charset val="136"/>
      </rPr>
      <t>9-10為題組 濃度均為0.1M的五種水溶液，其溶質為
{
  "compounds": [
    "KI",
    "HCl",
    "BaCl</t>
    </r>
    <r>
      <rPr>
        <sz val="11"/>
        <color theme="1"/>
        <rFont val="Arial"/>
        <family val="2"/>
      </rPr>
      <t>₂",
    "Na₂CO₃",
    "Pb（NO₃)₂"
  ]
}
。這五種溶液彼此間的關係如圖2。
這張圖描述的節點連接情況如下：
節點1和節點4相連，節點1也與節點2相連。
節點2與節點3相連，節點2同時也與節點4相連。
節點3與節點4相連。
節點4再與節點5相連。
圖中每條連線表示兩端的溶液可以發生化學反應，產生沉澱或氣體，均以肉眼就可辨識。請先確定代號1~5是什麼溶液後，回答9與10題。</t>
    </r>
  </si>
  <si>
    <t xml:space="preserve"> </t>
  </si>
  <si>
    <r>
      <rPr>
        <sz val="11"/>
        <color theme="1"/>
        <rFont val="PMingLiu"/>
        <family val="1"/>
        <charset val="136"/>
      </rPr>
      <t>9.	已知與溶液2的反應，可以產生氣體或沉澱，則溶液2的溶質是什麼化合物？ 
{
  "A": "KI",
  "B": "HCl",
  "C": "BaCl</t>
    </r>
    <r>
      <rPr>
        <sz val="11"/>
        <color theme="1"/>
        <rFont val="新細明體"/>
        <family val="1"/>
        <charset val="136"/>
      </rPr>
      <t>₂</t>
    </r>
    <r>
      <rPr>
        <sz val="11"/>
        <color theme="1"/>
        <rFont val="新細明體"/>
        <family val="1"/>
        <charset val="136"/>
      </rPr>
      <t>",
  "D": "Na</t>
    </r>
    <r>
      <rPr>
        <sz val="11"/>
        <color theme="1"/>
        <rFont val="新細明體"/>
        <family val="1"/>
        <charset val="136"/>
      </rPr>
      <t>₂</t>
    </r>
    <r>
      <rPr>
        <sz val="11"/>
        <color theme="1"/>
        <rFont val="新細明體"/>
        <family val="1"/>
        <charset val="136"/>
      </rPr>
      <t>CO</t>
    </r>
    <r>
      <rPr>
        <sz val="11"/>
        <color theme="1"/>
        <rFont val="新細明體"/>
        <family val="1"/>
        <charset val="136"/>
      </rPr>
      <t>₃</t>
    </r>
    <r>
      <rPr>
        <sz val="11"/>
        <color theme="1"/>
        <rFont val="新細明體"/>
        <family val="1"/>
        <charset val="136"/>
      </rPr>
      <t>",
  "E": "Pb（NO</t>
    </r>
    <r>
      <rPr>
        <sz val="11"/>
        <color theme="1"/>
        <rFont val="新細明體"/>
        <family val="1"/>
        <charset val="136"/>
      </rPr>
      <t>₃</t>
    </r>
    <r>
      <rPr>
        <sz val="11"/>
        <color theme="1"/>
        <rFont val="新細明體"/>
        <family val="1"/>
        <charset val="136"/>
      </rPr>
      <t>)</t>
    </r>
    <r>
      <rPr>
        <sz val="11"/>
        <color theme="1"/>
        <rFont val="新細明體"/>
        <family val="1"/>
        <charset val="136"/>
      </rPr>
      <t>₂</t>
    </r>
    <r>
      <rPr>
        <sz val="11"/>
        <color theme="1"/>
        <rFont val="新細明體"/>
        <family val="1"/>
        <charset val="136"/>
      </rPr>
      <t xml:space="preserve">"
}
</t>
    </r>
  </si>
  <si>
    <r>
      <rPr>
        <sz val="11"/>
        <color theme="1"/>
        <rFont val="PMingLiu"/>
        <family val="1"/>
        <charset val="136"/>
      </rPr>
      <t>10.	已知與溶液4的反應皆為沉澱反應，且其中有一種沉澱的顏色為黃色，則溶液4的溶質是什麼化合物？ 
{
  "A": "KI",
  "B": "HCl",
  "C": "BaCl</t>
    </r>
    <r>
      <rPr>
        <sz val="11"/>
        <color theme="1"/>
        <rFont val="新細明體"/>
        <family val="1"/>
        <charset val="136"/>
      </rPr>
      <t>₂</t>
    </r>
    <r>
      <rPr>
        <sz val="11"/>
        <color theme="1"/>
        <rFont val="新細明體"/>
        <family val="1"/>
        <charset val="136"/>
      </rPr>
      <t>",
  "D": "Na</t>
    </r>
    <r>
      <rPr>
        <sz val="11"/>
        <color theme="1"/>
        <rFont val="新細明體"/>
        <family val="1"/>
        <charset val="136"/>
      </rPr>
      <t>₂</t>
    </r>
    <r>
      <rPr>
        <sz val="11"/>
        <color theme="1"/>
        <rFont val="新細明體"/>
        <family val="1"/>
        <charset val="136"/>
      </rPr>
      <t>CO</t>
    </r>
    <r>
      <rPr>
        <sz val="11"/>
        <color theme="1"/>
        <rFont val="新細明體"/>
        <family val="1"/>
        <charset val="136"/>
      </rPr>
      <t>₃</t>
    </r>
    <r>
      <rPr>
        <sz val="11"/>
        <color theme="1"/>
        <rFont val="新細明體"/>
        <family val="1"/>
        <charset val="136"/>
      </rPr>
      <t>",
  "E": "Pb（NO</t>
    </r>
    <r>
      <rPr>
        <sz val="11"/>
        <color theme="1"/>
        <rFont val="新細明體"/>
        <family val="1"/>
        <charset val="136"/>
      </rPr>
      <t>₃</t>
    </r>
    <r>
      <rPr>
        <sz val="11"/>
        <color theme="1"/>
        <rFont val="新細明體"/>
        <family val="1"/>
        <charset val="136"/>
      </rPr>
      <t>)</t>
    </r>
    <r>
      <rPr>
        <sz val="11"/>
        <color theme="1"/>
        <rFont val="新細明體"/>
        <family val="1"/>
        <charset val="136"/>
      </rPr>
      <t>₂</t>
    </r>
    <r>
      <rPr>
        <sz val="11"/>
        <color theme="1"/>
        <rFont val="新細明體"/>
        <family val="1"/>
        <charset val="136"/>
      </rPr>
      <t xml:space="preserve">"
}
</t>
    </r>
  </si>
  <si>
    <r>
      <rPr>
        <sz val="11"/>
        <color theme="1"/>
        <rFont val="PMingLiu"/>
        <family val="1"/>
        <charset val="136"/>
      </rPr>
      <t>11.	已知元素X與Y的相對原子量比為2:1，而由這兩種元素所組成的某一化合物中，X與Y的質量比為1:1，則下列哪一項是該化合物可能的分子式？ 
{
  "A": "XY",
  "B": "XY</t>
    </r>
    <r>
      <rPr>
        <sz val="11"/>
        <color theme="1"/>
        <rFont val="新細明體"/>
        <family val="1"/>
        <charset val="136"/>
      </rPr>
      <t>₂</t>
    </r>
    <r>
      <rPr>
        <sz val="11"/>
        <color theme="1"/>
        <rFont val="新細明體"/>
        <family val="1"/>
        <charset val="136"/>
      </rPr>
      <t>",
  "C": "XY</t>
    </r>
    <r>
      <rPr>
        <sz val="11"/>
        <color theme="1"/>
        <rFont val="新細明體"/>
        <family val="1"/>
        <charset val="136"/>
      </rPr>
      <t>₄</t>
    </r>
    <r>
      <rPr>
        <sz val="11"/>
        <color theme="1"/>
        <rFont val="新細明體"/>
        <family val="1"/>
        <charset val="136"/>
      </rPr>
      <t>",
  "D": "X</t>
    </r>
    <r>
      <rPr>
        <sz val="11"/>
        <color theme="1"/>
        <rFont val="新細明體"/>
        <family val="1"/>
        <charset val="136"/>
      </rPr>
      <t>₄</t>
    </r>
    <r>
      <rPr>
        <sz val="11"/>
        <color theme="1"/>
        <rFont val="新細明體"/>
        <family val="1"/>
        <charset val="136"/>
      </rPr>
      <t>Y",
  "E": "X</t>
    </r>
    <r>
      <rPr>
        <sz val="11"/>
        <color theme="1"/>
        <rFont val="新細明體"/>
        <family val="1"/>
        <charset val="136"/>
      </rPr>
      <t>₂</t>
    </r>
    <r>
      <rPr>
        <sz val="11"/>
        <color theme="1"/>
        <rFont val="新細明體"/>
        <family val="1"/>
        <charset val="136"/>
      </rPr>
      <t xml:space="preserve">Y"
}
</t>
    </r>
  </si>
  <si>
    <r>
      <rPr>
        <sz val="11"/>
        <color theme="1"/>
        <rFont val="PMingLiu"/>
        <family val="1"/>
        <charset val="136"/>
      </rPr>
      <t>12.	一氧化碳和Fe</t>
    </r>
    <r>
      <rPr>
        <sz val="11"/>
        <color theme="1"/>
        <rFont val="新細明體"/>
        <family val="1"/>
        <charset val="136"/>
      </rPr>
      <t>₂</t>
    </r>
    <r>
      <rPr>
        <sz val="11"/>
        <color theme="1"/>
        <rFont val="新細明體"/>
        <family val="1"/>
        <charset val="136"/>
      </rPr>
      <t>O</t>
    </r>
    <r>
      <rPr>
        <sz val="11"/>
        <color theme="1"/>
        <rFont val="新細明體"/>
        <family val="1"/>
        <charset val="136"/>
      </rPr>
      <t>₃</t>
    </r>
    <r>
      <rPr>
        <sz val="11"/>
        <color theme="1"/>
        <rFont val="新細明體"/>
        <family val="1"/>
        <charset val="136"/>
      </rPr>
      <t>的化學反應式如下：3CO（g) + Fe2O3（s) -&gt; 2Fe（s) + 3CO2（g)試由下列三個反應式與赫斯定律，計算上述反應的（kJ)。  
I、 3Fe2O3（s) + CO（g) → 2Fe3O4（s) + CO2（g)   ΔH° = -48.5 kJ
II、 Fe（s) + CO2（g) → FeO（s) + CO（g)          ΔH° = -11.0 kJ
III 、Fe3O4（s) + CO（g) → 3FeO（s) + CO2（g)     ΔH° = 22.0 kJ
下列哪一數值最接近計算的結果？
（A) 10 （B) 21 （C) 42 （D) 63 （E) 84</t>
    </r>
  </si>
  <si>
    <t>13.	下列有關觀察細胞形態的探討活動，何者正確？ （A)在低倍顯微鏡下可觀察到洋蔥表皮細胞的葉綠體隨著細胞質流動 （B)紅血球在高張溶液中會呈現萎縮狀態 （C)植物細胞行有絲分裂會在中央形成向內凹陷狀 （D)洋蔥根尖處可觀察到許多正在進行減數分裂的細胞 （E)人類紅血球置於0.4~0.6% NaCl溶液中，其形態不變</t>
  </si>
  <si>
    <t>Table</t>
  </si>
  <si>
    <t xml:space="preserve">14.	一對小鼠交配生下兩胎共20隻，其中10隻是白色，另10隻是灰色。已知控制小鼠毛色灰色的等位基因G為顯性。這對小鼠最可能的基因型為何？ 
（A) GG╳Gg （B) GG╳ gg （C) Gg ╳Gg （D) Gg ╳gg （E) gg╳gg </t>
  </si>
  <si>
    <t>15.	下列有關觀察染色體的探討活動之描述，何者正確？ （A)以洋蔥表皮做為材料製備玻片，較以洋蔥根尖為佳 （B)觀察染色體的顯微鏡，通常需要毫米級的解剖顯微鏡 （C)過程是先以高倍率物鏡找染色體，再以低倍率計算數目 （D)當染色體位於分裂中細胞的中央時，可觀察到該細胞將形成的細胞板 （E)在染色體分離完成的細胞中可看見細胞板，子細胞染色體套數為2n</t>
  </si>
  <si>
    <t>16.	某一株植物在逆境下產氧量下降時，最可能是細胞中的哪一部位受損？ （A)粒線體內膜	（B)粒線體外膜	（C)粒線體基質 （D)類囊體（葉綠囊)	（E)葉綠體基質</t>
  </si>
  <si>
    <t>17.	達爾文的演化原理中提及：每一族群均有可遺傳的變異，而使個體間的特徵有所不同。下列有關支持此一族群現象的細胞學基礎，何者正確？ （A)有絲分裂時發生染色體突變	（B)有絲分裂時發生染色體重組 （C)減數分裂Ⅰ時發生聯會，染色體互換	（D)減數分裂Ⅱ時發生染色體重組 （E)胚胎發育時發生體細胞傷害</t>
  </si>
  <si>
    <t>18.	因應京都議定書的簽署，已開發國家開始考慮徵收「碳稅」，以管制二氧化碳的排放量。就碳循環的角度而言，京都議定書主要是管制碳在地球系統的四個圈中，哪兩個圈的碳儲量移出與移入？
（A) 碳移出的圈：岩石圈；碳移入的圈：生物圈
（B) 碳移出的圈：水圈；碳移入的圈：岩石圈
（C) 碳移出的圈：氣圈；碳移入的圈：水圈
（D) 碳移出的圈：岩石圈；碳移入的圈：氣圈
（E) 碳移出的圈：氣圈；碳移入的圈：岩石圈</t>
  </si>
  <si>
    <t>19.	地震依據震源深度可分為淺源地震（0至70公里深)、中源地震（70至300公里深)、深源地震（300至700公里深)。地震活動和所在地的板塊構造息息相關，當以板塊構造學說推測隱沒帶（例如印尼)和中洋脊（例如冰島)的地震種類時，下列敘述何者正確？ （A)隱沒帶和中洋脊只有淺源和中源地震 （B)隱沒帶只有淺源地震，中洋脊只有淺源和中源地震 （C)隱沒帶只有淺源地震，中洋脊淺源、中源和深源地震都有 （D)隱沒帶淺源、中源和深源地震都有，中洋脊以淺源地震為主 （E)隱沒帶和中洋脊從淺源到深源地震都有</t>
  </si>
  <si>
    <t>20.	海洋除了可依溫度隨深度的差異加以分層外，也可由密度變化來加以分層。下列各圖是不同海域密度隨深度的變化，其中哪一海域最不容易發生垂直的對流？
（A) 密度從 1025 到 1027 公斤/立方公尺，密度變化發生在大約 200 米到 400 米深度之間，然後密度保持穩定。
（B) 密度從 1025 到 1027 公斤/立方公尺，密度變化發生在大約 0 米到 100 米深度之間，然後密度保持穩定。
（C) 密度從 1025 到 1027 公斤/立方公尺，密度變化發生在大約 600 米到 800 米深度之間，然後密度保持穩定。
（D) 密度從 1025 到 1027 公斤/立方公尺，密度變化發生在大約 1000 米深度之後，之前密度幾乎保持不變。
（E) 密度從 1025 到 1027 公斤/立方公尺，密度變化發生在大約 400 米到 600 米深度之間，然後密度保持穩定。</t>
  </si>
  <si>
    <t>21.	海洋的潮汐運動主要是受到月球影響，配合地球自轉，每天會漲退潮的週期變化。若某地潮汐為半日潮，表示每次平均漲潮時間約為下列何者? （A) 24小時50分	（B) 24小時	（C) 12小時25分 （D) 12小時	（E) 6小時12.5分</t>
  </si>
  <si>
    <t>22.	圖3為大西洋上颶風軌跡（圖上箭頭)示意圖，圖中顯示洋流從美國東南海岸出發，向東北方向流動，經過北美洲東岸和大西洋，然後繼續向東流向歐洲。
洋流的流動方向跨越了大約 30°N 至 60°N 的緯度範圍，並朝向北大西洋流動。這些箭頭代表了大西洋中的暖流，可能對北美洲和歐洲的氣候產生影響。
可發現在赤道附近海域極少有颶風形成，下列哪一選項是主要原因？ （A)海溫太低 （B)氣壓太高 （C)風速太弱 （D)科氏力太小 （E)對流不夠強</t>
  </si>
  <si>
    <t xml:space="preserve">23.	鋒面是兩種不同性質氣團的交界面，可分類為表1中甲、乙、丙、丁四種，哪一選項的鋒面一般不會經過臺灣？ 
甲：波形是圓形波峰和波谷，呈現一系列的圓弧形波浪。
乙：波形是尖銳的倒三角形波峰，呈現一系列向下的尖峰形狀。
丙：波形是尖銳的倒三角形波峰和波谷，呈現一系列交錯的尖峰和谷底。
丁：波形是圓形波峰和尖銳的三角形波谷，波形上下波動的形狀有所不同。
（A) 只有甲 （B) 只有丙 （C) 只有丁 （D) 乙和丙 （E) 甲和丁   </t>
  </si>
  <si>
    <t>24.	海水除了水平方向流動外，也會垂直流動，向上流動稱為湧升流。下列有關湧升流的敘述，哪些正確？（應選3項) （A)垂直流速與水平流速相當 （B)祕魯外海的湧升流有時會伴隨聖嬰現象而消失 （C)通常是受風吹或地形影響而產生 （D)此海域的表層海水通常溫度較高 （E)此海域的表層海水通常有較高的營養鹽</t>
  </si>
  <si>
    <t>BCE</t>
  </si>
  <si>
    <t>25.	表2顯示常見恆星的絕對星等和視星等。
太陽:絕對星等：+4.8、視星等：-26.8
天狼星:絕對星等：+1.4、視星等：-1.5
織女星:絕對星等：+0.6、視星等：0.0
北極星:絕對星等：-4.6、視星等：+2.0
下列敘述哪些正確？（應選2項) （A)織女星的視星等為0，表示我們肉眼看不到織女星 （B)若將此四顆恆星放在相同的距離上，當中以太陽最亮 （C)北極星的視星等比織女星多兩星等，代表北極星的亮度是織女星的四倍 （D)從絕對星等的大小比較，當中以北極星最亮 （E)如果某顆恆星的亮度是北極星的100倍，則該恆星的視星等為</t>
  </si>
  <si>
    <t>DE</t>
  </si>
  <si>
    <t>26.	臺灣因為地質與氣候的特性，使得山區常有山崩、土石流發生，並造成生命財產的損失。下列造成臺灣常有山崩或土石流的可能條件及其原因配對，哪些正確？（應選3項)
（A) 風化嚴重-原因：岩層破碎，提供土石來源
（B) 砂頁岩互層的順向坡，且坡腳被掏除-原因：岩層無坡腳支撐
（C) 豪雨-原因：增加土體重量且減少摩擦力
（D) 氣候乾燥炎熱，地下水面下降太多-原因：因地下水減少，岩層間的摩擦力也變小
（E) 地層年代太古老-原因：地層間的聯結力變弱</t>
  </si>
  <si>
    <t>ABC</t>
  </si>
  <si>
    <r>
      <rPr>
        <sz val="11"/>
        <color theme="1"/>
        <rFont val="PMingLiu"/>
        <family val="1"/>
        <charset val="136"/>
      </rPr>
      <t xml:space="preserve">27.	下列選項中的示意圖，顯示在靜止狀態下，電荷、金屬球、磁鐵之間的交互作用力，圖中各箭號的指向與長度，分別代表受力的方向與量值。若（A)（B)（E)三選項中，兩箭號的長度相等，則哪些圖正確？（應選2項) 
（A) 帶正電點電荷 → 電中性金屬球
（B) 帶正電點電荷 → 帶正電點電荷
（C) 帶正電點電荷 → 帶負電點電荷
（D) 磁鐵 （N、S 極) → 磁鐵 （N、S 極)
（E) 磁鐵 （N、S 極) </t>
    </r>
    <r>
      <rPr>
        <sz val="11"/>
        <color theme="1"/>
        <rFont val="新細明體"/>
        <family val="1"/>
        <charset val="136"/>
      </rPr>
      <t>↔</t>
    </r>
    <r>
      <rPr>
        <sz val="11"/>
        <color theme="1"/>
        <rFont val="新細明體"/>
        <family val="1"/>
        <charset val="136"/>
      </rPr>
      <t xml:space="preserve"> 磁鐵 （N、S 極)</t>
    </r>
  </si>
  <si>
    <t>AE</t>
  </si>
  <si>
    <t>AB</t>
  </si>
  <si>
    <t>BE</t>
  </si>
  <si>
    <t>BC</t>
  </si>
  <si>
    <t>28.	一觀察者觀測比較波源靜止與高速運動時所發出之電磁波的頻率變化，藉以推測波源與觀察者之間的相對運動。已知不同電磁波的頻率由高而低的關係為：紫外線＞紫光＞紅光＞紅外線＞微波＞無線電波。考慮電磁波的都卜勒效應，下列推測哪些正確？（應選2項)
（A) 已知波源靜止時發出的電磁波：微波 | 波源運動時觀察到的電磁波頻率變化：往紅外線區偏移 | 推測波源與觀察者的相對運動：接近。
（B) 已知波源靜止時發出的電磁波：微波 | 波源運動時觀察到的電磁波頻率變化：往無線電波區偏移 | 推測波源與觀察者的相對運動：接近。
（C) 已知波源靜止時發出的電磁波：紫光 | 波源運動時觀察到的電磁波頻率變化：往紫外線區偏移 | 推測波源與觀察者的相對運動：遠離。
（D) 已知波源靜止時發出的電磁波：紫光 | 波源運動時觀察到的電磁波頻率變化：往紅外線區偏移 | 推測波源與觀察者的相對運動：遠離。
（E) 已知波源靜止時發出的電磁波：紅光 | 波源運動時觀察到的電磁波頻率變化：頻率不變 | 推測波源與觀察者的相對運動：接近</t>
  </si>
  <si>
    <t>AD</t>
  </si>
  <si>
    <t>BD</t>
  </si>
  <si>
    <t>29.	下列選項所陳述的事實或現象，哪些與「光電效應」有關？（應選2項) （A)此效應可用愛因斯坦提出的理論解釋 （B)利用靜電感應分離電荷 （C)可驗證光的波粒二象性 （D)雷雨中的閃電現象 （E)蝙蝠捕捉昆蟲</t>
  </si>
  <si>
    <t>AC</t>
  </si>
  <si>
    <t>30.	圖4所示，這是一個展示彈簧-磁鐵系統的示意圖：
左側有一個彈簧，彈簧的右端連接著一個可移動的磁鐵。磁鐵標示了 N 極，並可以沿著水平軌道移動。
磁鐵的移動方向以 X 軸表示，圖中標示了兩個位置：X=0 和 X=Xm。這表示磁鐵可以在這兩個位置之間振動。
中間有一個線圈圍繞著磁鐵。當磁鐵移動時，它可能會影響線圈中的感應電流。
線圈上方有一個燈泡，可能用來指示電流的流動或回路狀況。
一個N極向右的磁鐵置於水平桌面上與彈簧相連。在彈簧為自然長度時，磁鐵的中心位於坐標處，且此處的鉛垂截面上放著一個固定的圓形導體線圈。磁鐵進出線圈時，因電磁感應而出現的電流，會使線圈上的燈泡產生亮暗之變化。如果彈簧從伸長的位置，由靜止狀態釋放，開始來回振動，則下列敘述哪些正確？（應選2項) （A)磁鐵接近線圈時，線圈對磁鐵會產生吸引力 （B)磁鐵接近線圈時，線圈對磁鐵會產生排斥力 （C)磁鐵離開線圈時，線圈對磁鐵會產生排斥力 （D)不論磁鐵離開或接近線圈時，線圈對磁鐵的作用力皆為零 （E)即使桌面無摩擦並忽略空氣阻力，磁鐵振動的幅度仍會持續減小</t>
  </si>
  <si>
    <t>31.	化學實驗課時，林同學將0.05M的稀硫酸50.0毫升緩緩加入於0.10M的氫氧化鈉水溶液50.0毫升中。下列對此實驗的敘述，哪些正確？（應選2項) （A)此反應為放熱反應	（B)此溶液會產生沉澱 （C)混合時會產生酸性氣體	（D)混合溶液中，鈉離子的濃度為0.05M （E)混合溶液中，氫氧根離子的濃度為0.05M</t>
  </si>
  <si>
    <r>
      <rPr>
        <sz val="11"/>
        <color theme="1"/>
        <rFont val="PMingLiu"/>
        <family val="1"/>
        <charset val="136"/>
      </rPr>
      <t>32.	下列有關、和NaCl三種化合物的敘述，哪些正確?（應選3項)
{
  "A": "NaCl為離子化合物",
  "B": "NH</t>
    </r>
    <r>
      <rPr>
        <sz val="11"/>
        <color theme="1"/>
        <rFont val="新細明體"/>
        <family val="1"/>
        <charset val="136"/>
      </rPr>
      <t>₄</t>
    </r>
    <r>
      <rPr>
        <sz val="11"/>
        <color theme="1"/>
        <rFont val="新細明體"/>
        <family val="1"/>
        <charset val="136"/>
      </rPr>
      <t>Cl為分子化合物",
  "C": "Na</t>
    </r>
    <r>
      <rPr>
        <sz val="11"/>
        <color theme="1"/>
        <rFont val="新細明體"/>
        <family val="1"/>
        <charset val="136"/>
      </rPr>
      <t>₂</t>
    </r>
    <r>
      <rPr>
        <sz val="11"/>
        <color theme="1"/>
        <rFont val="新細明體"/>
        <family val="1"/>
        <charset val="136"/>
      </rPr>
      <t>SO</t>
    </r>
    <r>
      <rPr>
        <sz val="11"/>
        <color theme="1"/>
        <rFont val="新細明體"/>
        <family val="1"/>
        <charset val="136"/>
      </rPr>
      <t>₄</t>
    </r>
    <r>
      <rPr>
        <sz val="11"/>
        <color theme="1"/>
        <rFont val="新細明體"/>
        <family val="1"/>
        <charset val="136"/>
      </rPr>
      <t>為離子化合物",
  "D": "NH</t>
    </r>
    <r>
      <rPr>
        <sz val="11"/>
        <color theme="1"/>
        <rFont val="新細明體"/>
        <family val="1"/>
        <charset val="136"/>
      </rPr>
      <t>₄</t>
    </r>
    <r>
      <rPr>
        <sz val="11"/>
        <color theme="1"/>
        <rFont val="新細明體"/>
        <family val="1"/>
        <charset val="136"/>
      </rPr>
      <t>Cl中的氮原子與氫原子之間以共價鍵鍵結",
  "E": "Na</t>
    </r>
    <r>
      <rPr>
        <sz val="11"/>
        <color theme="1"/>
        <rFont val="新細明體"/>
        <family val="1"/>
        <charset val="136"/>
      </rPr>
      <t>₂</t>
    </r>
    <r>
      <rPr>
        <sz val="11"/>
        <color theme="1"/>
        <rFont val="新細明體"/>
        <family val="1"/>
        <charset val="136"/>
      </rPr>
      <t>SO</t>
    </r>
    <r>
      <rPr>
        <sz val="11"/>
        <color theme="1"/>
        <rFont val="新細明體"/>
        <family val="1"/>
        <charset val="136"/>
      </rPr>
      <t>₄</t>
    </r>
    <r>
      <rPr>
        <sz val="11"/>
        <color theme="1"/>
        <rFont val="新細明體"/>
        <family val="1"/>
        <charset val="136"/>
      </rPr>
      <t xml:space="preserve">中的硫原子與氧原子之間以離子鍵鍵結"
}
</t>
    </r>
  </si>
  <si>
    <t>ACD</t>
  </si>
  <si>
    <t>33.	下列哪些是真核細胞的呼吸作用中，有氧呼吸與無氧呼吸的共同特徵？（應選2項) （A)皆會產生ATP	（B)皆有糖解的過程 （C)皆有將丙酮酸還原成乳酸的過程	（D)皆發生在粒線體中 （E)全都會產生酒精</t>
  </si>
  <si>
    <t>34.	下列有關生物學上所發展的演化理論之敘述，哪些正確？（應選2項) （A)神創說（自然神學論、創造論)認為物種皆適應於其生存環境，不隨時間而改變各性狀之特徵 （B)林奈認為物種皆由演化而來，其分類系統中，同科之物種必較同屬相似 （C)拉馬克認為親代及其後代持續鍛鍊某一器官，此器官會發生適應性的改變 （D)魏斯曼以實驗說明：體細胞之性狀發生適應性改變，才會發生演化現象 （E)達爾文發現鷽鳥物種在加拉巴哥群島與同緯度海島不同，與環境有關而與演化無關</t>
  </si>
  <si>
    <t>35.	下列有關核酸的敘述，哪些正確？（應選2項) （A)核酸的單元體是核苷酸 （B)核醣核酸是真核生物的遺傳物質 （C)核酸由C、H、O、N及S等元素組成 （D)核酸有核醣核酸及去氧核醣核酸二種 （E)核酸分子皆由核苷酸鏈構成雙股螺旋結構</t>
  </si>
  <si>
    <t xml:space="preserve">36.	下列哪些現象可在植物細胞行減數分裂Ⅱ時觀察到？（應選3項) （A)中心體複製	（B)染色體聯會	（C)二分體排列於細胞中央（D)中節分裂	（E)細胞板形成  </t>
  </si>
  <si>
    <t>CDE</t>
  </si>
  <si>
    <t>37-40為題組 海洋占地球表面積約71%，是生命的搖籃。海水儲量約為億噸，占地球總水量97%，不僅是寶貴的水資源，也蘊藏著豐富的生物、礦物與能源。已知海水中含有鈾與氘，倘能妥善利用並解決其後續的相關問題，對解決能源問題會有相當大的助益。科學家用聲納探測海洋地形與魚群位置、用溫鹽儀探測海水的溫度與鹽度等。有些國家也正積極進行深層海水利用、海水淡化、潮汐發電、海洋養殖……。 一開始，地球的生物形成後，就在海洋中逐漸發展。海洋環境萬分多樣，扮演保留生物發展的成果，及促其持續演化的場所或棲地的角色。最原始的多樣性形成是由單細胞的細菌和古菌所組成。接著是細胞核的生成，形成真核生物體，於是開啟了真核生物域的大演化。以動物界為例，由最簡單的組織構成多細胞海綿，再逐步形成具有器官及器官系統的複雜生物體。生物體集結成族群，更進而與棲地相依，整合成為生態系。</t>
  </si>
  <si>
    <t>37.	臺灣電力公司曾考慮在臺東沿海抽取六、七百公尺深的海水，做為溫差發電、製造海洋深層水和養殖之用，和表面海水相比，六、七百公尺深海水有哪些性質？（應選3項) （A)水溫較低	（B)鹽類中氯化鈉比例大幅增加	（C)氧含量較高 （D)葉綠素濃度較低	（E)海水密度較大</t>
  </si>
  <si>
    <t>ADE</t>
  </si>
  <si>
    <t>38.	海上靜止的船隻，發出聲波以偵測魚群位置，經過50毫秒測得聲波的回聲訊號，且發現回聲的頻率下降。若當時海中聲波速率為1520公尺/秒，則下列何者為該魚群在反射聲波時，其相對於船隻的距離與運動狀態？ （A)相距38公尺，接近中	（B)相距76公尺，接近中 （C)相距38公尺，遠離中	（D)相距76公尺，遠離中 （E)相距76公尺，相對靜止</t>
  </si>
  <si>
    <r>
      <rPr>
        <sz val="11"/>
        <color theme="1"/>
        <rFont val="PMingLiu"/>
        <family val="1"/>
        <charset val="136"/>
      </rPr>
      <t>39.	下列有關文中提及「鈾與氘」的敘述，哪些正確？（應選2項) 
{
  "A": "臺灣核能發電是利用鈾-235進行核融合反應",
  "B": "核反應遵守質能守恆定律，符合愛因斯坦提出的質能互換關係式",
  "C": "氕（¹H)、氘（²H)、氚（³H)三元素構成為同素異形體",
  "D": "氚（³H)具有1個電子、2個中子",
  "E": "氘與氧形成重水（D</t>
    </r>
    <r>
      <rPr>
        <sz val="11"/>
        <color theme="1"/>
        <rFont val="新細明體"/>
        <family val="1"/>
        <charset val="136"/>
      </rPr>
      <t>₂</t>
    </r>
    <r>
      <rPr>
        <sz val="11"/>
        <color theme="1"/>
        <rFont val="新細明體"/>
        <family val="1"/>
        <charset val="136"/>
      </rPr>
      <t xml:space="preserve">O)，化學性質與水相似"
}
</t>
    </r>
  </si>
  <si>
    <t xml:space="preserve">40.	下列有關地球生物演化的次序，哪些正確？（應選2項) （A)先發生在海洋，然後到陸地 （B)先生成域，再生成界，最後形成物種 （C)先有原核的細菌及古菌，然後才有真核生物體 （D)生物體先有器官系統以容納各器官及組織 （E)原始細胞生成細胞核後，再演化為細菌及古菌等生物體    </t>
  </si>
  <si>
    <t>41-43為題組
一些常見的纜索在拉力作用的情況下，與彈簧類似。當達成靜力平衡時，其伸長量x會隨著拉力的量值 F而改變。若以 L 與 A分別代表纜索未受拉力時的長度與橫截面積，並令纜索單位長度的伸長量 x/L=S，單位面積所受的拉力 F/A=T 則T對 S 的曲線大致如圖 5 所示。當 T不超過線性上限 T時，以L與 A 為定值，拉力 F 與伸長量x成正比，即 F=kx，其中 k 為力常數。當纜索受到拉力而未斷裂時， Tm 的最大值稱為極限強度，以  表示。表 3 的力常數 k為各類纜索在相同粗細與長度下測得的相對值，而 k 則為尼龍纜的力常數。至於 T則僅僅與材質有關，纜索與纜索相粗細無關；在表 3 中 MPa 代表 10^6 牛頓/平方公尺。試依據上述文字與相關圖表，回答第 41-43 題。
這是一張應力-應變圖，展示材料在受力過程中的應力與應變關係：
橫軸（s = x/L)：表示應變，是材料變形的相對長度變化（伸長量與原始長度之比)。
縱軸（T = F/A)：表示應力，是施加在材料上的力（F)除以材料的橫截面積（A)。
圖中包含以下重要特徵：
線性上限 T₁：圖中顯示在應變曲線的初始部分，應力和應變呈現線性關係，這稱為材料的線性彈性區域。當應力超過線性上限 T₁ 時，材料進入非線性區域。
極限強度 Tₘₐₓ：在應變曲線的高點，對應的是材料的極限強度 Tₘₐₓ，這是材料在斷裂前所能承受的最大應力。
當不超過線性上限時，因與為定值，故拉力與伸長量成正比，即，式中為力常數。當繩索受到拉力而未斷裂時，的最大值稱為極限強度，以表示。
表3的力常數是各類繩索在相同粗細與長度下測得的相對值
• 尼龍纖維：力常數 k = k0；極限強度 Tm （MPa)：620。
• 棉纖維：力常數 k = 2k0；極限強度 Tm （MPa)：230。
• 蜘蛛絲：力常數 k = 3k0；極限強度 Tm （MPa)：1000。
• 鋼索：力常數k = 52k0；極限強度 Tm （MPa)：1330。
• 碳纖維纖維：力常數 k = 77k0；極限強度 Tm （MPa)：3430。
在表3中MPa代表。試依據上述文字與相關圖表，回答第41-43題。</t>
  </si>
  <si>
    <t>41.	依據表3的資料，如果繩索的粗細與長度都相同，則使用下列何種繩索，可懸吊的物體重量最大？ （A)棉繩	（B)尼龍繩	（C)碳纖維繩	（D)鋼索	（E)蜘蛛絲</t>
  </si>
  <si>
    <t>Figure+Table</t>
  </si>
  <si>
    <t>42.	登山者在攀岩時常靠一端釘牢在岩壁的登山繩來支撐體重，但萬一不慎失足滑落，在將繩子拉直並繼續下降到最低點的過程中，失足者就會像高空彈跳者一樣，受到繩子向上的拉力而減速。減速過程的時間越短，繩子對失足者的拉力會越大，人也就更容易受傷。假設由同一高處失足滑落，且所使用的繩索長短與粗細均相同，受力亦未超過線性上限，則登山者選用下列何種繩索，最可能可以減輕上述傷害？ （A)棉繩	（B)尼龍繩	（C)碳纖維繩	（D)鋼索	（E)蜘蛛絲</t>
  </si>
  <si>
    <r>
      <rPr>
        <sz val="11"/>
        <color theme="1"/>
        <rFont val="PMingLiu"/>
        <family val="1"/>
        <charset val="136"/>
      </rPr>
      <t>43.	假設電影中的蜘蛛人使用表3中的蜘蛛絲，希望能支撐5000 N的張力而不斷裂，則該蜘蛛絲的最小截面積約為多少？ 
A: "2×10⁻³
B: "2×10⁻</t>
    </r>
    <r>
      <rPr>
        <sz val="11"/>
        <color theme="1"/>
        <rFont val="新細明體"/>
        <family val="1"/>
        <charset val="136"/>
      </rPr>
      <t>⁴</t>
    </r>
    <r>
      <rPr>
        <sz val="11"/>
        <color theme="1"/>
        <rFont val="新細明體"/>
        <family val="1"/>
        <charset val="136"/>
      </rPr>
      <t>"
C: "5×10⁻</t>
    </r>
    <r>
      <rPr>
        <sz val="11"/>
        <color theme="1"/>
        <rFont val="新細明體"/>
        <family val="1"/>
        <charset val="136"/>
      </rPr>
      <t>⁴</t>
    </r>
    <r>
      <rPr>
        <sz val="11"/>
        <color theme="1"/>
        <rFont val="新細明體"/>
        <family val="1"/>
        <charset val="136"/>
      </rPr>
      <t xml:space="preserve">"
D: "2×10⁻⁵"
E": "5×10⁻⁶"
</t>
    </r>
  </si>
  <si>
    <t xml:space="preserve">44-45為題組 
射向地球的高能宇宙射線會與大氣作用，因而產生許多極高速的粒子撞擊地表。質子為帶電粒子，其電量與電子相同，質量約為電子的 200 倍。質子在高速通過物質時，會使其路徑周遭物質的原子游離而造成質子的動能損失 ΔE，已知 ΔE 與質子前進的路徑長及所通過物質的密度均成正比。假設高能質子在水中前進 1.0 m，約損失 200 MeV 的動能；其中 MeV 代表百萬電子伏特，相當於 1.6 × 10⁻ ¹³J，而水的密度為 1000 kg/m³。試依據上述資料，回答第 44-45 題。"
}
</t>
  </si>
  <si>
    <t>44.假設地表大氣密度為 1.2 kg/m³，則高能的質子在地表大氣中前進 1.0 km，損失動能大約多少 MeV？",
 (A) 0.24 (B) 2.4 (C) 24 (D) 240 (E) 2400</t>
  </si>
  <si>
    <t>45.	利用高速帶電粒子在人體中行經腫瘤時所損失的動能，可以殺除癌細胞。假設某高速帶電粒子在人體中行經癌細胞與正常細胞時，每單位路徑長的動能損失分別為高速緲子在水中前進時的300倍與3倍。若欲利用加速器射出此高速帶電粒子，以治療人體皮下10 cm處、厚度約1.0 mm的惡性腫瘤，則此帶電粒子的動能至少大約多少MeV？ （A) 0.12	（B) 1.2	（C) 12	（D) 120	（E) 1200</t>
  </si>
  <si>
    <t>46.質量為 60 kg 的成人駕駛質量 920 kg 的汽車，在筆直的高速公路上以時速 108 km （30 m/s) 等速度行駛，車上載著質量 20 kg 的小孩，兩人皆繫住安全帶。途中不慎正向追撞總質量為 2000 kg，時速為 54 km （15 m/s) 的卡車，碰撞後兩車糾結在一起，但駕駛與小孩仍緊在座位上。假設碰撞時間為 0.2 秒且所有阻力的影響均可忽略不計，則在碰撞期間，安全帶對小孩的平均作用力大約多少 N？
 (A) 3000 (B) 2500 (C) 2000 (D) 1500 (E) 1000</t>
  </si>
  <si>
    <t>47.	核分裂時所產生的中子動能很大，但動能較低的慢中子（也稱為熱中子)較容易誘發核分裂。因此在核子反應爐中置入中子緩速劑，使高速中子與緩速劑中的原子發生一維彈性碰撞，造成能量轉移而得以減速，俾能產生連鎖反應。依以上所述，下列何者較適合當作中子緩速劑？ （A)水中的氫原子	（B)鉛塊中的鉛原子	（C)硫化鎘中的鎘原子 （D)氧化鐵中的鐵原子	（E)鈦合金中的鈦原子</t>
  </si>
  <si>
    <t>48.	酚酞是酸鹼滴定常用的指示劑，結構如圖6。
分子中包含多個苯環（benzene rings)，其中有兩個羥基（-OH)官能團分別位於兩個不同的苯環上。一個苯環與一個雜環系統相連，該雜環系統中含有一個氧原子。這個分子還包括一個含有酯基（-COO)結構的部分，並且兩個苯環通過一個氧原子連接，形成了一個複雜的分子結構。
下列有關酚酞的敘述，哪一項正確？ （A)酚酞是強鹼 （B)將數滴酚酞試液滴入檸檬汁後，溶液呈粉紅色 （C)酚酞分子中，含有羥基與羧基等官能基 （D)酚酞結構中，三個苯環在同一平面上 （E)酚酞在水中溶解度差，通常配製於酒精與水的混合液中，實驗時於待測液中滴入數滴即可</t>
  </si>
  <si>
    <r>
      <rPr>
        <sz val="11"/>
        <color theme="1"/>
        <rFont val="PMingLiu"/>
        <family val="1"/>
        <charset val="136"/>
      </rPr>
      <t xml:space="preserve">49.石油經分餾可以獲得石油氣、石油醚、汽油、煤油、柴油等不同的產物。已知汽油主要的成分為 C₅ ~ C </t>
    </r>
    <r>
      <rPr>
        <sz val="11"/>
        <color theme="1"/>
        <rFont val="新細明體"/>
        <family val="1"/>
        <charset val="136"/>
      </rPr>
      <t>₁</t>
    </r>
    <r>
      <rPr>
        <sz val="11"/>
        <color theme="1"/>
        <rFont val="新細明體"/>
        <family val="1"/>
        <charset val="136"/>
      </rPr>
      <t xml:space="preserve"> </t>
    </r>
    <r>
      <rPr>
        <sz val="11"/>
        <color theme="1"/>
        <rFont val="新細明體"/>
        <family val="1"/>
        <charset val="136"/>
      </rPr>
      <t>₂</t>
    </r>
    <r>
      <rPr>
        <sz val="11"/>
        <color theme="1"/>
        <rFont val="新細明體"/>
        <family val="1"/>
        <charset val="136"/>
      </rPr>
      <t>碳數的烴類，且正庚烷與甲基三級丁基醚的辛烷值分別為 −45 與 116~117。下列有關石油分餾以及相關物質的敘述，哪些正確？（應選 2 項)",
(A)汽油的分餾溫度比柴油高
(B)汽油中不含正壬烷， 是因其辛烷值為負值， 會損毀汽缸及引擎
(C)汽油的來源除了分餾石油外， 也可由分子量較大的烷類裂解或重組取得
(D)甲基三級丁基醚的辛烷值大於100，可添加於汽油中，以提高油品的抗震爆表現
(E)甲基三級丁基醚是含4個碳的化合物</t>
    </r>
  </si>
  <si>
    <t>CD</t>
  </si>
  <si>
    <t>50.	物質可依鍵結與物理性質（如：狀態、熔點、沸點、導電性與延展性等)分類。表4為甲、乙、丙、丁四種物質的物理性質： 
甲：在 25°C 時呈氣態，沸點為 -252°C，熔點為 -259°C，且不導電。
乙：在 25°C 時呈固態，沸點為 3000°C，熔點為 153°C，固態時不導電，但水溶液可導電。
丙：在 25°C 時呈固態，沸點為 1420°C，熔點為 845°C，固態時可導電。
丁：在 25°C 時呈液態，沸點為 100°C，熔點為 0°C，且不導電。
已知甲為雙原子分子，且為水分子中的一元素，則下列有關表中甲、乙、丙、丁的敘述，哪些正確？（應選3項) （A)甲為共價分子	（B)乙為共價分子化合物	（C)丙為金屬 （D)丁為共價分子化合物	（E)乙與丙皆具延展性</t>
  </si>
  <si>
    <t>51.	黃同學將5種液體分別置於1-5號試管後，分別進行測試，結果如下： （1)以藍色石蕊試紙測試，發現只有5號試管的液體呈現紅色。 （2)測試液體的揮發性，4號試管的液體最易揮發。 （3)以手輕搧液體，嗅聞結果，1號試管的液體與家中所使用的去漬油味道相似；2號試管的液體，則有類似水果香味。 （4)食鹽於3號試管中液體的溶解度最高。 依據上述測試結果，則這5種液體依序為何? （A)丙酮、乙醇、水、乙醚、乙酸	（B)乙醇、丙酮、乙醚、水、乙酸 （C)己烷、乙酸乙酯、水、乙醚、乙酸	（D)己烷、乙酸乙酯、水、乙酸、乙醚 （E)己烷、丙酮、水、乙醚、乙酸乙酯</t>
  </si>
  <si>
    <r>
      <rPr>
        <sz val="11"/>
        <color theme="1"/>
        <rFont val="PMingLiu"/>
        <family val="1"/>
        <charset val="136"/>
      </rPr>
      <t>52. 麩胺酸與氫氧化鈉反應，可得麩胺酸鈉（ 味精)。工業上係利用微生物將醣類轉換成麩胺酸， 其反應式如下：
C</t>
    </r>
    <r>
      <rPr>
        <sz val="11"/>
        <color theme="1"/>
        <rFont val="新細明體"/>
        <family val="1"/>
        <charset val="136"/>
      </rPr>
      <t>₁₂</t>
    </r>
    <r>
      <rPr>
        <sz val="11"/>
        <color theme="1"/>
        <rFont val="新細明體"/>
        <family val="1"/>
        <charset val="136"/>
      </rPr>
      <t>H</t>
    </r>
    <r>
      <rPr>
        <sz val="11"/>
        <color theme="1"/>
        <rFont val="新細明體"/>
        <family val="1"/>
        <charset val="136"/>
      </rPr>
      <t>₂₂</t>
    </r>
    <r>
      <rPr>
        <sz val="11"/>
        <color theme="1"/>
        <rFont val="新細明體"/>
        <family val="1"/>
        <charset val="136"/>
      </rPr>
      <t>O</t>
    </r>
    <r>
      <rPr>
        <sz val="11"/>
        <color theme="1"/>
        <rFont val="新細明體"/>
        <family val="1"/>
        <charset val="136"/>
      </rPr>
      <t>₁₁</t>
    </r>
    <r>
      <rPr>
        <sz val="11"/>
        <color theme="1"/>
        <rFont val="新細明體"/>
        <family val="1"/>
        <charset val="136"/>
      </rPr>
      <t xml:space="preserve"> + 3O</t>
    </r>
    <r>
      <rPr>
        <sz val="11"/>
        <color theme="1"/>
        <rFont val="新細明體"/>
        <family val="1"/>
        <charset val="136"/>
      </rPr>
      <t>₂</t>
    </r>
    <r>
      <rPr>
        <sz val="11"/>
        <color theme="1"/>
        <rFont val="新細明體"/>
        <family val="1"/>
        <charset val="136"/>
      </rPr>
      <t xml:space="preserve"> + 2NH</t>
    </r>
    <r>
      <rPr>
        <sz val="11"/>
        <color theme="1"/>
        <rFont val="新細明體"/>
        <family val="1"/>
        <charset val="136"/>
      </rPr>
      <t>₃</t>
    </r>
    <r>
      <rPr>
        <sz val="11"/>
        <color theme="1"/>
        <rFont val="新細明體"/>
        <family val="1"/>
        <charset val="136"/>
      </rPr>
      <t xml:space="preserve"> → 2H</t>
    </r>
    <r>
      <rPr>
        <sz val="11"/>
        <color theme="1"/>
        <rFont val="新細明體"/>
        <family val="1"/>
        <charset val="136"/>
      </rPr>
      <t>₂</t>
    </r>
    <r>
      <rPr>
        <sz val="11"/>
        <color theme="1"/>
        <rFont val="新細明體"/>
        <family val="1"/>
        <charset val="136"/>
      </rPr>
      <t>NCH(COOH)(CH</t>
    </r>
    <r>
      <rPr>
        <sz val="11"/>
        <color theme="1"/>
        <rFont val="新細明體"/>
        <family val="1"/>
        <charset val="136"/>
      </rPr>
      <t>₂</t>
    </r>
    <r>
      <rPr>
        <sz val="11"/>
        <color theme="1"/>
        <rFont val="新細明體"/>
        <family val="1"/>
        <charset val="136"/>
      </rPr>
      <t>)</t>
    </r>
    <r>
      <rPr>
        <sz val="11"/>
        <color theme="1"/>
        <rFont val="新細明體"/>
        <family val="1"/>
        <charset val="136"/>
      </rPr>
      <t>₂</t>
    </r>
    <r>
      <rPr>
        <sz val="11"/>
        <color theme="1"/>
        <rFont val="新細明體"/>
        <family val="1"/>
        <charset val="136"/>
      </rPr>
      <t>COOH + 2CO</t>
    </r>
    <r>
      <rPr>
        <sz val="11"/>
        <color theme="1"/>
        <rFont val="新細明體"/>
        <family val="1"/>
        <charset val="136"/>
      </rPr>
      <t>₂</t>
    </r>
    <r>
      <rPr>
        <sz val="11"/>
        <color theme="1"/>
        <rFont val="新細明體"/>
        <family val="1"/>
        <charset val="136"/>
      </rPr>
      <t xml:space="preserve"> + 5H</t>
    </r>
    <r>
      <rPr>
        <sz val="11"/>
        <color theme="1"/>
        <rFont val="新細明體"/>
        <family val="1"/>
        <charset val="136"/>
      </rPr>
      <t>₂</t>
    </r>
    <r>
      <rPr>
        <sz val="11"/>
        <color theme="1"/>
        <rFont val="新細明體"/>
        <family val="1"/>
        <charset val="136"/>
      </rPr>
      <t>O
已 知 分 子 下方括號中的數字為分子量，則上列反應式的原子經濟百分率（ 原子使用效率) 最接近下列哪一數值？
（A) 72 （B) 62 （C) 52 （D) 42 （E) 32</t>
    </r>
  </si>
  <si>
    <t>53-54為題組
下 圖 為 甲 、乙、丙、丁、戊五種有機化合物的分子模型。圖中黑、灰球分別代表碳、氫原子， 斜線球代表氧原子。圖中連結兩球間的單棍代表單鍵， 而連結兩球間的雙棍代表雙鍵。
甲：甲分子呈現為一個直鏈狀的碳氫化合物，並有一個條紋球的官能團。這個官能團可能是羥基（-OH)或羰基（-C=O)，位於分子的某一端或中間位置。
乙：乙分子顯示出環狀結構，並帶有條紋球的官能團。
丙：丙分子呈現支鏈結構，官能團（條紋球)位於分子的分支處。
丁：丁分子帶有直鏈結構，同時有一個條紋球官能團。
戊：戊分子結構最為複雜，含有一個環狀結構和一個條紋球官能團。
試回答53-54 題。</t>
  </si>
  <si>
    <t>53.	下列哪些屬於醇類化合物？（應選3項) （A)甲	（B)乙	（C)丙	（D)丁	（E)戊</t>
  </si>
  <si>
    <t>ABD</t>
  </si>
  <si>
    <t>BCD</t>
  </si>
  <si>
    <t>ABE</t>
  </si>
  <si>
    <t>54.	下列何者互為同分異構物？ （A)甲與乙	（B)乙與丙	（C)丙與丁	（D)丁與戊	（E)乙與丁</t>
  </si>
  <si>
    <t>55.	下列有關構造和功能的配對，哪些正確？（應選3項) （A)儲精囊－儲存精子	（B)攝護腺－分泌精液中的部分液體 （C)副睪－精子的成熟和儲存	（D)卵巢－分泌激素FSH和LH （E)輸卵管－精子和卵受精之處</t>
  </si>
  <si>
    <t>56.	下列有關人體免疫系統的敘述，哪些正確？（應選3項) （A)面對病原體時，身體啟動非專一性防禦的時間較專一性防禦早 （B) T細胞會辨識並吞噬被病毒感染的細胞 （C)發炎時，受傷細胞會釋出組織胺，使受傷部位微血管通透性增大 （D)若能找到伊波拉病毒具有抗原性的蛋白質分子，則有可能利用遺傳重組的技術來合成該蛋白質當疫苗 （E)病原體可活化B細胞使B細胞分泌抗體，抗體與抗原結合可直接分解病原體</t>
  </si>
  <si>
    <t>57.	圖7為甲國及乙國的兩性年齡結構圖，且假設兩國男女出生比例皆為1:1。
甲國：其人口金字塔呈現典型的金字塔形狀，底部（年齡 0-15 歲)寬廣，隨著年齡的增加，人口數逐漸減少。
乙國：其人口金字塔呈現較為穩定的形狀，底部與中部之間的寬度差異不大，顯示出各年齡段人口較為均衡，老年人口的比例相對較高。
下列敘述哪些正確？（應選3項) （A)甲國的人口數衰退中 （B)乙國的人口數增長中 （C)乙國男性死亡率高於女性 （D)乙國的年齡組成趨向老年化 （E)目前我國的年齡結構與乙國較相似</t>
  </si>
  <si>
    <t>58.	有些人登上玉山頂時，會出現呼吸困難的現象，下列何者是可能的原因？ （A)大氣中氧的比例，玉山頂高於平地	（B)大氣中氮的比例，玉山頂高於平地 （C)大氣中的氧分壓，玉山頂低於平地	（D)大氣中的氧分壓，玉山頂高於平地 （E)大氣中的氮分壓，玉山頂低於平地	（F)大氣中的氮分壓，玉山頂高於平地</t>
  </si>
  <si>
    <t>CE</t>
  </si>
  <si>
    <t>59.	下列哪些事件與生態系的物質循環有關？（應選3項) （A)植物的光合作用	（B)核能電廠產生能量的過程 （C)火力電廠產生能量的過程	（D)水力推動渦輪發電機 （E)土壤中硝酸鹽被細菌代謝為氮</t>
  </si>
  <si>
    <t>ACE</t>
  </si>
  <si>
    <t>60.	學生試驗光週期對某種植物開花的影響，將試驗植物種植於不同光週期環境中，給予8與11小時的日照長度時，植物開花；而給予13與16小時的日照長度時，植物不開花。若此植物為一年生，且在春天發芽，其生長地的夏至（6月21日)日照長度14小時，冬至日照長度10小時，及春分、秋分日照長度12小時。請問此種植物最有可能開始開花的月份為何？ （A) 3	（B) 6	（C) 8	（D) 11	（E) 12</t>
  </si>
  <si>
    <t>61.	大氣中的某些氣體會吸收紅外線，因而產生溫室效應，故稱為溫室氣體。依照此定義，下列哪些是溫室氣體？（應選3項) （A)水蒸氣	（B)甲烷	（C)二氧化碳 （D)氮	（E)氧</t>
  </si>
  <si>
    <t>62-63為題組 在太陽系中，某一天體從太陽盤面之前方通過的現象稱為「凌日」。在宇宙中的其他恆星周圍也可能存在行星，當行星繞其恆星公轉時，從地球看過去，如果行星恰巧從其恆星之前方通過，即發生類似凌日的現象，其恆星的亮度會減弱一點點，直到行星完全通過恆星盤面，才又恢復為原亮度。圖8是克卜勒太空望遠鏡觀測編號Kepler-8這顆恆星之亮度隨時間變化的情形。
這張圖展示了一個隨著相對時間（天)變化的相對亮度曲線。橫軸是相對時間（單位：天)，範圍從 -26.8 到 -26.3；縱軸表示相對亮度，範圍從 0.985 到 1.000。
從圖中可以看出，亮度曲線呈現一個U 型變化：
在兩側的時間範圍內（-26.8 天和 -26.3 天左右)，亮度接近 1.000，這意味著該時間段的亮度保持穩定且接近最大值。
在中間的時間區段（-26.6 天附近)，亮度下降至接近 0.985，達到最暗點。
曲線的變化顯示亮度從兩邊的最大值突然下降，然後在中間時間段達到最小值，隨後逐漸回升至兩邊的最大值。
恆星沒有被行星「凌」時的相對亮度定義為1.000，發生「凌」時恆星亮度變暗，於數小時之後恢復，這樣的變化周而復始，週期約為3.5天。Kepler-8的光譜型為F，視星等為14星等，而造成「凌」現象的行星稱為Kepler-8b，據估計其半徑為木星的1.4倍，質量則為木星的60%。</t>
  </si>
  <si>
    <t>62.	行星Kepler-8b的平均密度大約為木星的幾倍？ （A) 2.3	（B) 1.0	（C) 0.8	（D) 0.4	（E) 0.2</t>
  </si>
  <si>
    <t>63.	有關此恆星與行星，下列敘述何者正確？ （A)可以估算行星Kepler-8b的自轉週期 （B)Kepler-8的表面溫度比太陽高 （C)即使不藉助望遠鏡，仍能以裸眼在夜空中看到這顆恆星 （D)由於此恆星視星等為14星等，可以估計行星的視星等大約為5星等 （E)這裡所指的類似凌日現象，是指恆星Kepler-8從行星Kepler-8b的前方通過</t>
  </si>
  <si>
    <t>64.	岩層層面與水平面交線的方向稱為走向，層面與水平面的夾角稱為傾角。圖9為一平坦地面，出露著頁岩層、煤層和砂岩層，走向都是南北向，傾角向東傾斜30度。
這張圖展示了地質剖面的橫截面，顯示了四個不同區域的岩層，標記為甲、乙、丙、丁。圖中包含不同的岩石層，並且用箭頭指示了北方的方向。
甲：位於左側，顯示的是頁岩層。
乙：位於甲的右邊，顯示的是煤層，與甲層相鄰。
丙：位於乙層右側，顯示的是另一個煤層，與丁層相鄰。
丁：位於最右側，顯示的是砂岩層。
在圖中哪一地點鑽井，可在最淺處鑽到煤層？ （A)甲	（B)乙 （C)丙	（D)丁 （E)四個地點都鑽不到煤層</t>
  </si>
  <si>
    <t>65.	在地球的歷史中，氣候發生過許多次冷暖變化，地球現正處於間冰期。當地球由冰期進入間冰期時，全球氣溫上升，會引發哪些現象？（應選2項) （A)冰川後退、冰原範圍減小，全球平均海平面上升 （B)冰層融解，原先被覆蓋的陸地上升 （C)冰融後，因淡水大量注入海洋，造成海洋溫鹽環流增強 （D)水氣蒸發量降低、降雨少，沙漠擴張 （E)熱點火山噴發活動旺盛，釋出大量溫室氣體</t>
  </si>
  <si>
    <t>66.	圖10為從太空看地球自轉與公轉的示意圖，地球繞著太陽以逆時鐘方向公轉，地球本身也以逆時鐘方向自轉。
圖10顯示了一個關於地球公轉和觀測指向的示意圖。圖中包含太陽、地球的公轉運動，以及指向遙遠恆星的視線方向。
太陽：位於圖的左側，作為中心天體。
地球：有兩個不同位置的地球標示，顯示地球在其公轉軌道上的兩個位置。地球圍繞太陽公轉，並且圖中有標示出地球的公轉方向。
指向遙遠恆星的視線：從兩個不同位置的地球分別指向遙遠的恆星，兩條虛線顯示了地球從不同位置觀測恆星的角度差異。
0.986°：這是兩個不同位置觀測遙遠恆星所產生的角度變化，表示恆星視位置的細微變化，這可能是描述天文現象如視差的示意。
由地球上的A點來看，下列敘述何者正確？ 
（A)一天24小時是連續兩次面對太陽所經過的時間，稱為恆星日 （B)一天24小時是連續兩次面對遙遠恆星所經過的時間，稱為太陽日 （C)恆星日比太陽日大約短了四分鐘 （D)太陽日比恆星日大約短了四分鐘 （E)太陽是一顆恆星，所以太陽日就是恆星日</t>
  </si>
  <si>
    <t>67.	當空氣塊隨著氣流被地形抬舉上升，會因溫度下降達到飽和而有機會發展成雲甚至降雨，此空氣塊爬過山頂後，隨著過山氣流下降至平原區。當此空氣塊從山頂一路下沉至平原區，且為絕熱過程，下列有關此空氣塊過山之後的性質變化敘述，哪些正確？（應選2項) （A)溫度下降	（B)氣壓上升	（C)飽和水氣壓下降 （D)相對濕度下降	（E)水氣壓降低</t>
  </si>
  <si>
    <t>68.	天氣預報的誤差，通常與預報期限的長短以及數值天氣預報技術有關。圖11為美國颶風中心從1970到2012年間，針對大西洋海域颶風移動路徑的預報，每十年的預報路徑與實際路徑之間的平均誤差隨著預報期限的改變情形，這期間共有5個時期，2000年之後才有96小時和120小時的預報。
預報路徑平均誤差隨著預報期限（小時)增加的變化趨勢，並將不同年代的預報誤差進行對比。圖中的橫軸是預報期限，單位為小時，範圍從 12 小時到 120 小時；縱軸是預報路徑的平均誤差，單位為浬，範圍從 0 到 500 浬。
圖中的曲線依據不同的年代分為多條：
1970-79：這段期間的預報誤差最大，隨著預報時間的增加，誤差快速上升。
1980-89：相比 1970-79 年代，誤差有所減少，但仍然在長期預報中誤差較大。
1990-99：這段期間的誤差進一步減少，尤其是在 72 小時後的預報。
2000-09：誤差顯著縮小，特別是在長期預報方面表現出較高的準確度。
2010-12：這段時間的預報誤差最低，顯示出技術的進步和預報準確度的提高。
根據此圖，甲、乙、丙三人的推論如下： （甲)在每一個時期，預報路徑平均誤差值會隨著預報期限增長而變大。 （乙)相同預報期限的預報路徑誤差值有逐漸降低的趨勢。 （丙)2010-2012年120小時的預報路徑誤差值，比1970-1979年的48小時的誤差值小。 下列選項何者正確？ （A)只有甲正確	（B)只有乙正確	（C)只有丙正確 （D)只有甲、乙正確	（E)只有乙、丙正確	（F)甲、乙和丙皆正確</t>
  </si>
  <si>
    <t>F</t>
  </si>
  <si>
    <t>2016_Questions</t>
  </si>
  <si>
    <t>1.	下列基礎物理示範實驗與其主要使用器材的對應，哪一項最恰當？
（A)：摩擦力的觀察使用彈簧秤，戴流導線的磁效應使用羅盤（磁針)，電磁感應使用檢流計，雷射與雙狹縫干涉使用雷射光源。
（B)：摩擦力的觀察使用彈簧秤，戴流導線的磁效應使用檢流計，電磁感應使用羅盤（磁針)，雷射與雙狹縫干涉使用雷射光源。
（C)：摩擦力的觀察使用雷射光源，戴流導線的磁效應使用羅盤（磁針)，電磁感應使用檢流計，雷射與雙狹縫干涉使用彈簧秤。
（D)：摩擦力的觀察使用檢流計，戴流導線的磁效應使用羅盤（磁針)，電磁感應使用彈簧秤，雷射與雙狹縫干涉使用雷射光源。
（E)：摩擦力的觀察使用羅盤（磁針)，戴流導線的磁效應使用彈簧秤，電磁感應使用雷射光源，雷射與雙狹縫干涉使用檢流計。</t>
  </si>
  <si>
    <t>2.	在相同的條件下，使用相同的光源照射相同的植物甲和乙，若甲在太空中，乙在地面上，藉此對照甲與乙的生長過程。此一實驗最主要可以辨識出下列哪一項作用對於植物的影響？ （A)強作用	（B)弱作用	（C)電磁作用	（D)重力作用	（E)光合作用</t>
  </si>
  <si>
    <t>3.	若將地球公轉太陽一圈的時間（公轉週期)稱為「地球年」，表1為太陽系內地球與某行星的資料，
行星：列出了兩個行星，分別是地球和某行星。
軌道平均半徑（單位：百萬公里)：地球的軌道平均半徑約為150 百萬公里，而某行星的軌道平均半徑約為4500 百萬公里。
公轉週期（單位：地球年)：地球的公轉週期是1 地球年，而某行星的公轉週期用符號T表示，未給出具體數值。
則表中T的數值最接近下列哪一項？ （A) 1	（B) 30	（C) 50	（D) 100	（E) 160</t>
  </si>
  <si>
    <t>4.	在紙面上兩條垂直的載流長直導線，其電流均為，方向如圖1所示。
水平軸（橫軸)：表示複數的實部，用符號 i 標示。向右箭頭代表實部的正方向。
垂直軸（縱軸)：表示複數的虛部，用符號 i 標示。向下箭頭代表虛部的負方向。
圖中劃分為四個象限，分別用羅馬數字 I、II、III、IV 標記：
第一象限 （I)：實部為正，虛部為正。
第二象限 （II)：實部為負，虛部為正。
第三象限 （III)：實部為負，虛部為負。
第四象限 （IV)：實部為正，虛部為負。
圖中四個象限分別為Ⅰ、Ⅱ、Ⅲ、Ⅳ，則下列關於各區磁場的敘述，哪一項正確？ （A)除象限Ⅰ外，其餘均無磁場垂直穿出紙面的區域 （B)僅有象限Ⅱ具磁場量值為零的區域 （C)僅有象限Ⅲ、Ⅳ具磁場量值為零的區域 （D)象限Ⅲ的磁場方向均為垂直穿入紙面 （E)象限Ⅳ的磁場方向均為垂直穿出紙面</t>
  </si>
  <si>
    <t>5.	將光投射在金屬表面使其產生光電子，再利用磁場引導並選出具有相同速度之電子，使其通過單狹縫後，投射於能夠探測電子的屏幕上，經過一段時間的紀錄，發現在屏幕上各點累積的電子數目，其分布呈現繞射條紋。欲解釋上述的實驗現象，下列敘述何者最適當？ （A)需用到光及電子的波動性 （B)需用到光的波動性及電子的粒子性 （C)需用到光的粒子性及電子的波粒二象性 （D)需用到光的粒子性，不需用到電子的粒子性或波動性 （E)需用到電子的粒子性，不需用到光的粒子性或波動性</t>
  </si>
  <si>
    <t xml:space="preserve">6.	某生觀測拉緊的水平細繩上行進波的傳播，發現繩上相距1.5 cm的甲、乙兩點，其鉛直位移之和恆為零，而甲點鉛直位移隨時間的變化如圖2所示。
甲點鉛直位移隨時間變化的情況。
橫軸 （t, 單位：秒 s)：表示時間，範圍從 0 秒到 1.0 秒。
時間的刻度標示為 0.2 秒的間隔，分別標有 0.2、0.4、0.6、0.8 和 1.0 秒。
縱軸：表示甲點的鉛直位移，無單位標示，但可以理解為某個點隨時間在鉛直方向上的振動位移。
波形：圖中的波形是一個典型的正弦波，表示甲點隨著時間在正負方向上進行週期性的振動。從圖中可以看到，甲點的位移從 0 開始，先向上達到正峰值，然後下降穿過 0 點，達到負峰值，接著再次上升，完成一個完整的波週期。
波週期：從圖中可以觀察到，波的週期約為 0.4 秒，即每 0.4 秒甲點完成一次完整的振動。
試問下列何者可能是此繩波的波速？ （A) 12 cm/s	（B) 7.5 cm/s （C) 5.0 cm/s	（D) 4.5 cm/s （E) 3.0 cm/s </t>
  </si>
  <si>
    <t>7-8為題組 甲、乙、丙、丁、戊代表五種不同元素，其原子的電子排列如圖3。
甲：這個元素的原子核外有兩層電子殼，第一層電子殼有 2 個電子，第二層有 1 個電子。
乙：乙的原子核外也有兩層電子殼，第一層有 2 個電子，第二層有 4 個電子。
丙：丙有兩層電子殼，第一層有 2 個電子，第二層有 7 個電子。
丁：丁的電子結構顯示有三層電子殼，第一層有 2 個電子，第二層有 8 個電子，第三層有 1 個電子。
戊：戊的電子結構顯示有三層電子殼，第一層有 2 個電子，第二層有 8 個電子，第三層有 7 個電子。
圖中「˙」代表原子核，「○」代表核外電子。</t>
  </si>
  <si>
    <t>7.	在常溫常壓下，哪一個是化學活性最大的非金屬元素？ （A)甲	（B)乙	（C)丙	（D)丁	（E)戊</t>
  </si>
  <si>
    <t>8.	下列有關此五種元素的敘述，哪一項正確？ （A)甲易與其他元素結合成分子化合物 （B)某元素X的同位素有8個中子，且此同位素的質量數為14，則X為乙 （C)丙不安定，易與其他元素反應生成化合物 （D)丁通常失去一個電子與鹵素反應形成離子化合物 （E)戊位於週期表的第二週期</t>
  </si>
  <si>
    <r>
      <rPr>
        <sz val="11"/>
        <color theme="1"/>
        <rFont val="PMingLiu"/>
        <family val="1"/>
        <charset val="136"/>
      </rPr>
      <t>9.取 30°C 的飽和 KNO</t>
    </r>
    <r>
      <rPr>
        <sz val="11"/>
        <color theme="1"/>
        <rFont val="新細明體"/>
        <family val="1"/>
        <charset val="136"/>
      </rPr>
      <t>₃</t>
    </r>
    <r>
      <rPr>
        <sz val="11"/>
        <color theme="1"/>
        <rFont val="新細明體"/>
        <family val="1"/>
        <charset val="136"/>
      </rPr>
      <t xml:space="preserve"> 溶液少許，置於質量為 84.0 克的錐玻璃上，稱得溶液與錐玻璃共 86.2 克。候水完全揮發後，稱得 KNO</t>
    </r>
    <r>
      <rPr>
        <sz val="11"/>
        <color theme="1"/>
        <rFont val="新細明體"/>
        <family val="1"/>
        <charset val="136"/>
      </rPr>
      <t>₃</t>
    </r>
    <r>
      <rPr>
        <sz val="11"/>
        <color theme="1"/>
        <rFont val="新細明體"/>
        <family val="1"/>
        <charset val="136"/>
      </rPr>
      <t xml:space="preserve"> 粉末與錐玻璃共 84.7 克。依據上述數據，則 30°C 時，KNO</t>
    </r>
    <r>
      <rPr>
        <sz val="11"/>
        <color theme="1"/>
        <rFont val="新細明體"/>
        <family val="1"/>
        <charset val="136"/>
      </rPr>
      <t>₃</t>
    </r>
    <r>
      <rPr>
        <sz val="11"/>
        <color theme="1"/>
        <rFont val="新細明體"/>
        <family val="1"/>
        <charset val="136"/>
      </rPr>
      <t xml:space="preserve"> 在水中的溶解度（g/100g 水)應接近下列哪一數值？
(A) 16 (B) 27 (C) 32 (D) 47 (E) 54
</t>
    </r>
  </si>
  <si>
    <r>
      <rPr>
        <sz val="11"/>
        <color theme="1"/>
        <rFont val="PMingLiu"/>
        <family val="1"/>
        <charset val="136"/>
      </rPr>
      <t>10.已知在標準狀態下，CO 與 CO</t>
    </r>
    <r>
      <rPr>
        <sz val="11"/>
        <color theme="1"/>
        <rFont val="新細明體"/>
        <family val="1"/>
        <charset val="136"/>
      </rPr>
      <t>₂</t>
    </r>
    <r>
      <rPr>
        <sz val="11"/>
        <color theme="1"/>
        <rFont val="新細明體"/>
        <family val="1"/>
        <charset val="136"/>
      </rPr>
      <t xml:space="preserve"> 的莫耳生成熱分別為 −110.2 kJ/mol 及 −393.5 kJ/mol。今有 12.0 克的碳燃燒後得 7.0 克的 CO 與 33.0 克的 CO</t>
    </r>
    <r>
      <rPr>
        <sz val="11"/>
        <color theme="1"/>
        <rFont val="新細明體"/>
        <family val="1"/>
        <charset val="136"/>
      </rPr>
      <t>₂</t>
    </r>
    <r>
      <rPr>
        <sz val="11"/>
        <color theme="1"/>
        <rFont val="新細明體"/>
        <family val="1"/>
        <charset val="136"/>
      </rPr>
      <t>，則在此過程中，約有多少熱量（kJ)釋出？",
(A) 84.7 (B) 137.5 (C) 248.2 (D) 322.7 (E) 457.8</t>
    </r>
  </si>
  <si>
    <r>
      <rPr>
        <sz val="11"/>
        <color theme="1"/>
        <rFont val="PMingLiu"/>
        <family val="1"/>
        <charset val="136"/>
      </rPr>
      <t>11. 實驗桌上的 10 杯等濃度、等體積的溶液，若兩兩相互混合，則哪一組溶液所含的離子數量最多？
(A) NaOH + CH</t>
    </r>
    <r>
      <rPr>
        <sz val="11"/>
        <color theme="1"/>
        <rFont val="新細明體"/>
        <family val="1"/>
        <charset val="136"/>
      </rPr>
      <t>₃</t>
    </r>
    <r>
      <rPr>
        <sz val="11"/>
        <color theme="1"/>
        <rFont val="新細明體"/>
        <family val="1"/>
        <charset val="136"/>
      </rPr>
      <t>COOH
(B) BaCl</t>
    </r>
    <r>
      <rPr>
        <sz val="11"/>
        <color theme="1"/>
        <rFont val="新細明體"/>
        <family val="1"/>
        <charset val="136"/>
      </rPr>
      <t>₂</t>
    </r>
    <r>
      <rPr>
        <sz val="11"/>
        <color theme="1"/>
        <rFont val="新細明體"/>
        <family val="1"/>
        <charset val="136"/>
      </rPr>
      <t xml:space="preserve"> + CuSO</t>
    </r>
    <r>
      <rPr>
        <sz val="11"/>
        <color theme="1"/>
        <rFont val="新細明體"/>
        <family val="1"/>
        <charset val="136"/>
      </rPr>
      <t xml:space="preserve">₄
</t>
    </r>
    <r>
      <rPr>
        <sz val="11"/>
        <color theme="1"/>
        <rFont val="新細明體"/>
        <family val="1"/>
        <charset val="136"/>
      </rPr>
      <t>(C) AgNO</t>
    </r>
    <r>
      <rPr>
        <sz val="11"/>
        <color theme="1"/>
        <rFont val="新細明體"/>
        <family val="1"/>
        <charset val="136"/>
      </rPr>
      <t>₃</t>
    </r>
    <r>
      <rPr>
        <sz val="11"/>
        <color theme="1"/>
        <rFont val="新細明體"/>
        <family val="1"/>
        <charset val="136"/>
      </rPr>
      <t xml:space="preserve"> + NaCl
(D) Na</t>
    </r>
    <r>
      <rPr>
        <sz val="11"/>
        <color theme="1"/>
        <rFont val="新細明體"/>
        <family val="1"/>
        <charset val="136"/>
      </rPr>
      <t>₂</t>
    </r>
    <r>
      <rPr>
        <sz val="11"/>
        <color theme="1"/>
        <rFont val="新細明體"/>
        <family val="1"/>
        <charset val="136"/>
      </rPr>
      <t>CO</t>
    </r>
    <r>
      <rPr>
        <sz val="11"/>
        <color theme="1"/>
        <rFont val="新細明體"/>
        <family val="1"/>
        <charset val="136"/>
      </rPr>
      <t>₃</t>
    </r>
    <r>
      <rPr>
        <sz val="11"/>
        <color theme="1"/>
        <rFont val="新細明體"/>
        <family val="1"/>
        <charset val="136"/>
      </rPr>
      <t xml:space="preserve"> + HCl
(E) Na</t>
    </r>
    <r>
      <rPr>
        <sz val="11"/>
        <color theme="1"/>
        <rFont val="新細明體"/>
        <family val="1"/>
        <charset val="136"/>
      </rPr>
      <t>₂</t>
    </r>
    <r>
      <rPr>
        <sz val="11"/>
        <color theme="1"/>
        <rFont val="新細明體"/>
        <family val="1"/>
        <charset val="136"/>
      </rPr>
      <t>SO</t>
    </r>
    <r>
      <rPr>
        <sz val="11"/>
        <color theme="1"/>
        <rFont val="新細明體"/>
        <family val="1"/>
        <charset val="136"/>
      </rPr>
      <t>₄</t>
    </r>
    <r>
      <rPr>
        <sz val="11"/>
        <color theme="1"/>
        <rFont val="新細明體"/>
        <family val="1"/>
        <charset val="136"/>
      </rPr>
      <t xml:space="preserve"> + NaOH</t>
    </r>
  </si>
  <si>
    <r>
      <rPr>
        <sz val="11"/>
        <color theme="1"/>
        <rFont val="PMingLiu"/>
        <family val="1"/>
        <charset val="136"/>
      </rPr>
      <t>12-13為題組
二鉻酸鉀（K</t>
    </r>
    <r>
      <rPr>
        <sz val="11"/>
        <color theme="1"/>
        <rFont val="新細明體"/>
        <family val="1"/>
        <charset val="136"/>
      </rPr>
      <t>₂</t>
    </r>
    <r>
      <rPr>
        <sz val="11"/>
        <color theme="1"/>
        <rFont val="新細明體"/>
        <family val="1"/>
        <charset val="136"/>
      </rPr>
      <t>Cr</t>
    </r>
    <r>
      <rPr>
        <sz val="11"/>
        <color theme="1"/>
        <rFont val="新細明體"/>
        <family val="1"/>
        <charset val="136"/>
      </rPr>
      <t>₂</t>
    </r>
    <r>
      <rPr>
        <sz val="11"/>
        <color theme="1"/>
        <rFont val="新細明體"/>
        <family val="1"/>
        <charset val="136"/>
      </rPr>
      <t>O₇）可用於檢測呼氣中的酒精濃度。酒精與 K</t>
    </r>
    <r>
      <rPr>
        <sz val="11"/>
        <color theme="1"/>
        <rFont val="新細明體"/>
        <family val="1"/>
        <charset val="136"/>
      </rPr>
      <t>₂</t>
    </r>
    <r>
      <rPr>
        <sz val="11"/>
        <color theme="1"/>
        <rFont val="新細明體"/>
        <family val="1"/>
        <charset val="136"/>
      </rPr>
      <t>Cr</t>
    </r>
    <r>
      <rPr>
        <sz val="11"/>
        <color theme="1"/>
        <rFont val="新細明體"/>
        <family val="1"/>
        <charset val="136"/>
      </rPr>
      <t>₂</t>
    </r>
    <r>
      <rPr>
        <sz val="11"/>
        <color theme="1"/>
        <rFont val="新細明體"/>
        <family val="1"/>
        <charset val="136"/>
      </rPr>
      <t>O₇ 的反應式如下：
3CH</t>
    </r>
    <r>
      <rPr>
        <sz val="11"/>
        <color theme="1"/>
        <rFont val="新細明體"/>
        <family val="1"/>
        <charset val="136"/>
      </rPr>
      <t>₃</t>
    </r>
    <r>
      <rPr>
        <sz val="11"/>
        <color theme="1"/>
        <rFont val="新細明體"/>
        <family val="1"/>
        <charset val="136"/>
      </rPr>
      <t>CH</t>
    </r>
    <r>
      <rPr>
        <sz val="11"/>
        <color theme="1"/>
        <rFont val="新細明體"/>
        <family val="1"/>
        <charset val="136"/>
      </rPr>
      <t>₂</t>
    </r>
    <r>
      <rPr>
        <sz val="11"/>
        <color theme="1"/>
        <rFont val="新細明體"/>
        <family val="1"/>
        <charset val="136"/>
      </rPr>
      <t>OH+2Cr</t>
    </r>
    <r>
      <rPr>
        <sz val="11"/>
        <color theme="1"/>
        <rFont val="新細明體"/>
        <family val="1"/>
        <charset val="136"/>
      </rPr>
      <t>₂</t>
    </r>
    <r>
      <rPr>
        <sz val="11"/>
        <color theme="1"/>
        <rFont val="新細明體"/>
        <family val="1"/>
        <charset val="136"/>
      </rPr>
      <t>O+16H⁺→3CH</t>
    </r>
    <r>
      <rPr>
        <sz val="11"/>
        <color theme="1"/>
        <rFont val="新細明體"/>
        <family val="1"/>
        <charset val="136"/>
      </rPr>
      <t>₃</t>
    </r>
    <r>
      <rPr>
        <sz val="11"/>
        <color theme="1"/>
        <rFont val="新細明體"/>
        <family val="1"/>
        <charset val="136"/>
      </rPr>
      <t>COOH+4Cr³⁺+ +11H</t>
    </r>
    <r>
      <rPr>
        <sz val="11"/>
        <color theme="1"/>
        <rFont val="新細明體"/>
        <family val="1"/>
        <charset val="136"/>
      </rPr>
      <t>₂</t>
    </r>
    <r>
      <rPr>
        <sz val="11"/>
        <color theme="1"/>
        <rFont val="新細明體"/>
        <family val="1"/>
        <charset val="136"/>
      </rPr>
      <t xml:space="preserve">O  
反應後，顏色由橙紅變為綠色，經由儀器測得的數據可換算成酒精濃度。在常溫、常壓下，目前公路的血液中與呼吸氣中的酒精濃度比值為 2100:1。法令規定每升呼氣中的酒精濃度不得超過 0.25 毫克。已知呼氣中的酒精濃度與儀器所測得的變化量之關係如圖 4 所示：
濃度：0.12 毫克/升，變化量：0.10
濃度：0.15 毫克/升，變化量：0.20
濃度：0.20 毫克/升，變化量：0.40
濃度：0.60 毫克/升，變化量：1.20
濃度：0.80 毫克/升，變化量：1.60
</t>
    </r>
  </si>
  <si>
    <t>12.	當某人呼氣造成的儀器上變化量為0.80時，血液中的酒精濃度，若以M計，則最接近下列哪一數值？ （A) 0.084	（B) 0.018	（C) 0.18	（D) 0.36	（E) 0.84</t>
  </si>
  <si>
    <t xml:space="preserve">13.	承上題，此人呼氣中的酒精濃度是否超標？ （A)是	（B)否	（C)不能確定 </t>
  </si>
  <si>
    <t>14-15為題組
無機化合物X經過圖5所示的轉變過程後， 可得回原來的X：
{
  "process": {
    "initial_compound": "X",
    "steps": [
      {
        "step_number": "①",
        "description": "無機化合物 X 經第一步反應生成兩種產物，進行分支反應。"
      },
      {
        "step_number": "②",
        "description": "其中一條分支與 H2O2（aq) 反應生成 Y。"
      },
      {
        "step_number": "③",
        "description": "另一條分支與 Zn（s) + H2SO4（aq) 反應生成 Z。"
      },
      {
        "step_number": "④",
        "description": "Y 與 Z 的產物進行兩條分支反應，匯合於下一步。"
      },
      {
        "step_number": "⑤",
        "description": "產物回到原始的無機化合物 X。"
      }
    ]
  }
}
圖中□ 表示液體， ○ 表示氣體， 數目① ～ ⑤ 代表化學反應或物理變化過程， 其
中④ 為兩種氣體混合後點燃， 而所有的轉變均在常溫常壓而且適當的反應條件下進
行。</t>
  </si>
  <si>
    <t>14.	試問X是什麼物質？ （A)過氧化氫	（B)水	（C)氧氣	（D)氫氣	（E)二氧化硫</t>
  </si>
  <si>
    <t>15.	試問Z是什麼物質？ （A)過氧化氫	（B)水	（C)氧氣	（D)氫氣	（E)二氧化硫</t>
  </si>
  <si>
    <t>16.	下列生物個體或構造，以適當的器具測量或觀測，何者的對應關係最不恰當？ （A)大型的成體鯨：高速公路地磅站用的地磅 （B)一歲的嬰兒：菜市場用的磅秤 （C)蛙卵的卵徑：鉛筆盒裡的文具直尺 （D)葉肉細胞：國中實驗室用的複式顯微鏡 （E)葉綠體：高中實驗室用的解剖顯微鏡</t>
  </si>
  <si>
    <t>17.	下列細胞內的結構，何者具有雙層膜？ （A)高基氏體	（B)溶體	（C)內質網	（D)細胞核	（E)液胞</t>
  </si>
  <si>
    <t>18.	下列現象的發現，何者與遺傳的染色體學說之建立最不相關？ （A)染色體由DNA與蛋白質組成 （B)減數分裂時，同源染色體分離 （C)減數分裂時，非同源染色體自由組合 （D)減數分裂時，發生染色體聯會 （E)受精卵的染色體分別來自卵子與精子</t>
  </si>
  <si>
    <t>19.	下列有關基因轉殖技術，製備重組DNA的步驟次序，何者正確？ Ⅰ.取得含重組DNA分子之細菌	Ⅱ.用限制酶切開質體DNA Ⅲ.由細菌萃取質體	Ⅳ.混合外源基因和載體 Ⅴ.以DNA連接酶連接DNA （A)Ⅲ，Ⅱ，Ⅰ，Ⅳ，Ⅴ	（B)Ⅳ，Ⅱ，Ⅰ，Ⅲ，Ⅴ	（C)Ⅲ，Ⅱ，Ⅳ，Ⅴ，Ⅰ （D)Ⅳ，Ⅴ，Ⅰ，Ⅱ，Ⅲ	（E)Ⅴ，Ⅳ，Ⅲ，Ⅱ，Ⅰ</t>
  </si>
  <si>
    <t>20.	圖6為某一家族之遺傳疾病譜系圖，方型為男性，圓形為女性，空白為正常，實心為患者。
圖中可以看到三代成員的遺傳特徵分布情況：
第一代：由編號 1 和 2 組成，1 是方形且填滿，表示該男性攜帶某種遺傳特徵；2 是白色圓形，表示該女性沒有該特徵。
第二代：有 6 名子女（編號 3 到 8)。其中，4 和 6 是女性且填滿，表示她們攜帶該遺傳特徵；7 是男性且填滿，也表示他攜帶該特徵；3、5 和 8 是白色符號，表示他們沒有這種遺傳特徵。
第三代：有 4 名成員（編號 9 到 12)。其中，9 和 11 是女性且白色，表示她們沒有攜帶遺傳特徵；10 和 12 是男性且填滿，表示他們攜帶遺傳特徵。
若此疾病為隱性性聯遺傳，等位基因X’相對於X為隱性，雄性染色體以Y表示，則下列個體之基因型表示法何者正確？ （A) 1：XY	（B) 2：X’X （C) 5：X’Y	（D) 7：X’X’ （E) 11：XX</t>
  </si>
  <si>
    <t>21.	臺灣的降雨分布有明顯的南北差異，但縱使在北部地區，東邊和西邊也有很大的不同。圖7為中央氣象局臺北、宜蘭、臺南三個氣象站，30年的長期月平均降水量分布圖。
這張圖顯示了甲、乙、丙三個地區的月平均降雨量隨月份變化的趨勢。橫軸表示月份（從 1 月到 12 月)，縱軸表示月平均降雨量，單位為毫米（mm)。
甲（虛線表示)：降雨量從年初逐漸增加，6 月到 9 月之間降雨量顯著上升，7 月和 8 月達到最高峰，接近 450 mm，然後在 9 月之後迅速下降，12 月降至較低的水準。
乙（實線表示)：降雨量較為穩定，1 月至 5 月降雨量平穩，6 月開始顯著增加，在 7 月到 9 月達到最高峰，之後降雨量迅速減少，12 月回到較低水準，全年降雨量相對較少。
丙（點線表示)：全年降雨量相對較少，只有在 5 月到 9 月之間有少量增加，但降雨量明顯低於甲和乙地區，且波動較小。
試問甲（虛線)、乙（實線)、丙（點-虛線)三條曲線依序代表哪三個氣象站？ （A)臺北、宜蘭、臺南 （B)宜蘭、臺南、臺北 （C)臺北、臺南、宜蘭 （D)宜蘭、臺北、臺南 （E)臺南、宜蘭、臺北</t>
  </si>
  <si>
    <t>22.	氣候是長時間尺度下，地球系統中能量交換後呈現的現象。討論氣候變遷時的重點即是地球系統能量的收支平衡。下列有關能量平衡的敘述，何者正確？ （A)冬季時，高緯度溫度較低緯度寒冷，主要是因為距離太陽較遠，單位面積接收到的能量較少 （B)地球能量主要靠傳導散入外太空 （C)地表接收到的能量大於放出的能量時會造成平均溫度上升 （D)溫室氣體主要是透過吸收太陽輻射，而破壞地球能量的收支平衡 （E)地表吸收太陽光後會反射短波輻射</t>
  </si>
  <si>
    <t>23.	圖8及圖9代表北半球兩種不同型態之氣旋，
圖 8：顯示一個較為鬆散的旋轉風暴系統，可能是溫帶氣旋或初期的熱帶氣旋。雲層結構較為擴散，沒有明顯的「眼」形成，旋轉中心部分雲層較稀疏。
圖 9：顯示一個更為緊密且對稱的旋轉風暴，這個系統有明顯的「颶風眼」在中心，周圍雲層緊密圍繞著風眼，顯示出強烈的旋轉結構，這通常是成熟的熱帶氣旋或颶風的特徵。風眼區域的雲層非常稀薄，周圍則有高度濃密的雲層。下列有關這兩種氣旋之敘述，何者正確？ （A)圖8氣旋形成在熱帶溫暖的海面上 （B)圖9氣旋從水氣凝結得到能量，其中心溫度較外圍環境高 （C)圖8氣旋是因高空輻合所造成 （D)圖9氣旋有一邊界以隔開不同溫度之氣團 （E)圖8與圖9兩種氣旋都是在兩種氣團的交界面附近形成</t>
  </si>
  <si>
    <t>24.	日月距離與日地距離相當，但是地球擁有大氣層，而月球卻沒有，下列哪一項是最主要原因？ （A)月球永遠以同一面對著地球 （B)月球的大氣透明，從地球無法直接偵測到 （C)月球成分接近地函，密度太低 （D)月球質量太小 （E)因為月球沒有磁場</t>
  </si>
  <si>
    <t>25.	臺灣東部的海岸山脈是由菲律賓海板塊與歐亞板塊聚合所形成的，使得原本是菲律賓海板塊的岩石被擠壓而上升到陸地。下列岩石何者原屬於菲律賓海板塊？ （A)花岡岩	（B)玄武岩	（C)板岩	（D)片岩	（E)大理岩</t>
  </si>
  <si>
    <t>26.	在臺灣某地有一斷層，此斷層面往南北方向延伸，且斷層面垂直地面，志明和鳳英是鄰居，他們的房子恰好以斷層為界，志明的房子在斷層的東邊。從國中一年級到高三約六年的時間，志明發現鳳英的房子往北移動了約二十多公分，此斷層屬於下列哪一種斷層？ （A)正斷層	（B)逆斷層	（C)左移斷層	（D)右移斷層	（E)轉形斷層</t>
  </si>
  <si>
    <t>27.	六月時節，某日天氣晴朗幾近無風，海上救難小組接獲通報，告知有艘漁船八小時前在蘇澳正東方外海五十公里處，與親友通訊後便失去了聯絡，可能已失去動力、開始漂流。由該船最後發出消息的大致位置，救難小組應該往該漁船失聯處的哪個方向搜尋？ （A)失聯處	（B)東方	（C)西方	（D)南方	（E)北方</t>
  </si>
  <si>
    <t>28.	一般來說，要讓空氣達到飽和的方式有增加水氣和降低溫度兩種方式。露點是一種溼度的表示法，它可以反映空氣中實際水氣含量的多寡。如果沒有特別天氣系統影響的情況下，一天中溫度與露點在什麼時間最接近？ （A)中午	（B)午後	（C)傍晚	（D)清晨	（E)早上十點附近 二、多選題（占16分)</t>
  </si>
  <si>
    <t>29.	在地球上觀測氫原子光譜，於波長486 nm處有一光譜線。天文觀測發現某一星系甲的氫原子光譜中，此486 nm譜線移到492 nm；而另一星系乙的氫原子光譜中，此譜線則移到500 nm。若此天文觀測的結果符合哈伯定律，則下列有關星系甲與乙之敘述，哪些正確？（應選2項) （A)所觀測到之星系甲向地球靠近 （B)所觀測到之星系乙離地球遠去 （C)相較於星系乙，所觀測到之星系甲距地球較遠 （D)相較於星系乙，所觀測到星系甲的遠離速率較小 （E)所觀測到之光譜皆是目前星系甲與乙所發出的光譜</t>
  </si>
  <si>
    <t>30.	將一個小球從地面鉛直上拋，假設空氣阻力可以忽略。圖10中這張圖展示了一個包含甲和乙兩個物體的簡單機械系統。兩個物體之間似乎通過一個繩索或拉線相連，並且有兩個滑輪幫助物體運動。
甲物體**：圖示中顯示出甲物體向上運動，箭頭指向上方，表示受力的方向或其運動方向。
乙物體**：乙物體則向下運動，箭頭指向下方，表示乙物體的運動方向或其受力的方向。甲時刻和乙時刻分別對應於小球往上升及往下掉的過程中，在任一相同高度處的運動狀態，則下列有關小球於甲、乙兩時刻對應的物理量，哪些一定相同？（應選3項) 
（A)甲、乙兩時刻的加速度 （B)甲、乙兩時刻的速度 （C)甲、乙兩時刻的重力位能 （D)甲、乙兩時刻的動能 （E)從地面至甲時刻的時間與自最高點掉落至乙時刻的時間</t>
  </si>
  <si>
    <t>31.	電磁爐是利用平行於爐面的平面線圈，通電後改變通過金屬鍋底的磁場使其產生應電流，鍋底因電流熱效應而加熱食物。考量設計電磁爐時在其他變因保持不變且可正常工作的條件下，改變下列哪幾項因素，可以加速煮熟食物？（應選3項) （A)增加產生爐面磁場之交流電源的電壓 （B)增加產生爐面磁場之交流電源的電流 （C)將電磁爐放置在一大型永久磁鐵上 （D)將交流電源改為高壓直流電源 （E)增加產生爐面磁場之線圈匝數</t>
  </si>
  <si>
    <t>32.	下列哪些物質被動物分解後會產生含氮廢物？（應選2項) （A)DNA	（B)血紅素	（C)脂肪	（D)肝醣	（E)纖維素</t>
  </si>
  <si>
    <t>33.	下列哪些是孟德爾從豌豆雜交實驗中所獲得的重要結論？（應選2項) （A)豌豆的單一性狀有很多差異，這些差異會遺傳給下一代 （B)一種性狀的遺傳，是由一對因子傳遞到下一代 （C)兩種性狀的遺傳因子互不干擾，其遺傳事件彼此獨立 （D)在F1中，隱性性狀出現的頻率大於顯性性狀出現的頻率 （E)豌豆有雜交現象，並不適合作為遺傳研究的材料</t>
  </si>
  <si>
    <t>34.	某種蛾其翅膀的顏色是由單基因的兩個等位基因T與t所決定。基因型TT與Tt的顏色為褐色，基因型tt的顏色為黃色。生物學家對此蛾族群進行十年調查的結果如圖11這張圖顯示了族群中的百分比隨著時間（年)變化的趨勢，並比較了兩個顏色族群的變化情況：褐色和黃色。
橫軸表示時間，單位為年，從 1 年到 10 年。
縱軸表示族群中的百分比，範圍從 0% 到 100%。
圖中的兩條線分別代表不同顏色的族群：
褐色族群（實線方塊標示)：這個族群在最初的百分比很高，接近 100%。隨著時間的推移，褐色族群的比例逐漸下降，到第 10 年時降至約 20% 左右。
黃色族群（虛線三角形標示)：黃色族群最初的比例非常低，接近 0%。隨著時間的推移，這個族群的百分比逐漸上升，到第 10 年時上升到約 80%。所示。
下列判斷哪些正確？（應選2項) （A)等位基因T與t中，t為顯性 （B)基因型TT在族群中的比例逐年升高 （C)等位基因T與t並存於族群中 （D)褐色蛾在族群中的比例逐年降低 （E)此蛾族群大小因黃色蛾比率的增加而變大</t>
  </si>
  <si>
    <t>35.	下列哪些是原核生物的細胞？（應選2項) （A)甲烷菌的細胞	（B)酵母菌的細胞	（C)藍綠菌的細胞 （D)松的導管細胞	（E)人的紅血球細胞</t>
  </si>
  <si>
    <t>36.	有湧升流現象的海域，其表層海水特性相較周圍海域有顯著不同，甚至會影響該區域天氣或氣候的變化。下列哪些是湧升流海域的特徵？（應選2項) （A)海面易形成霧	（B)表層海水溶氧量增加	（C)表層海水鹽度降低 （D)表層海水較透明	（E)混合層厚度變薄 三、綜合題（占8分) 聯合國大會宣布2015年為「國際光之年」，世界各國紛紛展開推廣活動，希望大眾了解「光科技」的重要性。想要了解光的特性，首先要認識電磁波光譜。電磁波可依其頻率的高低或波長的長短來劃分。將波長由長到短排列，則分別為無線電波、微波、紅外線、可見光、紫外線、X射線及伽瑪射線，而波長愈長的能量愈低。人眼可看到的只有可見光，其波長約介於380~750 nm。 高效率藍光發光二極體（LED)的發明，促使明亮省電的可見光光源得以實現，因而獲頒2014年物理諾貝爾獎。此外，由於雷射光是單一波長的光源，易聚光為極細且強的光束，因此雷射的發明對現代科技應用貢獻甚多。 演化使生物與光呈現多樣化的關係。動物以視覺感應光，偵測週遭環境，植物以生化反應從光中提取能量，但只有少數物種主動發光。會發光的生物體通常發冷光，此冷光不同於白熱光。螢火蟲是在陸地上發黃光的生物，雙鞭毛蟲（又稱甲藻)則在夜間發藍綠光，使海水閃放藍綠光。 天文觀測是以接收宇宙中天體所發出的光為主，科學家透過觀測恆星、星系所發出的光，得以研究恆星演化、宇宙起源等問題。光速雖然快，但在浩瀚的宇宙中，許多天體發出的光仍須傳遞很久才會抵達地球。</t>
  </si>
  <si>
    <t>第37 題至第40 題，聯合國大會宣布2015年為「國際光之年」，世界各國紛紛展開推廣活動，希望大眾了解「光科技」的重要性。想要了解光的特性，首先要認識電磁波光譜。電磁波可依其頻率的高低或波長的長短來劃分。將波長由長到短排列，則分別為無線電波、微波、紅外線、可見光、紫外線、X射線及伽瑪射線，而波長愈長的能量愈低。人眼可看到的只有可見光，其波長約介於380~750 nm。 高效率藍光發光二極體（LED)的發明，促使明亮省電的可見光光源得以實現，因而獲頒2014年物理諾貝爾獎。此外，由於雷射光是單一波長的光源，易聚光為極細且強的光束，因此雷射的發明對現代科技應用貢獻甚多。 演化使生物與光呈現多樣化的關係。動物以視覺感應光，偵測週遭環境，植物以生化反應從光中提取能量，但只有少數物種主動發光。會發光的生物體通常發冷光，此冷光不同於白熱光。螢火蟲是在陸地上發黃光的生物，雙鞭毛蟲（又稱甲藻)則在夜間發藍綠光，使海水閃放藍綠光。 天文觀測是以接收宇宙中天體所發出的光為主，科學家透過觀測恆星、星系所發出的光，得以研究恆星演化、宇宙起源等問題。光速雖然快，但在浩瀚的宇宙中，許多天體發出的光仍須傳遞很久才會抵達地球。</t>
  </si>
  <si>
    <t>37.	人造光源發光效率約如表2所示，
油燈：發光效率為 0.1 lm/W，是表中發光效率最低的一種光源。
鎢絲燈泡：發光效率為 15 lm/W，比油燈高出許多，但仍然是較低效的光源。
螢光燈：發光效率為 75 lm/W，比鎢絲燈泡有顯著提升，屬於相對高效的光源。
發光二極體（LED)：發光效率為 300 lm/W，是表中效率最高的光源，遠高於其他傳統光源。表中的流明（lm)為經人類視覺效率調整之後的照明單位。
下列敘述哪些正確？（應選2項) （A)紅光光子的能量大於藍光光子 （B)使用油燈時釋出的二氧化碳量與其他燈具差不多 （C)在同一時段提供相同的照明，鎢絲燈泡產生的熱能多於螢光燈 （D)在同一時段提供相同的照明，使用螢光燈所消耗的電能約是使用發光二極體的1/4倍 （E)在同一時段提供相同的照明，使用鎢絲燈泡所消耗的電能約是使用發光二極體的20倍</t>
  </si>
  <si>
    <t>38.	下列有關光的敘述，哪一項錯誤？ （A)紫外線可被大氣中的臭氧層吸收 （B)雷射可用於外科手術，替代傳統的不銹鋼手術刀 （C)光碟所存的訊息，可由雷射光束讀取 （D)光纖可以導引光的方向 （E)紅外線比紫外線易破壞原子間的鍵結</t>
  </si>
  <si>
    <t>39.	下列有關生物體與光的關係，何者正確？ （A)發光生物所發出的冷光，其波長都位於波譜的藍綠帶 （B)螢火蟲於夜間發出一閃一閃熱輻射 （C)生物具有發光能力是適應的結果 （D)甲藻因為會發光而改稱為雙鞭毛蟲 （E)多數植物會從光中提取能量主動發光</t>
  </si>
  <si>
    <t>40.	我們對宇宙中天體所發出的光了解越多，越能認識這些天體。下列有關天體所發出光線的敘述，何者正確？ （A)當我們觀賞星空，看見仙女座M31，顯示M31現在的外貌 （B)觀察恆星的吸收光譜，可以判斷恆星的氣體組成 （C)恆星的顏色越偏紅，表示其年齡越老 （D)恆星的溫度越高，絕對星等越大 （E)依據天體看起來的明亮程度，就可判斷天體距離地球的遠近 第貳部分（占48分) 41-43為題組 一物體的動量定義為質量與速度的乘積。假設甲、乙兩物體的質量分別為與，此兩物體於時段內發生正面碰撞，碰撞前後的速度變化量分別為與。依據牛頓第二運動定律，在時段內甲、乙的平均受力與分別為與，而根據牛頓第三運動定律，故可得，此即為「動量守恆律」。依據前述牛頓運動定律、動量守恆律，以及外力所作的功等於物體動能變化量的定理，回答下列41-43題有關碰撞的問題。</t>
  </si>
  <si>
    <t xml:space="preserve">41-43為題組
{
  "description": "一物體的動量定義為質量與速度的乘積。假設甲、乙兩物體的質量分別為 m 與 m'，此兩物體於 Δt 時段內發生正面碰撞，碰撞前後的速度變化量分別為 Δv 與 Δv'。依據牛頓第二運動定律，在 Δt 時段內甲、乙的平均受力 F 與 F' 分別為 F = m Δv / Δt 與 F' = m' Δv' / Δt，而根據牛頓第三運動定律 F = -F'，故可得 m Δv + m' Δv' = 0，此即為『動量守恆律』。依據前述牛頓運動定律，動量守恆律，以及外力所作的功等於物體動能變化量的定理，回答下列 41-43 題有關碰撞的問題。"
}
</t>
  </si>
  <si>
    <t>41. 以高速攝影機拍攝一質量為50 g之網球撞擊牆面的過程，所得到的球中心速度對時間的變化如圖12所示
橫軸 （t)：表示時間，單位是秒 （s)，從 0 到 0.8 秒。
縱軸 （v)：表示速度，單位是公尺每秒 （m/s)，範圍從 -40 m/s 到 40 m/s。
圖中變化情況：
在 t = 0 秒時，物體的速度是 40 m/s，這表明物體在初始時刻具有較高的正向速度。
從 t = 0.2 秒到 t = 0.4 秒之間，物體的速度急劇下降，經歷了一個快速的變化過程，從正的 40 m/s 下降到接近 -40 m/s，表示物體的運動方向發生了改變，並且速度大幅減少，進入了負速度區域。
在 t = 0.4 秒後，物體的速度趨於穩定，在接近 -40 m/s的區域保持不變。
，則在撞擊牆面的過程中，網球受到牆面平均作用力的量值，最接近下列何者？ （A) 0.02N （B) 0.2N （C) 2N （D) 20N （E) 200N</t>
  </si>
  <si>
    <r>
      <rPr>
        <sz val="11"/>
        <color theme="1"/>
        <rFont val="PMingLiu"/>
        <family val="1"/>
        <charset val="136"/>
      </rPr>
      <t>42.圖13所示為一種打樁機的簡化模型，它可藉由鐵塊從靜止開始自由下落，將鐵樁打入堅硬的岩層中，其中鐵塊最初高度為 h</t>
    </r>
    <r>
      <rPr>
        <sz val="11"/>
        <color theme="1"/>
        <rFont val="新細明體"/>
        <family val="1"/>
        <charset val="136"/>
      </rPr>
      <t>₁</t>
    </r>
    <r>
      <rPr>
        <sz val="11"/>
        <color theme="1"/>
        <rFont val="新細明體"/>
        <family val="1"/>
        <charset val="136"/>
      </rPr>
      <t>，而鐵樁露出在地面上的高度由 h</t>
    </r>
    <r>
      <rPr>
        <sz val="11"/>
        <color theme="1"/>
        <rFont val="新細明體"/>
        <family val="1"/>
        <charset val="136"/>
      </rPr>
      <t>₂</t>
    </r>
    <r>
      <rPr>
        <sz val="11"/>
        <color theme="1"/>
        <rFont val="新細明體"/>
        <family val="1"/>
        <charset val="136"/>
      </rPr>
      <t xml:space="preserve"> 減少為 h</t>
    </r>
    <r>
      <rPr>
        <sz val="11"/>
        <color theme="1"/>
        <rFont val="新細明體"/>
        <family val="1"/>
        <charset val="136"/>
      </rPr>
      <t>₃</t>
    </r>
    <r>
      <rPr>
        <sz val="11"/>
        <color theme="1"/>
        <rFont val="新細明體"/>
        <family val="1"/>
        <charset val="136"/>
      </rPr>
      <t>。已知鐵塊與鐵樁碰撞後瞬間合而為一，若針對不同的 h</t>
    </r>
    <r>
      <rPr>
        <sz val="11"/>
        <color theme="1"/>
        <rFont val="新細明體"/>
        <family val="1"/>
        <charset val="136"/>
      </rPr>
      <t>₁</t>
    </r>
    <r>
      <rPr>
        <sz val="11"/>
        <color theme="1"/>
        <rFont val="新細明體"/>
        <family val="1"/>
        <charset val="136"/>
      </rPr>
      <t xml:space="preserve"> 與 h</t>
    </r>
    <r>
      <rPr>
        <sz val="11"/>
        <color theme="1"/>
        <rFont val="新細明體"/>
        <family val="1"/>
        <charset val="136"/>
      </rPr>
      <t>₃</t>
    </r>
    <r>
      <rPr>
        <sz val="11"/>
        <color theme="1"/>
        <rFont val="新細明體"/>
        <family val="1"/>
        <charset val="136"/>
      </rPr>
      <t xml:space="preserve"> 組合，測得的 （h</t>
    </r>
    <r>
      <rPr>
        <sz val="11"/>
        <color theme="1"/>
        <rFont val="新細明體"/>
        <family val="1"/>
        <charset val="136"/>
      </rPr>
      <t>₁</t>
    </r>
    <r>
      <rPr>
        <sz val="11"/>
        <color theme="1"/>
        <rFont val="新細明體"/>
        <family val="1"/>
        <charset val="136"/>
      </rPr>
      <t xml:space="preserve"> - h</t>
    </r>
    <r>
      <rPr>
        <sz val="11"/>
        <color theme="1"/>
        <rFont val="新細明體"/>
        <family val="1"/>
        <charset val="136"/>
      </rPr>
      <t>₂</t>
    </r>
    <r>
      <rPr>
        <sz val="11"/>
        <color theme="1"/>
        <rFont val="新細明體"/>
        <family val="1"/>
        <charset val="136"/>
      </rPr>
      <t>) 對 （h</t>
    </r>
    <r>
      <rPr>
        <sz val="11"/>
        <color theme="1"/>
        <rFont val="新細明體"/>
        <family val="1"/>
        <charset val="136"/>
      </rPr>
      <t>₂</t>
    </r>
    <r>
      <rPr>
        <sz val="11"/>
        <color theme="1"/>
        <rFont val="新細明體"/>
        <family val="1"/>
        <charset val="136"/>
      </rPr>
      <t xml:space="preserve"> - h</t>
    </r>
    <r>
      <rPr>
        <sz val="11"/>
        <color theme="1"/>
        <rFont val="新細明體"/>
        <family val="1"/>
        <charset val="136"/>
      </rPr>
      <t>₃</t>
    </r>
    <r>
      <rPr>
        <sz val="11"/>
        <color theme="1"/>
        <rFont val="新細明體"/>
        <family val="1"/>
        <charset val="136"/>
      </rPr>
      <t>) 的關係如圖14所示，則下列推論何者正確？"
(A)鐵樁在岩層中受到的平均阻力與鐵樁深入的距離成正比
(B)鐵樁在岩層中受到的平均阻力與鐵樁深入的距離無關
(C)鐵樁在岩層中移動的時間與鐵樁深入的距離成正比
(D)鐵樁在岩層中移動的時間與鐵樁深入的距離無關
(E)在鐵塊與鐵樁碰撞瞬間的前後， 兩者的總動能相等</t>
    </r>
  </si>
  <si>
    <r>
      <rPr>
        <sz val="11"/>
        <color theme="1"/>
        <rFont val="PMingLiu"/>
        <family val="1"/>
        <charset val="136"/>
      </rPr>
      <t>43. 承上題， 若1h 保持定值， 但以不同2h 進行打樁實驗。假設鐵樁與鐵塊碰撞後合為一體並以最初速率v 進入岩層， 則下列何者最接近v 對（ 23hh ) 的正確作圖？
（A)線性關係：速度 v 與高度差 h</t>
    </r>
    <r>
      <rPr>
        <sz val="11"/>
        <color theme="1"/>
        <rFont val="新細明體"/>
        <family val="1"/>
        <charset val="136"/>
      </rPr>
      <t>₂</t>
    </r>
    <r>
      <rPr>
        <sz val="11"/>
        <color theme="1"/>
        <rFont val="新細明體"/>
        <family val="1"/>
        <charset val="136"/>
      </rPr>
      <t xml:space="preserve"> - h</t>
    </r>
    <r>
      <rPr>
        <sz val="11"/>
        <color theme="1"/>
        <rFont val="新細明體"/>
        <family val="1"/>
        <charset val="136"/>
      </rPr>
      <t>₃</t>
    </r>
    <r>
      <rPr>
        <sz val="11"/>
        <color theme="1"/>
        <rFont val="新細明體"/>
        <family val="1"/>
        <charset val="136"/>
      </rPr>
      <t xml:space="preserve"> 呈正比例關係，隨著 h</t>
    </r>
    <r>
      <rPr>
        <sz val="11"/>
        <color theme="1"/>
        <rFont val="新細明體"/>
        <family val="1"/>
        <charset val="136"/>
      </rPr>
      <t>₂</t>
    </r>
    <r>
      <rPr>
        <sz val="11"/>
        <color theme="1"/>
        <rFont val="新細明體"/>
        <family val="1"/>
        <charset val="136"/>
      </rPr>
      <t xml:space="preserve"> - h</t>
    </r>
    <r>
      <rPr>
        <sz val="11"/>
        <color theme="1"/>
        <rFont val="新細明體"/>
        <family val="1"/>
        <charset val="136"/>
      </rPr>
      <t>₃</t>
    </r>
    <r>
      <rPr>
        <sz val="11"/>
        <color theme="1"/>
        <rFont val="新細明體"/>
        <family val="1"/>
        <charset val="136"/>
      </rPr>
      <t xml:space="preserve"> 增加，速度線性增長。這表示一個均勻增速過程，表明物體受到一個恆定的力，速度隨距離線性增加。
（B)指數衰減：速度 v 隨著高度差 h</t>
    </r>
    <r>
      <rPr>
        <sz val="11"/>
        <color theme="1"/>
        <rFont val="新細明體"/>
        <family val="1"/>
        <charset val="136"/>
      </rPr>
      <t>₂</t>
    </r>
    <r>
      <rPr>
        <sz val="11"/>
        <color theme="1"/>
        <rFont val="新細明體"/>
        <family val="1"/>
        <charset val="136"/>
      </rPr>
      <t xml:space="preserve"> - h</t>
    </r>
    <r>
      <rPr>
        <sz val="11"/>
        <color theme="1"/>
        <rFont val="新細明體"/>
        <family val="1"/>
        <charset val="136"/>
      </rPr>
      <t>₃</t>
    </r>
    <r>
      <rPr>
        <sz val="11"/>
        <color theme="1"/>
        <rFont val="新細明體"/>
        <family val="1"/>
        <charset val="136"/>
      </rPr>
      <t xml:space="preserve"> 增加而指數衰減，開始時速度較高，隨著 h</t>
    </r>
    <r>
      <rPr>
        <sz val="11"/>
        <color theme="1"/>
        <rFont val="新細明體"/>
        <family val="1"/>
        <charset val="136"/>
      </rPr>
      <t>₂</t>
    </r>
    <r>
      <rPr>
        <sz val="11"/>
        <color theme="1"/>
        <rFont val="新細明體"/>
        <family val="1"/>
        <charset val="136"/>
      </rPr>
      <t xml:space="preserve"> - h</t>
    </r>
    <r>
      <rPr>
        <sz val="11"/>
        <color theme="1"/>
        <rFont val="新細明體"/>
        <family val="1"/>
        <charset val="136"/>
      </rPr>
      <t>₃</t>
    </r>
    <r>
      <rPr>
        <sz val="11"/>
        <color theme="1"/>
        <rFont val="新細明體"/>
        <family val="1"/>
        <charset val="136"/>
      </rPr>
      <t xml:space="preserve"> 增加，速度迅速減少。這通常表示阻力隨速度增大或某種能量耗散的過程。
（C)增速曲線：速度 v 隨著高度差 h</t>
    </r>
    <r>
      <rPr>
        <sz val="11"/>
        <color theme="1"/>
        <rFont val="新細明體"/>
        <family val="1"/>
        <charset val="136"/>
      </rPr>
      <t>₂</t>
    </r>
    <r>
      <rPr>
        <sz val="11"/>
        <color theme="1"/>
        <rFont val="新細明體"/>
        <family val="1"/>
        <charset val="136"/>
      </rPr>
      <t xml:space="preserve"> - h</t>
    </r>
    <r>
      <rPr>
        <sz val="11"/>
        <color theme="1"/>
        <rFont val="新細明體"/>
        <family val="1"/>
        <charset val="136"/>
      </rPr>
      <t>₃</t>
    </r>
    <r>
      <rPr>
        <sz val="11"/>
        <color theme="1"/>
        <rFont val="新細明體"/>
        <family val="1"/>
        <charset val="136"/>
      </rPr>
      <t xml:space="preserve"> 增加而非線性增長，曲線呈凸形。這表示速度增加越來越快，可能表示加速度隨著距離增加而變大。
（D)二次曲線增長：速度 v 與高度差 h</t>
    </r>
    <r>
      <rPr>
        <sz val="11"/>
        <color theme="1"/>
        <rFont val="新細明體"/>
        <family val="1"/>
        <charset val="136"/>
      </rPr>
      <t>₂</t>
    </r>
    <r>
      <rPr>
        <sz val="11"/>
        <color theme="1"/>
        <rFont val="新細明體"/>
        <family val="1"/>
        <charset val="136"/>
      </rPr>
      <t xml:space="preserve"> - h</t>
    </r>
    <r>
      <rPr>
        <sz val="11"/>
        <color theme="1"/>
        <rFont val="新細明體"/>
        <family val="1"/>
        <charset val="136"/>
      </rPr>
      <t>₃</t>
    </r>
    <r>
      <rPr>
        <sz val="11"/>
        <color theme="1"/>
        <rFont val="新細明體"/>
        <family val="1"/>
        <charset val="136"/>
      </rPr>
      <t xml:space="preserve"> 呈二次曲線關係，曲線呈上凹形，速度隨著 h</t>
    </r>
    <r>
      <rPr>
        <sz val="11"/>
        <color theme="1"/>
        <rFont val="新細明體"/>
        <family val="1"/>
        <charset val="136"/>
      </rPr>
      <t>₂</t>
    </r>
    <r>
      <rPr>
        <sz val="11"/>
        <color theme="1"/>
        <rFont val="新細明體"/>
        <family val="1"/>
        <charset val="136"/>
      </rPr>
      <t xml:space="preserve"> - h</t>
    </r>
    <r>
      <rPr>
        <sz val="11"/>
        <color theme="1"/>
        <rFont val="新細明體"/>
        <family val="1"/>
        <charset val="136"/>
      </rPr>
      <t>₃</t>
    </r>
    <r>
      <rPr>
        <sz val="11"/>
        <color theme="1"/>
        <rFont val="新細明體"/>
        <family val="1"/>
        <charset val="136"/>
      </rPr>
      <t xml:space="preserve"> 增加以二次方速度增加。這種情況通常出現在自由落體運動中，物體速度隨位移平方增長。
（E)斷裂線性關係：速度 v 在高度差 h</t>
    </r>
    <r>
      <rPr>
        <sz val="11"/>
        <color theme="1"/>
        <rFont val="新細明體"/>
        <family val="1"/>
        <charset val="136"/>
      </rPr>
      <t>₂</t>
    </r>
    <r>
      <rPr>
        <sz val="11"/>
        <color theme="1"/>
        <rFont val="新細明體"/>
        <family val="1"/>
        <charset val="136"/>
      </rPr>
      <t xml:space="preserve"> - h</t>
    </r>
    <r>
      <rPr>
        <sz val="11"/>
        <color theme="1"/>
        <rFont val="新細明體"/>
        <family val="1"/>
        <charset val="136"/>
      </rPr>
      <t>₃</t>
    </r>
    <r>
      <rPr>
        <sz val="11"/>
        <color theme="1"/>
        <rFont val="新細明體"/>
        <family val="1"/>
        <charset val="136"/>
      </rPr>
      <t xml:space="preserve"> 增加至某一點後突然改變。這可能代表一個過程的突然變化，表明物體在經歷了某種衝擊或事件後，速度立即發生變化或減速，這可能是碰撞過程中的現象。</t>
    </r>
  </si>
  <si>
    <t>44-45為題組
一質量可忽略的理想彈簧左端固定於牆上，其力常數為k ，如圖15所示。一質量為m 的木塊， 以初速率v 向左滑行於水平面上， 在正面擠壓彈簧後與彈簧保持接觸， 直到被向右彈回，兩者分離。已知彈簧壓縮量為𝑥時，其彈簧位能 1/2 kx²，而木塊與彈簧系統的力學能，定義為木塊動能與彈簧位能的總和。依據上述資料，回答下列</t>
  </si>
  <si>
    <t>44. 若木塊與水平面間沒有摩擦力，則木塊與彈簧系統的力學能守恆。在沒有摩擦力
的假設下， 下列敘述哪些正確？ （ 應選3 項）
(A)彈簧最大壓縮量 x = √（mv² / k)
(B)在壓縮過程中， 木塊的動能守恆
(C)木塊彈回右方起始位置時的速率為v
(D)木塊在剛開始壓縮彈簧時受力最大
(E)彈簧被壓縮到最短時， 木塊所受彈簧作用力最大</t>
  </si>
  <si>
    <t>45.當木塊與水平面間有摩擦力時，木塊與彈簧系統的力學能會持續減少。在有摩擦
力的情況下， 下列敘述哪些正確？ （ 應選2 項）
(A)彈簧最大壓縮量 x = √（mv² / k)
(B)木塊彈回右方起始位置時速率小於v
(C)木塊彈回右方起始位置時速率等於v
(D)當彈簧的壓縮量為最大時， 系統的力學能為最小
(E)當彈簧的壓縮量為最大時， 系統的力學能為最大</t>
  </si>
  <si>
    <t>46.質量為 50 kg 的某生站在電梯內的體重計上，電梯原靜止於第一樓層，電梯啟動後最初 10 秒體重計的讀數均為 60 kgw，之後 20 秒體重計的讀數均為 45 kgw。若取重力加速度為 10 m/s²，則電梯經過 30 秒的位移為多少 m？"
 (A) 100 (B) 150 (C) 200 (D) 250 (E) 300</t>
  </si>
  <si>
    <t>47.質量分別為 M₁ 與 M₂ 的甲、乙兩衛星均繞地球作等速圓周運動，已知甲、乙衛星的軌道半徑分別為 R₁ 與 R₂，則甲衛星繞地球的速率是乙衛星繞地球速率的多少倍？
(A): √（R₁ / R₂)
(B): √（R₂ / R₁)
(C): √（M₁ R₁ / M₂ R₂)
(D):√（M₂ R₂ / M₁ R₁)
(E): √（M₁ R₂ / M₂ R₁)</t>
  </si>
  <si>
    <t>48-49為題組 現有X, Y, Z, W, T, Q六種元素，其相關敘述如下： X和Y均為第三週期的元素，其價電子數分別為2和7；Z, W, T均為第二週期元素，其價電子數依序為4, 5, 6；Q為第一週期的元素。根據以上資訊回答下列問題。</t>
  </si>
  <si>
    <t>48.	下列有關X與Y所形成之化合物的敘述，何者錯誤？ （A)此化合物中X與Y之間的鍵結屬於離子鍵 （B)此化合物易溶於水 （C)將此化合物加熱成熔融態，則可導電 （D)此化合物具有延展性 （E)此化合物之化學式可以表示</t>
  </si>
  <si>
    <r>
      <rPr>
        <sz val="11"/>
        <color theme="1"/>
        <rFont val="PMingLiu"/>
        <family val="1"/>
        <charset val="136"/>
      </rPr>
      <t>49.	下列化學式代表由這些元素所形成的分子，其中哪一個分子的路易斯結構不具有孤電子對？
(A) QY
(B) ZQ</t>
    </r>
    <r>
      <rPr>
        <sz val="11"/>
        <color theme="1"/>
        <rFont val="新細明體"/>
        <family val="1"/>
        <charset val="136"/>
      </rPr>
      <t xml:space="preserve">₄
</t>
    </r>
    <r>
      <rPr>
        <sz val="11"/>
        <color theme="1"/>
        <rFont val="新細明體"/>
        <family val="1"/>
        <charset val="136"/>
      </rPr>
      <t>(C) WQ</t>
    </r>
    <r>
      <rPr>
        <sz val="11"/>
        <color theme="1"/>
        <rFont val="新細明體"/>
        <family val="1"/>
        <charset val="136"/>
      </rPr>
      <t xml:space="preserve">₃
</t>
    </r>
    <r>
      <rPr>
        <sz val="11"/>
        <color theme="1"/>
        <rFont val="新細明體"/>
        <family val="1"/>
        <charset val="136"/>
      </rPr>
      <t>(D) ZT</t>
    </r>
    <r>
      <rPr>
        <sz val="11"/>
        <color theme="1"/>
        <rFont val="新細明體"/>
        <family val="1"/>
        <charset val="136"/>
      </rPr>
      <t xml:space="preserve">₂
</t>
    </r>
    <r>
      <rPr>
        <sz val="11"/>
        <color theme="1"/>
        <rFont val="新細明體"/>
        <family val="1"/>
        <charset val="136"/>
      </rPr>
      <t>(E) T</t>
    </r>
    <r>
      <rPr>
        <sz val="11"/>
        <color theme="1"/>
        <rFont val="新細明體"/>
        <family val="1"/>
        <charset val="136"/>
      </rPr>
      <t>₂</t>
    </r>
  </si>
  <si>
    <t>50.	圖16是甲與乙的溶解度曲線。
這張圖顯示了物質 甲 和 乙 的溶解度隨著溫度變化的曲線圖。圖表中的關鍵元素包括：
橫軸：表示溫度，單位為攝氏度 （°C)，範圍從 0°C 到 80°C。
縱軸：表示溶解度，單位為每 100 克水中的溶解克數 （g/100g 水)，範圍從 0 到 70 g/100g 水。
圖中的曲線
甲：對應的是圖中較下方的曲線，顯示物質甲的溶解度隨溫度的升高而緩慢增加。在溫度較低時，溶解度增長較快，但在高溫下趨於平緩。
乙：對應的是圖中較上方的曲線，顯示物質乙的溶解度隨著溫度的升高快速增加。在高溫下溶解度顯著上升，表明物質乙在高溫下能夠溶解更多。
標記
①：在圖中的大約 50°C 處，標記顯示物質甲和乙的溶解度在該溫度點附近接近，兩者的溶解度相似。
②：標記位於低溫區域，約 10°C 左右，指出在這個低溫下，物質乙的溶解度比物質甲的溶解度更大。
下列有關溶解度與濃度的敘述，哪些正確？（應選3項) （A)在55℃時的溶解度甲＞乙 （B)在40℃時，對溶質乙而言，在點①的濃度為50g/100g水 （C)在20℃時，配製甲與乙的飽和溶液均會使水溫上升 （D)對溶質甲與乙而言，在點②的重量百分濃度相同 （E)將同在60℃的甲與乙的飽和溶液，冷卻至20℃時，析出的質量甲＜乙  51-52為題組 王同學進行基礎化學（二)化學電池的實驗，取4個燒杯，配製了4種溶液並置入4種不同的電極，構成甲、乙、丙、丁4種半電池（單電池)如表3所示： 上課時，張老師先解釋化學電池的原理：化學電池的陽極就是負極，可釋出電子；陰極就是正極，可接受電子。此外，四種金屬釋出電子的傾向大小依序為鋅＞鎳＞銅＞銀。圖17是鎳銅電池的簡易裝置。圖中，鎳片置於負極，銅片置於正極，三用電表顯示約0.57 V，此鎳銅電池的淨反應如下：</t>
  </si>
  <si>
    <t>BDE</t>
  </si>
  <si>
    <t xml:space="preserve">51-52為題組
{
  "experiment": {
    "title": "51-52 題組",
    "description": "王同學進行了基礎化學（二)化學電池的實驗，取了 4 個燒杯，配製了 4 種溶液並放入 4 種不同的電極，構成了 甲、乙、丙、丁 4 種半電池（單電池)。老師解釋了化學電池的原理：化學電池的陽極就是負極，可釋出電子；陰極就是正極，可接受電子。四種金屬間電子的傾向依序為鋅 &gt; 鎳 &gt; 銅 &gt; 銀。"
  },
  "table": {
    "title": "表 3",
    "description": "列出了 4 種半電池的溶液、溶液顏色和電極材料。",
    "content": [
      {
        "cell": "甲",
        "solution": "硫酸鋅",
        "color": "無色",
        "electrode": "鋅片"
      },
      {
        "cell": "乙",
        "solution": "硫酸鎳（II)",
        "color": "綠色",
        "electrode": "鎳片"
      },
      {
        "cell": "丙",
        "solution": "硫酸銅",
        "color": "藍色",
        "electrode": "銅片"
      },
      {
        "cell": "丁",
        "solution": "硫酸銀",
        "color": "無色",
        "electrode": "碳棒"
      }
    ]
  },
  "diagram": {
    "title": "圖 17",
    "description": "顯示了化學電池實驗中的裝置示意圖，展示了鎳片和銅片分別作為負極和正極插入硫酸鎳（II)和硫酸銅溶液中，電壓表顯示電池的電壓為 0.57 V。"
  },
  "reaction": {
    "equation": "Ni（s) + Cu²⁺（aq) → Ni²⁺（aq) + Cu（s)"
  }
}
</t>
  </si>
  <si>
    <t>51.	下列關於王同學所進行的實驗，哪些敘述正確？（應選3項) （A)隨著反應式（1)的進行，右燒杯中硫酸銅的藍色會變淺 （B)隨著反應式（1)的進行，左燒杯中硫酸鎳（Ⅱ)的綠色會變淺 （C)若圖中燒杯的溶液不變，將電極片清洗後，交換電極片位置，則三用電表同樣可顯示約0.57 V （D)若將鎳銅電池的裝置改為鋅銅電池，則三用電表的讀數會大於0.57 V （E)表3的丁半電池可使用碳棒來取代銀片，同理，鎳銅電池的銅片亦可使用碳棒來取代</t>
  </si>
  <si>
    <t>52.	由甲、乙、丙、丁的4種半電池，以圖17的方式連結兩半電池時，共可構成幾種電流方向與鎳銅電池相同的電池？（不含鎳銅電池) （A) 1	（B) 2	（C) 3	（D) 4	（E) 5</t>
  </si>
  <si>
    <r>
      <rPr>
        <sz val="11"/>
        <color theme="1"/>
        <rFont val="PMingLiu"/>
        <family val="1"/>
        <charset val="136"/>
      </rPr>
      <t>53. 環烯烴的命名須先以環上雙鍵的位置開始編號。若環上有取代基時，則以最小的阿拉伯數字標示取代基的位置。
結構 I：這是一個甲基（CH</t>
    </r>
    <r>
      <rPr>
        <sz val="11"/>
        <color theme="1"/>
        <rFont val="新細明體"/>
        <family val="1"/>
        <charset val="136"/>
      </rPr>
      <t>₃</t>
    </r>
    <r>
      <rPr>
        <sz val="11"/>
        <color theme="1"/>
        <rFont val="新細明體"/>
        <family val="1"/>
        <charset val="136"/>
      </rPr>
      <t>）取代的五元環（環戊烷）。該分子是甲基環戊烷，甲基取代基連接在環戊烷的一個碳上。
結構 II：這是一個雙取代的五元環，其中一個甲基（CH</t>
    </r>
    <r>
      <rPr>
        <sz val="11"/>
        <color theme="1"/>
        <rFont val="新細明體"/>
        <family val="1"/>
        <charset val="136"/>
      </rPr>
      <t>₃</t>
    </r>
    <r>
      <rPr>
        <sz val="11"/>
        <color theme="1"/>
        <rFont val="新細明體"/>
        <family val="1"/>
        <charset val="136"/>
      </rPr>
      <t xml:space="preserve">）與雙鍵存在。這個分子是甲基取代的環戊烯，雙鍵位於五元環的一個位置，並且在另一個碳上有一個甲基取代基。
圖18結構（ Ⅰ ） 可命名為4-甲基環戊烯， 則下列選項中， 何者為結構（ Ⅱ ） 的正確中文系統名稱？
(A) 1,2-二甲基環戊烯 (B) 1,3-二甲基環戊烯
(C) 1,4-二甲基環戊烯 (D) 3,5-二甲基環戊烯
(E) 2,4-二甲基環戊烯
</t>
    </r>
  </si>
  <si>
    <t>54.	下列關於有機化合物的敘述，哪些正確？（應選3項) （A)烴分子中的氫原子被羧基取代而成的有機物屬於醇類化合物 （B)甲醇是醇類中最簡單的化合物 （C)乙醚是醚類中最簡單的化合物 （D)丙酮是酮類中最簡單的化合物 （E)丙酸與乙醇反應，可產生丙酸乙酯</t>
  </si>
  <si>
    <t>55.	下列哪些與植物的有性生殖方式有關？（應選2項) （A)授粉	（B)扦插苗	（C)胎生苗 （D)蕨類孢子繁殖	（E)組織培養苗</t>
  </si>
  <si>
    <t>56.	某地層中發現一種植物化石，下列何者可據以研判該化石是早期的被子植物？ （A)有種子	（B)有花粉	（C)有子房	（D)有維管束	（E)有孢子</t>
  </si>
  <si>
    <t>57.	下列何者是利用擴散作用的方式進行？ （A)肺泡中，氧與二氧化碳的交換	（B)胃液的分泌 （C)腎的再吸收作用	（D)植物根細胞自土壤吸收養分 （E)小腸的吸收作用</t>
  </si>
  <si>
    <t>58.	下列何種物質由人體某一組織產生後，分泌至血液中，經循環系統運送至其他組織或器官，以發揮調節的目的？ （A)ATP	（B)抗體	（C)激素	（D)酵素	（E)消化液</t>
  </si>
  <si>
    <t>59.	下列有關抗體與抗原之敘述，哪些正確？（應選2項) （A)新生兒預防注射是注射病原體之抗體 （B)抗體是由核酸組成之巨大分子 （C)人體本身的抗原不可能誘發自身抗體之產生 （D)毒蛇咬傷之患者可用對應蛇毒之抗體治療 （E)抗體可對抗入侵人體的特定病原體</t>
  </si>
  <si>
    <t>60.	下列敘述表達兩種生物間的關係，哪些屬於互利共生？（應選3項) （A)魚與其以吸盤吸附的鯊魚	（B)地衣中的藻類和真菌 （C)菟絲子與其所攀附的牽牛花	（D)螞蟻與受其保護的蚜蟲 （E)豆科植物與其根部的根瘤菌</t>
  </si>
  <si>
    <t>61.	某族群的平均出生率（實線)及平均死亡率（虛線)，與此族群所依賴的資源量關係如圖19這張圖顯示了資源量與出生率和死亡率之間的關係，具體描述如下：
橫軸：代表資源量，從左到右依次表示資源量的增加，從「少」到「多」。
縱軸：代表平均出生率或平均死亡率，從下到上依次表示出生率或死亡率的高低，從「低」到「高」。
曲線：
上方的曲線代表出生率，顯示隨著資源量的增加，出生率最初上升，達到一個頂點後逐漸下降。
下方的水平線代表死亡率，表示在資源量增長的過程中，死亡率大致保持不變。
R點：圖中標示的 R 代表一個關鍵的資源量，此點左右表示資源量的變化對出生率與死亡率的影響。當資源量達到 R 點時，出生率和死亡率相等，這可能代表種群的穩定狀態。。下列哪些正確？（應選2項) （A)資源量的多少，不會影響族群的大小 （B)資源量長期小於R可能導致此族群滅絕 （C)資源量為R時，此族群之大小呈穩定狀態 （D)資源量的多少，不影響族群的平均出生率 （E)隨著資源量的增加，族群可以無限成長</t>
  </si>
  <si>
    <t>62.	恆星的顏色與其表面溫度有關，表面溫度低則顏色偏紅，溫度高則偏藍。恆星的光譜型分類與其表面溫度有關。若有三顆恆星的顏色分別為藍、黃、紅，則它們的光譜型依序最可能為何？ （A) G、B、K	（B) B、A、M	（C) A、M、K （D) O、G、M	（E) O、K、G</t>
  </si>
  <si>
    <t>63.	月球繞行地球的軌道為橢圓形，而月球、地球與太陽三者的相對位置，造成地球看到月球明亮那一面有圓缺現象。我國農曆將朔定為初一，一個朔望月週期約為29.53天。下列有關朔的敘述，何者正確？ （A)在朔前後三天之內，月球最接近太陽 （B)在朔前後三天之內，月球最接近地球 （C)在朔前後三天之內，海水漲、退潮最不明顯 （D)國曆每年都是十二次朔 （E)朔當天，有可能發生日全食，但並非全球各地可見</t>
  </si>
  <si>
    <t>64.        地質圖為岩層於地形圖上分布的狀況。岩層走向為岩層層面與水平面交線的延伸方向，而岩層傾斜方向與走向垂直。圖20這張圖顯示了一個地形圖，圖中的關鍵元素包括：
等高線：圖中有多條等高線，表示該區域的地勢高度。等高線上的數字標示了該高度：
40、60、80、100（表示相應的高度，單位應該是米)。
等高線間隔均勻，說明地形相對平緩，越靠近中心地帶，高度越高，說明地勢是中間高、周圍低的情況，可能代表一座丘陵或山頂。
岩層甲：圖中有一條厚實的黑色線標記為“岩層甲”，這條線可能代表一條地層斷層或岩層露頭，貫穿該區域，顯示該地層沿著斷層或岩石邊界延伸。
比例尺：圖下方顯示了一個比例尺，標示“0–100 m”，表示圖中所示的距離範圍內每 1 cm 相當於實地 100 米。
方向標：圖右側有一個指向北方的箭頭，標示“N”，確定圖的方位，這有助於理解岩層和等高線在實地中的實際走向。為等高線及岩層甲（粗線條)出露於地表的分布，
則該岩層的走向與傾斜方向為下列何種組合？（等高線單位為公尺) （A)南北走向並向西傾斜 （B)東西走向並向北傾斜 （C)東西走向，岩層為水平 （D)東西走向並向南傾斜 （E)南北走向並向東傾斜</t>
  </si>
  <si>
    <t>65.	臺灣周圍有不同海（洋)流，冬季時，黑潮流經臺灣東部海域，中國沿海則有來自北方南下的冷流。圖21這張圖顯示了台灣及其周邊地區的地理位置。圖中描繪了台灣的輪廓，並標示了四個點：甲、乙、丙、丁，這些點似乎位於相同的緯度線上，表示它們位於同一水平線或相似的地理緯度。
甲：位於台灣西北方，接近中國大陸。
乙：位於台灣北部，靠近台灣本島。
丙：位於台灣東北方向，可能靠近台灣東方的外島。
丁：位於最東邊，顯示在太平洋上，離台灣本島較遠，可能是針對台灣以東的海域位置。是臺灣附近海域的地圖，圖中甲、乙、丙、丁四處位於北緯25度線上。
依據臺灣附近海域的流場，判斷下列哪一選項最符合冬季時，甲、乙、丙、丁四處海面溫度示意圖？  
（A) 圖：甲 和 丙 的溫度明顯較高，位於圖中高處。乙 和 丁 的溫度較低，位於圖中低處。排序：甲 = 丙 &gt; 乙 = 丁。
（B) 圖：乙 的溫度最高，位於圖中最上方。丙 和 甲 溫度相同，次高，位於圖中的中間位置。丁 溫度最低，位於圖中最下方。
排序：乙 &gt; 丙 = 甲 &gt; 丁。
（C) 圖：甲、乙、丙、丁 四個點的溫度幾乎一致，分布在圖中的同一水平線上。沒有明顯的高低差異。排序：甲 = 乙 = 丙 = 丁（溫度均等)。
（D) 圖：甲 和 丙 的溫度最高，兩者位於圖中較高處。乙 的溫度次低，介於高溫和低溫之間。丁 的溫度最低，位於圖中最下方。排序：甲 = 丙 &gt; 乙 &gt; 丁。
（E) 圖：乙 和 丙 的溫度最高，兩者位於圖中較高處。甲 和 丁 溫度較低，兩者位於圖中較低處。排序：乙 = 丙 &gt; 甲 = 丁。
（F) 圖：甲 和 丙 的溫度最高，位於圖中最上方。乙 和 丁 的溫度相對較低，兩者在圖中的位置相似。排序：甲 = 丙 &gt; 乙 = 丁。</t>
  </si>
  <si>
    <t>-依標準海流判斷，選項文字有疑點，無法高信心對應</t>
  </si>
  <si>
    <t>66.	圖22為夏季晴朗午後，海陸交界處的垂直溫度、氣壓結構示意圖，圖中實線與虛線可能表示等溫線或等壓線，甲、乙、丙、丁為四定點。這張圖展示了四個位置 甲、乙、丙、丁 的高度和水平距離的比較，圖中將這些位置與陸地和海洋相對應。以下是每個位置的具體描述：
甲：位於圖的最上方，顯示出其高度最高，水平距離相對較短，靠近海洋上方的某一高度。
乙：高度次高，位於圖的右上方，水平距離較遠，可能處於較高的海洋上空。
丙：位於圖中的較低處，顯示出高度相對較低，水平距離中等，位於海洋與陸地交界的上空。
丁：位於圖中的最下方，顯示出高度最低，水平距離最遠，靠近陸地，可能表示靠近地面的位置。
下列選項中，哪些正確？（應選2項) （A)陸地氣壓隨高度的變化比海洋大 （B)實線為等壓線，虛線為等溫線 （C)丁點的氣壓值最大，所以空氣由丁流向乙 （D)甲點的氣壓值最小，所以空氣由丙流向甲 （E)乙點的氣壓值大於甲，所以空氣由乙流向甲</t>
  </si>
  <si>
    <t>67.	地殼均衡理論認為地殼是浮在地函之上。下列有關地殼均衡理論的描述，哪些正確？（應選3項) （A)喜馬拉雅山的山根比臺灣中央山脈的山根淺 （B)冰川退卻後當地的地殼會逐漸抬升 （C)若質量相同，岩石密度較小的山比較高 （D)一般而言，大陸地殼比海洋地殼厚 （E)侵蝕作用不會使地殼抬升</t>
  </si>
  <si>
    <t>68.	圖23中的甲、乙、丙為2013年5月連續一段時間的地面天氣圖，
甲：圖中顯示一個明顯的低氣壓區域 （L)，位於圖的中間偏上方。有一條鋸齒狀的鋒面標示，表示鋒面系統正影響氣象狀況，鋒面位置靠近台灣。等壓線密集，可能表明氣壓梯度大，風速較強。
乙：乙 的低氣壓區域 （L) 位置稍微偏移，位於圖中偏左的位置，鋒面系統依然存在。鋒面線往南偏移，接近台灣，顯示出低氣壓系統正逐漸接近。等壓線仍然密集，顯示出氣壓梯度大，可能伴隨較大的風力。
丙：丙 的低氣壓區域 （L) 更靠近台灣，顯示鋒面已經更接近或影響台灣。鋒面系統進一步南移，顯示台灣受到低氣壓系統的更直接影響。
等壓線同樣顯示出較大的氣壓梯度，氣象條件可能更為嚴峻。
依據鋒面及周圍天氣系統的發展和移動，判斷這三張天氣圖時間的先後次序為何？            
（A)甲、乙、丙	（B)甲、丙、乙	（C)乙、丙、甲 （D)乙、甲、丙	（E)丙、甲、乙	（F)丙、乙、甲</t>
  </si>
  <si>
    <t>2017_Questions</t>
  </si>
  <si>
    <t>1.	ATP在細胞內扮演能量收支的角色，下列有關生物細胞內ATP分子的相關敘述，何者正確？ （A)一分子的ATP含有1個高能磷酸鍵 （B)雙醣分子轉變成單醣時需要ATP才能進行 （C)當ATP/ADP的值偏高時可合成體質 （D)植物行光合作用，光反應產生的能量分子只有ATP （E)碳反應要在光照的環境下才能產生足夠的ATP</t>
  </si>
  <si>
    <t>2.	下列何者為維管束植物都有的構造？ （A)花	（B)葉	（C)種子	（D)果實	（E)花粉管</t>
  </si>
  <si>
    <t>3.        下列植物的繁殖方式，何者是有性生殖？ （A)西瓜利用種子繁殖 （B)番薯的塊根繁殖 （C)蓮藕的莖繁殖 （D)使茶樹枝條發根，種植後產生新植株 （E)取金線蓮部分組織，誘使發根發芽長成新植株</t>
  </si>
  <si>
    <t>4.        植物行光合作用受溫度的影響很大，下列何項敘述最不合理？ （A)溫度影響水分蒸散量的高低        （B)溫度影響氣孔開口的大小 （C)溫度影響二氧化碳吸收的速率        （D)溫度影響酵素反應的活性 （E)溫度影響光反應步驟的多寡</t>
  </si>
  <si>
    <t>5.	在血型系統中，Rh也是一個重要因子。根據紅血球表面是否具有Rh抗原可分為Rh陽性（+)和Rh陰性（-)，其抗原與抗體的分布情形如表1。此外，已知孕婦的血液不與胎兒的血液直接相流通，但若該孕婦血液內具有D抗體，則有可能透過胎盤進入胎兒血液中。且已知生產過程，經由傷口，胎兒的部分血液可能進入母親的血液中。
表1為不同Rh血型的抗原與抗體分布情形；
（表 1) 顯示了 Rh 血型 系統中 Rh⁺ 和 Rh⁻ 的特徵，分為兩部分：紅血球表面的 Rh 抗原 （簡稱 D 抗原) 和血漿中 Rh 抗原的抗體 （簡稱 D 抗體) 的有無情況。
Rh+血型：紅血球表面有 Rh 抗原 （D 抗原)。血漿中沒有 Rh 抗原的抗體 （D 抗體)。
Rh- 血型：紅血球表面沒有 Rh 抗原 （D 抗原)。血漿中同樣沒有 Rh 抗原的抗體 （D 抗體)。
表2為母親及其所懷胎兒之血型情況，
案例一：母親是 Rh+ 血型。胎兒是 Rh+ 血型。
案例二：母親是 Rh+ 血型。胎兒是 Rh- 血型。
案例三：母親是 Rh- 血型。胎兒是 Rh+ 血型。
案例四：母親是 Rh- 血型。胎兒是 Rh- 血型。
請由抗體與抗原關係，判斷在正常情況下，下列敘述何者正確？   （A)案例一的懷孕過程，母親會產生D抗體 （B)案例二的懷孕過程，母親會產生D抗體 （C)案例三在生產後，母親有機會產生D抗體 （D)案例四在生產後，母親有機會產生D抗體 （E)案例四母親的血液中若含有D抗體，則會引起紅血球凝集</t>
  </si>
  <si>
    <t>6.	某人到醫院進行血液檢查，護士採血並置入含適當的藥物使血液不凝集，且不改變血液原始狀態的試管中。此試管離心後，收集上層的液體。下列何種物質最不易存在於此上層液中？ （A)水	（B)抗體	（C)電解質 （D)血小板	（E)血漿蛋白</t>
  </si>
  <si>
    <t>7.	下列哪一種物質與適當的催化劑共熱，可得到氧氣？ （A)水	（B)氯酸鉀	（C)碳酸鈣	（D)硫酸鉀	（E)碳酸氫鈉</t>
  </si>
  <si>
    <t>8.	只由碳、氫、氧三元素組成的無機化合物，其水溶液受熱會分解產生氣體，試問此無機化合物的莫耳質量（g/mol)是下列哪一數值？ （A) 28	（B) 29	（C) 31	（D) 58	（E) 62</t>
  </si>
  <si>
    <r>
      <rPr>
        <sz val="11"/>
        <color theme="1"/>
        <rFont val="PMingLiu"/>
        <family val="1"/>
        <charset val="136"/>
      </rPr>
      <t>9. 硝酸銨（NH</t>
    </r>
    <r>
      <rPr>
        <sz val="11"/>
        <color theme="1"/>
        <rFont val="新細明體"/>
        <family val="1"/>
        <charset val="136"/>
      </rPr>
      <t>₄</t>
    </r>
    <r>
      <rPr>
        <sz val="11"/>
        <color theme="1"/>
        <rFont val="新細明體"/>
        <family val="1"/>
        <charset val="136"/>
      </rPr>
      <t>NO</t>
    </r>
    <r>
      <rPr>
        <sz val="11"/>
        <color theme="1"/>
        <rFont val="新細明體"/>
        <family val="1"/>
        <charset val="136"/>
      </rPr>
      <t>₃</t>
    </r>
    <r>
      <rPr>
        <sz val="11"/>
        <color theme="1"/>
        <rFont val="新細明體"/>
        <family val="1"/>
        <charset val="136"/>
      </rPr>
      <t>）受熱超過 400°C 時，會完全分解產生水蒸氣、氮氣和氧氣。若將 40.0 克的硝酸銨，加熱至完全分解，至多會產生多少莫耳的氮氣？
(A) 1.75
(B) 3.50
(C) 5.25
(D) 7.00
(E) 8.75</t>
    </r>
  </si>
  <si>
    <t>-</t>
  </si>
  <si>
    <t>10.	下列有關任何一個陽離子的敘述，哪些正確？ （甲)必定具有質子	（乙)必定具有中子 （丙)必定具有電子	（丁)必定具有原子核 （A)甲乙	（B)乙丙	（C)丙丁	（D)甲丁	（E)乙丁</t>
  </si>
  <si>
    <r>
      <rPr>
        <sz val="11"/>
        <color theme="1"/>
        <rFont val="PMingLiu"/>
        <family val="1"/>
        <charset val="136"/>
      </rPr>
      <t>11. 某一含有結晶水的草酸鎂（MgC</t>
    </r>
    <r>
      <rPr>
        <sz val="11"/>
        <color theme="1"/>
        <rFont val="新細明體"/>
        <family val="1"/>
        <charset val="136"/>
      </rPr>
      <t>₂</t>
    </r>
    <r>
      <rPr>
        <sz val="11"/>
        <color theme="1"/>
        <rFont val="新細明體"/>
        <family val="1"/>
        <charset val="136"/>
      </rPr>
      <t>O</t>
    </r>
    <r>
      <rPr>
        <sz val="11"/>
        <color theme="1"/>
        <rFont val="新細明體"/>
        <family val="1"/>
        <charset val="136"/>
      </rPr>
      <t>₄</t>
    </r>
    <r>
      <rPr>
        <sz val="11"/>
        <color theme="1"/>
        <rFont val="新細明體"/>
        <family val="1"/>
        <charset val="136"/>
      </rPr>
      <t>·nH</t>
    </r>
    <r>
      <rPr>
        <sz val="11"/>
        <color theme="1"/>
        <rFont val="新細明體"/>
        <family val="1"/>
        <charset val="136"/>
      </rPr>
      <t>₂</t>
    </r>
    <r>
      <rPr>
        <sz val="11"/>
        <color theme="1"/>
        <rFont val="新細明體"/>
        <family val="1"/>
        <charset val="136"/>
      </rPr>
      <t>O）樣品 1.00 克，若加熱至完全失去結晶水，所得無水草酸鎂的質量為 0.76 克，則 n 的數值為何？（MgC</t>
    </r>
    <r>
      <rPr>
        <sz val="11"/>
        <color theme="1"/>
        <rFont val="新細明體"/>
        <family val="1"/>
        <charset val="136"/>
      </rPr>
      <t>₂</t>
    </r>
    <r>
      <rPr>
        <sz val="11"/>
        <color theme="1"/>
        <rFont val="新細明體"/>
        <family val="1"/>
        <charset val="136"/>
      </rPr>
      <t>O</t>
    </r>
    <r>
      <rPr>
        <sz val="11"/>
        <color theme="1"/>
        <rFont val="新細明體"/>
        <family val="1"/>
        <charset val="136"/>
      </rPr>
      <t>₄</t>
    </r>
    <r>
      <rPr>
        <sz val="11"/>
        <color theme="1"/>
        <rFont val="新細明體"/>
        <family val="1"/>
        <charset val="136"/>
      </rPr>
      <t xml:space="preserve"> 的莫耳質量為 112 g/mol）
(A) 1
(B) 2
(C) 3
(D) 4
(E) 5
</t>
    </r>
  </si>
  <si>
    <r>
      <rPr>
        <sz val="11"/>
        <color theme="1"/>
        <rFont val="PMingLiu"/>
        <family val="1"/>
        <charset val="136"/>
      </rPr>
      <t>12. 已知在 25°C，一大氣壓下，氫氣與氧氣化合產生 1 莫耳液態水和氣態水的熱化學反應式分別如下：
H</t>
    </r>
    <r>
      <rPr>
        <sz val="11"/>
        <color theme="1"/>
        <rFont val="新細明體"/>
        <family val="1"/>
        <charset val="136"/>
      </rPr>
      <t>₂</t>
    </r>
    <r>
      <rPr>
        <sz val="11"/>
        <color theme="1"/>
        <rFont val="新細明體"/>
        <family val="1"/>
        <charset val="136"/>
      </rPr>
      <t xml:space="preserve"> (g)+1/2 O</t>
    </r>
    <r>
      <rPr>
        <sz val="11"/>
        <color theme="1"/>
        <rFont val="新細明體"/>
        <family val="1"/>
        <charset val="136"/>
      </rPr>
      <t>₂</t>
    </r>
    <r>
      <rPr>
        <sz val="11"/>
        <color theme="1"/>
        <rFont val="新細明體"/>
        <family val="1"/>
        <charset val="136"/>
      </rPr>
      <t xml:space="preserve"> (g)→H</t>
    </r>
    <r>
      <rPr>
        <sz val="11"/>
        <color theme="1"/>
        <rFont val="新細明體"/>
        <family val="1"/>
        <charset val="136"/>
      </rPr>
      <t>₂</t>
    </r>
    <r>
      <rPr>
        <sz val="11"/>
        <color theme="1"/>
        <rFont val="新細明體"/>
        <family val="1"/>
        <charset val="136"/>
      </rPr>
      <t>O(l)  ΔH=−285.8 kJ
H</t>
    </r>
    <r>
      <rPr>
        <sz val="11"/>
        <color theme="1"/>
        <rFont val="新細明體"/>
        <family val="1"/>
        <charset val="136"/>
      </rPr>
      <t>₂</t>
    </r>
    <r>
      <rPr>
        <sz val="11"/>
        <color theme="1"/>
        <rFont val="新細明體"/>
        <family val="1"/>
        <charset val="136"/>
      </rPr>
      <t xml:space="preserve"> (g)+1/2 O</t>
    </r>
    <r>
      <rPr>
        <sz val="11"/>
        <color theme="1"/>
        <rFont val="新細明體"/>
        <family val="1"/>
        <charset val="136"/>
      </rPr>
      <t>₂</t>
    </r>
    <r>
      <rPr>
        <sz val="11"/>
        <color theme="1"/>
        <rFont val="新細明體"/>
        <family val="1"/>
        <charset val="136"/>
      </rPr>
      <t xml:space="preserve"> (g)→H</t>
    </r>
    <r>
      <rPr>
        <sz val="11"/>
        <color theme="1"/>
        <rFont val="新細明體"/>
        <family val="1"/>
        <charset val="136"/>
      </rPr>
      <t>₂</t>
    </r>
    <r>
      <rPr>
        <sz val="11"/>
        <color theme="1"/>
        <rFont val="新細明體"/>
        <family val="1"/>
        <charset val="136"/>
      </rPr>
      <t xml:space="preserve">O(g)  ΔH=−241.8 kJ
若在相同溫度與壓力下， 將l.0 克的水直接汽化為水蒸氣， 則所需的能量（ kJ ）最接近下列哪一數值？
(A) 241.8 (B) 44.0 (C) 24.4 (D) 2.4 (E) 0.3
</t>
    </r>
  </si>
  <si>
    <r>
      <rPr>
        <sz val="11"/>
        <color theme="1"/>
        <rFont val="PMingLiu"/>
        <family val="1"/>
        <charset val="136"/>
      </rPr>
      <t>13.銅金屬溶於硝酸溶液的反應式如下：
Cu（s) + 4 HNO</t>
    </r>
    <r>
      <rPr>
        <sz val="11"/>
        <color theme="1"/>
        <rFont val="新細明體"/>
        <family val="1"/>
        <charset val="136"/>
      </rPr>
      <t>₃</t>
    </r>
    <r>
      <rPr>
        <sz val="11"/>
        <color theme="1"/>
        <rFont val="新細明體"/>
        <family val="1"/>
        <charset val="136"/>
      </rPr>
      <t>（aq) → Cu（NO</t>
    </r>
    <r>
      <rPr>
        <sz val="11"/>
        <color theme="1"/>
        <rFont val="新細明體"/>
        <family val="1"/>
        <charset val="136"/>
      </rPr>
      <t>₃</t>
    </r>
    <r>
      <rPr>
        <sz val="11"/>
        <color theme="1"/>
        <rFont val="新細明體"/>
        <family val="1"/>
        <charset val="136"/>
      </rPr>
      <t>)</t>
    </r>
    <r>
      <rPr>
        <sz val="11"/>
        <color theme="1"/>
        <rFont val="新細明體"/>
        <family val="1"/>
        <charset val="136"/>
      </rPr>
      <t>₂</t>
    </r>
    <r>
      <rPr>
        <sz val="11"/>
        <color theme="1"/>
        <rFont val="新細明體"/>
        <family val="1"/>
        <charset val="136"/>
      </rPr>
      <t>（aq) + 2 NO</t>
    </r>
    <r>
      <rPr>
        <sz val="11"/>
        <color theme="1"/>
        <rFont val="新細明體"/>
        <family val="1"/>
        <charset val="136"/>
      </rPr>
      <t>₂</t>
    </r>
    <r>
      <rPr>
        <sz val="11"/>
        <color theme="1"/>
        <rFont val="新細明體"/>
        <family val="1"/>
        <charset val="136"/>
      </rPr>
      <t>（g) + 2 H</t>
    </r>
    <r>
      <rPr>
        <sz val="11"/>
        <color theme="1"/>
        <rFont val="新細明體"/>
        <family val="1"/>
        <charset val="136"/>
      </rPr>
      <t>₂</t>
    </r>
    <r>
      <rPr>
        <sz val="11"/>
        <color theme="1"/>
        <rFont val="新細明體"/>
        <family val="1"/>
        <charset val="136"/>
      </rPr>
      <t>O（l)。若將 6.35 克銅線，完全溶解於 2.00 M 的硝酸溶液，則至少需要硝酸溶液，約多少毫升？
(A) 50 (B) 100 (C) 150 (D) 200 (E) 300</t>
    </r>
  </si>
  <si>
    <t>14.	下列甲至戊的物理現象，哪些會發生在聲波上？ 甲：折射	乙：干涉	丙：繞射	丁：反射	戊：都卜勒效應 （A)只有甲丁	（B)只有丁戊	（C)只有甲丁戊 （D)只有甲乙丙丁	（E)甲乙丙丁戊</t>
  </si>
  <si>
    <t xml:space="preserve">15.	下列甲至丁與光有關的敘述，哪些正確？ 甲：日光中帶有隨時間變化的電場 乙：X光中帶有隨時間變化的磁場 丙：微波爐可產生比可見光之波長還長的電磁波 丁：β射線是一種短波長的電磁波 （A)只有丙	（B)只有甲乙	（C)只有丙丁	（D)只有甲乙丙	（E)甲乙丙丁 </t>
  </si>
  <si>
    <t>16-17為題組
甲生自一樓地面由靜止開始向上爬到一棟建築物的頂層地板後停止。假設在此過程， 甲生消耗的體能中， 用以克服重力的瞬時功率P 隨時間t 的變化如圖1這張圖顯示了一個關於功率 
P 隨時間 t 變化的折線圖。
橫軸表示時間 𝑡t（秒)，範圍從 0 秒到 30 秒。
縱軸表示功率 P（焦耳/秒)，從 0 到 300。圖中，功率隨著時間變化。功率在 0 秒時為 0，隨時間增加，功率在 15 秒時達到最大值 300 焦耳/秒，然後在接下來的 15 秒內逐漸下降到 0所示。
已知甲生的質量為50公斤， 每層樓的高度為3.0公尺， 重力加速度為10公尺/秒2。</t>
  </si>
  <si>
    <t>16.	甲生從一樓地面爬至頂層樓板，所消耗的能量有多少焦耳用以克服重力？ （A) 150 （B) 3000 （C) 4500 （D) 6000 （E) 9000</t>
  </si>
  <si>
    <t>17.	若甲生爬樓克服重力所消耗的能量，等於上樓所增加的重力位能，則甲生相當於爬了幾個樓層的高度？ （A) 1	（B) 3	（C) 5	（D) 7	（E) 9</t>
  </si>
  <si>
    <t>18.	太平洋的表面鹽度在副熱帶海域中心有極大值。造成這種分布的主要原因為下列何者？ （A)此區域有洋流的匯合	（B)此區域的蒸發量大於降雨量 （C)大洋邊緣有大量淡水輸入	（D)陸地上的含鹽物質由風傳輸至此區域 （E)此區域發生大量的垂直混合</t>
  </si>
  <si>
    <t>19.	研究人員在重建地球環境隨時間演變的歷史研究時，可以從很多材料中找尋相關紀錄。下列哪一選項的材料是最難獲得與時間演變相關的資料？ （A)塊狀石英	（B)樹木年輪	（C)珊瑚化石	（D)極區冰層	（E)沉積岩層</t>
  </si>
  <si>
    <t>20.	恆星表面近似黑體。依據黑體輻射，任何有溫度的物體都會自行放射各種不同波長的電磁波，其輻射強度與波長、表面溫度的關係如圖2所示。
這張圖顯示了不同溫度下物體輻射強度與波長的關係曲線。縱軸表示輻射強度，橫軸表示波長（以奈米為單位)，不同的曲線代表了不同的溫度。圖中標示了 4000K、6000K 和 8000K 三種溫度下的輻射強度隨波長變化的情況。
當溫度越高（如 8000K)，輻射強度的峰值越高，且峰值波長更靠近短波長區域（約 400 奈米)。
隨著溫度降低，峰值波長向較長的波長（如 6000K 和 4000K 曲線)移動，同時輻射強度的峰值也隨之下降。
波長400~700奈米屬於可見光，且表面溫度越高的物體，輻射強度最強波段的電磁波越趨近短波。
根據以上敘述與圖2，判斷以下選項何者錯誤？ （A)表面溫度8000K的恆星，只放射波長400奈米的電磁波 （B)如果恆星表面溫度為3000K，則強度最強波段的波長比700奈米長 （C)我們看到的月光都是反射自太陽光，但月球本身也會放射其他波段的電磁波 （D)在完全沒有任何燈源的暗室內，可以透過紅外光攝影機拍攝到裡面的人 （E)太陽的表面溫度接近6000 K，及某顆表面溫度高達16000K的恆星，兩者皆可放射可見光</t>
  </si>
  <si>
    <t>21.	地球目前以橢圓形軌道繞行太陽，想像如果地球繞行太陽的軌道變成正圓形，其他條件保持不變。則對地球的季節有什麼影響？ （A)地球將沒有季節的變化 （B)原先的夏季會變成冬季，冬季變成夏季 （C)地球仍有季節變化，但夏季和冬季之間的溫差明顯變小 （D)地球仍有季節變化，但夏季和冬季之間的溫差明顯變大 （E)地球仍有季節變化，但和現在相比，沒有明顯的差別</t>
  </si>
  <si>
    <t>22.	漂浮在海面上的海冰（冰山)，僅考慮其融化的過程，最有可能造成當地海域發生下列哪一種現象？ （A)海平面上升	（B)海平面下降	（C)表層海水鹽度增加 （D)表層海水鹽度降低	（E)表層海水溫度增加   二、多選題（占28分)</t>
  </si>
  <si>
    <t>23.	下列物質進入細胞的方法，哪些正確？（應選2項) （A)水以滲透作用進入仙人掌之根細胞 （B)氧經由簡單擴散進入狗之肺泡細胞 （C)酒精經主動運輸通過人腦細胞之細胞膜 （D)澱粉由運輸蛋白進入馬鈴薯之塊莖細胞 （E)碘離子以促進性擴散進入海帶之葉狀體細胞</t>
  </si>
  <si>
    <t>24.	某人製備老鼠睪丸的組織切片後，拍攝照片一張，並標示甲～丙三種細胞類型如圖3。
這張圖展示的是細精管橫切面，其中標示了各個位置及其功能，描述如下：
細精管壁。
甲：位於靠近管壁的區域。
乙：這部分位於管腔的較內部區域。
丙：這部分靠近管腔中央，應該是精細胞或精子（精子頭部朝向管腔）。
下列敘述哪些正確？（應選3項) （A)甲細胞具有雙套染色體 （B)甲細胞行有絲分裂形成乙型細胞 （C)乙細胞具有減數分裂的能力 （D)乙細胞之形態近似儲存於副睪的生殖細胞 （E)丙細胞於青春期受損，可能導致第二性徵發育不全</t>
  </si>
  <si>
    <t>25.	王同學的午餐共有下列五項：牛排、麵包、薯條、可樂及芭樂，進食後哪兩項食物所含的主要成分最先開始被消化？（應選2項) （A)牛排	（B)麵包	（C)薯條	（D)可樂	（E)芭樂</t>
  </si>
  <si>
    <t>26.	四種不同原子的代號為X、Y、Z、W。若已知穩定的和離子都具有10個電子，Y的電子較X多9個，W的電子較Z多7個，則下列有關此四種元素的敘述，哪些正確？（應選3項) （A) Z為非金屬元素 （B) X的最外層電子在L層 （C) Y與Z所形成的穩定化合物可以用表示 （D) Y與W所形成的穩定化合物可以用表示 （E) X與W所形成的穩定化合物可以用表示</t>
  </si>
  <si>
    <r>
      <rPr>
        <sz val="11"/>
        <color theme="1"/>
        <rFont val="PMingLiu"/>
        <family val="1"/>
        <charset val="136"/>
      </rPr>
      <t>27.	由甲與乙兩個半電池以鹽橋相連，形成一種化學電池，示意圖如圖4這張圖展示了一個典型的原電池（Galvanic cell)裝置。圖中包含了兩個盛有不同溶液的容器，甲和乙，分別為鋅和銅的半電池：
甲半電池：內含鋅片 （Zn) 作為電極，浸入 ZnSO</t>
    </r>
    <r>
      <rPr>
        <sz val="11"/>
        <color theme="1"/>
        <rFont val="新細明體"/>
        <family val="1"/>
        <charset val="136"/>
      </rPr>
      <t>₄</t>
    </r>
    <r>
      <rPr>
        <sz val="11"/>
        <color theme="1"/>
        <rFont val="新細明體"/>
        <family val="1"/>
        <charset val="136"/>
      </rPr>
      <t>（aq)（硫酸鋅水溶液)。鋅在電化學反應中被氧化，失去電子。
乙半電池：內含銅片 （Cu) 作為電極，浸入 CuSO</t>
    </r>
    <r>
      <rPr>
        <sz val="11"/>
        <color theme="1"/>
        <rFont val="新細明體"/>
        <family val="1"/>
        <charset val="136"/>
      </rPr>
      <t>₄</t>
    </r>
    <r>
      <rPr>
        <sz val="11"/>
        <color theme="1"/>
        <rFont val="新細明體"/>
        <family val="1"/>
        <charset val="136"/>
      </rPr>
      <t>（aq)（硫酸銅水溶液)。銅離子在反應中被還原，接受電子。
伏特計 （V)：連接兩個電極，測量原電池產生的電壓。
鹽橋：連接甲和乙的半電池，允許離子流動，維持系統中的電荷平衡。
如果甲是以鋅為電極，硫酸鋅水溶液為電解液，而乙是以銅為電極，硫酸銅水溶液為電解液，鹽橋內是硝酸鉀水溶液，則可構成鋅–銅電池。
下列有關鋅–銅電池的敘述，哪些正確？（應選2項) （A)鋅電極發生氧化反應 （B)發生氧化反應的電極稱為正極 （C)在半電池乙中，銅離子獲得電子，還原成銅 （D)外電路中，電子從正極經導線流向負極 （E)鋅–銅電池放電後，可以充電再使用，符合環保設計</t>
    </r>
  </si>
  <si>
    <t>28.	下列關於物質間基本交互作用的敘述，哪些正確？（應選2項) （A)原子核內兩質子間不存在重力交互作用 （B)靜電力的作用範圍大於弱力的作用範圍 （C)原子核內兩質子間同時具有靜電力與強力 （D)原子核內的質子與在外環繞的電子間同時具有靜電力與強力 （E)四種基本交互作用力的量值，均與兩物質間距離的平方成反比</t>
  </si>
  <si>
    <t>29.	在圖5中這張圖展示了導線和環形導體的關係，並標示了電流 I 的方向：
黑色水平線 代表一條載流導線，電流 𝐼I 從左向右流動。
圓形導體 位於導線的下方，暗示這可能是一個線圈或磁性物體。，長直導線與導線環固定在同一紙平面上，當長直導線載有向右的電流時，下列有關導線環上出現之應電流的敘述，哪些正確？（應選3項) （A)當為定值時，為零 （B)當隨時間增大時，為逆時鐘方向 （C)當隨時間增大時，為順時鐘方向 （D)當隨時間減小時，為逆時鐘方向 （E)當隨時間減小時，為順時鐘方向</t>
  </si>
  <si>
    <t>30.	二十世紀初葉發現光具有波與粒子二象性，為近代光電科技的重要基礎。下列有關光之波粒二象性的敘述，哪些正確？（應選3項) （A)光的頻率愈高，則光量子的能量愈大 （B)楊氏雙狹縫實驗，驗證了光的波動性質 （C)入射光的波長愈長，愈容易產生光電效應 （D)波與粒子二象性乃光子特性，其他物質並無波粒二象性 （E)愛因斯坦以光能量的量子化，解釋光電效應，驗證了光的粒子性質</t>
  </si>
  <si>
    <t>31.	下列關於二十世紀觀測到的宇宙微波背景輻射和恆星的敘述，哪些正確？（應選2項) （A)宇宙微波背景輻射在宇宙中存在的時間大於恆星的年齡 （B)宇宙微波背景輻射的溫度，一定比恆星的表面平均溫度高 （C)宇宙微波背景輻射和恆星星光的光譜，都具有不連續的譜線 （D)宇宙微波背景輻射的平均波長，一定比恆星光譜的可見光波長還長 （E)宇宙微波背景輻射於空間中垂直通過每單位面積之功率在各方向的分布，比恆星星光更為不均勻</t>
  </si>
  <si>
    <t>32.	拉塞福以α粒子撞擊金箔，發現偶爾會有大角度的散射，因而提出電子繞原子核運行，正如行星繞行太陽。下列關於拉塞福實驗與其原子模型的敘述，哪些正確？（應選2項) 
(A)α/粒子與原子的電子間沒有靜電力 
(B)α粒子與原子核間的靜電力為吸引力 
(C)原子中的電子若損失能量，可使電子更接近原子核 
(D)α粒子偶爾會有大角度的散射，主要是因為與多個電子發生碰撞 
(E)α粒子偶爾會有大角度的散射，主要是因為原子的正電荷集中於極小的原子核</t>
  </si>
  <si>
    <t>33.	2009年八八風災造成臺灣多處山區發生山崩和土石流，引起我們對土石流災害的重視。以下對土石流的描述，哪些正確？（應選2項) （A)土石流是指泥砂及礫石等和水混合後，受重力作用向低處流的自然現象，是一種搬運力強的內營力 （B)山崩發生時，一定伴隨土石流 （C)土石流的流動速度可以達到每秒數公尺，所以流動過程中不會有沉積作用 （D)陡峭的山谷谷口沖積扇，再發生土石流的機率高，不適於定居 （E)土石流的流速快並具突發性，易造成嚴重災情</t>
  </si>
  <si>
    <t>34.	地球的固體結構中，最外部的地殼可區分為大陸地殼與海洋地殼。下列有關大陸地殼與海洋地殼的敘述，哪些正確？（應選2項) （A)一般而言，大陸地殼的厚度較海洋地殼為厚 （B)大陸地殼的密度較海洋地殼小 （C)大陸地殼主要為矽鎂質岩石，而海洋地殼則以矽鋁質為主 （D)目前發現最老的海洋地殼為40億年 （E)海洋地殼主要為沉積岩層</t>
  </si>
  <si>
    <t>35.	海洋與大氣間會有動量及能量相互轉移的交互作用，對於氣候變遷、颱風發展等不同尺度現象均非常重要。下列哪些海洋的現象和海洋與大氣間的交互作用有關？（應選3項) （A)大洋的表面環流	（B)波浪	（C)潮汐 （D)聖嬰現象	（E)海嘯</t>
  </si>
  <si>
    <t xml:space="preserve">36.	數值天氣預報是利用氣象儀器觀測大氣的各種資料，輸入電腦結合大氣模式（用來計算氣象學方程式的電腦程式)進行運算，用以預測未來天氣狀態。影響天氣的因素非常多，再加上計算精度的問題、科學理論不足的問題、觀測誤差的問題，導致電腦運算非常複雜，產生許多無可避免的誤差。以目前的科技，很難精確預知颱風的動向、強度、雨量等，因此先進國家的氣象單位都會以「機率預報」的方式預報颱風路徑，而且不只颱風，平常的降雨也以機率預報為主。 根據以上敘述，造成「數值天氣預報」預報不確定性的可能來源有下列哪些因素？（應選3項) （A)觀測誤差與觀測不足（例如：海面上或高山地區觀測數據有限) （B)目前的電腦計算仍無法精確的模擬複雜的大氣系統 （C)科學家對影響天氣系統的因素仍無法完全了解 （D)觀測儀器越來越多，導致電腦運算速度降低 （E)採用機率預報 </t>
  </si>
  <si>
    <t>37-40為題組 溫室效應是全球暖化的主要原因之一，大氣中能夠吸熱的氣體稱為溫室氣體，尤其是碳化合物如二氧化碳、甲烷等，不但吸熱效率高而且也因人類活動而持續攀升中。大氣中的二氧化碳有多種來源，包括：化石燃料的燃燒、碳酸鹽受熱、動植物的呼吸作用、酵母菌發酵以及火山爆發等。圖6為溫室效應的簡化模型之一（圖中數據的單位為W/m2)，展現了自然界，包含了太空、大氣與地表（水、陸平均)之間的能量流向與功率，以及溫室效應。
這張圖展示了地球的能量收支平衡，特別是與輻射能量、大氣熱能及溫室效應相關的能量流動。圖中描述了地球從太陽接收到的輻射能量和其如何在大氣與地球表面之間傳遞與散發。
地球吸收的太陽輻射：235單位這代表地球從太陽接收的能量，部分被大氣吸收，部分到達地表。
地表向大氣與太空的輻射：195 和 40單位
195單位的能量被地表向大氣輻射，進一步被大氣吸收或散射。
40單位的能量直接從地表向太空輻射。
大氣中的熱與能量：324單位
這表示大氣中的能量反射回地球表面，這也是溫室效應的一部分。
溫室效應（虛線框)
大氣吸收了部分地表輻射後，將熱能反射回地表，形成了溫室效應，導致地表的溫度增加至14°C的平均溫度。
箭頭X 代表尚未標明的能量流，可能與大氣的其他熱力過程有關。
     極地環境對於暖化極為敏感，因為只要溫度稍高於冰點，水就從固相轉變為液相，整個極地環境賴以維繫的冰與凍土，就開始瓦解。封存於冰與凍土中大量的碳，也將會以二氧化碳或甲烷等溫室氣體形式大量釋出；此外，有機物如長毛象等動植物遺體，不僅因升溫而露出或解凍，亦將被微生物分解而釋放出大量溫室氣體。極地因暖化解凍釋出的溫室氣體，雖不在早期溫室效應危害的預估之中，但因其量大而且是個惡性循環，大大的增強了溫室效應對全球環境的危害程度與速率。依據以上敘述，回答37-40題。</t>
  </si>
  <si>
    <t>37. 下列有關微生物分解長毛象遺體的因素， 何者的影響最小？
（A)光照度 （B)曝氣度 （C)溫度 （D)溼度 （E) pH值</t>
  </si>
  <si>
    <r>
      <rPr>
        <sz val="11"/>
        <color theme="1"/>
        <rFont val="PMingLiu"/>
        <family val="1"/>
        <charset val="136"/>
      </rPr>
      <t>38.下列哪一項不是產生二氧化碳的主要化學反應？",
(A)CaCO</t>
    </r>
    <r>
      <rPr>
        <sz val="11"/>
        <color theme="1"/>
        <rFont val="新細明體"/>
        <family val="1"/>
        <charset val="136"/>
      </rPr>
      <t>₃</t>
    </r>
    <r>
      <rPr>
        <sz val="11"/>
        <color theme="1"/>
        <rFont val="新細明體"/>
        <family val="1"/>
        <charset val="136"/>
      </rPr>
      <t>（s) → CaO（s) + CO</t>
    </r>
    <r>
      <rPr>
        <sz val="11"/>
        <color theme="1"/>
        <rFont val="新細明體"/>
        <family val="1"/>
        <charset val="136"/>
      </rPr>
      <t>₂</t>
    </r>
    <r>
      <rPr>
        <sz val="11"/>
        <color theme="1"/>
        <rFont val="新細明體"/>
        <family val="1"/>
        <charset val="136"/>
      </rPr>
      <t>（g)
(B)C₆H</t>
    </r>
    <r>
      <rPr>
        <sz val="11"/>
        <color theme="1"/>
        <rFont val="新細明體"/>
        <family val="1"/>
        <charset val="136"/>
      </rPr>
      <t>₁₂</t>
    </r>
    <r>
      <rPr>
        <sz val="11"/>
        <color theme="1"/>
        <rFont val="新細明體"/>
        <family val="1"/>
        <charset val="136"/>
      </rPr>
      <t>O₆（aq) → 2 C</t>
    </r>
    <r>
      <rPr>
        <sz val="11"/>
        <color theme="1"/>
        <rFont val="新細明體"/>
        <family val="1"/>
        <charset val="136"/>
      </rPr>
      <t>₂</t>
    </r>
    <r>
      <rPr>
        <sz val="11"/>
        <color theme="1"/>
        <rFont val="新細明體"/>
        <family val="1"/>
        <charset val="136"/>
      </rPr>
      <t>H₅OH（aq) + 2 CO</t>
    </r>
    <r>
      <rPr>
        <sz val="11"/>
        <color theme="1"/>
        <rFont val="新細明體"/>
        <family val="1"/>
        <charset val="136"/>
      </rPr>
      <t>₂</t>
    </r>
    <r>
      <rPr>
        <sz val="11"/>
        <color theme="1"/>
        <rFont val="新細明體"/>
        <family val="1"/>
        <charset val="136"/>
      </rPr>
      <t>（g)
(C)C₆H</t>
    </r>
    <r>
      <rPr>
        <sz val="11"/>
        <color theme="1"/>
        <rFont val="新細明體"/>
        <family val="1"/>
        <charset val="136"/>
      </rPr>
      <t>₁₂</t>
    </r>
    <r>
      <rPr>
        <sz val="11"/>
        <color theme="1"/>
        <rFont val="新細明體"/>
        <family val="1"/>
        <charset val="136"/>
      </rPr>
      <t>O₆（aq) + 6 O</t>
    </r>
    <r>
      <rPr>
        <sz val="11"/>
        <color theme="1"/>
        <rFont val="新細明體"/>
        <family val="1"/>
        <charset val="136"/>
      </rPr>
      <t>₂</t>
    </r>
    <r>
      <rPr>
        <sz val="11"/>
        <color theme="1"/>
        <rFont val="新細明體"/>
        <family val="1"/>
        <charset val="136"/>
      </rPr>
      <t>（g) → 6 CO</t>
    </r>
    <r>
      <rPr>
        <sz val="11"/>
        <color theme="1"/>
        <rFont val="新細明體"/>
        <family val="1"/>
        <charset val="136"/>
      </rPr>
      <t>₂</t>
    </r>
    <r>
      <rPr>
        <sz val="11"/>
        <color theme="1"/>
        <rFont val="新細明體"/>
        <family val="1"/>
        <charset val="136"/>
      </rPr>
      <t>（g) + 6 H</t>
    </r>
    <r>
      <rPr>
        <sz val="11"/>
        <color theme="1"/>
        <rFont val="新細明體"/>
        <family val="1"/>
        <charset val="136"/>
      </rPr>
      <t>₂</t>
    </r>
    <r>
      <rPr>
        <sz val="11"/>
        <color theme="1"/>
        <rFont val="新細明體"/>
        <family val="1"/>
        <charset val="136"/>
      </rPr>
      <t>O（l)
(D)CH</t>
    </r>
    <r>
      <rPr>
        <sz val="11"/>
        <color theme="1"/>
        <rFont val="新細明體"/>
        <family val="1"/>
        <charset val="136"/>
      </rPr>
      <t>₄</t>
    </r>
    <r>
      <rPr>
        <sz val="11"/>
        <color theme="1"/>
        <rFont val="新細明體"/>
        <family val="1"/>
        <charset val="136"/>
      </rPr>
      <t>（g) + 2 O</t>
    </r>
    <r>
      <rPr>
        <sz val="11"/>
        <color theme="1"/>
        <rFont val="新細明體"/>
        <family val="1"/>
        <charset val="136"/>
      </rPr>
      <t>₂</t>
    </r>
    <r>
      <rPr>
        <sz val="11"/>
        <color theme="1"/>
        <rFont val="新細明體"/>
        <family val="1"/>
        <charset val="136"/>
      </rPr>
      <t>（g) → CO</t>
    </r>
    <r>
      <rPr>
        <sz val="11"/>
        <color theme="1"/>
        <rFont val="新細明體"/>
        <family val="1"/>
        <charset val="136"/>
      </rPr>
      <t>₂</t>
    </r>
    <r>
      <rPr>
        <sz val="11"/>
        <color theme="1"/>
        <rFont val="新細明體"/>
        <family val="1"/>
        <charset val="136"/>
      </rPr>
      <t>（g) + 2 H</t>
    </r>
    <r>
      <rPr>
        <sz val="11"/>
        <color theme="1"/>
        <rFont val="新細明體"/>
        <family val="1"/>
        <charset val="136"/>
      </rPr>
      <t>₂</t>
    </r>
    <r>
      <rPr>
        <sz val="11"/>
        <color theme="1"/>
        <rFont val="新細明體"/>
        <family val="1"/>
        <charset val="136"/>
      </rPr>
      <t>O（l)
(E)Fe</t>
    </r>
    <r>
      <rPr>
        <sz val="11"/>
        <color theme="1"/>
        <rFont val="新細明體"/>
        <family val="1"/>
        <charset val="136"/>
      </rPr>
      <t>₂</t>
    </r>
    <r>
      <rPr>
        <sz val="11"/>
        <color theme="1"/>
        <rFont val="新細明體"/>
        <family val="1"/>
        <charset val="136"/>
      </rPr>
      <t>O</t>
    </r>
    <r>
      <rPr>
        <sz val="11"/>
        <color theme="1"/>
        <rFont val="新細明體"/>
        <family val="1"/>
        <charset val="136"/>
      </rPr>
      <t>₃</t>
    </r>
    <r>
      <rPr>
        <sz val="11"/>
        <color theme="1"/>
        <rFont val="新細明體"/>
        <family val="1"/>
        <charset val="136"/>
      </rPr>
      <t>（s) + 3 CO（g) → 2 Fe（s) + 3 CO</t>
    </r>
    <r>
      <rPr>
        <sz val="11"/>
        <color theme="1"/>
        <rFont val="新細明體"/>
        <family val="1"/>
        <charset val="136"/>
      </rPr>
      <t>₂</t>
    </r>
    <r>
      <rPr>
        <sz val="11"/>
        <color theme="1"/>
        <rFont val="新細明體"/>
        <family val="1"/>
        <charset val="136"/>
      </rPr>
      <t xml:space="preserve">（g)
</t>
    </r>
  </si>
  <si>
    <t>39.	圖6中為地表每單位面積轉移給大氣的熱量功率。依據圖6的資料與能量守恆定律，並以為單位時，的數值最接近下列何者？ （A) 452	（B) 492	（C) 324	（D) 235	（E) 168</t>
  </si>
  <si>
    <t xml:space="preserve">40.	人類活動導致大氣溫室氣體濃度增加，增強大氣溫室效應，造成全球暖化。下列相關敘述哪些正確？（應選2項) （A)全球暖化造成聖嬰現象，使東太平洋的海洋表面溫度偏高 （B)使用煤炭會排放二氧化碳，也會產生懸浮微粒，兩者皆一定會使地球的大氣增溫 （C)減少食用牛肉也可以減緩暖化，主要是可以減少牛隻排放的二氧化碳和甲烷 （D)大氣中的溫室氣體除了二氧化碳與甲烷外，還有水氣及氟氯碳化物等 （E)全球暖化造成大氣臭氧層破洞，國際締約通過蒙特婁議定書禁用氟氯碳化物  </t>
  </si>
  <si>
    <t>41.	下列有關基因或遺傳因子與遺傳關係之推論，哪些正確？（應選2項) （A)孟德爾的遺傳試驗中，豌豆之遺傳因子有顯隱性之分 （B)孟德爾實驗中的種子形狀和顏色，兩基因位於同一條染色體上 （C)人的身高是由多基因所控制，而每一基因仍維持顯隱性 （D)引起紅綠色盲的等位基因位於Y染色體，故男性發生色盲的機率較女性高 （E)依孟德爾獨立分配律，人的族群中AB：A：B：O之血型比應為1：3：3：9</t>
  </si>
  <si>
    <t>42.	下列哪些事件中有氫鍵被打斷的現象？（應選3項) （A)DNA的複製	（B)DNA的轉錄 （C)mRNA的轉譯	（D)葡萄糖合成麥芽糖 （E)連接酶將兩段DNA黏合的過程</t>
  </si>
  <si>
    <t>43.	依據「界、門、綱、目、科、屬、種」之生物分類系統，若從某個「科」的成員中逢機採取兩個樣本，其基因差異（距離)通常會高（大)於下列哪些分類階層？（應選2項) （A)目	（B)綱	（C)門	（D)物種	（E)屬</t>
  </si>
  <si>
    <t>44.	圖7這張圖展示了一個簡單的斜線圖，從左到右依次標記了「魚」和「人」，並在斜線上有1到4的數字標記。該圖可能用於展示進化過程中的不同階段或物種的進化順序。從左側的「魚」到右側的「人」之間，數字1到4可能代表中間的進化步驟或不同的物種發展階段。為脊椎動物之演化關係圖，下列四類動物依序填入1~4之位置，何者正確？ （A)狗、蛇、猴、雞 （B)蛇、雞、狗、猴 （C)雞、狗、蛇、猴 （D)蛇、猴、雞、狗 （E)蛇、狗、雞、猴</t>
  </si>
  <si>
    <t>45.	假設圖8為臺灣地區人口之實測（實線)及預測（虛線)圖，
圖8：
橫軸表示年份（民國年)，縱軸表示人口數（以萬人計)。
折線圖顯示出「出生數」與「死亡數」的變化趨勢。
出生數（實線)在80年後呈現大幅下降，接著逐漸趨於平穩。
死亡數（虛線)在初期相對較低，但隨著時間推移逐漸上升，並在後期超過了出生數。
圖9為該地區在103年之不同年齡的人口數量分布圖。
橫軸表示年齡，縱軸表示人口數（以萬人計)。
折線圖描繪了不同年齡層的人口分布。在15歲至30歲的人口數最多，並在45歲左右達到高峰，隨後逐漸減少，年齡超過75歲的人口數量大幅減少。
又設民國110年之人口約為2000萬人，且死亡率在人口最多的年齡後遞增。依圖8及圖9所示，
下列敘述哪些正確？（應選3項)（A)民國105年臺灣地區人口仍在成長	（B)民國110年時的出生率約為20% （C)民國115年時圖9曲線的高峰向右移	（D)民國125年後人口減少速率加快 （E)臺灣地區人口的成長曲線為典型之S型</t>
  </si>
  <si>
    <t>46.	有關探討活動「觀察洋蔥根尖細胞染色體」的實驗，下列敘述何者正確？ （A)正處於有絲分裂狀態的細胞都集中在根尖最前端的2層細胞 （B)當細胞中可以觀察到染色體時，也可以看到細胞核 （C)當染色分體互相分離時，染色體之形狀為趨向兩極的V型 （D)視野下約有90%的細胞處於分裂狀態，且染色體明顯可見 （E)根尖細胞相當大，不需染色即可觀察到有絲分裂進行中的細胞</t>
  </si>
  <si>
    <t>47.	下列有關生態系的敘述，哪些正確？（應選2項) （A)理想環境下的族群隨時間而發展，會先歷經對數成長，然後逐漸適應達到平衡 （B)群集通常隨時間發展而使物種數減少，並產生顛峰群集的過程稱為消長 （C)生態系的營養階層是指某一物種在系統內所囊括營養成分的多寡 （D)生態系的碳循環中，生產者會注入碳源，也會將碳排出系統 （E)臺灣不同海拔高低的陸域生態系分布，大約可與全球不同緯度高低的陸域生態系相互比擬</t>
  </si>
  <si>
    <r>
      <rPr>
        <sz val="11"/>
        <color theme="1"/>
        <rFont val="PMingLiu"/>
        <family val="1"/>
        <charset val="136"/>
      </rPr>
      <t>48.某一含碳、氫及氧的有機化合物，其分子量為氫氣的37倍。取此化合物74克，與足量的鈉反應，產生1.0克的氫氣。已知1.0莫耳的一元醇與足量的鈉反應可產生0.5莫耳的氫氣；1.0莫耳的二元醇與足量的鈉反應可產生1.0莫耳的氫氣；而酯、醛與酮類皆不會與鈉發生反應。試問下列何者可能為此有機化合物？ 
(A)CH</t>
    </r>
    <r>
      <rPr>
        <sz val="11"/>
        <color theme="1"/>
        <rFont val="新細明體"/>
        <family val="1"/>
        <charset val="136"/>
      </rPr>
      <t>₃</t>
    </r>
    <r>
      <rPr>
        <sz val="11"/>
        <color theme="1"/>
        <rFont val="新細明體"/>
        <family val="1"/>
        <charset val="136"/>
      </rPr>
      <t>COOCH</t>
    </r>
    <r>
      <rPr>
        <sz val="11"/>
        <color theme="1"/>
        <rFont val="新細明體"/>
        <family val="1"/>
        <charset val="136"/>
      </rPr>
      <t>₃</t>
    </r>
    <r>
      <rPr>
        <sz val="11"/>
        <color theme="1"/>
        <rFont val="新細明體"/>
        <family val="1"/>
        <charset val="136"/>
      </rPr>
      <t xml:space="preserve"> 
(B)CH</t>
    </r>
    <r>
      <rPr>
        <sz val="11"/>
        <color theme="1"/>
        <rFont val="新細明體"/>
        <family val="1"/>
        <charset val="136"/>
      </rPr>
      <t>₃</t>
    </r>
    <r>
      <rPr>
        <sz val="11"/>
        <color theme="1"/>
        <rFont val="新細明體"/>
        <family val="1"/>
        <charset val="136"/>
      </rPr>
      <t>CH</t>
    </r>
    <r>
      <rPr>
        <sz val="11"/>
        <color theme="1"/>
        <rFont val="新細明體"/>
        <family val="1"/>
        <charset val="136"/>
      </rPr>
      <t>₂</t>
    </r>
    <r>
      <rPr>
        <sz val="11"/>
        <color theme="1"/>
        <rFont val="新細明體"/>
        <family val="1"/>
        <charset val="136"/>
      </rPr>
      <t>COOCH</t>
    </r>
    <r>
      <rPr>
        <sz val="11"/>
        <color theme="1"/>
        <rFont val="新細明體"/>
        <family val="1"/>
        <charset val="136"/>
      </rPr>
      <t>₃</t>
    </r>
    <r>
      <rPr>
        <sz val="11"/>
        <color theme="1"/>
        <rFont val="新細明體"/>
        <family val="1"/>
        <charset val="136"/>
      </rPr>
      <t xml:space="preserve">
(C)CH</t>
    </r>
    <r>
      <rPr>
        <sz val="11"/>
        <color theme="1"/>
        <rFont val="新細明體"/>
        <family val="1"/>
        <charset val="136"/>
      </rPr>
      <t>₃</t>
    </r>
    <r>
      <rPr>
        <sz val="11"/>
        <color theme="1"/>
        <rFont val="新細明體"/>
        <family val="1"/>
        <charset val="136"/>
      </rPr>
      <t>CH</t>
    </r>
    <r>
      <rPr>
        <sz val="11"/>
        <color theme="1"/>
        <rFont val="新細明體"/>
        <family val="1"/>
        <charset val="136"/>
      </rPr>
      <t>₂</t>
    </r>
    <r>
      <rPr>
        <sz val="11"/>
        <color theme="1"/>
        <rFont val="新細明體"/>
        <family val="1"/>
        <charset val="136"/>
      </rPr>
      <t>OCH</t>
    </r>
    <r>
      <rPr>
        <sz val="11"/>
        <color theme="1"/>
        <rFont val="新細明體"/>
        <family val="1"/>
        <charset val="136"/>
      </rPr>
      <t>₂</t>
    </r>
    <r>
      <rPr>
        <sz val="11"/>
        <color theme="1"/>
        <rFont val="新細明體"/>
        <family val="1"/>
        <charset val="136"/>
      </rPr>
      <t>CH</t>
    </r>
    <r>
      <rPr>
        <sz val="11"/>
        <color theme="1"/>
        <rFont val="新細明體"/>
        <family val="1"/>
        <charset val="136"/>
      </rPr>
      <t>₃</t>
    </r>
    <r>
      <rPr>
        <sz val="11"/>
        <color theme="1"/>
        <rFont val="新細明體"/>
        <family val="1"/>
        <charset val="136"/>
      </rPr>
      <t xml:space="preserve">
(D)HOCH</t>
    </r>
    <r>
      <rPr>
        <sz val="11"/>
        <color theme="1"/>
        <rFont val="新細明體"/>
        <family val="1"/>
        <charset val="136"/>
      </rPr>
      <t>₂</t>
    </r>
    <r>
      <rPr>
        <sz val="11"/>
        <color theme="1"/>
        <rFont val="新細明體"/>
        <family val="1"/>
        <charset val="136"/>
      </rPr>
      <t>CH</t>
    </r>
    <r>
      <rPr>
        <sz val="11"/>
        <color theme="1"/>
        <rFont val="新細明體"/>
        <family val="1"/>
        <charset val="136"/>
      </rPr>
      <t>₂</t>
    </r>
    <r>
      <rPr>
        <sz val="11"/>
        <color theme="1"/>
        <rFont val="新細明體"/>
        <family val="1"/>
        <charset val="136"/>
      </rPr>
      <t>CH</t>
    </r>
    <r>
      <rPr>
        <sz val="11"/>
        <color theme="1"/>
        <rFont val="新細明體"/>
        <family val="1"/>
        <charset val="136"/>
      </rPr>
      <t>₂</t>
    </r>
    <r>
      <rPr>
        <sz val="11"/>
        <color theme="1"/>
        <rFont val="新細明體"/>
        <family val="1"/>
        <charset val="136"/>
      </rPr>
      <t>OH
(E)CH</t>
    </r>
    <r>
      <rPr>
        <sz val="11"/>
        <color theme="1"/>
        <rFont val="新細明體"/>
        <family val="1"/>
        <charset val="136"/>
      </rPr>
      <t>₃</t>
    </r>
    <r>
      <rPr>
        <sz val="11"/>
        <color theme="1"/>
        <rFont val="新細明體"/>
        <family val="1"/>
        <charset val="136"/>
      </rPr>
      <t>CH</t>
    </r>
    <r>
      <rPr>
        <sz val="11"/>
        <color theme="1"/>
        <rFont val="新細明體"/>
        <family val="1"/>
        <charset val="136"/>
      </rPr>
      <t>₂</t>
    </r>
    <r>
      <rPr>
        <sz val="11"/>
        <color theme="1"/>
        <rFont val="新細明體"/>
        <family val="1"/>
        <charset val="136"/>
      </rPr>
      <t>CH</t>
    </r>
    <r>
      <rPr>
        <sz val="11"/>
        <color theme="1"/>
        <rFont val="新細明體"/>
        <family val="1"/>
        <charset val="136"/>
      </rPr>
      <t>₂</t>
    </r>
    <r>
      <rPr>
        <sz val="11"/>
        <color theme="1"/>
        <rFont val="新細明體"/>
        <family val="1"/>
        <charset val="136"/>
      </rPr>
      <t>CH</t>
    </r>
    <r>
      <rPr>
        <sz val="11"/>
        <color theme="1"/>
        <rFont val="新細明體"/>
        <family val="1"/>
        <charset val="136"/>
      </rPr>
      <t>₂</t>
    </r>
    <r>
      <rPr>
        <sz val="11"/>
        <color theme="1"/>
        <rFont val="新細明體"/>
        <family val="1"/>
        <charset val="136"/>
      </rPr>
      <t xml:space="preserve">OH
}
</t>
    </r>
  </si>
  <si>
    <t>49.	王同學用藍色原子筆芯的油墨進行界面活性劑效應的實驗，先配製了甲、乙、丙三個試樣，然後觀察溶液的顏色與油墨的分布情況，結果如表3所示。 
試樣甲：組成：油墨 + 10 mL 純水、溶液的顏色：淡藍色、油墨分布情況：分布不均。
試樣乙：組成：油墨 + 10 mL 純水 + 少量十二烷基硫酸鈉、溶液的顏色：深藍色、油墨分布情況：分布均勻。
試樣丙：組成：油墨 + 1 mL 乙酸乙酯、溶液的顏色：深藍（紫)色、油墨分布情況：藍色油墨全溶。
根據實驗觀察的結果與推論，試問下列相關敘述，哪些正確？（應選3項) （A)甲試樣中的油墨分布不均，表示油墨不易溶於水 （B)乙試樣中的十二烷基磺酸鈉是界面活性劑，故試樣乙會呈現均勻混合 （C)丙試樣中的油墨形成全溶的藍色油墨溶液，表示油墨可溶於乙酸乙酯中 （D)將丙試樣再加入1 mL純水，則溶液會分成上下兩層，藍色的油墨主要會在下層 （E)若將少量氯化鈣水溶液加入乙試樣，因鈣離子會破壞界面活性劑的效果，故溶液會形成不易混合均勻的上下兩層</t>
  </si>
  <si>
    <t>50.	取五支試管，置於試管架上，分別倒入1毫升的甲苯、乙醇、丙酮、乙酸乙酯與己烷。若在該五支試管中，分別慢慢滴入純水各1毫升，並加以搖晃，則哪些試管會呈現均勻的混合溶液？（應選2項) （A)甲苯	（B)乙醇	（C)丙酮	（D)乙酸乙酯	（E)己烷</t>
  </si>
  <si>
    <t>51.	葡萄糖、半乳糖與核糖是三種皆由碳、氫、氧組成的醣類有機化合物，經元素分析得到相同的結果如下：碳40.0%，氫6.7%。葡萄糖與半乳糖的分子量都是180，核糖的分子量是150。試問下列有關葡萄糖、半乳糖與核糖的敘述，哪些正確？（應選2項) （A)葡萄糖與半乳糖互為異構物 （B)葡萄糖與半乳糖為同素異形體 （C)葡萄糖、半乳糖與核糖互為異構物 （D)葡萄糖、半乳糖與核糖有相同的實驗式 （E)葡萄糖、半乳糖與核糖三者的分子式皆為</t>
  </si>
  <si>
    <r>
      <rPr>
        <sz val="11"/>
        <color theme="1"/>
        <rFont val="PMingLiu"/>
        <family val="1"/>
        <charset val="136"/>
      </rPr>
      <t>52. 常溫時， 下列哪一物質溶於純水後， 可使水溶液的pH 值小於7.0？
(A) NO</t>
    </r>
    <r>
      <rPr>
        <sz val="11"/>
        <color theme="1"/>
        <rFont val="新細明體"/>
        <family val="1"/>
        <charset val="136"/>
      </rPr>
      <t>₂</t>
    </r>
    <r>
      <rPr>
        <sz val="11"/>
        <color theme="1"/>
        <rFont val="新細明體"/>
        <family val="1"/>
        <charset val="136"/>
      </rPr>
      <t xml:space="preserve"> (B) CaO (C) NaHCO</t>
    </r>
    <r>
      <rPr>
        <sz val="11"/>
        <color theme="1"/>
        <rFont val="新細明體"/>
        <family val="1"/>
        <charset val="136"/>
      </rPr>
      <t>₃</t>
    </r>
    <r>
      <rPr>
        <sz val="11"/>
        <color theme="1"/>
        <rFont val="新細明體"/>
        <family val="1"/>
        <charset val="136"/>
      </rPr>
      <t xml:space="preserve"> (D) CaCl</t>
    </r>
    <r>
      <rPr>
        <sz val="11"/>
        <color theme="1"/>
        <rFont val="新細明體"/>
        <family val="1"/>
        <charset val="136"/>
      </rPr>
      <t>₂</t>
    </r>
    <r>
      <rPr>
        <sz val="11"/>
        <color theme="1"/>
        <rFont val="新細明體"/>
        <family val="1"/>
        <charset val="136"/>
      </rPr>
      <t xml:space="preserve"> (E) Na</t>
    </r>
    <r>
      <rPr>
        <sz val="11"/>
        <color theme="1"/>
        <rFont val="新細明體"/>
        <family val="1"/>
        <charset val="136"/>
      </rPr>
      <t>₂</t>
    </r>
    <r>
      <rPr>
        <sz val="11"/>
        <color theme="1"/>
        <rFont val="新細明體"/>
        <family val="1"/>
        <charset val="136"/>
      </rPr>
      <t>CO</t>
    </r>
    <r>
      <rPr>
        <sz val="11"/>
        <color theme="1"/>
        <rFont val="新細明體"/>
        <family val="1"/>
        <charset val="136"/>
      </rPr>
      <t>₃</t>
    </r>
  </si>
  <si>
    <t>53.	鑽石與石墨是碳的共價網狀固體。其中，鑽石質地堅硬，而石墨是易脆的物質。下列有關兩者的敘述，哪些正確？（應選3項) （A)石墨具有導電性，鑽石則否 （B)鑽石與石墨都是高熔點的固體 （C)鑽石是三維網狀排列，而石墨是二維層狀排列 （D)鑽石的每個碳原子連接三個碳原子，而石墨的每個碳原子連接四個碳原子 （E)鑽石中碳原子間連接形成的幾何結構為三角形，而石墨中碳原子間連接形成的幾何結構為四面體形</t>
  </si>
  <si>
    <t xml:space="preserve">54.	下列哪一種現象或作用，不涉及氧化還原反應？ （A)煉鐵時加入煤焦 （B)鋁粉與鹽酸作用 （C)蘋果切開後曝於空氣 （D)硝酸銀水溶液加入食鹽 （E)具金屬光澤的銅線在空氣中受熱 </t>
  </si>
  <si>
    <t>55-57為題組
自古流傳：「種田無定例， 全要靠節氣。」24節氣於2016年已正式列入聯合國教科文組織人類非物質文化遺產名錄， 它的訂定是以24個節氣為分段點， 將地球繞太陽公轉的軌道劃分為24段，相鄰兩節氣所對應之地球到太陽的連線，其夾角均為15゜。北半球某年春夏秋冬四季中等角度間隔之相鄰兩節氣如圖10所示（ 僅為示意圖， 未完全符合實際情況)。節氣從右邊開始順時針依次標示：穀雨、清明、大寒、小寒、霜降、寒露、大暑、小暑。
表4列出了各季節兩節氣之間的時距。假設表中相鄰兩節氣之間，地球與太陽連線平均每秒鐘掃過的角度分別為ω春、ω夏、ω秋、ω冬， 而平均每秒鐘掃過的面積分別為λ春、λ 夏、λ秋、λ冬。
春季：節氣 - 清明、穀雨，時距 - 15天7時9分，物理量 - ω春、λ春。
夏季：節氣 - 小暑、大暑，時距 - 15天17時26分，物理量 - ω夏、λ夏。
秋季：節氣 - 寒露、霜降，時距 - 15天13時9分，物理量 - ω秋、λ秋。
冬季：節氣 - 小寒、大寒，時距 - 14天17時27分，物理量 - ω冬、λ冬。
依據以上資料及克卜勒等面積定律， 回答55-57題。</t>
  </si>
  <si>
    <t>55.	關於相鄰兩節氣之間地球與太陽連線平均每秒掃過的角度，下列敘述何者正確？ （A) ω春最大	（B) ω夏最大	（C)ω秋 最大 （D)ω冬 最大	（E) ω春、ω夏、ω秋、ω冬都相等</t>
  </si>
  <si>
    <t>56.	關於相鄰兩節氣之間地球與太陽連線每秒鐘掃過的面積，下列敘述何者正確？ （A) λ春最大	（B) λ 夏最大	（C) λ秋最大 （D) λ冬最大	（E) λ春、λ 夏、λ秋、λ冬都相等</t>
  </si>
  <si>
    <t>57.	隨著季節變化，地球與太陽的距離以及地球公轉的速率也會變化，比較表4中的四季時段，並利用克卜勒等面積定律，下列有關地球公轉的推論，何者正確？ （A)從節氣時距的大小，無法推論地球距太陽遠近的變化 （B)從節氣時距最小，可以推論冬季時地球運行最慢 （C)從節氣時距最小，可以推論冬季時地球距太陽最近 （D)從節氣時距最大，可以推論夏季時地球距太陽最近 （E)從節氣的訂定，可以推論地球在兩節氣之間公轉的路徑長，四季都相同</t>
  </si>
  <si>
    <t>58.	自行車以等速繞行水平的圓弧彎道時，與輪胎接觸的地面須提供自行車足夠的向心力，方能順利轉彎。在相同的彎道轉彎，若速率變為原來的2倍時，所需的向心力約需變為原來的多少倍？ （A) 1/4	（B) 1/2	（C) 1	（D) 2	（E) 4</t>
  </si>
  <si>
    <t>59.	王先生將半徑相等的甲、乙兩球對撞，以產生一維彈性碰撞，若甲球的質量為乙球的2倍，則下列有關兩球碰撞的敘述，哪些正確？（應選2項) （A)甲、乙兩球的動量變化量之量值相同 （B)甲球的動量變化量之量值約為乙球的2倍 （C)乙球的速度變化量之量值為甲球的2倍 （D)甲球的動能變化量為乙球的2倍 （E)乙球所受撞擊力的量值為甲球的2倍 60-61為題組 某人駕駛汽車在筆直水平路面上行駛，遇紅燈而停，綠燈亮時車開始前進並設此時刻為，由此時刻到秒的期間，汽車加速度與時間的關係如圖11所示。</t>
  </si>
  <si>
    <t>60-61為題組
某人駕駛汽車在筆直水平路面上行駛， 遇紅燈而停， 綠燈亮時車開始前進並設此時刻為 t = 0，由此時刻到 t = 85秒的期間，汽車加速度 a與時間 t的關係如圖11所示。
這張圖（圖11)顯示的是物體的加速度 \（\alpha\) 與時間 \（t\) 之間的關係。以下是圖表的特點：
1. **加速度軸（\（\alpha\))**：在垂直方向，表示物體的加速度，單位為 \（m/s^2\)。
   - 正的加速度（向上)代表物體加速。
   - 負的加速度（向下)代表物體減速或加速度方向反向。
2. **時間軸（\（t\))**：在水平方向，表示時間，單位為秒（s)。
3. **加速度變化**：
   - 從 0 到 10 秒，加速度保持在 \（0.5 m/s^2\)。
   - 從 10 到 20 秒，加速度降為 0，保持在 \（0 m/s^2\)。
   - 從 20 到 60 秒，加速度保持在 \（0.5 m/s^2\)，顯示持續加速。
   - 從 60 到 70 秒，加速度再次變為 0，表示加速度中斷。
   - 從 70 到 90 秒，加速度降為 \（−0.4 m/s^2\)，顯示物體減速或反向加速。
4. **加速度段落**：圖中各個區間的加速度以平滑直線呈現，表示加速度在這些時間段內保持恆定。</t>
  </si>
  <si>
    <t>60.        下列關於此汽車運動的敘述，哪些正確？（應選2項) （A)汽車在0到20秒間作等速運動 （B)汽車在20到60秒間靜止不動 （C)汽車在20到60秒間以等速前進 （D)汽車在60到85秒間速度可能小於0 （E)汽車在秒時恰好停止</t>
  </si>
  <si>
    <t>61.        此汽車在秒期間，共行駛多長的距離？ （A) 625 m （B) 525 m （C) 485 m （D) 300 m （E) 100 m</t>
  </si>
  <si>
    <t xml:space="preserve">62.	地球各緯度地區所接受的陽光入射量與紅外線輻射放出量之不同，本應會造成高、低緯度的氣溫有極大差異，但是因為地球上的許多機制可以傳送能量，而縮減了地球赤道與極區的溫差。以下哪些作用對地球溫度的「年度平衡」有明顯貢獻？（應選2項) （A)碳循環	（B)溫鹽環流	（C)表面洋流	（D)大氣環流	（E)岩石循環  </t>
  </si>
  <si>
    <t>63-64為題組 石門水庫為兼具灌溉、給水、發電、防洪與觀光的多功能水庫，
圖12為石門水庫集水區1982~2011年的30年平均以及2014年、2015年（至7月)的月降雨量；
這張圖（圖12)顯示了三條不同年份的降雨量曲線，並比較了30年平均降雨量、2014年降雨量和2015年降雨量的變化趨勢。縱軸是降雨量，單位為毫米每月（mm/月)，橫軸是月份（1月至12月)。
30年平均降雨量（實線)：這條曲線表示過去30年每月的平均降雨量，顯示出一個在夏季（6月至9月)有較高降雨量的模式，特別是6月和8月的降雨量最高，超過400毫米。
2014年降雨量（虛線)：這條曲線表示2014年每月的降雨情況，總體上跟30年平均降雨量趨勢相似，但在某些月份如7月和8月，降雨量低於平均水平，且波動較大。
2015年降雨量（點虛線)：2015年的降雨量在夏季（7月和8月)顯著低於30年平均水平，尤其是在8月份降到最低，但在5月和6月降雨量明顯高於平均值。
圖13中虛線為石門水庫運用規線，實線為30年平均水位，圓圈與星號分別為2014年與2015年（至7月底)的水位。 當水位低於運用規線下限時將採取減供水措施，以2015年的乾旱為例，2014年12月底水位為233公尺，為因應乾旱，2015年1月公告稻作休耕，隨著旱象加劇，3月底水位降至220公尺，自4月8日實施民生用水供5停2的限水措施，直到5月梅雨鋒面抵達，水位在5月底時回升至232公尺才解除限水，更於7月19日（因颱風降水)進行調節性洩洪。
這張圖（圖13)展示了某地區2014年和2015年的水位變化情況，並與30年平均水位進行了比較。縱軸表示水位（單位為未知)，範圍從205到245，橫軸是月份（1月至12月)。
30年平均水位（實線)：顯示過去30年的平均水位，曲線平穩，水位在1月至5月略有下降，6月開始上升，並在10月達到相對高點。
2014年水位（空心圓標記，虛線)：這條曲線顯示了2014年每月的水位變化。與30年平均相比，2014年在6月至8月水位下降幅度較大，尤其是在7月達到最低點，顯示出顯著的季節性波動。
2015年水位（星號標記，虛線)：2015年的水位從1月至12月均低於30年平均水位，特別是在5月和6月水位最低，9月之後略有回升，但全年水位相對較低。</t>
  </si>
  <si>
    <t>63.	依據圖12中30年平均的統計資料與臺灣地區降水特性，下列敘述哪些最為正確？（應選3項) （A)6月、7月、8月、9月主要都因為颱風而帶來大量降水 （B)7月的降雨量較8月低的原因，主要是因為颱風發生次數較少 （C)一般而言，石門水庫蓄水量的主要貢獻來自颱風、梅雨 （D)颱風降水對於石門水庫蓄水量的貢獻不一定每年都一樣 （E)曾文水庫集水區的降水時間分布和石門水庫集水區類似</t>
  </si>
  <si>
    <t>64.	配合圖12與圖13的資料，下列敘述哪些正確？（應選3項) （A)水庫運用規線下限水位較高的月份，主要是該期間雨量偏低 （B)水庫水位的高低變化和降水的多寡有很高的相關性，和用水量多寡無關 （C)2015年的乾旱最主要成因是2014年的颱風降水不足 （D)2015年的春雨降水仍不足以有效解除旱象 （E)2015年供5停2限水措施的解除是由於颱風降水的挹注</t>
  </si>
  <si>
    <t>65.	太魯閣國家公園中九曲洞的大理岩峽谷美不勝收，此壯麗山河主要是因為下列哪些作用歷經久遠時間才形成的？（應選3項) （A)變質作用	（B)風化作用	（C)隆起作用 （D)侵蝕作用	（E)土石流作用</t>
  </si>
  <si>
    <t>66.	地球上各式各樣的地下資源可透過不同的地球物理方法進行探勘。例如：反射震測可以描繪地下地質形貌，適合瞭解地下構造變化；重力測勘可測量地下物質的密度變化，適合瞭解高、低密度岩層的分布；磁力測勘可測量磁力變化，適合找尋含磁性礦物的礦脈分布；地電阻測勘法可測量地下物質的導電率，適合瞭解不同物質的分布。根據以上敘述及表5資料，
這張圖表展示了三種不同的地下資源及其探測所使用的地球物理方法。圖中包含地下資源和相應的探測方法，具體內容如下：
地下資源：甲：地下水、乙：石油、丙：鐵礦。
地球物理方法：、a：反射震測法、b：重力測勘法、c：磁力測勘法、d：地電阻測勘法。
下列哪一個組合是探勘甲、乙、丙三種地下資源的最佳方法？ （A)甲–a、乙–b、丙–d	（B)甲–c、乙–a、丙–d	（C)甲–b、乙–d、丙–c （D)甲–d、乙–a、丙–c	（E)甲–a、乙–b、丙–c</t>
  </si>
  <si>
    <t>67.	部分無線電波能夠穿透大氣層，因此可以在地面上進行無線電波觀測。比較相同口徑的無線電波望遠鏡及光學望遠鏡，無線電波會因為波長比可見光長，導致其解析度較低。為了提高無線電波觀測的解析度，可以利用以下哪些技術？（應選2項) （A)增加望遠鏡發射無線電波的功率 （B)加大無線電波望遠鏡口徑 （C)減少周邊的光害 （D)將多部無線電波望遠鏡組成陣列 （E)將無線電波望遠鏡建置於晴天比率高的地點</t>
  </si>
  <si>
    <t>68.	王先生的房子位於某一活動斷層旁邊，因為發生大地震，地表斷層錯動而全毀；但位於斷層線另一側同一批房屋則僅有零星損失。表6的資料為王先生房子的位置與斷層種類，哪些選項的配對最有可能造成此現象？（應選2項)
（A) 房子位於上盤，活動斷層類型為正斷層。
（B) 房子位於下盤，活動斷層類型為正斷層。
（C) 房子位於上盤，活動斷層類型為逆斷層。
（D) 房子位於下盤，活動斷層類型為逆斷層。
（E) 房子位於上盤，活動斷層類型為平移斷層。
（F) 房子位於下盤，活動斷層類型為平移斷層。</t>
  </si>
  <si>
    <t>2018_Questions</t>
  </si>
  <si>
    <t>1.	X、Y、Z分別為週期表中，第二與三週期中的三種元素，其原子序之和為25，在週期表的相對位置如表1。
二列八欄的結構：
第一列：第一欄：空白、第二欄：空白、第三欄：空白、第四欄：Y、第五欄：空白、第六欄：Z、第七欄：空白、第八欄：空白
第二列：第一欄：X、第二欄：空白、第三欄：空白、第四欄：空白、第五欄：空白、第六欄：空白、第七欄：空白、第八欄：空白
由這三種元素，可組成許多化合物。 下列有關這三種元素以及其組成化合物的敘述，哪些正確？ 甲、這三種元素中，只有一種是非金屬元素。 乙、Z容易失去兩個電子，形成離子。 丙、由Y與Z可以組成氣體分子。 丁、X的價電子數為1。 (A)甲乙	(B)乙丙	(C)丙丁	(D)甲丙	(E)乙丁</t>
  </si>
  <si>
    <t>2. 日常生活中的食衣住行常與自然科學有關，現代如此，過去亦然。世上最早的一部煉丹著作《周易參同契》(西元二世紀)中，記載許多與化學相關的訊息。世上的煉丹師都有不願公開自己經驗的心理，即使有文字流傳，但語焉不詳或故用隱語，使他人難以理解，例如下列句子：河上姹女 靈而最神得火則飛不見埃塵鬼隱龍匿 莫知所存 將欲制之 黃芽為根現代化學家已經解讀出其意義，如表2。
1.隱語：姹女；解讀：是一種元素。
2.隱語：河上；解讀：形容其具有流動性。
3.隱語：得火則飛；解讀：指其易於氣化。
4.隱語：莫知所存；解讀：指其化為氣體。
5.隱語：黃芽；解讀：是一種元素，其結晶為黃色針狀物。
若「姹女」與「黃芽」進行化學反應，可得到穩定的生成物。試問句中的「姹女」和「黃芽」是哪兩種物質？
(A)汞、硫(B)銀、金(C)鉛、硫(D)銀、硫(E)汞、金</t>
  </si>
  <si>
    <t>3. 王同學為了探討固體溶於水所發生的現象做了一個實驗，裝置如圖1。實驗的步驟如下：
甲、在燒杯中倒入200 mL的水，以酒精燈加熱至80℃後熄火。
乙、取粉狀無水氯化鈣60 g，慢慢加入熱水中，則看到溶液沸騰。
丙、最後得到澄清溶液，以溫度計測量溶液，液溫為101℃。根據王同學所做的實驗與觀察以及推測，下列敘述何者正確？
(A)圖示的實驗裝置正確無誤
(B)在101℃時，氯化鈣的溶解度應大於30 g/100 mL 水
(C)氯化鈣固體溶解時應該是吸熱
(D)粉狀氯化鈣加入時造成突沸使水溫上升
(E)加入粉狀無水氯化鈣時，應以溫度計緩緩攪拌均勻</t>
  </si>
  <si>
    <t xml:space="preserve"> Figure</t>
  </si>
  <si>
    <t>4.甲醇燃料電池是以甲醇與氧氣反應，產生二氧化碳與水以獲取電能的裝置。若改用乙醇，生成物也是二氧化碳與水。這兩種燃料電池，若均使用1莫耳的醇進行反應，二者所產生水的莫耳數比為何？ (A)
1:1
(B)
1: 2
(C)
1: 3
 (D)
2 : 3
(E)
3 :1</t>
  </si>
  <si>
    <t xml:space="preserve">5.	酸鹼反應中陰離子與陽離子的濃度會隨反應的進行而變化，故酸鹼反應可藉由量測其導電度(電導度)進行監測。若將1.0 M水溶液，慢慢加入1 L的1.0 M水溶液，以的體積為橫軸，並以導電度為縱軸作圖，則下列五個圖形，何者最能符合此反應時的導電度變化？ 
(A)座標系：X軸為體積(L)，Y軸為導電度。數據點：有5個黑色數據點，分別位於(0,0)、(1,1)、(1,2)、(2,3)、(2,4)。趨勢：導電度隨著體積的增加而上升，顯示出正相關的趨勢。
(B)座標系：X軸為體積(L)，Y軸為導電度。數據點：5個數據點，分別位於(0,4)、(0.5,3)、(2,1)、(1,1.5)、(0,2)。
(C)座標系：X軸為體積(L)，Y軸為導電度。數據點：有5個數據點，位於(0,0)、(0.5,0.5)、(0.5,1)、(1,1)、(1.5,2)。
(D)座標系：X軸為體積(L)，Y軸為導電度。數據點：有5個數據點，位於(0,0)、(0.5,0.5)、(1,1)、(0.9,1)、(0.8,2)。
(E)座標系：X軸為體積(L)，Y軸為導電度。數據點：有5個數據點，位於(0,2)、(1.5,0.5)、(1,1)、(1,1)、(1.2,2)。
</t>
  </si>
  <si>
    <t>6.	下列有關二乙醚與1-丁醇的敘述，哪一項正確？ (A)示性式相同	(B)分子量不同	(C)結構式不同 (D)分子中的碳原子總數不同	(E)完全燃燒所需氧氣的莫耳數不同</t>
  </si>
  <si>
    <t>7.	下列有關化學實驗安全的規範或意外發生時的處理方式，哪些正確？ 甲：實驗前應詳細閱讀實驗內容，瞭解實驗步驟及相關注意事項。 乙：操作實驗若不小心燙傷，應儘速以藥膏塗抹燙傷處。 丙：使用強酸、強鹼或腐蝕性化學藥品，且不加熱時，應穿戴乳膠手套，以避免傷皮膚。 丁：若化學藥品不小心濺入眼睛，應趕緊閉上雙眼由同學護送到保健中心醫治。 (A)甲乙	(B)甲丙	(C)甲丁	(D)乙丁	(E)丙丁</t>
  </si>
  <si>
    <r>
      <rPr>
        <sz val="11"/>
        <color theme="1"/>
        <rFont val="PMingLiu"/>
        <family val="1"/>
        <charset val="136"/>
      </rPr>
      <t>8. 一氧化氮（ NO ）在細胞的訊號傳遞中，扮演重要的調控角色。實驗室製備NO 時，可用銅還原稀硝酸而得，係數尚未平衡的反應式如下：
____Cu +____HNO</t>
    </r>
    <r>
      <rPr>
        <sz val="11"/>
        <color theme="1"/>
        <rFont val="Arial"/>
        <family val="2"/>
      </rPr>
      <t>₃+____Cu(NO₃)₂+____ H₂O+____ NO</t>
    </r>
    <r>
      <rPr>
        <sz val="11"/>
        <color theme="1"/>
        <rFont val="PMingLiu"/>
        <family val="1"/>
        <charset val="136"/>
      </rPr>
      <t>反應式平衡後，係數均為最小整數時，下列哪一數值是 NO 的係數？
A 1 B 2 C 3 D 4 E 5</t>
    </r>
  </si>
  <si>
    <t>9.	粒線體與葉綠體都是細胞處理能量的胞器，但兩者的分工不同，下列何者正確？ (A)各自都具有DNA，以製造本身所需蛋白 (B)葡萄糖分解在粒線體內進行 (C)粒線體可產生ATP而葉綠體則否 (D)葉綠體為植物獨有，粒線體為動物獨有 (E) ATP的產生都發生在內膜上</t>
  </si>
  <si>
    <t>10.	研究者分析多種脂肪酵素的活性，在不同溫度下結果如圖2，
這張圖顯示了不同酵素在不同溫度下的活性百分比。以下是各個曲線及其說明：
- **X軸**表示溫度(°C)，範圍從0°C到80°C。
- **Y軸**表示酵素活性百分比，範圍從0%到120%。
- **四條曲線**分別代表不同的酵素，標示為甲、乙、丙、丁。這些酵素在圖中呈現出不同的活性峰值和範圍。
### 各曲線的詳細說明：
1. **酵素甲**(代表曲線的顏色可能為黑色或其他色調)：
   - 在約50°C時活性最高，達到接近100%的活性水平。
   - 在較低和較高的溫度下，活性明顯下降。
2. **酵素乙**：
   - 在約30°C時活性最高，約為90%。
   - 當溫度高於50°C時，活性迅速下降。
3. **酵素丙**：
   - 在約45°C時活性最強，接近90%。
4. **酵素丁**：
   - 活性曲線在50°C附近達到高峰，活性約為80%。
   - 隨著溫度的上升，其活性保持相對穩定。
4. **酵素戊**：
   - 活性曲線在15°C附近達到高峰，活性約為90%。
   - 隨著溫度的上升，其活性保持相對穩定。
不同pH值下如圖3。
這張圖顯示了不同酵素在不同pH值下的活性百分比。以下是圖中各個曲線的詳細說明：
### 圖表概述：
- **X軸**表示pH值，範圍從0到12。
- **Y軸**表示酵素活性百分比，範圍從0%到120%。
- **曲線**代表不同的酵素，標示為甲、乙、丙、丁、戊。這些曲線展示了不同酵素對pH的活性反應。
### 各曲線的詳細說明：
1. **酵素甲**：
   - 在pH 3時活性達到最高，接近120%。
2. **酵素乙**：
   - 在pH 5之間活性最強，活性約為95%。
3. **酵素丙**：
   - 在pH 7時活性最高，接近100%。
4. **酵素丁**：
   - 活性在pH 8時達到高峰，接近90%。
5. **酵素戊**：
   - 在pH 9時活性最佳，活性約為90%。
   - 此曲線顯示出該酵素對酸性環境不太敏感，但在強鹼性環境下活性下降明顯。
廚房清潔劑中常添加脂肪酵素以分解油脂。為使常溫下鹼性廚房清潔劑的效能最佳化，下列何者最適合添加在本清潔劑中？ (A)甲 (B)乙 (C)丙 (D)丁 (E)戊</t>
  </si>
  <si>
    <t>11.	下列何種繁殖方式最接近水筆仔的胎生苗繁殖？ (A)山蘇的孢子繁殖	(B)蘭花的組織培養以產生新植株 (C)二葉松以毬果繁殖	(D)落地生根的不定芽繁殖	(E)酵母菌的出芽繁殖</t>
  </si>
  <si>
    <t>12.	研究者新收集到一種草花。為了解光週期對此植物的影響，將種子播種在每天不同光照長度的環境中。該草花在不同光照的情況下，從播種到開花所需的時間平均值如表3。
這張表格顯示了光照長度與植物的平均開花時間之間的關係。以下是各部分的詳細說明：
### 表格內容概述：
- **光照長度(小時)**：這一列顯示每天的光照時數，範圍從6小時到24小時。
- **平均開花時間(天)**：這一列顯示植物在不同光照長度下的平均開花時間，單位為天。
### 數據詳述：
1. **光照長度 6 小時**：
   - 平均開花時間為 92 天。
2. **光照長度 8 小時**：
   - 平均開花時間為 96 天。
3. **光照長度 10 小時**：
   - 平均開花時間為 93 天。
4. **光照長度 12 小時**：
   - 平均開花時間為 95 天。 
5. **光照長度 14 小時**：
   - 平均開花時間為 91 天。
6. **光照長度 16 小時**：
   - 平均開花時間為 95 天。
7. **光照長度 18 小時**：
   - 平均開花時間為 93 天。
8. **光照長度 20 小時**：
   - 平均開花時間為 93 天。
9. **光照長度 24 小時**：
   - 平均開花時間為 93 天。
根據表3，下列有關此植物開花調控的敘述何者正確？ (A)為長日照植物，臨界日長8小時	(B)為長日照植物，臨界日長16小時 (C)為短日照植物，臨界日長8小時	(D)為短日照植物，臨界日長16小時 (E)光週期對此植物的開花沒有影響</t>
  </si>
  <si>
    <t>13.	組成生命世界之各種元素，其原子序通常不超過20。表4為各元素之原子序。
這張表格顯示了幾種化學元素及其在原子序中的排列。以下是各部分的詳細說明：
### 表格內容概述：
- **元素**：這一列列出了表中包含的元素，包括氫(H)、碳(C)、氮(N)、氧(O)、鈉(Na)、鎂(Mg)、磷(P)、硫(S)、氯(Cl)、鉀(K)、鈣(Ca)。
  - **原子序**：這一列顯示了每個元素的原子序號，即其在元素周期表中的位置。 
### 數據詳述：
1. **氫 (H)**： - 原子序：1
2. **碳 (C)**：   - 原子序：6
3. **氮 (N)**：- 原子序：7
4. **氧 (O)**：  - 原子序：8
5. **鈉 (Na)**： - 原子序：11
6. **鎂 (Mg)**： - 原子序：12
7. **磷 (P)**： - 原子序：15
8. **硫 (S)**： - 原子序：16
9. **氯 (Cl)**： - 原子序：17
10. **鉀 (K)**：- 原子序：19
11. **鈣 (Ca)**：- 原子序：20
下列敘述何者正確？    (A)組成多醣的元素原子序超過10	(B)組成脂肪之元素原子序不超過10 (C)組成蛋白質之元素通常原子序不超過15	(D)組成核酸會用到原子序16~20的元素 (E)組成去氧核糖核酸不會用到原子序8的元素</t>
  </si>
  <si>
    <t>14.	李同學每隔相同的時距，以鉛筆筆尖輕點水波槽水面，水面產生圓形波向外傳播，經投射在屏幕上可看到明暗相間的水波影像。若筆尖以每秒3次輕觸水面，量測到經過5.0秒的時距，水波影像沿半徑向外的位移為30公分，而投射裝置的放大率經實測約為2倍，則鉛筆筆尖所產生週期圓形波在水波槽中的實際波長為若干公分？ (A) 1.0	(B) 2.0	(C) 6.0	(D) 9.0	(E) 12</t>
  </si>
  <si>
    <t>15.	下列四位同學對於「自然界的基本作用力」之說法，哪一選項中同學的敘述是正確的？ 甲同學：在原子核中的中子與質子間有強力作用。 乙同學：在原子核中的中子與中子間也有強力作用。 丙同學：弱力雖弱，但是其作用範圍遠比電磁力的作用範圍更長。 丁同學：牛頓直接測量蘋果與地球之間的重力變化，進而推得重力與距離平方成反比的關係。 (A)僅有甲	(B)僅有乙	(C)僅有丙 (D)僅有丁	(E)僅有甲乙	(F)僅有甲丁</t>
  </si>
  <si>
    <t xml:space="preserve">16. 若以速率對時間關係圖來描述一小球在空氣中由高空靜止落下的運動，則下列哪一示意圖最能描述小球受到空氣阻力影響時的運動過程？
(A) 這是一個線性增長的圖，速率隨著時間增加而以固定的斜率上升。
(B)這個圖的速率速率時間保持不變。
(C)此圖顯示速率隨時間指數型增長的趨勢，起初增長較慢，然後迅速上升。
(D這個圖的速率從一個較高的值開始，然後逐漸減少，形成一個向下彎曲的形狀。
(E)此圖顯示速率以平緩的曲線逐漸接近一個特定值。表示一個漸進的穩定狀態，可能與反應的飽和或平衡有關。
</t>
  </si>
  <si>
    <t>17.	兩個通有穩定電流的圓形線圈相對而立，如圖4所示。
這張圖展示了三維坐標系中的方向指示，以下是圖中的詳細說明：
### 圖示詳述：
- **坐標系統**：圖中顯示了一個三維坐標系，其中包含三個主要的方向：
  - **上方**(上)：表示Z軸的正方向，通常用於表示垂直方向或高度。
  - **北方**(北)：表示Y軸的正方向，通常用於表示地理北方。
  - **東方**(東)：表示X軸的正方向，通常用於表示地理東方。
- **坐標軸**：
  - **實線箭頭**：標示出各個方向的具體向量，幫助理解空間中物體的位置或運動方向。
  - **虛線**：可能用於輔助顯示平面或基準面，幫助理解坐標系的結構。
若忽略地磁的影響，則兩載流線圈在線圈圓心連線中點處造成的磁場方向為何？ (A)向東 (B)向西 (C)向北 (D)向上 (E)兩線圈產生的磁場方向相反</t>
  </si>
  <si>
    <t>18.	下列所述光電效應中入射光與光電子之間的關係，何者證實了光具有粒子性？ (A)光電子的數目與照射在金屬表面的入射光頻率成正比 (B)光電子産生與否決定於照射在金屬表面的入射光強度 (C)照射於金屬表面的入射光頻率須大於某一特定值方能産生光電子 (D)照射於金屬表面的入射光波長須大於某一特定值方能産生光電子 (E)照射於金屬表面的入射光波長及強度均須大於某一特定值方能産生光電子</t>
  </si>
  <si>
    <t>19.	月球是距離地球最近的天體，透過在地面以及在太空觀察，可發現月球表面除了有亮暗區域差異，尚有大小不一的坑洞分布。此外，亦透過檢視登陸月球時所攜回超過三百公斤月球表面岩石物質，發現全都是火成岩，沒有沉積岩或變質岩，並且當中只含有極少量的水。由以上結果，下列敘述何者正確？ (A)月球表面曾經處於熔融狀態 (B)月球上的沉積岩與變質岩都埋藏在深處 (C)月球表面的坑洞都是火山噴發造成的火山口坑洞 (D)月球曾經存在大量流水，但由於沒有大氣，液態水已經蒸發散失 (E)月球有明顯板塊運動，形成高地以及看起來較為暗黑的低窪地</t>
  </si>
  <si>
    <t>20.	陳同學今天去海邊玩，發現早上11點左右潮位最低，潮間帶最寬，有很多人在沙灘上挖尋文蛤。若該海岸的潮汐週期變化如圖5，
根據圖表，水位範圍在 -2.5 公尺至 2.5 公尺之間。具體來看：
日期 1 至 3：水位大約在 0 至 2.5 公尺之間波動。
日期 4 至 6：水位大約在 -2.5 至 2.5 公尺之間波動。
日期 7 至 9：水位持續在 -2.5 至 2.5 公尺之間波動，並且波動的幅度較大。
日期 10 至 12：水位再次大幅度波動，範圍從 -2.5 至 2.5 公尺。
日期 13 至 15：水位繼續保持在 -2.5 至 2.5 公尺的範圍內波動。
則隔天陳同學再去同一海邊，在早上11點左右進行觀察，會觀察到下列哪個現象？ (A)潮間帶出現，且潮位逐漸下降 (B)潮間帶出現，且潮位逐漸上升 (C)達當日最高潮位，且潮間帶最寬 (D)達當日最低潮位，且潮間帶消失 (E)11點左右潮位依然最低，但潮間帶相較前一天變窄許多</t>
  </si>
  <si>
    <t xml:space="preserve">21.	波浪是一種海水上下起伏的運動。下列對波浪的敘述何者正確？ (A)海面波浪都是由於風吹造成 (B)波浪由外海傳遞至岸邊時，波浪的前進方向會因海岸線的不平直，往水深較深的海域偏折 (C)颱風尚未到達臺灣，已經在臺灣海岸可見該颱風造成的湧浪 (D)海灣受波浪侵蝕的力量較海岬處大，所以海灣會繼續往陸地內凹 (E)波浪靠近岸時，因受地形影響而破碎，所以碎浪對岸邊結構物沒影響 </t>
  </si>
  <si>
    <t>22-23為題組 圖6為臺灣時間2017年7月29日08時的紅外線衛星雲圖，尼莎颱風位於臺灣東方海面。20時中心登陸宜蘭，23時中心於新竹出海，圖7為尼莎颱風於7月26日到7月30日間的颱風路徑圖(臺灣時間)。依據圖6與圖7回答22-23題。
圖 6 為臺灣時間2017 年7 月29 日08 時的紅外線衛星雲圖，尼莎颱風位於臺灣東方海面。顯示的是一幅衛星雲圖，描繪了颱風或熱帶風暴的雲層結構。圖上標示了地理坐標，橫軸顯示的是經度(110°E至130°E)，縱軸顯示的是緯度(10°N至40°N)，範圍包括中國東部、台灣以及菲律賓附近的海域。圖中的白色雲層區域集中在北緯20度到30度之間，經度約120°E的位置，顯示了一個明顯的渦旋雲系，這通常是颱風或熱帶風暴的特徵。渦旋中心附近雲層非常厚密代表風暴的核心位置。南方靠近菲律賓的雲層範圍較廣，顯示了颱風的外圍環流系統。
20 時中心登陸宜蘭，23 時中心於新竹出海，圖7 為尼莎颱風於7 月26 日到7 月30 日間的颱風路徑圖(臺灣時間)。
顯示了2017年颱風「尼莎」(NESAT)的路徑圖。圖中標註了颱風在特定時間點的位置和經過的地區，並使用點線標示出颱風的行進路徑。每個時間點旁標註的日期和時間顯示颱風的移動時間，時間單位是「08時」(早上8點)，顯示了颱風的移動過程。
圖中的路徑從右下方(靠近菲律賓東方海域)開始，颱風向西北方向移動，逐漸接近台灣並穿過，之後繼續往中國東南沿海移動。具體位置標示如下：
07/26(08時) - 颱風位於菲律賓東方海域。
07/27(08時) - 颱風接近台灣東南方。
07/28(08時) - 颱風移動到台灣東部外海。
07/29(08時) - 颱風通過台灣並向中國沿海方向移動。
07/30(08時) - 颱風進一步移動到中國東南沿海。
依據圖6 與圖7 回答22-23 題。</t>
  </si>
  <si>
    <t/>
  </si>
  <si>
    <t>22. 宜蘭地區在 7 月29 日08 時，接近地面處的主要風向為何？
(A)西北風(B)西南風(C)東北風(D)東南風(E)南風</t>
  </si>
  <si>
    <t>23. 下列哪一張示意圖最能代表宜蘭觀測站所量測到的氣壓在7 月28~30 日的變化？
(A)：氣壓在7月28日逐漸下降，直到7月29日達到最低點，隨後在7月30日開始上升。這種模式通常對應於颱風中心經過，氣壓先下降再回升的過程。
(B)：氣壓在整個時間段保持不變。這代表氣壓穩定，沒有明顯的颱風或天氣系統影響。
(C)：氣壓在7月28日上升，然後在7月29日達到最高點，隨後在7月30日下降。這種趨勢可能表示一個高壓系統先進入，隨後被其他氣候系統取代。
(D)：氣壓逐漸下降，並在整個時間段內持續下降。這可能反映了持續進入的低壓系統，通常與颱風或低氣壓區域相關。
(E)：氣壓逐漸上升，並在整個時間段內持續上升。這通常與高壓系統的進入有關，天氣可能逐漸穩定。</t>
  </si>
  <si>
    <t>24. 某生在探討活動時觀察「花的構造」，繪得示意圖如圖8(此花朵已移除3 片花瓣)。
這張圖展示了一朵花的結構，各部分都有標示出名稱。以下是各個結構的詳細說明：
1. **甲(花柱)**：位於花的中心，連接子房和柱頭。
2. **子房**：位於花的底部，包含胚珠，是花粉受精後發育成種子的地方。
3. **乙**：花的顏色和形狀部分。
4. **丙**：花瓣外部的結構。
5. **丁**：包括花絲和花藥。
6. **花托**：花各個部位的基部結構，將花的各個部分固定在一起。
這張圖展示了花的主要結構，顯示了植物的生殖器官(如雌蕊和雄蕊)以及一些保護性和裝飾性的部分。
下列有關此花的敘述，哪些正確？(應選2 項)
(A)甲為柱頭，是雄蕊的一部份
(B)乙為花藥，其中花粉染色體套數為2n
(C)丙為子房中的胚珠，受精後會發育為種子
(D)丁為花瓣，具有單子葉植物花瓣數目的特性
(E)花柱及子房壁都是由單套染色體的細胞組成</t>
  </si>
  <si>
    <t>25.        下列是某生在探討活動中，觀察人類血球細胞染色抹片後的結論，有哪些是正確的？(應選3項) (A)不同血球細胞的核特徵有明顯差異 (B)白血球有核，紅血球則無 (C)相較於白血球，紅血球中心區域較不透光 (D)血小板不被染色，無法觀察 (E)白血球的核具有多種型態</t>
  </si>
  <si>
    <t>26.	下列有關動物排泄的敘述，哪些正確？(應選2項) (A)肺臟排除，與腎臟共同維持血液pH值的恆定 (B)過濾作用所產生的濾液不含有構成蛋白質的胺基酸 (C)為快速吸收可用物質，再吸收作用只發生在近曲小管 (D)血液中的可藉由排泄系統移除，以維持血液的酸鹼度 (E)酒精會促進ADH的釋放，進而抑制水的再吸收，導致尿量增加</t>
  </si>
  <si>
    <t>27.	中樞神經系統包括大腦(灰質及白質)、小腦、間腦(視丘及下視丘)、腦幹(中腦、橋腦和延腦)及脊髓，這些構造如同人體內的中央處理器，獲得感覺與做出運動的決定。周圍神經系統包含：由各感覺器官連結到中樞的感覺神經，以及由中樞連結到動器(肌肉與腺體)的運動神經。周圍神經如同是將感測器與運動元件連接到中央處理器的纜線。下列功能性配對哪些正確？(應選3項) (A)小腦：協調骨骼肌的活動 (B)大腦白質：所有記憶、思考、判斷都在此區 (C)視丘：調節體溫、血壓 (D)延腦：調節呼吸、心跳及吞嚥等活動 (E)大腦灰質：所有感覺都發生在此區</t>
  </si>
  <si>
    <t xml:space="preserve">28.	太陽表面在2017年9月接連發生二起被稱作「太陽閃焰」的大型爆發，規模為10年來最大。科學家預計爆發所噴出的帶電粒子團兩天後抵達地球，撞擊大氣層後產生電磁波，以致影響通訊品質。已知太陽與地球距離約為公尺，光速約為公尺/秒。下列敘述哪些正確？(應選2項) (A)電磁波並無繞射與干涉的現象 (B)電磁波在空間傳播須以帶電粒子為介質 (C)電磁波具有隨時間作週期性變動的電場與磁場 (D)帶電粒子團脫離太陽時的速率約為公尺/秒 (E)帶電粒子團撞擊地球大氣層之後約8分鐘，地球上才能觀測到太陽閃焰影像 </t>
  </si>
  <si>
    <t>29-30為題組 林同學為了同時觀察電流的磁效應與電磁感應現象，在水平桌面上安置甲、乙兩組電流迴路，其設計如圖9所示。
這張圖(圖9)顯示了一個電路圖，並且結合了磁針的方向指示。圖中標示了甲迴路和乙迴路，並有幾個主要元件：
P：這是電池或電源的符號，標示有正負極，提供電流給電路。
K：這是開關的符號，當開關合上時，電流會流過甲迴路。
磁針：在電路中的磁針可以用來觀察電流通過時產生的磁場效應，當電流通過時，磁針的方向會發生改變。
G：這是乙迴路中的一個元件，通常代表電流表或其他測量裝置，用於測量電流。
甲迴路：由電源(P)經過開關(K)和磁針構成的電路，電流流過甲迴路時會影響磁針的指向。
乙迴路：有一個獨立的迴路，包含測量元件G，與甲迴路並聯。
方向指示：圖中標示了「北」和「東」，用來說明磁針的初始方向，從而觀察電流對磁針指向的影響。
甲迴路串接電壓固定之大電流的直流電源供應器P與開關K，並在其中一段沿南北方向的長直導線正上方，置放一小磁針。該小磁針最初為靜止，其N極指向北方；乙迴路則串接一高靈敏度之檢流計G，最初顯示的電流值為零。</t>
  </si>
  <si>
    <t>29.	該同學開啟電源供應器P，並按下開關K接通甲迴路，應可觀察到哪些現象？(應選2項) (A)小磁針N極立刻偏轉，但最後回復指向北方 (B)小磁針N極偏轉向東，最後維持於北偏東的方向 (C)檢流計G指針立刻偏轉，但最後回復指向零電流 (D)流經檢流計G的電流方向為由南向北，且電流值維持穩定 (E)小磁針立刻偏轉，檢流計G顯示的電流值維持穩定不變</t>
  </si>
  <si>
    <t>30.	該同學開啟電源供應器P，先按下開關K接通甲迴路一段時間，然後再將乙迴路以等速度向東拉離甲迴路，則在乙迴路被拉離一小段距離的過程中，應可觀察到哪些現象？(應選2項) (A)小磁針N極回復指向北方不動，檢流計G也一直顯示有電流通過 (B)小磁針N極的方向為北偏東，檢流計G一直顯示有電流通過 (C)小磁針N極的方向為北偏東，檢流計G一直顯示電流值為零 (D)流經檢流計G的電流方向為由南向北 (E)流經檢流計G的電流方向為由北向南</t>
  </si>
  <si>
    <t>31. 如圖10所示，
這張圖顯示的是一個與光學或波動有關的示意圖，描述了光或波通過障礙物後的情況。圖中的主要元素包括：
1. **M**：這是一個擋板或障礙物，擋住了部分入射的波(可能是光或水波)。擋板後方會產生影響，可能與繞射、反射或其他波的行為有關。
2. **N**：這是一個牆面或屏障，位於擋板(M)的右側，用來捕捉通過障礙物的波。這可以是光學中的屏幕，用來觀察波的干涉或繞射圖案。
3. **y 和 0**：這些符號可能表示位置參數。**0** 標示為基準點，**y** 可能表示從基準點到屏幕上某一點的垂直距離。這通常用於表示波干涉、繞射或其他光學現象的條紋位置。
4. **箭頭**：從左向右的箭頭表示入射波或光的方向，進行觀察波如何與擋板(M)發生相互作用，並且在通過或繞過擋板後如何在屏幕(N)上產生干涉或繞射圖案。
光沿水平方向行進，經過一片不透光之擋板M後，照射在垂直牆面N上，虛線為擋板頂之水平延伸線，與牆N交於位置。下列關於光在牆N上亮度之敘述，哪些正確？(應選2項) (A)光因繞射的關係而可能進入區域 (B)光因折射的關係而可能進入區域 (C)光的波長愈長，光線往下偏向進入區域的角度愈大 (D)光因為具有粒子性而沿直線行進，故區域之亮度為零 (E)光的頻率愈高，能量愈大，光線往下偏向進入區域的角度愈大</t>
  </si>
  <si>
    <t>32.	圖11是從臺中霧峰「921地震教育園區」觀景窗中看出去的河堤景象。
這張圖展示了一個河堤的場景，顯示出河堤的結構和周圍的環境。以下是圖中標示的部分及其詳細說明：
河堤：圖中顯示了兩個「河堤」標籤，這些河堤是沿著河流構築的堤壩，用來防止洪水侵襲周邊地區。河堤的主要功能是保持河流水位，防止水患。
階梯：在河堤的中間位置，可以看到有一個標示為「階梯」的結構。這個階梯是為了方便人們上下河堤而設置的，通常這些階梯可以通往河流的兩岸，便於河堤的維護或觀光。
背景中有一些房屋和丘陵，顯示這個場景可能位於一個鄉村或郊區的河岸邊。這張圖似乎是在展示河堤的建設及其與當地環境的融合。
原本連續平坦的河堤因車籠埔斷層錯動而產生位移，目前斷裂處的河堤已經修復，而且建造了階梯以供步行。根據臺灣本島受板塊推擠作用而成的地質現象與圖11，下列敘述哪些正確？(應選2項) (A)車籠埔斷層為正斷層 (B)車籠埔斷層為逆斷層 (C)車籠埔斷層為平移斷層 (D)相片中上盤位置在右側 (E)相片中上盤位置在左側 (F)相片中上下盤無法判斷</t>
  </si>
  <si>
    <t>33.	在西元79年，義大利的維蘇威火山噴發，摧毀了古羅馬城市龐貝。此處黏滯性較大的中酸性岩漿不易流動，氣體難以有效散失，大量氣泡在接近地表時會猛烈的爆開，讓周圍岩漿和岩石四處飛射。維蘇威火山非常活躍，其爆發歷史如圖12所示。
這張圖展示的是一個爆發事件隨時間分布的條形圖，橫軸表示「爆發時間(西元)」，範圍從600年到2000年，縱軸表示爆發的「次數」，數值為0或1，表示在某個時間點是否發生了一次爆發事件。
具體說明：
橫軸顯示了時間的範圍，從600年開始到2000年結束。這可能與某類重大事件或自然現象(如火山爆發、星體爆發等)的記錄相關。
縱軸標示為次數，表示是否在該時間點有一次爆發事件發生，圖中每個垂直線條代表一個爆發事件。次數以0或1表示，1代表有事件發生，0代表沒有事件。
圖中的線條分布顯示了不同時間段的爆發情況，特別是在600年至1600年間的爆發次數較少，而在1600年至2000年間則顯著增加，尤其在後期(大約1800年以後)爆發的密度明顯更高。
依上述資料，以下敘述或推論哪些正確？(應選2項) (A)維蘇威火山爆發具特定週期 (B)在維蘇威火山地區的主要岩石為玄武岩 (C)可以從排出氣體的量和成分變化來監測火山爆發 (D)維蘇威火山的岩漿噴發形式與形成澎湖的噴發形式相同 (E)在西元1600年到2000年間維蘇威火山爆發較前一千年頻繁</t>
  </si>
  <si>
    <t>34.	在探討影響氣候的因素中，地表狀態的改變為影響氣候的其中一種因素。部分覆蓋大面積樹林和水塘的區域，隨都市發展逐漸被建築物、水泥地或柏油路面所取代，經長時間能量收支平衡的結果，使得當地氣候發生變化。下列這些導致氣候改變的敘述，哪些正確？(應選3項) (A)相較於水泥建物，樹林覆蓋區域能減小白天最高氣溫和夜間最低氣溫的差距 (B)因為建築物增加，大樓間的通道使風速變大，增強對溫度的調節，使得日夜溫差變小 (C)樹林的林蔭遮蔽能攔截太陽輻射，樹林消失後使得到達地表的太陽輻射量增加，導致白天最高氣溫變高 (D)水塘被水泥建物取代，原先藉由水蒸發所吸收的熱能減少，且地表輻射量增加，長期影響下導致白天氣溫升高 (E)樹林能攔截地表向上發射的長波輻射，所以樹林變少會使地表附近長波輻射量散失減少，導致夜間最低氣溫變高</t>
  </si>
  <si>
    <t>35.	圖13這張圖顯示了24小時內氣溫和露點溫度的變化趨勢，橫軸是時間(以小時為單位)，範圍從0時到24時，縱軸是溫度，單位為攝氏度(°C)。圖中有兩條曲線，分別表示氣溫和露點溫度。
0-8 小時（凌晨到早晨）：氣溫在 14°C 到 16°C 之間，變化較小。露點溫度相對穩定，保持在約 12°C 左右。
8-12 小時（早晨到中午）：氣溫開始明顯上升，達到一天中的最高點，接近 22°C 左右。露點溫度也有小幅上升，但變化不大，約在 13°C 到 14°C 之間。
12-16 小時（中午到下午）：氣溫在 12 點左右達到最高值後，開始逐漸下降，從最高的 22°C 降至約 18°C。露點溫度保持在約 14°C 左右，波動不大。
16-24 小時（下午到晚上）：氣溫繼續下降，回落到接近 16°C 的水平。露點溫度仍保持平穩，略有下降但仍在 12°C 至 14°C 之間。
為某測站某日逐時氣溫與露點溫度變化圖，關於該測站當日的天氣狀況描述，下列哪些正確？(應選2項) (A)當日6時實際水氣含量最高 (B)當日6時相對濕度最高 (C)當日12時相對濕度最低 (D)當日14時空氣中飽和水氣含量最高 (E)當日清晨有濃霧發生</t>
  </si>
  <si>
    <r>
      <rPr>
        <sz val="11"/>
        <color theme="1"/>
        <rFont val="PMingLiu"/>
        <family val="1"/>
        <charset val="136"/>
      </rPr>
      <t>36. 定溫時，1 莫耳的 CO(g) 與 1 莫耳的 NO</t>
    </r>
    <r>
      <rPr>
        <sz val="11"/>
        <color theme="1"/>
        <rFont val="新細明體"/>
        <family val="1"/>
        <charset val="136"/>
      </rPr>
      <t>₂</t>
    </r>
    <r>
      <rPr>
        <sz val="11"/>
        <color theme="1"/>
        <rFont val="新細明體"/>
        <family val="1"/>
        <charset val="136"/>
      </rPr>
      <t>(g) 完全反應後，生成 1 莫耳的 CO</t>
    </r>
    <r>
      <rPr>
        <sz val="11"/>
        <color theme="1"/>
        <rFont val="新細明體"/>
        <family val="1"/>
        <charset val="136"/>
      </rPr>
      <t>₂</t>
    </r>
    <r>
      <rPr>
        <sz val="11"/>
        <color theme="1"/>
        <rFont val="新細明體"/>
        <family val="1"/>
        <charset val="136"/>
      </rPr>
      <t>(g) 與 1 莫耳的 NO(g)，並放出熱量 226 kJ。下列敘述哪些正確？（應選 3 項）
(A) 此反應使反應系統的溫度上升
(B) 此反應的熱化學反應式為：CO(g) + NO</t>
    </r>
    <r>
      <rPr>
        <sz val="11"/>
        <color theme="1"/>
        <rFont val="新細明體"/>
        <family val="1"/>
        <charset val="136"/>
      </rPr>
      <t>₂</t>
    </r>
    <r>
      <rPr>
        <sz val="11"/>
        <color theme="1"/>
        <rFont val="新細明體"/>
        <family val="1"/>
        <charset val="136"/>
      </rPr>
      <t>(g) → CO</t>
    </r>
    <r>
      <rPr>
        <sz val="11"/>
        <color theme="1"/>
        <rFont val="新細明體"/>
        <family val="1"/>
        <charset val="136"/>
      </rPr>
      <t>₂</t>
    </r>
    <r>
      <rPr>
        <sz val="11"/>
        <color theme="1"/>
        <rFont val="新細明體"/>
        <family val="1"/>
        <charset val="136"/>
      </rPr>
      <t>(g) + NO(g) + 226 kJ
(C) 此反應的熱化學反應式為：CO(g) + NO</t>
    </r>
    <r>
      <rPr>
        <sz val="11"/>
        <color theme="1"/>
        <rFont val="新細明體"/>
        <family val="1"/>
        <charset val="136"/>
      </rPr>
      <t>₂</t>
    </r>
    <r>
      <rPr>
        <sz val="11"/>
        <color theme="1"/>
        <rFont val="新細明體"/>
        <family val="1"/>
        <charset val="136"/>
      </rPr>
      <t>(g) → CO</t>
    </r>
    <r>
      <rPr>
        <sz val="11"/>
        <color theme="1"/>
        <rFont val="新細明體"/>
        <family val="1"/>
        <charset val="136"/>
      </rPr>
      <t>₂</t>
    </r>
    <r>
      <rPr>
        <sz val="11"/>
        <color theme="1"/>
        <rFont val="新細明體"/>
        <family val="1"/>
        <charset val="136"/>
      </rPr>
      <t>(g) + NO(g)　ΔH = 226 kJ
(D) 若在相同條件下，CO</t>
    </r>
    <r>
      <rPr>
        <sz val="11"/>
        <color theme="1"/>
        <rFont val="新細明體"/>
        <family val="1"/>
        <charset val="136"/>
      </rPr>
      <t>₂</t>
    </r>
    <r>
      <rPr>
        <sz val="11"/>
        <color theme="1"/>
        <rFont val="新細明體"/>
        <family val="1"/>
        <charset val="136"/>
      </rPr>
      <t>(g) 與 NO(g) 完全反應，以生成 CO(g) 與 NO</t>
    </r>
    <r>
      <rPr>
        <sz val="11"/>
        <color theme="1"/>
        <rFont val="新細明體"/>
        <family val="1"/>
        <charset val="136"/>
      </rPr>
      <t>₂</t>
    </r>
    <r>
      <rPr>
        <sz val="11"/>
        <color theme="1"/>
        <rFont val="新細明體"/>
        <family val="1"/>
        <charset val="136"/>
      </rPr>
      <t>(g)，則此反應為吸熱反應
(E) 若在相同條件下，2 莫耳的 CO 與 2 莫耳的 NO</t>
    </r>
    <r>
      <rPr>
        <sz val="11"/>
        <color theme="1"/>
        <rFont val="新細明體"/>
        <family val="1"/>
        <charset val="136"/>
      </rPr>
      <t>₂</t>
    </r>
    <r>
      <rPr>
        <sz val="11"/>
        <color theme="1"/>
        <rFont val="新細明體"/>
        <family val="1"/>
        <charset val="136"/>
      </rPr>
      <t xml:space="preserve"> 完全反應，生成 2 莫耳的 CO</t>
    </r>
    <r>
      <rPr>
        <sz val="11"/>
        <color theme="1"/>
        <rFont val="新細明體"/>
        <family val="1"/>
        <charset val="136"/>
      </rPr>
      <t>₂</t>
    </r>
    <r>
      <rPr>
        <sz val="11"/>
        <color theme="1"/>
        <rFont val="新細明體"/>
        <family val="1"/>
        <charset val="136"/>
      </rPr>
      <t xml:space="preserve"> 與 2 莫耳的 NO，則同樣會放出熱量 226 kJ</t>
    </r>
  </si>
  <si>
    <t>37-40為題組 核能可由核分裂及核融(熔)合兩種反應方式產生。核分裂技術已成熟而被廣泛使用，例如核能發電，但萬一產生意外引起核輻射外洩，則後果嚴重。兩個質量較小的原子核融合成一個質量較大的原子核時稱為核融合，例如氘、氚原子核融合成氦原子核，核融合釋出的巨大能量成為最具有潛力的清潔能源，為人類未來永久解決能源匱乏希望所寄，許多國家正極力研究發展中。 除了如上所述人類利用核能作為能源外，有些生物也因為核能，發展出其特殊的適應現象，特別是核反應所釋出的γ射線。驚人的發現發生在1991年，當俄國車諾比核子事件發生後的第五年，科學家發現：高於放射線背景值500倍的環境中，新型隱球菌(Cryptococcus neoformans)這種單細胞酵母菌型的真菌仍可以生存。不只如此，此菌還可以成長，快速累積醋酸鹽的含量。實驗操作時，有兩種品系的真菌，其中一種新型隱球菌有特殊黑色素介入其電子傳遞鏈，野生型隱球菌則無。將此兩品系真菌的細胞暴露於500倍的放射性劑量下20~40分鐘，比較其NADH氧化後的電子傳遞速率。結果有「黑色素介入」的電子傳遞速率是「沒有黑色素介入」的3~4倍。另外，針對有黑色素介入的品系，比較照射γ射線與只有背景輻射下的電子傳遞速率，也發現有γ射線時電子傳遞速率也比只有背景輻射下高出許多。</t>
  </si>
  <si>
    <r>
      <rPr>
        <sz val="11"/>
        <color theme="1"/>
        <rFont val="PMingLiu"/>
        <family val="1"/>
        <charset val="136"/>
      </rPr>
      <t xml:space="preserve">37.若某地核能電廠的反應爐發生嚴重意外事故，且情況有擴大之虞，則專家會建議對電廠噴灑硼砂，以阻止反應爐的核反應鏈繼續進行。已知硼可經由下列反應降低反應產生的熱中子數目：",
₅¹⁰B + ₀¹n → ₅¹¹B
₅¹¹B → </t>
    </r>
    <r>
      <rPr>
        <sz val="11"/>
        <color theme="1"/>
        <rFont val="新細明體"/>
        <family val="1"/>
        <charset val="136"/>
      </rPr>
      <t>₃</t>
    </r>
    <r>
      <rPr>
        <sz val="11"/>
        <color theme="1"/>
        <rFont val="新細明體"/>
        <family val="1"/>
        <charset val="136"/>
      </rPr>
      <t xml:space="preserve">ˣLi + </t>
    </r>
    <r>
      <rPr>
        <sz val="11"/>
        <color theme="1"/>
        <rFont val="新細明體"/>
        <family val="1"/>
        <charset val="136"/>
      </rPr>
      <t>₂</t>
    </r>
    <r>
      <rPr>
        <sz val="11"/>
        <color theme="1"/>
        <rFont val="新細明體"/>
        <family val="1"/>
        <charset val="136"/>
      </rPr>
      <t>ʸα
有關上列反應式中的a、b、c 以及x、y，哪些正確？甲：a＝1 乙：b＝1 丙：c＝4 丁：x＝1 戊：y＝2
(A)甲乙(B)乙丙(C)丙丁(D)甲丁(E)乙丁</t>
    </r>
  </si>
  <si>
    <t>38.	核能意外事故發生時，除核能發電廠附近區域受輻射外洩汙染，更令人擔憂的是輻射汙染隨全球環流擴張，帶來跨國間的災害。以日本福島核電廠發生輻射外洩汙染為例，在考慮全球的環流運動下，關於該區域輻射汙染隨環流擴張的描述，下列選項何者正確？ (A)當輻射塵飄至上空的西風帶時，輻射塵受盛行風系與科氏力的影響而飄向南方 (B)當輻射塵飄至上空的西風帶時，在相同距離內，福島發電廠東方海域上空的輻射塵濃度會高於日本西岸海域上空 (C)輻射汙染隨表面洋流黑潮往北擴張 (D)臺灣東部海域一定會較美國西岸海域先觀測到輻射汙染 (E)輻射汙染會隨該緯度的低溫海水下沉至較深水域，進而隨溫鹽環流的輸送影響全球</t>
  </si>
  <si>
    <t>39.	溫度高達約10⁹K時可引發核融合反應，其主要的物理原因為下列何者？ (A)此高溫使氘、氚原子核具高動能，可克服兩原子核間庫侖排斥力所需之能量，進而融合 (B)此高溫使氘、氚原子核內的夸克強作用增強，兩原子核相吸進而融合 (C)此高溫使氘、氚電子熔入各自原子核內後，兩原子核再融合 (D)此高溫使氘、氚原子核內弱作用增強，兩原子核相吸進而融合 (E)此高溫使氘、氚原子核熔化成液態自然融合在一起</t>
  </si>
  <si>
    <t xml:space="preserve">40.	有關生物捕獲能量以推動生命現象的敘述，下列哪些正確？(應選2項) (A)新型隱球菌可以利用放射線提高電子傳遞鏈的速率 (B)新型隱球菌可以利用放射線增加每個NADH提供的總能量 (C)隱球菌先吸收核反應的熱能再轉換為ATP等化學能 (D)酵母菌的黑色素對應於γ射線類似植物的葉綠素對應於可見光 (E)某些真菌可因黑色素介入而增加γ射線照射時的電子傳遞活性   </t>
  </si>
  <si>
    <r>
      <rPr>
        <sz val="11"/>
        <color theme="1"/>
        <rFont val="PMingLiu"/>
        <family val="1"/>
        <charset val="136"/>
      </rPr>
      <t>41-43為題組
上位課時，張老師為了要學生認識科學的發展，說明了科學的研究過程。通常是透過「發現問題」、「探究問題」，而「解決問題」，最後還可能會有所新發現。因此老師給學生一個問題，在黑板寫了 C</t>
    </r>
    <r>
      <rPr>
        <sz val="11"/>
        <color theme="1"/>
        <rFont val="Arial"/>
        <family val="2"/>
      </rPr>
      <t xml:space="preserve">₂HNO，要學生先以書面形式展開「探究問題」的活動。學生分頭找出相關資料一週後，張老師要求學生分組討論，並探究問題後的心得。 
甲生: 有機物中，氫的數目都比碳的數目多，因此 C₂HNO 不存在。
乙生: "有機分子的化合物中，碳最多能與 4 個鍵結合形成穩定的鍵結。
丙生: 「一個碳要與4 個氫相連，而兩個碳以單鍵相連時，氫的數目要減2，雙鍵相連時減4。
凡是碳、氮、氧中的任兩個原子間以單鍵相連就要減2 個氫。」就在黑板上寫了反應式": ["乙烷 H₃C = CH₃",  "乙烯 H₂C = CH₂", "乙炔 HC  ≡ CH","甲醛 H₂C = O。
之後張老師總結地說：「由C₂NO 與氫可以構成許多化合物，而原子的鍵結方式不同，又可構成許多異構物。」並給了一個新問題：若就化學式C₂HₙNO而言，則會因氫的數目不同而會有
許多異構物符合此一化學式。根據上述，回答下列各題。
</t>
    </r>
  </si>
  <si>
    <t>41. 甲、乙、丙三位同學所發表的論述，何者正確？
(A)只有甲(B)只有乙(C)只有丙(D)只有甲乙(E)只有乙丙</t>
  </si>
  <si>
    <t>42.在 C₂HₙNO的一群化合物中，分子量最大的分子，其 n 是下列哪一數值？ 
(A) 1 (B) 3 (C) 5 (D) 7 (E) 9</t>
  </si>
  <si>
    <t>44.	下列水溶液各取10 mL後，分別逐滴加入0.1 M硝酸銀水溶液時，都產生沉澱。若反應完全時，則下列哪一選項的離子消耗最多莫耳的銀離子？ (A) 0.1 M氯離子	(B) 0.2 M氫氧根離子	(C) 0.3 M硫離子 (D) 0.4 M鉻酸根離子	(E) 0.5 M溴離子</t>
  </si>
  <si>
    <t>45.	醣類、蛋白質與油脂都是生物體中的物質。下列有關這些化合物的敘述，哪些正確？(應選3項) (A)麥芽糖、果糖與乳糖都互為同分異構物 (B)蛋白質是由胺基酸為單體，以肽鍵結合而成的聚合物 (C)兩個不同的胺基酸，可形成兩種不相同的線性二肽分子 (D)葡萄糖與蔗糖二者均為碳水化合物，但葡萄糖為單醣，蔗糖為雙醣 (E)飽和油脂是由含有雙鍵的長鏈脂肪酸分子與甘油反應形成的三酸甘油酯</t>
  </si>
  <si>
    <r>
      <rPr>
        <sz val="11"/>
        <color theme="1"/>
        <rFont val="PMingLiu"/>
        <family val="1"/>
        <charset val="136"/>
      </rPr>
      <t>46. 溫室氣體會吸收地表輻射熱能，導致地表的保溫效果。人為因素所增加的溫室氣體是全球暖化的一大主因。下列哪些氣體是「因人類活動而增加的溫室氣體」？（應選 3 項）
(A) CH</t>
    </r>
    <r>
      <rPr>
        <sz val="11"/>
        <color theme="1"/>
        <rFont val="新細明體"/>
        <family val="1"/>
        <charset val="136"/>
      </rPr>
      <t xml:space="preserve">₄
</t>
    </r>
    <r>
      <rPr>
        <sz val="11"/>
        <color theme="1"/>
        <rFont val="新細明體"/>
        <family val="1"/>
        <charset val="136"/>
      </rPr>
      <t>(B) CO</t>
    </r>
    <r>
      <rPr>
        <sz val="11"/>
        <color theme="1"/>
        <rFont val="新細明體"/>
        <family val="1"/>
        <charset val="136"/>
      </rPr>
      <t xml:space="preserve">₂
</t>
    </r>
    <r>
      <rPr>
        <sz val="11"/>
        <color theme="1"/>
        <rFont val="新細明體"/>
        <family val="1"/>
        <charset val="136"/>
      </rPr>
      <t>(C) N</t>
    </r>
    <r>
      <rPr>
        <sz val="11"/>
        <color theme="1"/>
        <rFont val="新細明體"/>
        <family val="1"/>
        <charset val="136"/>
      </rPr>
      <t>₂</t>
    </r>
    <r>
      <rPr>
        <sz val="11"/>
        <color theme="1"/>
        <rFont val="新細明體"/>
        <family val="1"/>
        <charset val="136"/>
      </rPr>
      <t>O
(D) N</t>
    </r>
    <r>
      <rPr>
        <sz val="11"/>
        <color theme="1"/>
        <rFont val="新細明體"/>
        <family val="1"/>
        <charset val="136"/>
      </rPr>
      <t xml:space="preserve">₂
</t>
    </r>
    <r>
      <rPr>
        <sz val="11"/>
        <color theme="1"/>
        <rFont val="新細明體"/>
        <family val="1"/>
        <charset val="136"/>
      </rPr>
      <t>(E) H</t>
    </r>
    <r>
      <rPr>
        <sz val="11"/>
        <color theme="1"/>
        <rFont val="新細明體"/>
        <family val="1"/>
        <charset val="136"/>
      </rPr>
      <t>₂</t>
    </r>
    <r>
      <rPr>
        <sz val="11"/>
        <color theme="1"/>
        <rFont val="新細明體"/>
        <family val="1"/>
        <charset val="136"/>
      </rPr>
      <t>O</t>
    </r>
  </si>
  <si>
    <t>47.	下列與石油的煉製與應用相關的敘述，哪些正確？(應選2項) 
(A)原油經分餾可得石油氣、石油醚、汽油、煤油、柴油、潤滑油、石蠟與瀝青等產物 
(B)原油分餾所得的產物中，分子量愈大者，其單位質量所產生的燃燒熱(KJ/kg，即熱值)愈大 
(C)石油醚是分子結構為ROR'的純物質 (D)汽車若使用無鉛汽油，則不會產生震爆現象 
(E)辛烷值是指燃料燃燒時的抗震爆程度，辛烷值愈高，其抗震爆效果愈好</t>
  </si>
  <si>
    <t>48.	觀察洋蔥根尖細胞時，可觀察到下列哪些特徵的細胞？(應選3項) (A)看不到核膜的細胞	(B)中心粒在兩端的細胞	(C)染色體排列成四分體的細胞(D)具紡錘絲的細胞	(E)具細胞板的細胞</t>
  </si>
  <si>
    <t>49.	紅綠色盲為常見之一種遺傳疾病。圖14為此疾病發生之譜系圖，這張圖片是一個家譜圖(譜系圖)，其中每個方框和圓圈代表家族成員。具體描述如下：
甲和乙(方框代表男性，圓圈代表女性)是一對夫妻。丙和丁為他們的子女，丙是男性(實心方框)，丁也是男性(實心方框)。丁與一位女性戊(空心圓圈)結婚。
丁和戊的下一代包括兩個子女：己和另一位未具名的子女，分別用**？**標示(兩者一個是方框，另一個是圓圈)。方形表示男生，圓形表示女生，實心為患紅綠色盲者，空心為辨色正常。甲與乙皆辨色正常，婚後生有二男丙及丁，皆為紅綠色盲者。戊擬與丁結婚，且盼生一男一女為己及庚。
下列情況哪些正確？(應選2項) (A)甲帶有一個色盲等位基因 (B)乙帶有一個正常等位基因 (C)丙及丁都是同型合子的基因型 (D)若己及庚皆正常，則戊一定是同型合子 (E)若戊是同型合子，則己及庚皆辨色正常</t>
  </si>
  <si>
    <t>50.	使用基因改造黃豆的製品皆需於成分中標示。此黃豆改造時，下列哪一步驟為必經過程？ (A)黃豆染色體間發生重組	(B)將兩黃豆細胞融合	(C)產生重組DNA (D)分離卵子	(E)尋找特殊適應能力的野生種黃豆</t>
  </si>
  <si>
    <t>51.	達爾文的小獵犬號之旅，途經厄瓜多爾及加拉巴哥群島。回國後分析旅途所見及所收標本，歸納出共同祖先及物種形成的概念。有關此概念的推衍哪些正確？(應選3項) (A)加拉巴哥群島及厄瓜多爾分處兩大洋演化出不同種的鷽鳥 (B)哺乳動物皆以乳汁養育幼兒，可證明哺乳動物有共同祖先 (C)麻雀與企鵝的翼可證明有共同祖先，但蝙蝠則不是此祖先的後嗣 (D)通常地層古老的化石構造簡單，年輕的相對複雜，可證明祖先及後代之關係 (E)原核及真核生物皆以轉錄及轉譯製造蛋白質，可推論生物界可能單一起源</t>
  </si>
  <si>
    <t>52.	族群成長曲線及年齡組成為族群發展之重要指標。
圖15為族群大小隨時間之變化圖，約略可分為三個階段(L、M、N)一個族群的大小隨時間變化的趨勢，並以三個標示點來表示不同階段的狀況：
圖中標示了三個階段：L、M、和N，並且族群大小的變化呈現一個拋物線形態，以下是具體的描述：
L 階段：在這個階段，族群大小逐漸增長，顯示族群正在增長期。這可能是因為出生率較高或環境條件良好，族群規模不斷擴大。
M 階段：這個階段代表族群大小達到高峰，這是一個穩定期或是人口的頂點。這時族群的出生和死亡率可能達到了某種平衡，族群規模保持最大。
N 階段：在這個階段，族群大小開始減少，顯示族群進入衰退期。這可能是因為環境資源不足、疾病、競爭等因素導致族群規模縮小。
圖16 有三種不同特性的年齡組成（X、Y、Z），圖中的虛線間為人類的生殖時期，男性及女性組成分別繪於橫軸之上方及下方，橫軸為年齡。
(X) 年齡組成：特徵：這個族群的年齡分佈較為均勻。男性和女性在所有年齡段的人口比例接近，並沒有明顯的高峰或低谷。百分率在各年齡段波動不大，大約在 2-8% 之間。
(Y) 年齡組成：特徵：年齡分佈在生殖年齡階段（約 20-40 歲）有明顯的高峰，這個年齡段的人口比例較高，達到約 6-10%。其他年齡段的百分比相對較低，在 2-6% 之間。
(Z) 年齡組成：特徵：這個族群的年齡分佈顯示出老年人口比例明顯較高，老年段（約 60 歲及以上）的人口比例在 8-10% 左右，而年輕和生殖年齡段的人口比例較低，約在 2-4% 之間。
有關年齡組成與族群發展的關係，三個階段L、M、N與X、Y、Z一對一的對應關係，下列何者正確？         (A)X、Y、Z	(B)Y、Z、X	(C)Z、X、Y (D)X、Z、Y	(E)Y、X、Z	(F)Z、Y、X</t>
  </si>
  <si>
    <t>53.	海洋包圍著臺灣，有近海陸棚，也有接近外洋的大陸斜坡，海洋生態系之組成複雜，下列多樣的水域生態系特性何者正確？ (A)日本鰻之生活史橫跨海洋生態系及河流生態系 (B)石花菜生長於大洋區之透光層，由黑潮輸送到東北水域 (C)牡蠣是河流生態系的消費者，不能忍受海洋生態系潮間帶的逆境 (D)飛魚是海洋生態系淺水區的掠食者，洄游於臺灣海峽的黑潮流域 (E)吳郭魚是臺灣湖泊生態系的特有種，族群量大，也以臺灣鯛為名</t>
  </si>
  <si>
    <t xml:space="preserve">54.	族群一辭常見於報章雜誌與大眾口語，生物學中亦然，生物學將它定位於生物體與群集之間。此生物階層之意義及邏輯推論，下列敘述哪些正確？(應選2項) (A)族群的密度僅單純受環境中適合棲地的面積所限 (B)族群的大小僅單純受環境中所提供食物的多寡所限 (C)同一物種的兩個族群，同域互交機率大於異域雜交 (D)群集中的兩個近似族群其生殖隔離程度，必小於同種的兩個異域族群 (E)群集中的兩個近似族群其空間隔離程度，必小於同種的兩個異域族群 </t>
  </si>
  <si>
    <r>
      <rPr>
        <sz val="11"/>
        <color theme="1"/>
        <rFont val="PMingLiu"/>
        <family val="1"/>
        <charset val="136"/>
      </rPr>
      <t>55-56為題組 圖17為智慧手機之內，加速度感測器的放大示意圖。圖片展示了一個彈簧系統，其中包含以下元素：
質量 M：位於系統中央，代表了一個質量塊，受到上下彈簧的作用力。
彈簧 d</t>
    </r>
    <r>
      <rPr>
        <sz val="11"/>
        <color theme="1"/>
        <rFont val="新細明體"/>
        <family val="1"/>
        <charset val="136"/>
      </rPr>
      <t>₁</t>
    </r>
    <r>
      <rPr>
        <sz val="11"/>
        <color theme="1"/>
        <rFont val="新細明體"/>
        <family val="1"/>
        <charset val="136"/>
      </rPr>
      <t xml:space="preserve"> 和 d</t>
    </r>
    <r>
      <rPr>
        <sz val="11"/>
        <color theme="1"/>
        <rFont val="新細明體"/>
        <family val="1"/>
        <charset val="136"/>
      </rPr>
      <t>₂</t>
    </r>
    <r>
      <rPr>
        <sz val="11"/>
        <color theme="1"/>
        <rFont val="新細明體"/>
        <family val="1"/>
        <charset val="136"/>
      </rPr>
      <t>：位於質量塊的上下兩端，與質量塊相連，分別是兩個彈簧。
d</t>
    </r>
    <r>
      <rPr>
        <sz val="11"/>
        <color theme="1"/>
        <rFont val="新細明體"/>
        <family val="1"/>
        <charset val="136"/>
      </rPr>
      <t>₁</t>
    </r>
    <r>
      <rPr>
        <sz val="11"/>
        <color theme="1"/>
        <rFont val="新細明體"/>
        <family val="1"/>
        <charset val="136"/>
      </rPr>
      <t>：位於質量塊上方，與上方的固定端相連。
d</t>
    </r>
    <r>
      <rPr>
        <sz val="11"/>
        <color theme="1"/>
        <rFont val="新細明體"/>
        <family val="1"/>
        <charset val="136"/>
      </rPr>
      <t>₂</t>
    </r>
    <r>
      <rPr>
        <sz val="11"/>
        <color theme="1"/>
        <rFont val="新細明體"/>
        <family val="1"/>
        <charset val="136"/>
      </rPr>
      <t>：位於質量塊下方，與下方的固定端相連。固定端 ① 和 ②：分別在彈簧的兩端，保持固定狀態，使得質量塊在彈簧作用下可以上下振動。可以簡單看作中央有一個質量為的物體經由力常數為的兩條相同彈簧，與固定端①與②相連接。感測器平放於水平面(紙面)時，兩彈簧的自然長度各為。將手機靜止直立並使其長邊沿著鉛垂線時，質量的物體會像彈簧秤上的重物一樣，先輕微上下振盪，然後達成靜止平衡。人們透過無線傳送的方式，可遠端監視加速度感測器所測得的加速度。某生於時間時，懸空拿著手機(①在上、②在下)，並使手機的長邊沿著鉛垂線，在保持靜止一小段時間後釋放，以進行手機沿著鉛垂線方向運動的實驗，依據感測器的讀數紀錄，彈簧力作用於質量為的物體所產生的加速度隨時間的變化如圖18所示。這張圖表展示了一段時間內的加速度變化，橫軸為**時間(秒)**，縱軸為**加速度(m/s²)**。圖中加速度隨時間的變化分為幾個不同的時刻點，從**時刻甲**到**時刻戊**：
1. **時刻甲**(0秒)：加速度值約為10 m/s²，圖中的加速度值穩定。
2. **時刻乙**(0.5秒)：加速度保持穩定在10 m/s²。
3. **時刻丙**(1.0秒)：此時加速度仍然穩定在10 m/s²，但接近1秒時出現加速度變化的開始。
4. **時刻丁**(約1.1至1.3秒)：加速度出現明顯波動，最大值接近30 m/s²，最小值接近0 m/s²，顯示加速度劇烈變化，可能有突發事件或外力作用。
5. **時刻戊**(1.5秒後)：加速度恢復穩定，回到10 m/s²左右。
整個圖表顯示在1秒左右的時間，加速度發生了明顯的波動，表明此時發生了顯著的變化。在本題組中，重力與彈簧力以外的作用力均可忽略。依據以上資訊，回答55-56題。</t>
    </r>
  </si>
  <si>
    <t xml:space="preserve">55. 直立靜止的智慧手機可用來測量重力加速度。如果質量為 M 的物體維持靜止時，手機內加速度感測器的上下兩彈簧的長度分別為 d₁ 與 d₂ 且 d₁ ≠ d₂，則該處的重力加速度，其量值為下列何者？",
(A)2(d₁ - d₂)M / k
(B)(d₁ - d₂)M / k
(C)(d₁ - d₂)k / (2M)
(D)(d₁ - d₂)k / M
(E)2kM / (d₁ - d₂)
  </t>
  </si>
  <si>
    <t>56.	若圖18中五條虛線分別代表五個不同時刻，則下列哪一個時刻前後約0.1 s之間，質量的物體是在作手機被放手後的自由落體運動？ (A)甲	(B)乙	(C)丙	(D)丁	(E)戊</t>
  </si>
  <si>
    <t>57-59為題組 圖19為重力波之示意圖，這張圖片展示了重力波的概念，其中包含以下元素：
重力波：圖片兩側分別有左右移動的波浪形線條，這代表了重力波的傳播方向。左邊的波向左移動，右邊的波向右移動。星體：圖中央有兩個黑色的圓形物體，標示為「星體」，它們之間有一個雙向的箭頭，表示這兩個星體圍繞彼此運行，這是典型的雙星系統。這樣的系統會因為重力波的輻射逐漸失去能量。雙星以緊密而快速的模式互相環繞對方時，會產生以光速{
  "constants": [
    {
      "symbol": "c",
      "value": "3.0 × 10⁸",
      "unit": "m/s"
    },向外傳播的重力波。2017年物理諾貝爾獎頒給證實重力波存在的三位物理學家，他們在2015年偵測到一個來自雙黑洞系統產生的重力波訊號，如圖20所示展示了一個雙星系統的演變過程，包含以下三個階段：
旋近：左邊的圖示顯示兩個星體沿著軌道相互旋轉接近，表示它們在互相吸引並逐漸靠攏。
合併：中間的圖示顯示兩個星體接觸並融合在一起，這是雙星系統演變的合併階段。
沉靜：右邊的圖示顯示合併後的結果，形成一個單一的天體，達到相對穩定的狀態，稱為「沉靜」。，雙黑洞系統最主要會經歷旋近、合併、而歸於沉靜的過程，在它們彼此旋近過程所產生的重力波，波的振盪會由緩漸急、由弱漸強；而在快速合併的過程中，產生的重力波之頻率與能量則會漸增，最終合併為一時，重力波將歸於沉寂。已知此雙黑洞系統的初質量分別為36 M⊙與29 M⊙，而合併沉靜後，新黑洞之質量會因輻射而減少變為62 M⊙，其中M⊙為太陽的質量(約為    {
      "description": "質量(約為)",
      "value": "2.0 × 10³⁰",
      "unit": "kg"
    }
  ]
})。依據以上資訊，回答57-59題。</t>
  </si>
  <si>
    <t>57.	科學家曾對各種天體過程可能的重力波輻射進行模擬估算，並與實驗偵測到的訊號振幅作比對。下列的重力波訊號(橫軸代表時間，由左向右遞增)，何者最適合描述雙黑洞系統經歷圖20所示之過程？ 
(A)：波形從左到右振幅逐漸增大，頻率也逐漸增高，表示振幅和頻率同時增大的情況。
(B)：波形頻率較低，振幅從左到右保持相對穩定，表示一個穩定的低頻波。
(C)：波形頻率適中，振幅也相對穩定，這是一個中等頻率且穩定的波。
(D)：波形頻率較高，振幅從左到右逐漸增大，表示高頻波隨著時間振幅增加。
(E)：波形振幅和頻率都較高，且振幅有些不穩定的波形。</t>
  </si>
  <si>
    <t xml:space="preserve">58.        雙黑洞系統經歷旋近、合併、而歸於沉寂的過程，所輻射而出的總能量最接近下列何者？(A) 3.0 J        (B) 65 J        (C) 3.0  ×10 ¹⁷        (D)  1.8 ×10 ³⁹         (E)  5.4×10 ⁴⁷  </t>
  </si>
  <si>
    <t>59.        假設光譜紅移量與遠方星系到地球距離的關係如圖21這張圖片展示了一個圖表，橫軸表示距離 d(單位：百萬光年)，縱軸表示光譜紅移量 z。圖表顯示了光譜紅移量與距離之間的線性關係，隨著距離增加，紅移量 z 也等比例增加。圖表中的特徵：
距離範圍：從 0 到 6000 百萬光年。
紅移量範圍：從 0 到 0.4。
趨勢線：是一條從原點出發的直線，表示紅移量與距離成正比關係。所示，若該雙黑洞系統所屬星系的約為0.1，則其所產生的重力波輻射訊號到達地球約需多少年？ 
(A)1300
(B)2000 
(C) 2.0×10⁶
(D)1.3 × 10⁸
(E) 1.3 × 10⁹</t>
  </si>
  <si>
    <t>60.	臺灣首枚自主研製的高解析度遙測衛星「福衛五號」，於2017年8月順利升空在距地表720公里處繞地球作接近圓軌道運轉。一般在此高度繞地心作等速圓周運動的衛星，其週期約100分鐘。已知地球半徑約為6400公里。若為特殊目的發射一新衛星，使其沿圓軌道繞行地球一周所需時間約為800分鐘。則此新衛星離地面的高度約為多少公里？ (A) 22000	(B) 16000	(C) 2800	(D) 920	(E) 150</t>
  </si>
  <si>
    <t>61.	甲、乙兩球在光滑的水平直線軌道上以相反方向作等速率的運動，當發生正面碰撞後，甲球反向以的速率運動，而乙球依原方向繼續以小於的速率運動，則下列敘述哪些正確？(應選2項) (A)碰撞過程中，甲球的受力量值比乙球的受力量值大 (B)碰撞前後兩球的動量向量和保持不變 (C)碰撞後兩球的動量向量和變小 (D)甲球的質量比乙球的質量小 (E)此碰撞為彈性碰撞</t>
  </si>
  <si>
    <t>62.	永續發展必須在不超過「環境承載力」之條件下，可持續滿足現在與未來世代之需求，且所採取之措施可為社會接受、符合經濟效益及工程技術可行。以水資源為例，「環境承載力」是指可以供給的最大水資源。現代社會為因應乾旱事件或未來水資源短缺，往往採行以下措施： 甲、蓋水庫或攔河堰	乙、推行節約用水 丙、推行雨水儲集與廢汙水回收	丁、蓋海水淡化廠 戊、抽取地下水 從永續發展的觀點，下列敘述哪些正確？(應選3項) (A)甲有環保疑慮，等缺水發生時再做就好 (B)乙應盡量兼顧生活品質 (C)丁的水源取之不盡用之不竭，應無條件大力推行 (D)戊需考慮地層下陷與水質問題 (E)上述所有措施中，最符合永續發展精神的是乙與丙</t>
  </si>
  <si>
    <t>63.	平常我們看到的太陽盤面稱為光球，張角大約為0.5度，日冕包圍在光球四周，通常大得多，張角可延伸達數度。然而除非發生日全食或是利用特殊儀器遮住光球(日全食時所見的太陽日冕層如圖22這張圖片展示了一個典型的日全食現象。圖中可以看到月球完全遮住了太陽的主體部分，形成了一個黑色的圓形。周圍環繞著明亮的光暈，這是太陽的日冕部分，通常只有在日全食期間才能被觀測到。)，肉眼平常無法看到日冕，主要原因為下列哪一項？ (A)發生日全食時，太陽才有日冕 (B)日冕密度低，光度也比光球低很多 (C)光球離我們較近，看起來比較明亮 (D)太陽不活躍期間，日冕噴發的現象不明顯 (E)太陽永遠以同一面對著地球，另外一面的日冕被遮住了</t>
  </si>
  <si>
    <t>64-65為題組 現行使用的國曆為「格里曆」，由教宗格里13世在1582年頒布，之後通行全世界。格里曆是依據太陽在天球上的運動而定，其月份與月相盈虧無關。另月球繞地球造成的月相盈虧週期約為29.53天，而月球公轉一圈的週期，稱為恆星月，約為27.32天。依據前述回答第64-65題。</t>
  </si>
  <si>
    <t>64.	通常在國曆的一個月中有一次滿月，但偶爾有一個月會發生二次滿月，第二次出現的滿月俗稱「藍月」。一年當中哪個月份一定不會出現「藍月」？ (A) 1月	(B) 2月	(C) 7月 (D) 12月	(E) 每個月都有機會</t>
  </si>
  <si>
    <t>65.	由於月球繞行地球的軌道並非正圓形，所以在一個公轉週期中有一個近地點及一個遠地點。假設1月16日早上10時月球行經遠地點，月球該年應於下列哪些日期經過近地點？(應選2項) (A) 1月2日	(B) 1月31日	(C) 2月12日	(D) 2月14日	(E) 2月26日</t>
  </si>
  <si>
    <t>66.	天然氣水合物(俗稱甲烷冰)，為甲烷被水冰結構所包裹而形成的冰晶狀固態物質。形成原因為來自較深處沉積物中的天然氣分子被水分子包圍，通常產自低溫高壓的環境中。已知一海域的海床深度約為1200公尺，圖23(甲)中的灰色區域為可形成天然氣水合物的溫度與壓力範圍。某海域的海水溫度與地溫隨深度變化如圖23(乙)所示，
(甲) 圖表：
橫軸：顯示溫度，範圍約從 0°C 到 30°C。
縱軸：顯示水下深度(單位為公尺)，範圍從海平面(0 公尺)到 1200 公尺。
灰色陰影區域：這個區域標示出「可形成天然氣水合物的溫壓環境」。這個區域大致從水下 400 公尺 到 1200 公尺，溫度從 0°C 到大約 25°C。
(乙) 圖表：
橫軸：也顯示溫度，範圍同樣約從 0°C 到 30°C。
縱軸：顯示水下深度，同樣從海平面(0 公尺)到 1200 公尺。
曲線：這條曲線表示海水溫度隨深度變化，曲線顯示溫度隨深度逐漸下降，直到接近海床時溫度穩定在較低的值(接近 0°C)。當到達海床以下時，曲線顯示地溫(地球內部溫度)開始隨深度上升，這部分標註為地溫，代表沉積物內部的溫度升高。則該海域在以下哪個深度可以生成天然氣水合物的礦床？ (A) 200公尺 (B) 500公尺 (C) 1000公尺 (D) 1400公尺 (E) 1700公尺</t>
  </si>
  <si>
    <t>67.	地球在形成初期，組成物質曾因經歷高溫熔融過程而依密度重新分布，最終使地球具有分層結構。在這些不同分層結構中有其特有的岩石，例如花岡岩、玄武岩、橄欖岩……等。此外在地表上也常發現鐵隕石，其主要成份為鐵鎳合金。下列有關這三種岩石與鐵隕石的密度比較，哪些正確？(應選2項) (A)花岡岩＞鐵隕石＞橄欖岩	(B)玄武岩＞花岡岩＞橄欖岩 (C)橄欖岩＞玄武岩＞花岡岩	(D)玄武岩＞橄欖岩＞鐵隕石 (E)鐵隕石＞橄欖岩＞花岡岩</t>
  </si>
  <si>
    <t>68.	某日，甲、乙、丙、丁四人在各自家中上社群網站一起聊天，且知四人的家分散在(未按順序)臺北、臺中、高雄、與美國洛杉磯。甲突然感覺到有烈震(震度6級)，10秒後乙也感覺到弱震(震度3級)，又過了7秒丙感覺到中震(震度4級)，丁則在甲感到烈震之後18秒才覺得有中震(震度4級)。今已知地震波傳播的速率約為每秒鐘4至6公里，而且上述四人所感覺到的地震分屬兩個不同的地震，則下列四人住處的推論哪些最為可能？(應選2項)(此題中的震度級距，為方便比較均已換為臺灣震度表示形式) (A)甲住高雄	(B)乙住洛杉磯	(C)丙住洛杉磯	(D)丁住臺中	(E)甲住臺中</t>
  </si>
  <si>
    <t>2019_Questions</t>
  </si>
  <si>
    <t>1.	太陽風是太陽表面所噴發出來的高能帶電粒子束。當這些物質到達地球時，時速常超過百萬公里。太陽風與下列哪一現象最有直接關係？ （A)潮汐	（B)極光	（C)日全食	（D)流星雨	（E)沙塵暴</t>
  </si>
  <si>
    <t>2.	聖嬰現象是大氣與海洋交互作用下的大自然變化，會導致地球上部分地區短期氣候異常。有關聖嬰現象發生時所伴隨的大氣與海洋變化或影響，下列敘述何者錯誤？ （A)赤道東風減弱	（B)赤道東太平洋地區海溫上升 （C)南美洲西岸湧升流增強	（D)赤道西太平洋地區海水高度降低 （E)赤道西太平洋地區降雨量減少</t>
  </si>
  <si>
    <t>3.	恆星的表面溫度與呈現的星光顏色有關，當我們觀賞夜空中閃爍的恆星，可看出恆星的顏色有白、藍、黃、紅等。下列選項中，顏色產生的原理何者相同？ （A)恆星與煙花的火光	（B)紅色恆星與紅色的火星 （C)藍色恆星與藍色的花	（D)紅色恆星與火山熔岩發出的紅光 （E)藍色恆星與瓦斯燃燒發出的藍光</t>
  </si>
  <si>
    <t>4. 水深越深，波浪的行進速度越快，然而受海底地形起伏影響，當波浪向海岸傳播時，往往會因速度變慢而產生偏折的現象。圖中虛線為等深線，越靠近海岸水深越淺。灰色實線為海浪的波前，箭頭代表波浪的行進方向，假設海底地形變化皆相同，則下列選項何者為最可能的波浪傳播路徑？
(A)
波浪的前進方向與等深線成斜角。
波浪靠近海岸時，波前開始逐漸彎曲，變得更與海岸平行。
等深線顯示出較淺水區域在左側，較深水區域在右側。
(B)
波浪以幾乎垂直於海岸的方向傳播，並且波浪前進時很少發生彎曲。
波前與等深線幾乎成直角，這表明波浪幾乎沒有受到水深變化的影響。
(C)
波浪幾乎平行於等深線進行，並且隨著靠近海岸，波前並沒有太大改變。
這意味著波浪在各個深度下的速度變化不大，波浪保持了相對穩定的方向。
(D)
波浪前進的方向與等深線成一個較大的角度，並且波前明顯彎曲，表示波浪速度在不同深度的變化較大。
波浪進入淺水區域時，波前明顯彎曲變形，使波浪逐漸平行於海岸線。
(E)
波浪前進方向與等深線形成一個反向的角度，波浪在靠近海岸時逐漸轉向。
這與 （A) 圖類似，但波浪的初始方向相反，且波前彎曲變形，最終與海岸平行。</t>
  </si>
  <si>
    <t>5.	在很多工作環境中，機能衣料提供重要的安全防護，例如：導電性較高的防靜電工作服，可抑制人體及服裝累積靜電荷，以消除或減小靜電放電的危害，因此已成為石油化工業極基本的防護必需品。下列有關防靜電工作服的敘述，何者不正確？ （A)導電纖維可全部或部分使用金屬或有機物的導電材料製成 （B)在紡織時按照一定比例均勻混入導電纖維，可製成防靜電織物 （C)為防止服裝累積靜電荷，可利用具有導電性的織物製作工作服 （D)導電纖維每單位長度的電阻值越大，越容易使電荷流動而不致累積 （E)防靜電工作服可利用接地導引電荷或中和放電的方式，防止累積靜電荷</t>
  </si>
  <si>
    <t>6.	某生做「電磁感應」的示範實驗時，先將具有鐵心的小線圈串接直流電源供應器，形成迴路以產生磁場，再利用一個只串接檢流計的大線圈，套在小線圈外圍檢測應電流。下列哪一項操作方式，不可能產生應電流？ （A)將小線圈在大線圈內外來回抽送 （B)將電源供應器的電壓忽大忽小的調節 （C)將電源供應器的正負端交換連接小線圈的兩端 （D)在小線圈的迴路中串接開關並交替斷開與接通的動作 （E)在大線圈的迴路中串接開關並交替斷開與接通的動作</t>
  </si>
  <si>
    <t>7.	圖1為氫、氦、汞原子的發射光譜這張圖片展示了三種元素的光譜線，分別是汞 （Hg)、氦 （He) 和氫 （H) 的光譜線，橫軸是波長（nm)，範圍從約 300 nm 到 700 nm，覆蓋了可見光範圍。每條垂直的亮線代表該元素在不同波長下發射的光譜線。
具體描述：
Hg （汞)：顯示了多條光譜線，主要集中在約 400 nm 到 600 nm 範圍內，表示汞在這些波長下會發出特定顏色的光。
He （氦)：光譜線相對分布較廣，集中在 300 nm 到 700 nm 之間，這意味著氦在多個波長上都有明顯的發射譜線。
H （氫)：顯示出幾條明顯的光譜線，集中在 400 nm 和 600 nm 附近，這是氫的典型光譜線位置，尤其是巴耳末系列的可見光譜線。，三位同學觀察後發表見解如下： 甲生：正如條碼可用來辨識不同商品，不同原子產生的譜線，可用來辨識原子的種類 乙生：不同原子產生的譜線波長不同，是物質呈現不同顏色的主因 丙生：原子僅發射特定波長的光譜線，這是原子具有不連續能階的證據 哪幾位同學的說法是正確的？ 
（A)僅有甲	（B)僅有乙	（C)僅有丙	（D)僅有甲丙	（E)僅有乙丙</t>
  </si>
  <si>
    <t>8.	某生清晨被鬧鐘喚醒，以電動牙刷洗漱，早餐吃的是烤麵包機烤的吐司。出門搭公車上學時，遇到同學提起，猛然發現忘了整理昨天數學課的筆記，於是拿出手機內建的相機拍攝同學的筆記參考，再使用太陽能電池計算機輔助驗算。在上述過程所應用到的工具中，下列哪一選項中的組合最可能應用到光電效應？ （A)鬧鐘和電動牙刷	（B)電動牙刷和公車 （C)烤麵包機和手機內建的相機	（D)手機內建的相機和太陽能電池計算機 （E)烤麵包機和太陽能電池計算機</t>
  </si>
  <si>
    <t>9.	細菌和人體細胞的構造，有共通性也有歧異性，下列有關兩者的比較何者正確？ （A)兩者的細胞核中都有粒線體 （B)兩者的細胞內都有高基氏體 （C)兩者的細胞質中都有核糖體 （D)細菌沒有細胞膜，但有細胞壁與外界區隔 （E)人體細胞沒有細胞壁，內部的次構造皆用膜包圍</t>
  </si>
  <si>
    <t>10.	圖2為人體血液循環系統各部位之相對測量值，圖表構造：
橫軸：標示為「從心臟出發之測量順序」，範圍是從 1 到 15。這表示測量是按照順序進行的。
縱軸：標示為「相對測量值」，範圍從 0 到 1。這代表每個變量的測量值已經標準化，相對於其最大值。
三個變量：
X 變量（方形符號)：
起初在測量順序1處，X變量的相對測量值接近 0.8。
隨著測量順序的增加（到第7個測量順序)，X變量的測量值逐漸下降，並在測量順序7之後迅速接近 0，保持平穩不變。
Y 變量（圓形符號)：
Y變量的相對測量值在測量開始（順序1)時相對較低，約為 0.2。
隨著測量進行，Y變量的測量值逐漸上升，在測量順序7附近達到峰值，約為 0.8。
隨後，Y變量開始下降，並在第10到第15個測量順序中穩定在約 0.2。
Z 變量（三角形符號)：
Z變量的相對測量值始終保持在非常低的範圍，從測量順序1到測量順序15的整個過程中，Z變量的測量值接近 0，沒有明顯的變動。
序號1表示由心臟出發之血管，經序號2-14之血管後，再由序號15返回心臟。各部位測量之變數包含總截面積、血管壓力及血流速等三項。各變數之測量值均已標準化為0~1之相對數值，下列敘述何者正確？ （A)變數X為總截面積 （B)變數Y為血管壓力 （C)變數Z為血流速 （D)血管壓力與總截面積呈負相關 （E)血流速與總截面積呈負相關</t>
  </si>
  <si>
    <t>11.	螺旋藻為一種藍綠菌，而小球藻則為一種綠藻，螺旋藻及小球藻皆被認為富含人體所需的養分。下列有關這兩者的敘述何者正確？ （A)兩者皆具葉綠體 （B)兩者皆行光合作用光反應產生氧 （C)兩者的細胞壁主要皆由肽聚糖組成 （D)在三域系統中螺旋藻是細菌，而小球藻是植物 （E)螺旋藻以葉黃素，而小球藻則以葉綠素為主要光合色素</t>
  </si>
  <si>
    <t>12.圖3這張圖片展示了植物生長過程中的不同階段，從種子萌發到幼苗長成，並標示了幾個重要的植物結構。以下是對每個階段的描述：
第一階段（左側)：
植物種子開始萌發，根系已經伸展到土壤中。
下胚軸：是連接根和胚芽的部分，已經顯示出來。
子葉：種子中的營養儲存器官，逐漸伸展出來。
第二階段（第二個幼苗)：
下胚軸繼續延長，植物開始向上生長。
子葉進一步展開，葉片開始暴露在外，提供光合作用的初始功能。
第三階段（第三個幼苗)：
植物的根系已經更加發達，提供穩定的支持和養分吸收。
下胚軸繼續生長，支撐子葉往上發展。
子葉更加成熟，植物進一步長大。
第四階段（最右側)：
植物已經進入幼苗階段，真正的葉片開始出現。
子葉仍然可見，但已經逐漸完成其初期功能，新的葉片開始發揮更大的作用。
下胚軸穩定，支撐整個植物的結構。
一般雙子葉植物的種子萌發過程，其上胚軸、下胚軸以及子葉的相對重量變化相當大。（下列選項的三者關係圖虛線……：代表上胚軸。
點劃線－ － －：代表下胚軸。實線:-----------：代表子葉的相對重量變化。何者最合理？
（A)：上胚軸的相對重量隨時間增加。下胚軸在初期重量增加，但之後減少。子葉的相對重量隨時間減少。
（B)：上胚軸的相對重量最初減少，然後逐漸增加。下胚軸的相對重量隨時間穩定增加。子葉的相對重量在初期保持較高，但隨著時間推移逐漸減少。
（C)：上胚軸的相對重量隨時間先增加後減少。下胚軸的相對重量隨時間穩定上升。子葉的相對重量開始時下降，然後稍微增加。
（D)：上胚軸的相對重量隨時間逐漸增加。下胚軸的相對重量在一段時間後開始減少。子葉的相對重量保持穩定，然後略有增加。
（E)：上胚軸的相對重量在初期減少，但隨後快速上升。下胚軸的相對重量穩定增加。子葉的相對重量隨時間減少，並在後期再次增加。</t>
  </si>
  <si>
    <t>13. 無咖啡因（ 或低咖啡因)的咖啡，能滿足某些喜歡咖啡的香味、卻不希望攝取過量咖啡因的人們。若欲在實驗室裡，從咖啡豆中將咖啡因分離，可先取一裝有熱水的燒杯，倒入咖啡豆後，緩緩加熱、浸泡咖啡豆一段時間， 待冷卻後再將乙酸乙酯加入燒杯中。若欲萃取此混合物中的咖啡因，則下列哪一玻璃器材最適合？（ 已知咖啡因的熔點為235-238℃) 。
（A)：圓底燒瓶：這種燒瓶通常用於加熱或蒸餾，具有圓形的底部，可以均勻分布熱量。
（B)：容量瓶：這是一種用於準確測量特定體積液體的儀器，通常用於製備標準溶液。細長的頸部使得容量測量更加精確。
（C)：錐形瓶（又稱為三角燒瓶)：這種燒瓶多用於進行滴定、混合或反應，寬大的底部和錐形設計可以防止液體濺出。
（D)：燒杯：一種常用的容器，用於混合或加熱液體。寬口設計便於操作，並且可以在加熱時容納攪拌棒。
（E)：分液漏斗：這是一種用於分離兩種不互溶液體的儀器，通常下方有一個閥門，可以控制液體的流出，從而分離出不同密度的液體層。</t>
  </si>
  <si>
    <t>14.	若將等莫耳數的下列化合物完全燃燒，產生二氧化碳與水，則所需消耗氧氣量的大小順序，何者正確？ （A)乙醇＞乙烷＞乙酸＞甲醚＝乙炔	（B)乙炔＞乙烷＞乙醇＞甲醚＞乙酸 （C)乙烷＞甲醚＝乙醇＞乙炔＞乙酸	（D)乙炔＝乙烷＞乙醇＞乙酸＞甲醚 （E)甲醚＝乙醇＞乙酸＞乙烷＞乙炔</t>
  </si>
  <si>
    <t>15.下列有關元素與週期表的敘述，何者正確？",
(A)兩個水分子 ¹H-¹⁷O-¹H 與 ¹H-¹⁶O-²H，所含有中子的總和相同
(B)Na、Mg、Al 三種金屬元素中，Al 的原子半徑最大 
(C)室溫時，VIIA 族（或第 17 族)元素皆是氣體"
(D)週期表左下方元素，較不易失去電子
(E)鈹 （Be) 為類金屬元素"</t>
  </si>
  <si>
    <t>16. 電石（又稱碳化鈣)的主要成分是碳化鈣（CaC₂)，碳化鈣遇水會生成乙炔（C₂H₂)和氫氧化鈣；所產生的乙炔是傳統電石燈和竹筒炮所用的燃料，也可作為水果催熟劑。今年一電石樣品和水反應所產生的氫氧化鈣水溶液，以 1.0 M 鹽酸標準溶液滴定，得知其氫氧根離子的莫耳數為 0.020 mol。試問此電石樣品可製得多少公克乙炔？（C = 12, H = 1.0) 
(A) 0.13 (B) 0.26 (C) 0.39 (D) 0.52 (E) 0.65</t>
  </si>
  <si>
    <t>17.空氣污染通常發生在低風速且穩定的低層大氣下，空氣污染物 PM2.5 顆粒沉降速率很小，約 10⁻³ m/s。下列關於臺灣空汙的敘述，哪些正確？（應選 3 項)",
(A)冬天冷高壓籠罩下較容易有嚴重空汙事件
(B)空汙在梅雨鋒面抵達時較為嚴重
(C)空汙在副熱帶高壓籠罩下較為嚴重
(D) PM2.5 顆粒在1 公里處高空等速沉降掉落， 約需要10 天
(E) PM2.5 顆粒在1 公里處高空等速沉降掉落， 約需要1 天</t>
  </si>
  <si>
    <t>18.	某科幻小說中的情境曾提及月球公轉方向與現在相反，但公轉速率不變。如果此情境為真，其他影響潮汐變化的因素亦不改變，則下列敘述哪些正確？（應選2項) （A)月亮會變成自西方升起，東方落下 （B)月亮每天會提早約五十分鐘出現 （C)月亮依然會由東方升起，且不影響潮汐的漲退時間 （D)對於半日潮的地區，每天滿潮的時間大約會提早五十分鐘 （E)潮汐變動只影響半日潮地區，全日潮地區完全不受影響</t>
  </si>
  <si>
    <t>19.	海嘯的破壞力取決於浪高和溯上高度。溯上高度是海嘯到達陸地後隨著地形爬升的高度，有時可數倍於浪高。1958年7月9日阿拉斯加發生規模7.8的地震，引發山崩，使得逾3千萬立方公尺的岩石和冰塊落入阿拉斯加利圖亞灣，由於利圖亞灣為較封閉海域，海水難以流散，造成溯上高度達524公尺的海嘯，是有記錄以來溯上高度最高的海嘯。下列有關發生在阿拉斯加利圖亞灣海嘯的敘述，哪些正確？（應選2項) （A)此溯上高度最高的海嘯由大地震造成的海床錯動所引起 （B)海嘯波抵達淺海區時，其浪高會隨著水深的變淺而迅速升高 （C)數千萬立方公尺的岩石和冰塊落入利圖亞灣，造成500多公尺的浪高 （D)若巨量岩石和冰塊是落入開放海域，則造成的海嘯浪高和溯上高度將會較灣區小 （E)若海嘯往深海區傳播，其傳播速度較淺海區慢</t>
  </si>
  <si>
    <t>20. 日、月、地三者的相對位置如圖4所示，這張圖片展示了與**月相**及其在不同時間點的東升時間相關的內容。圖片由兩部分構成，左邊是一個表格，右邊是一個示意圖。以下是詳細描述：
### **左側表格（A, B, C, D, E, F)**：
- **左邊**顯示了三個不同的月相（A、B、C)：
  1. **（A)** 表示一個月相，黑色部分朝向右側，亮面朝向左側，可能代表**滿月或上弦月**。
  2. **（B)** 表示一個月相，左右各一半亮暗分明，這是典型的**上弦月**（右側亮、左側暗)。
  3. **（C)** 表示另一個月相，亮面朝向右側，黑色部分較多，這可能是**峨眉月**或**下弦月**。
- **右邊**顯示了三個不同的東升時間（D、E、F)：
  1. **（D)** 東升時間為**正午 12 時**。
  2. **（E)** 東升時間為**下午 3 時**。
  3. **（F)** 東升時間為**下午 6 時**。
### **右側圖4**：
- 圖示說明了月球繞地球的公轉軌道，以及太陽光照射地球和月球的方向。
- **地球**的北極和赤道標示清楚，**月球**在公轉軌道上圍繞地球移動。
- **太陽光**從圖的左側照射進來，標示為多條平行的箭頭，代表了光的方向。
，請問當下地球所見月相以及月球東升的大約時刻分別為何？（應選2項：（A)~（C)選1項，（D)~（F)選1項)</t>
  </si>
  <si>
    <t>BF</t>
  </si>
  <si>
    <t>AF</t>
  </si>
  <si>
    <t>21.	密閉的金屬空瓶內裝有氦氣，瓶內外的溫度皆為室溫，壓力皆為一大氣壓。將該瓶置入沸水中數分鐘，若可忽略金屬瓶內部體積的改變，則下列敘述哪些正確？（應選2項) （A)置入水中前後，瓶內氣體的分子數不變 （B)置入水中後，瓶內氣體的分子數變少 （C)置入水中前，瓶內氣體分子的平均動能較大 （D)置入水中後，瓶內氣體分子的平均動能較大 （E)置入水中前後，瓶內氣體的總動能不變</t>
  </si>
  <si>
    <t>22.	下列關於自然界基本作用力的敘述，哪些正確？（應選3項) （A)摩擦力、正向力的來源都是重力 （B)強作用力可以克服原子核中質子之間的靜電排斥力而形成原子核 （C)單獨的中子並不穩定，由於弱作用力，會自動衰變成質子、電子及其他粒子 （D)核子間有強作用力可以克服弱作用力，所以原子核中的中子極容易發生衰變 （E)強作用力的作用範圍約與原子核的大小相當，但弱作用力的作用範圍還要更小</t>
  </si>
  <si>
    <t>23.	國樂音階的五音與頻率的對應如表1所示。 經測得「角」音在室溫空氣中傳播時的波長約為103公分。若五音的聲波都在相同狀況的空氣中傳播，則下列有關表1國樂五音的敘述，
這張圖片展示了一個表格，列出了**國樂音階**中的五個音（宮、商、角、徵、羽)及其對應的**頻率**（單位：Hz)。具體如下：
- **宮**：頻率為 **262 Hz**
- **商**：頻率為 **294 Hz**
- **角**：頻率為 **330 Hz**
- **徵**：頻率為 **392 Hz**
- **羽**：頻率為 **440 Hz**
經測得「角」音在室溫空氣中傳播時的波長約為103公分。若 五音的聲波 都在相同狀況 的空氣中傳播，則下列有關 表 1國樂五音的敘述，哪些正確 應選 2項
哪些正確？（應選2項) （A)「宮」音聲波的傳播速率最慢 （B)「商」音聲波不會發生干涉現象 （C)五音的聲波均會發生繞射現象 （D)在室溫空氣中傳播時，「徵」音的聲波波長較「角」音為長 （E)在室溫空氣中傳播時，「羽」音聲波的波長約為77.3公分</t>
  </si>
  <si>
    <t>24.	加工食品應詳細列出內容物成分。一般泡麵所示的成分多達10種以上，從中摘列常見的5項如下，其中哪些內容物主成分為碳水化合物？（應選2項) （A)麵粉	（B)棕櫚油	（C)蔗糖	（D)味精	（E)大豆卵磷脂</t>
  </si>
  <si>
    <t>25.	某生於探討活動時，觀察某植物器官（圖5)後，這張圖片展示了一個**植物莖部的橫切面**，並標示了三個部分，分別是**甲**、**乙**和**丙**。以下是對這些部分的詳細描述：
- **甲**：位於最外層，可能代表**表皮層**（Epidermis)，這是莖部的外層組織，保護植物並減少水分散失。
- **乙**：位於較內層，靠近中心的位置，這部分可能代表**維管束**（Vascular bundles)或**木質部**，負責輸送水分和養分。
- **丙**：位於最中心，可能是**髓**（Pith)，髓通常由鬆散的薄壁細胞組成，具有儲存養分和水分的功能。
這是一個典型的植物莖部結構示意圖，展示了從外到內的層次結構，從表皮到維管束，再到中心的髓。寫出記錄及推測如下，其中敘述哪些正確？（應選2項) （A)此植物葉片較可能具網狀脈 （B)甲為水分主要運輸區域 （C)乙可運送無機鹽類 （D)丙具不透水的細胞壁 （E)是植物莖部的橫切面</t>
  </si>
  <si>
    <t>26.	腎臟構造及功能之基本單元為腎元。圖6為腎元之示意圖，這張圖片展示了腎單位（腎元)的一部分結構圖，標示了五個區域，分別是 **V**、**W**、**X**、**Y**、**Z**，以及**集尿管**。以下是對這些部分的詳細描述：
- **V**：位於腎單位的起始部分，可能代表**腎小球**（Glomerulus)，這是濾過血液形成初級尿液的結構。
- **W**：這部分是**鮑氏囊**（Bowman's capsule)，包圍腎小球並接收從腎小球濾出的液體。
- **X**：這是**近曲小管**（Proximal convoluted tubule)，這一部分負責吸收大部分的水分、電解質和有機物質。
- **Y**：這是**亨利氏袢**（Loop of Henle)的下行支，負責進一步回收水分，使尿液濃縮。
- **Z**：這是**遠曲小管**（Distal convoluted tubule)，在此進行精細的離子交換和水的調節。
- **集尿管**：位於圖的右側，是收集來自多個腎單位的尿液，將其引導至腎盂進行排泄的管道。
這張圖展示了腎單位的基本結構及其各個部分在濾過、重吸收和尿液形成中的作用。下列有關腎臟及腎元之敘述，哪些正確？（應選2項) （A)V是小動脈進出腎元的門戶 （B)W主要行分泌作用 （C)X細胞位於腎盂 （D)Y細胞位於腎髓質 （E)Z處主要再吸收氫離子</t>
  </si>
  <si>
    <t>27.	為了解植物向光性的調控，科學家運用植物生長素可以穿透洋菜膠，但不可穿透雲母片之特性進行6個實驗，所得結果如表2。 
這張圖片展示了一個有關**植物向光性**的實驗表格。表格分為兩欄，分別是**實驗**和**結果**，右側還附有一個圖示，顯示了植物芽鞘的結構。以下是表格中的具體實驗步驟和結果描述：
### 表格中的實驗和結果：
1. **實驗 1**：  
   - **內容**：在頂芽之下以不透光布包覆芽鞘周圍。  
   - **結果**：表現向光性。
2. **實驗 2**：  
   - **內容**：頂芽以不透光單子單住。  
   - **結果**：無向光性。
3. **實驗 3**：  
   - **內容**：頂芽與芽鞘間以洋菜膠塊區隔。  
   - **結果**：表現向光性。
4. **實驗 4**：  
   - **內容**：頂芽與芽鞘間以雲母片區隔。  
   - **結果**：無向光性。
5. **實驗 5**：  
   - **內容**：將頂芽切下，放於洋菜膠塊上，一段時間後，在黑暗中將此洋菜膠塊置於去除頂芽的芽鞘頂端之右邊。  
   - **結果**：向左彎曲生長。
6. **實驗 6**：  
   - **內容**：黑暗中，在去除頂芽的芽鞘頂端右邊放置含生長素的洋菜膠塊。  
   - **結果**：向左彎曲生長。
右側的圖示是一個簡單的植物結構圖，顯示了芽鞘的直立生長狀態。圖中標註了芽鞘和根部。
從表2實驗結果判斷下列敘述哪些正確？（應選3項) （A)實驗4若改將雲母片隔在向光面與背光面間，芽鞘仍無向光性表現 （B)實驗5若改在光照環境下進行會有不同的結果 （C)實驗6中若將洋菜膠塊置於中間，芽鞘仍會彎曲 （D)頂芽可能會產生生長素，流入芽鞘影響生長 （E)頂芽細胞具感光能力</t>
  </si>
  <si>
    <t>28.	電腦圍棋曾以三連勝擊敗世界圍棋排名第一的棋手，在人工智慧的演算法上是一項重要的里程碑。電腦圍棋以摹仿生物體神經系統的人工神經網路（Artificial Neural Network, ANN)為主要結構，ANN常常應用於機器學習和認知科學領域。ANN設定其基本元件等同於生物神經元，以摹仿生物神經系統的結構和功能。此元件之示意圖如圖7，
這張圖片展示了一個典型的神經網絡（或感知器)的示意圖。該圖表示多個輸入、權重、加權和輸出之間的關係。以下是圖中的元素描述：
1. **X₁, X₂, ..., Xₙ**：這些是輸入節點，代表不同的輸入數據，每個輸入對應一個不同的變量（例如特徵)。
2. **W₁, W₂, ..., Wₙ**：這些是每個輸入對應的權重，這些權重用來調整每個輸入對最終輸出的影響大小。
3. **Y**：這是一個中間節點（可能是神經元)，它接收所有輸入數據的加權和，這一步通常會經過一個激活函數處理。
4. **M**：從 Y 到 Z 的線段表示輸入進行加權和處理之後，結果被傳遞到輸出層。
5. **Z**：這是輸出節點，代表最終的輸出結果。
其中X1～Xn為輸入向量之分量；W1～Wn為輸入Y之權值，M為人工神經元之輸出，Z為動作。 下列有關此基本元件與生物神經元之類比敘述，哪些正確？（應選2項) （A)X1～Xn相當於Y的軸突輸入量 （B)W1～Wn訊息傳至Y相當於生物神經元間的突觸傳遞 （C) Y相當於生物神經元之細胞本體 （D) M如同樹之主幹，相當於神經細胞之樹突 （E) Z相當於神經系統的受器</t>
  </si>
  <si>
    <t>29.	液化石油氣（又稱桶裝瓦斯)的主要成分為丙烷與丁烷，而天然氣的主要成分為甲烷。下列有關液化石油氣與天然氣的相關敘述，哪些正確？（應選3項) （A)液化石油氣與天然氣的密度皆比水小 （B)若液化石油氣所含丙烷之比例愈高，則其沸點就愈高 （C)常溫常壓下，甲烷、丙烷與丁烷皆為氣體 （D)相同莫耳數的液化石油氣與天然氣完全燃燒時，天然氣所釋出的能量較多 （E)甲烷、丙烷、丁烷三者含碳的重量百分率逐漸增加</t>
  </si>
  <si>
    <t>30.	濾紙層析是分離混合物的一種簡便方法。首先用鉛筆在長條形濾紙上，距上、下緣適當距離處（約1公分)各劃一條細線（如圖8的X、Y橫線)；
這張圖片展示了一個長方形的垂直容器，標示了三個點或位置，分別為 **X**、**Y** 和 **Z**。以下是詳細描述：
1. **X**：位於容器的底部，表示容器的底端。
2. **Y**：位於容器的頂部，表示容器的頂端。
3. **Z**：位於容器的中間靠近底部的位置，這可能代表某個特定點或測量位置，例如容器中的某個測量點。
然後用毛細管在Z處點好樣品後，再放入裝有適當展開液之展開槽中進行分離。下列有關濾紙層析之原理及操作，哪些選項正確？（應選2項) （A)濾紙層析是利用混合物中各成分物質的性質差異（如對濾紙之吸附力)達到分離效果 （B)用毛細管將樣品溶液點在濾紙上的Z點時，須持續接觸約 10秒，以提高樣品含量 （C)必須使用足量的展開液，使其液面剛好接觸到X處之橫線 （D)當移動最快的成分物質到達Y處之細線時，即可停止展開 （E)改變展開液的成分可改變混合物的分離效果</t>
  </si>
  <si>
    <t>32.	某生想利用圖9的燃燒分析實驗裝置，推導出某一僅含碳、氫、氧三種元素化合物的實驗式。實驗中利用丙、丁兩支吸收管，其中一支填充過氯酸鎂（吸收水分)，另一支填充氫氧化鈉（吸收二氧化碳)。稱量兩支吸收管燃燒前後重量差，即可分別算出生成的水及二氧化碳重量，進而求出各元素之重量百分率，最後求得實驗式。為了使未知化合物燃燒完全，通常需使用氧化銅。下列針對圖9
這張圖片展示了一個氣體反應裝置的示意圖，並標示了幾個關鍵部分，包括「乾燥氣體入口」、「甲」、「乙」、「丙」、「丁」以及「氣體出口」，裝置的幾個部分被進行了加熱處理。以下是對各部分的詳細描述：
- **乾燥氣體入口**：這是氣體進入裝置的入口，乾燥氣體從這裡進入裝置，並隨後進行反應。
- **甲**：這個部分被標記為一個加熱區域，可能是反應的主要發生位置，乾燥氣體在此處受到加熱，進行化學反應。
- **乙**：這也是一個加熱區域，裝置內的反應繼續進行，可能涉及反應的進一步處理或轉換。
- **丙**和**丁**：這兩個部分可能是反應的冷凝區或過濾區，用來去除雜質或控制產物的純度，並將反應後的產物送到氣體出口。
- **氣體出口**：反應完成後的氣體從這裡排出。
### 加熱：
圖中標明了兩個加熱位置，分別在「甲」和「乙」處。
的實驗裝置中甲、乙、丙及丁處所應放置的物質及其功用的敘述，哪些正確？（應選2項)         （A)氧化銅應放於乙處 （B)氧化銅為還原劑 （C)過氯酸鎂應放於丁處 （D)氫氧化鈉應放於丁處 （E)實驗前後，需分別稱得氧化銅、過氯酸鎂及氫氧化鈉的重量，才能推算出碳、氫、氧三元素的重量</t>
  </si>
  <si>
    <t>33.	圖10為硝酸鉀\在不同溫度之水中的溶解度（定義為每100公克水所能溶解之硝酸鉀公克數)。圖表的詳細描述：
橫軸：表示溫度（°C)，範圍從 0°C 到 50°C，每個刻度約為 5°C，展示了溫度的變化範圍。
縱軸：表示溶解度，範圍從 0 到 100，每個刻度約為 10，展示了溶解度的變化範圍。溶解度的單位可能是每 100 克水中溶解的克數（通常是這樣的表示方法)。
曲線：從左下角開始，隨著溫度的增加，曲線逐漸向右上方攀升。這表示當溫度從 0°C 升至 50°C 時，溶解度也隨著增加。
在溫度 0°C 時，溶解度約為 10。
當溫度上升到 20°C 時，溶解度約為 20。
當溫度上升到 40°C 時，溶解度約為 60。
在 50°C 時，溶解度接近 90。王同學在26℃時，將30公克硝酸鉀加入50 公克水中，充分攪拌以達成溶解平衡。下列敘述哪些正確？（應選3項) （A)當混合液達成溶解平衡時，尚有10公克的硝酸鉀未溶解 （B)再加入25公克水，可使硝酸鉀完全溶解，形成飽和溶液 （C)在飽和溶液中，加入愈多的水，硝酸鉀在水中的溶解度愈大 （D)若將原混合液加熱至38℃時，則硝酸鉀剛好可完全溶解，形成飽和溶液 （E)若將原混合液降溫至20℃時，則可再析出6公克的硝酸鉀</t>
  </si>
  <si>
    <t>34.甲和乙兩化合物皆由元素 R 和 Q 所組成，其中甲化合物中 Q 的重量百分率為 20%，而 1.4 公克的乙化合物中含有 1.2 公克的 R；若甲的分子式為 R₂Q₆，而乙的分子式為 R₂Qₐ，且乙一莫耳完全燃燒需要 x 莫耳的氧氣並產生 y 莫耳的 RO₂ 與 z 莫耳的 Q₂O，其反應式為：乙+ x O₂ → y RO₂ + z Q₂O 則下列哪些選項正確？（應選 3 項)
(A) a＝ 2 (B) x＝ 3 (C) y＝ 2 (D) z＝ 4 (E) x＋ y＋ z＝ 7</t>
  </si>
  <si>
    <t xml:space="preserve">35.	下表所列各科學家與其在物理學上主要貢獻（甲)至（戊)的對應，何者最為恰當？ （甲)發現造成月亮繞地球運行與造成地球上自由落體的力，是同一來源。 （乙)首位提出物質波新學說。 （丙)發現不僅電流會產生磁場，隨時間變化的磁場也能產生電流。 （丁)發現兩帶電質點間的作用力與距離的關係和萬有引力的形式相同。 （戊)提出光子假說解釋光電效應。
（A) - 庫倫：甲- 法拉第：乙- 德布羅意：丙- 牛頓：丁- 愛因斯坦：戊
（B)- 庫倫：丁- 法拉第：丙 - 德布羅意：乙 - 牛頓：甲 - 愛因斯坦：戊
（C)  - 庫倫：丙 - 法拉第：甲 - 德布羅意：戊- 牛頓：丁 - 愛因斯坦：乙
（D) - 庫倫：戊 - 法拉第：乙 - 德布羅意：甲  - 牛頓：丁- 愛因斯坦：丙
（E) - 庫倫：乙 - 法拉第：丙 - 德布羅意：戊 - 牛頓：甲- 愛因斯坦：丁
</t>
  </si>
  <si>
    <t>36. 下列科學家與其在生物學上的主要貢獻（甲)至（戊)的對應，何者最為恰當？ （甲)發現單細胞生物和細菌 （乙)發現多細胞生物之細胞 （丙)動物體皆由細胞組成 （丁)說明目前之物種由前一物種分歧而來 （戊)證實生物體之性狀由親代傳至子代，等位基因不變，基因型則有時不同 
（A)：達爾文對應「丁」、虎克對應「乙」、雷文霍克對應「甲」、孟德爾對應「丙」、許旺對應「戊」。
（B)：達爾文對應「丙」、虎克對應「丁」、雷文霍克對應「乙」、孟德爾對應「甲」、許旺對應「戊」。
（C)：達爾文對應「戊」、虎克對應「丙」、雷文霍克對應「丁」、孟德爾對應「乙」、許旺對應「甲」。
（D)：達爾文對應「甲」、虎克對應「戊」、雷文霍克對應「丙」、孟德爾對應「丁」、許旺對應「乙」。
（E)：達爾文對應「乙」、虎克對應「甲」、雷文霍克對應「戊」、孟德爾對應「丙」、許旺對應「丁」。</t>
  </si>
  <si>
    <t>37-38為題組
颱風之風雨往往對臺灣造成巨大災害， 因此對颱風特性的了解是重要的。</t>
  </si>
  <si>
    <t xml:space="preserve">37.	圖11
這張圖展示了一個颱風的路徑圖，標示了颱風在不同日期和時間的位置。圖中有實心點和空心點，分別表示颱風的強度。以下是詳細描述：
實心點：
圖中看到的實心點多集中在08/06至08/09的路徑上，這段期間颱風經過臺灣。
空心點：
圖中的空心點出現在颱風向北移動到中國大陸沿海後，從08/09到08/11的路徑上。
為某次颱風中心位置隨著日期變化的路徑圖（每日凌晨2時開始記錄，每6小時記錄一次)。自08/06凌晨2時至08/11凌晨2時期間，該颱風中心移動的平均速率隨著時間變化的趨勢曲線，最接近下列何者？  
（A)**速度**：保持不變。- **時間**：隨時間增加，速度沒有任何變化。- **解釋**：這表示物體的運動是**等速運動**，即物體以恆定速度移動。
（B)**速度**：隨時間增加。 - **時間**：速度呈線性增加。 - **解釋**：這表示物體的速度在**加速**，即物體的速度隨時間增加。
（C)**速度**：隨時間減少。 - **時間**：速度呈線性減少。  - **解釋**：這表示物體的速度在**減速**，隨著時間推移，物體的速度逐漸減小。
（D)**速度**：呈曲線變化，先減少後增加。- **時間**：先下降到最低點，然後回升。- **解釋**：這表示物體的速度**先減速後加速**，可能是在某一點停止，然後反向加速。
（E)**速度**：呈曲線變化，先增加後減少。 - **時間**：速度增加到一個最高點後開始減少。 - **解釋**：這表示物體的速度**先加速後減速**，可能是物體達到某個極限速度後逐漸減速。
</t>
  </si>
  <si>
    <t>38.	某次颱風登陸臺灣前某一時刻的地面天氣簡圖如圖12所示，
這張圖展示了氣象圖中的**等壓線**，並標示了颱風或低氣壓系統的位置。以下是詳細描述：
### 圖中的關鍵點：
1. **等壓線**：
   - 圖中有多條等壓線，分別標示為 996、1000、1004 和 1008 百帕斯卡（hPa)。
   - 等壓線是指大氣壓力相同的區域，通常圍繞低氣壓或高氣壓中心畫出。等壓線越密集，氣壓變化越快，代表風速較強。
2. **甲**和**乙**：
   - **甲**標示在中心位置，周圍的等壓線顯示氣壓為**996 hPa**，這是低氣壓的中心，可能是颱風或強烈氣旋的中心位置。
   - **乙**位於低氣壓中心的附近，顯示出該區域的氣壓較低。
3. **丙**：
   - **丙**位於圖的右側，靠近高壓區域，標示的等壓線顯示氣壓為**1008 hPa**。這說明丙位置處於較高壓力的區域，通常伴隨著穩定的天氣。
4. **H**：
   - **H**表示高氣壓區，位於等壓線的右側，這通常與較穩定的天氣相關。
其中等壓線間距為4百帕（hPa)，甲地位於颱風中心，乙、丙兩地則位於颱風東側。甲、乙、丙三地的風速依序最可能為多少公尺/秒？ （A) 3，35，12	（B) 15，20，25 （C) 0，45，45	（D) 40，25，10 （E) 0，25，40   39-40為題組 科學家發現當物體的尺寸縮小後，其性質往往變化很大，甚至產生新現象。原因之一是物體的體積變小時，其表面積與體積的比值（)會增大，且其表面原子數與內部原子數的比值（)也隨之增大，此為奈米科技的表面效應。</t>
  </si>
  <si>
    <t>39-40為題組 科學家發現當物體的尺寸縮小後，其性質往往變化很大，甚至產生新現象。原因之一是物體的體積變小時，其表面積與體積的比值（A/V)會增大，且其表面原子數與內部原子數的比值（n/N)也隨之增大，此為奈米科技的表面效應。</t>
  </si>
  <si>
    <t>39.一半徑為 100.0 nm 的實心鐵球的 n/N 值，是半徑為 1.0 cm 的實心鐵球的 n/N 值之多少倍？",
(A) 10⁻⁷ (B) 10⁻⁵ (C) 10 (D) 10⁵ (E) 10⁷</t>
  </si>
  <si>
    <t xml:space="preserve">40.	圖13為某大洋的可見光衛星影像，影像中的雲是在大氣底部接近海洋表面的低雲，其雲內液態水含量在空間上相當均勻沒變化。
這張圖片顯示了一片雲層，並且圖片中用箭頭標示出「船跡」。根據箭頭所指的位置，圖片顯示出船隻在海洋上行駛後，留下的明顯痕跡，這些痕跡在雲層中形成細長的線條狀結構。
圖片的具體描述：
圖片中有大片的雲層覆蓋，呈現出相對均勻的雲層分布。
標注的「船跡」部分，顯示出一些細長的白色痕跡，這些痕跡與周圍雲層形成對比，表現出人為活動對大氣中水蒸氣的影響。
影像中線狀較亮的雲是因船舶航運所產生的船跡，較亮表示船跡的雲比較會反射陽光。一般而言，雲內雲滴顆粒的總表面積愈大的雲反射陽光能力愈強。船跡產生的原因是船舶煙囪排放出許多小顆粒汙染物，會使船經過的雲內產生更多小雲滴顆粒，因此比值隨雲滴體積變小而增大。下列敘述哪些正確？（應選2項) （A)船跡雲較亮是因船煙囪排放許多水氣，使其雲內的液態水含量較周圍的雲多 （B)船跡雲較亮是因雲含有更多的大的雲滴顆粒 （C)船跡雲較亮是因雲含有更多的小的雲滴顆粒 （D)單一小顆粒雲滴比單一大顆粒雲滴更會反射太陽光 （E)人類活動排放小顆粒汙染物可以增加雲的陽光反射   </t>
  </si>
  <si>
    <t>41-42為題組 地球的氮循環是由生物及非生物系統合一的一系列過程來完成。此過程通過大氣、陸地及海洋生態系進行一系列氧化還原反應將氮化合物轉換，如圖14。</t>
  </si>
  <si>
    <t>41. 圖14 NH₃（氨)：在循環過程中作為一種含氮物質，通過甲過程轉化為NH₄⁺。 NH₄⁺（銨)：氨通過過程轉化為銨，並在乙過程中進一步轉化為亞硝酸鹽（NO₂⁻)。 NO₂⁻（亞硝酸鹽)：銨經過乙過程變成亞硝酸鹽，然後經過丁過程進一步氧化為硝酸鹽（NO₃⁻)。 NO₃⁻（硝酸鹽)：在循環的最後階段，亞硝酸鹽被氧化成硝酸鹽。 N₂（氮氣)：亞硝酸鹽也可以通過戊過程轉化為氮氣，並返回大氣。 NO₃⁻ 到 NO₂⁻ 的逆轉：硝酸鹽可以被還原回亞硝酸鹽，可能是透過反硝化作用進行。 圖中有數個氧化還原反應，哪些選項正確？（應選2項) （A)甲-氧化 （B)乙-還原 （C)丙-氧化 （D)丁-還原 （E)戊-氧化</t>
  </si>
  <si>
    <t>無</t>
  </si>
  <si>
    <t>42. 圖14 中的轉換反應有些需要酵素在生物體內完成， 方可達成氮循環， 下列有關
轉換過程的敘述， 哪些正確？ （ 應選3 項）
(A)含有根瘤菌的菌根將硝酸鹽還原為亞硝酸鹽
(B)海洋中的固氮作用由藍綠菌完成
(C)氨化作用是指將 N₂ 轉化為 NH₃
(D)硝化作用可將 NH₄⁺  氧化為  NO₂ ⁺ 
(E)脫氮細菌的還原作用使氮回到大氣</t>
  </si>
  <si>
    <t>43-44為題組 由布設在臺灣的全球衛星定位系統（GPS)地面觀測站，可以估算臺灣現今的地殼變形量。圖15中之箭號為各測站相對於澎湖測站S01R的移動速度。測站2、3、4及5分別位於花東縱谷斷層的兩側。地殼變形的速率非常緩慢，地球科學家常以兩測站的速率差值除以測站距離，得到應變率，單位為1/秒，可估算地殼的變形速率。</t>
  </si>
  <si>
    <t>43.	根據圖15測站的移動速度，
圖片細節描述：
地圖概述：
這是一張台灣地理位置的地圖，經緯度範圍為：東經 120 度至 122 度，北緯 22 度至 25 度。
圖片的邊界標示了台灣的位置，包括外島和周邊海域。
地點編號：
圖中以數字 1 到 10 標示了不同的地點。這些數字標示的地點遍布台灣的南北各處，涵蓋從南端到北端的多個位置。
具體來說：
1 號點：位於台灣最南端，接近台灣的最底部，可能是屏東或附近地區。箭頭指向東北，表示地殼在這個地點向東北方向移動。
2 到 10 的位置分布從南向北，包括中央山脈的東、西兩側。每個編號的位置都對應一個測量站點，可能用於記錄地殼運動的數據。箭頭方向：每個編號旁邊都有一個箭頭，箭頭表示地殼的移動方向。
2 號點：接近台灣南部偏東的地區，可能是台東或附近區域。箭頭也指向東北方向，表明地殼在此地點朝著類似方向運動。
3 號點：位於台灣中部偏南，可能是靠近嘉義或台東的西側。箭頭顯示該地點的地殼運動方向為北偏東，即朝向台灣中央偏北的方向移動。
4 號點：位於台灣中部偏東的地區，可能是靠近花蓮的地點。此處的箭頭顯示該地點的地殼運動方向為東北偏東。
5 號點：這個位置靠近台灣中部，可能是位於南投或附近的地區。箭頭顯示地殼運動的方向為北偏東。
6 號點：靠近台灣東北角，可能位於宜蘭或東北海岸的區域。箭頭顯示地殼運動方向為東北方向。
7 號點：靠近台灣最北部，可能是基隆或新北市的附近。箭頭指向北偏東，表示地殼在這個地點的運動方向為朝向台灣北部。
8 號點：位於台灣中北部地區，可能接近台中或附近地區。箭頭顯示該地點的地殼運動方向為北偏東，與周圍地點一致。
9 號點：位於台灣西部的中北部，可能靠近彰化或苗栗的區域。箭頭方向顯示地殼在這個地點朝著東北方向移動。
10 號點：這是位於台灣西南部，接近台南或高雄的地區。箭頭顯示地殼運動的方向為北偏東，略微偏向北方。
箭頭的長度表示運動的速度。圖中有一個比例尺標示「50 mm/yr」，表示每年50毫米的運動速度。
箭頭指向各個不同的方向，顯示了地殼在這些地點上的移動趨勢。這些箭頭並非全部指向同一方向，而是根據當地地殼運動特徵有所不同。
下列敘述哪些正確？（應選2項) （A)所有的測站都向大陸靠近，因為菲律賓海板塊以每年約8公分的速度向歐亞板塊碰撞 （B)測站6和7之間的距離加大，此區域以伸張變形為主 （C)測站4和5之間的距離加大，縱谷斷層以伸張變形為主 （D)測站2和3之間的距離減小，縱谷斷層以壓縮變形為主 （E)臺灣地區地殼變形狀況很均勻一致，東部與西部無明顯差異</t>
  </si>
  <si>
    <t>44. 若以測站 1 和測站 S01R 的距離為 250 公里，測站 1 相對於 S01R 的速率每年 8 公分，其應變率最接近何值（單位為 1/秒，1 年約有 3.15×10⁷ 秒）？
(A) 10⁻⁸
(B) 10⁻¹⁰
(C) 10⁻¹²
(D) 10⁻¹⁴
(E) 10⁻¹⁶</t>
  </si>
  <si>
    <t>45-46為題組地質學家沿著地面P- P'路線進行地質調查，記錄了野外地質資料如圖16 
P點到P'點剖面依序敘述：
P點：傾斜角：30°符號顯示此處岩層向右傾斜，表示該區域岩層的傾角約為30°，方向指向P'點。
甲點：傾斜角：30°符號顯示此處為向斜軸，箭頭指向內部，表示岩層向內彎曲，構成向斜結構（像山谷的地層)。岩層傾斜角度為30°。
乙點：傾斜角：30°符號顯示此處為背斜軸，箭頭向外，表示岩層向外彎曲，構成背斜結構（像山脊的地層)。岩層傾斜角度也為30°。
丙點：這裡標示有一條逆斷層，使用鋸齒狀符號表示。逆斷層表明地層受壓應力影響發生了斷裂，岩層向傾斜方向發生位移。
丁點：傾斜角：10°符號顯示此處為背斜軸，箭頭向外，表示岩層的傾斜方向指向P點，形成背斜構造。岩層的傾斜角度較小，為10°。
戊點：傾斜角：10°符號顯示此處為向斜軸，箭頭向內，表示岩層向內彎曲，形成向斜構造。傾斜角度也為10°，傾向P'點。
P'點：傾斜角：10°在最右側，顯示岩層依然以10°角向P點方向傾斜。
所示，其中「地層走向」為地層面與水平面的交線，「地層傾角」為地層傾斜方向， 及其層面與水平面的最大交角：</t>
  </si>
  <si>
    <t>45. 根據野外地質資料所描繪出的地質剖面圖， 下列何者正確？
（A )：
- 地層呈現平緩的波浪狀，表示有背斜和向斜的結構。
- 在地層中間部分出現了一條斷層，該斷層切穿了地層並且顯示了明顯的位移，兩側的地層沒有保持連續性。
- 此斷層可能為逆斷層，顯示出地層受力後的位移。
（B )：
- 這裡的地層結構也顯示了明顯的波浪狀起伏，可能是背斜和向斜結構的反映。
- 在靠近P點的一側，斷層切穿了地層，並且地層明顯地發生了位移，斷層的一側被推向上方，另一側保持相對水平。
- 這種結構表明斷層可能是逆斷層，受壓力後出現的地層錯動。
（C )：
- 此地層表現出較明顯的背斜和向斜結構，波浪起伏明顯。
- 中間的斷層切穿了地層，並且地層發生了位移，但斷層兩側地層的位移量較少。
- 整體斷層結構顯示為一個正斷層，表明地層一側向下移動，另一側保持相對高位。
（D )：
- 地層的波浪狀起伏較小，顯示出地層變形較為平緩。
- 中間部分出現了一條斷層，兩側的地層依然保持相對水平，只是在斷層位置有輕微的位移。
- 這個斷層看起來像是正常的張裂斷層，可能是由拉伸應力導致。
（E )：
- 此剖面圖中地層的起伏和變形較少，波浪狀的地層幾乎沒有明顯的背斜和向斜結構。
- 中間的斷層切穿了地層，並且地層有明顯的錯位，斷層的一側向上推移，另一側相對向下移動。
- 這條斷層顯示為一個逆斷層，代表受壓應力影響而產生的位移。</t>
  </si>
  <si>
    <t>46.地質研究人員進行油氣探勘作業時，由於油氣密度較小、較輕，會沿著地層孔隙向上移動，岩層的上方必須有低孔隙、低滲透率的封閉岩層，形成良好的封閉地質構造，防止油氣向地表逸散。依此地質調查而言，下列哪一選項中的地質構造可能有油氣的蘊藏？ （A)甲及丙	（B)乙及丙	（C)丙及戊	（D)甲及戊	（E)乙及丁</t>
  </si>
  <si>
    <t>47.	如果不與外在環境交換能量，當未飽和時，一個空氣塊每上升1000 m，其溫度會降低約10℃，露點會降低約2℃；而飽和後，每上升1000 m其溫度會降低約5℃。如圖17，
圖片詳細描述：
地形剖面：
圖中顯示了一座山的剖面圖，山峰的高度為2000 公尺。
山的左側標示為甲，即迎風面，氣流從這一側進入。
山的右側標示為丙，即背風面，氣流從山峰之後流出。
山頂部分標示為乙，是氣流翻越的最高點。
氣流方向：
氣流從左側（迎風面)流向右側（背風面)，箭頭清楚地表示了氣流的運動方向。
氣流在山脊處被迫抬升，經過山頂後下沉，形成一個典型的山地氣流模型。
當氣流流到迎風面時，由於地形的抬升，氣流上升；經過山頂後，氣流在背風面迅速下沉。
迎風面與背風面：
迎風面（甲)：位於氣流的上升區域，隨著氣流接近山脊，會發生抬升，通常會帶來降水和雲層。
背風面（丙)：氣流經過山頂後，快速下降，這一側往往較乾燥，稱為背風坡效應。
高度標示：
圖的左側標有高度軸，從地面（0公尺)到山頂（2000公尺)之間顯示了山的垂直高度。
有一座高度2000 m的山，氣流在迎風面受地形抬升、沿坡面上升，當水氣達到飽和後，開始成雲和降水。如果在迎風面山腳下（甲地)觀測到氣溫為30℃，露點為22℃。假設空氣塊由甲地到達山頂（乙地)，再下降到背風面山腳下（丙地)的過程，不與外在環境交換能量，則下列敘述哪些正確？（應選3項) （A)空氣塊開始成雲時的露點約為15℃	（B)空氣塊到達乙地的溫度約為15℃ （C)空氣塊到達乙地的露點約為15℃	（D)空氣塊到丙地的溫度約為28℃ （E)空氣塊到達丙地的溫度約為35℃</t>
  </si>
  <si>
    <t>48.	海水密度隨鹽度與溫度變化的關係圖（溫鹽圖)如圖18所示。
圖中橫軸是鹽度（單位：‰)，縱軸是溫度（單位：°C)，顯示了在不同溫度和鹽度條件下，海水的密度值（單位：1030kg/m³)。等值線表示海水在相同密度下的鹽度與溫度組合。
圖中主要元素：
橫軸（鹽度)：範圍從 20‰ 到 40‰。
縱軸（溫度)：範圍從 2°C 到 18°C。
等值線：每條等值線上標有海水密度的數值，顯示了在不同鹽度和溫度下相同密度的點。標示了16, 18, 20, 22, 24, 26, 28等密度數值（單位：kg/m³)。
密度標註點：圖中在某一點標示了海水密度為1030 kg/m³的條件，對應的鹽度和溫度可以從該點在坐標系中的位置讀取。
鹽度為 X 軸，溫度為 Y 軸，等值線為密度（例如，30表示密度為)。若以下選項中五個垂直剖面的溫度和鹽度值都在溫鹽圖的範圍內，且壓力對密度的影響極小，可忽略不計，則哪個選項中的水體垂直穩定度最高（密度向下遞增，且上下密度差最大)？  
（A) ：溫度剖面：水溫從表層的20°C開始，隨水深增加，水溫迅速下降到約10°C，並且在更深的水層中保持恒定不變。這種剖面顯示了表層水溫較高、深層水溫較低的狀況。
（B) ：溫度剖面：水溫在表層保持約20°C，隨著水深增加，水溫先快速下降到接近10°C，然後再逐漸回升到接近表層水溫。這顯示出中層水溫較低的狀況，而深層水溫有所回升。
（C) ：溫度剖面：水溫在表層保持20°C，隨著水深的增加，水溫迅速下降至接近10°C，並在更深的水層中保持低溫不變。這與（A)選項類似，表現出表層水溫較高，深層水溫快速降低並保持恒定。
（D) ：鹽度剖面：鹽度隨著水深的增加從25‰逐漸上升至35‰。這顯示了淺層海水鹽度較低，而深層海水鹽度較高的情況。
（E) ：鹽度剖面：鹽度在表層保持35‰，隨水深的增加，鹽度迅速下降至25‰，並且在更深的水層中保持較低鹽度。這種剖面顯示了表層水鹽度較高，而深層水鹽度較低的狀況。</t>
  </si>
  <si>
    <t>49.	地中海因其年平均的蒸發量大於降雨量，所以地中海海水的鹽度高於大西洋。地中海與大西洋的海水在直布羅陀海峽交換，其流量與鹽度的垂直剖面示意圖如圖19，
直布羅陀海峽：標示在圖的上方，顯示了大西洋和地中海之間的水流交換。
水流方向：
入流量 Q1：從大西洋流入地中海的水量，單位為立方米每秒（m³/s)，對應的鹽度 S1顯示大西洋的海水鹽度。
出流量 Q2：從地中海流出到大西洋的水量，對應的鹽度 S2顯示地中海的海水鹽度。
Q1的箭頭指向地中海，而Q2的箭頭指向大西洋，顯示出水流交換的動態。
鹽度變化：
入流的鹽度 S1（大西洋)相對較低，而出流的鹽度 S2（地中海)相對較高，這可能是由於地中海的強烈蒸發作用引起的鹽度上升。
蒸發作用：圖中有向上箭頭，標示淨蒸發作用。地中海蒸發量大於降水量和河流入流量，導致水分散失，進一步增加地中海的鹽度。
海平面：由於蒸發作用，地中海的海平面相對較低，進一步促進了大西洋水流的流入。
海床：顯示了地中海的地形結構。
其中從大西洋流入地中海的入流量為Q1，鹽度為S1。從地中海流出的出流量為Q2，鹽度為S2。假設出、入流的溫度相同，且蒸發效應不可忽略，則下列何種組合能夠滿足地中海的海水體積與鹽度維持不變？ 
（A)S1＝S2，Q1＝Q2 （B)S1＝S2，Q1＞Q2 （C)S1＜S2，Q1＝Q2 （D)S1＜S2，Q1＜Q2 （E)S1＜S2，Q1＞Q2</t>
  </si>
  <si>
    <t xml:space="preserve">50.一艘探勘潛艇失去推進動力，只能利用進水、排水以控制潛艇的下潛或上浮。在上浮過程中，為了避免上升速度過快，導致人體難以承受壓力驟變，工作人員於是進行潛艇減速。已知該水域水體靜止，且潛艇在進水或排水後的總質量皆可視為 m，所受浮力的量值為F₍B₎，垂直阻力的量值為F₍R₎ ，而重力加速度的量值為 g，則在潛艇沿垂直方向減速上升的過程中，下列關係何者正確？
(A) F₍B₎+ F₍R₎=mg
(B) F₍B₎- F₍R₎=mg
(C) F₍B₎- F₍R₎&lt;mg
(D) F₍B₎+ F₍R₎&lt;mg
(E) F₍B₎- F₍R₎&gt;mg
</t>
  </si>
  <si>
    <t xml:space="preserve">51.	同步衛星繞地球運行的週期和地球自轉的週期相同。若部署一顆與同步衛星質量相同的新衛星，使其繞行地球一次的時間約為3小時，且兩顆衛星的軌道均為圓形，則該新衛星所受的重力量值約是同步衛星的多少倍？ （A) 16	（B) 8	（C) 1	（D) 1/8	（E) 1/16 </t>
  </si>
  <si>
    <t>52-53為題組 科學家發現光碟表面的微結構能提升太陽電池吸收日光的效率。如果先利用高分子材料將光碟表面的結構轉印下來，再轉移至太陽電池上，此微結構的尺寸介於150至250 nm 間，不但可讓入射光線在元件內部的移動距離增長，並且可使元件吸收幾乎全部波段的日光，進而提升光能轉換成電能的效率，相較於未使用光碟圖案的太陽電池，其元件吸收效率高出22%，效果卓越。</t>
  </si>
  <si>
    <t>52.	由上文可得知，哪些因素會影響太陽電池由光能轉換成電能的效率？（應選2項) （A)電池的工作溫度	（B)光在電池內部行經的路徑長 （C)電池內外結構的電阻係數	（D)電池吸收日光的波長範圍 （E)太陽與電池之間的距離</t>
  </si>
  <si>
    <t xml:space="preserve">53.	光碟面之微結構的尺寸，約為一個氫原子直徑的多少倍？ （A) 0.1	（B) 1	（C) 10	（D) 1000	（E) 10000 </t>
  </si>
  <si>
    <t xml:space="preserve">54-56為題組
 一座水庫的蓄水量與壩底從標底的水位關係如表3所列，水位250公尺時為滿水位。在滿水位下方120公尺處，設置壓力水管將水引入發電機，進行水力發電。發電機位於滿水位下方160公尺處，如圖20所示，且越接近壩底，水層的厚度越厚。（取重力加速度g為10 m/s²，水的密度為1.0 g/cm³)
表3:水位 （公尺)", "蓄水量 （百萬立方公尺)
      { "水位": 220, "蓄水量": 1063 },
      { "水位": 225, "蓄水量": 1084 },
      { "水位": 230, "蓄水量": 1110 },
      { "水位": 235, "蓄水量": 1140 },
      { "水位": 240, "蓄水量": 1176 },
      { "水位": 245, "蓄水量": 1217 },
      { "水位": 250, "蓄水量": 1264 }
圖20:水壩的結構，包括壓力水管從水庫的120公尺處將水引入位於水位下方160公尺的發電機。"
</t>
  </si>
  <si>
    <t>54.依據圖20 所示的水力發電設計， 就能量轉換的觀點， 下列敘述何者正確？
(A)水的熱能轉換成電能 (B)水的化學能轉換成電能
(C)水的重力位能轉換成電能 (D)電能轉換成水的力學能
(E)水的彈性位能轉換成電能</t>
  </si>
  <si>
    <t>55.	滿水位時，水庫水面的面積最接近多少百萬平方公尺？ （A) 15	（B) 9.4	（C) 6.5	（D) 5.1	（E) 0.10</t>
  </si>
  <si>
    <t>56.	已知發電廠設計的水流量為，若本發電裝置僅可將水力所提供能量的轉換為電能，且水庫在維持滿水位情況下發電，則本發電廠的最大發電功率約為多少？ （A) 12 MW	（B) 4 MW	（C) 12 kW	（D) 4 kW	（E) 1.5 kW</t>
  </si>
  <si>
    <t>57.	圖21之甲、乙兩圖為某性狀之異型合子
這張圖顯示了兩組不同的表現型（甲和乙)的相對頻率分佈。橫軸代表表現型（I、II、III)，縱軸表示相對頻率（範圍從0到0.8)。
甲組的表現型 I 的相對頻率最高，接近0.8，而表現型 II 和 III 的相對頻率分別較低，其中表現型 II 大約為0.2，表現型 III 幾乎接近0。
乙組的表現型 II 的相對頻率最高，大約為0.6，表現型 I 和 III 的相對頻率相對較低，分別為約0.3 和 0.1。（H)經雜交（即HH)試驗後，其子代（F)表現型之相對頻率分布圖。若依照孟德爾之遺傳法則推理，則甲、乙圖之遺傳類型依序屬於下列何者？         
(A)甲為單基因遺傳、乙為多基因遺傳	（B)甲為單基因遺傳、乙為中間型遺傳 （C)甲為中間型遺傳、乙為多基因遺傳	（D)甲為多基因遺傳、乙為中間型遺傳 （E)甲為二基因遺傳、乙為三基因遺傳</t>
  </si>
  <si>
    <t>58.	一個DNA分子有兩股多核苷酸鏈。若某DNA片段經定序後，計算其中一股的鹼基百分率組成，發現腺嘌呤（A)為32%，則推論此DNA的另一股上，胸腺嘧啶（T)所占之百分比（%)為何？ （A) 16	（B) 18	（C) 24	（D) 32	（E) 36</t>
  </si>
  <si>
    <t>59.	某實驗測定洋蔥根尖細胞中DNA的含量，得細胞數-DNA含量的分布圖如圖22。這張圖顯示了細胞數量與 DNA 含量（相對量)之間的關係。
橫軸代表 DNA 的相對含量，從 0 到超過 200。
縱軸代表細胞數，範圍從 0 到 400。
圖中的曲線顯示，當 DNA 含量約為 100 時，細胞數達到一個高峰，大約在 400 左右。隨著 DNA 含量增加到約 200，出現另一個較小的高峰，細胞數約在 100 左右。若改以成熟的洋蔥胚乳進行測定，則下列何圖為最可能結果？        
（A)：有兩個明顯的峰值，一個在 DNA 含量約為 100 的位置，對應的細胞數約為 400；另一個較小的峰值位於 DNA 含量約為 180。
（B)：僅有一個較為明顯的峰值，位於 DNA 含量約為 100，細胞數約為 400。
（C)：與 （B) 類似，只有一個峰值，位於 DNA 含量約為 100，細胞數接近 400。
（D)：與 （C) 類似，峰值位於 DNA 含量約為 100，細胞數接近 400。
（E)：同樣只有一個峰值，位於 DNA 含量約為 100，細胞數接近 400。</t>
  </si>
  <si>
    <t>60.	現生的不同物種都是經過分歧演化而來，因此物種或類群間的分歧順序可以用樹及樹枝的關係來表示，稱之為生命樹。下列構成生物體之自然分群及群間關係的生命樹，何者正確？
（A) 真核生物和真細菌是最早分開，古菌與真細菌更接近。
（B) 真核生物和古菌最早分叉，真細菌則後來分開。
（C) 真核生物最早分開，古菌和真細菌更接近。
（D) 真細菌和古菌首先分叉，真核生物和古菌較為接近。
（E) 古菌和真核生物首先分叉，真細菌與古菌更接近。</t>
  </si>
  <si>
    <t>61.	互利共生是兩物種共同生活，且以互蒙其利為關係。下列哪些結合可以達成互利關係？（應選3項) （A)榕樹、蕨類：前者提供生活的住所，後者提供碳源 （B)豆科植物、根瘤菌：前者提供碳源，後者提供氮源 （C)地衣中的藍綠菌、真菌：前者提供碳源，後者提供水與礦物質 （D)珊瑚礁的珊瑚蟲、藻類：前者提供棲所，後者提供碳源 （E)北美的山貓、雪靴兔：前者提供棲所空間，後者提供食物</t>
  </si>
  <si>
    <t>62.	海洋面積占地球表面的70%，剖面如圖23所示海岸地形的橫截面圖，並標示了海水深度和潮汐的變化情況。以下是各部分的詳細說明：
高潮位和低潮位：圖左側顯示了海水在高潮和低潮之間的變化，潮位上下波動顯示了海水線在潮汐期間的位置改變。
Y區與Z區：圖中標示了海岸從Y區到Z區的海岸線延伸，從陸地逐漸到海水，代表了從淺海到深海的過渡。
海水線（Sea Water Line)：圖中的一條水平線標示了海水的表面，區別了海底地形和海洋表面的區域。
L區、M區與N區：這些區域對應不同的海水深度：
L區：200公尺的海水深度，代表了淺海區域。
M區：700至1000公尺的深度，為中等深度的海域。
N區：10,000公尺的深度，為深海區域。，所形成的生態系受深度L, M &amp; N及離岸遠近X, Y &amp; Z左右，並且各具特色。下列有關各種海洋生態特性之敘述，哪些正確？（應選2項) （A)X區會曝露在空氣中，附著性生物不能生存 （B)Y區陽光充足，初級生產力高，易形成漁場 （C)Z區底部黑暗沒有生物存在 （D)L層的Z區陽光充足，初級生產力高於Y區 （E)M及N層的水體中，其能量主要由L層提供</t>
  </si>
  <si>
    <t>63.	桌上有三瓶溶液，但沒有標籤可以識別。老師告知這三瓶分別是氯化鈉、硫酸鉀與硝酸銨溶液，濃度均為1.0M。試問使用濃度1.0 M的下列哪一種試劑，可以用來區別此三瓶溶液？ （A)氫氧化鈉溶液	（B)硝酸銀溶液	（C)硫酸溶液 （D)氫氧化鋇溶液	（E)碳酸氫鈉溶液</t>
  </si>
  <si>
    <t>64.	有關 NO₃⁻ 和 CO₃²⁻ 路易斯結構的敘述，下列何者正確？ 
(A)都只具有單鍵 
(B)  NO₃不滿足八隅體規則
(C)中心原子都具有孤對電子 (D)二者的孤對電子數不同
(E)二者的總電子數相同</t>
  </si>
  <si>
    <t xml:space="preserve">65.	下列8類有機化合物：烷、烯、醇、醛、酮、酯、羧酸、醯胺，其最簡單成員之分子式含有兩個碳原子者，共有幾類？ （A) 2	（B) 3	（C) 4	（D) 5	（E) 6 </t>
  </si>
  <si>
    <t>66-67為題組 為了避免農田長滿的雜草與農作物競爭養分，農家常以主要成分為草甘膦的除草劑去除雜草。草甘膦的分子結構如圖24所示。
左邊是一個羧酸基團 （-COOH)，該基團通過碳原子與一個亞甲基 （-CH₂) 相連。
中間是由氮原子（N)形成的胺鍵，氮原子同時與兩個亞甲基 （-CH₂) 相連，並且連接兩側的分子結構。
右邊是一個磷酸基團 （-PO₄H₂)，這個基團連接在亞甲基的另一端。</t>
  </si>
  <si>
    <t>66.	下列選項中，哪一個物質的組成元素與草甘膦分子中的組成元素種類相同？ （A)胺基酸	（B)葡萄糖	（C)核苷酸	（D)脂肪酸	（E)蔗糖</t>
  </si>
  <si>
    <t>67.	草甘膦分子中含有下列哪些官能基？（應選2項) （A)羥基	（B)羧基	（C)胺基	（D)醯胺基	（E)酯基</t>
  </si>
  <si>
    <t>68.	林同學在實驗室進行界面活性劑實驗，其步驟如下： 步驟1：取紅色油性染料1.0 mL加入一裝有20.0 mL石油醚的燒杯中形成紅色溶液甲。 步驟2：取溶液甲2.0 mL加入試管後，再加入2.0 mL的蒸餾水，套上塑膠蓋，搖晃試管後，靜置三分鐘，觀察並記錄試管內溶液混合後的狀況。 步驟3：取肥皂水3.0 mL加入步驟2的試管中，套上塑膠蓋，搖晃試管後，靜置三分鐘，觀察並記錄試管內溶液混合後的狀況。 步驟4：取飽和氯化鎂溶液3.0 mL加入步驟3的試管中，套上塑膠蓋，搖晃試管後，靜置三分鐘，觀察並記錄試管內溶液混合後的狀況。 下列針對此實驗過程的敘述，哪些正確？（應選3項) （A)步驟2中，試管內分成兩層，界面清楚，紅色在上層而下層無色 （B)步驟2中，試管內分成兩層，界面清楚，水在上層而下層為石油醚 （C)步驟3中，試管內分成兩層，界面清楚，紅色在下層而上層無色 （D)步驟3中，試管內上下層界面不清楚，整支試管呈淡紅色 （E)步驟4中，試管內分成兩層，紅色在上層而下層無色</t>
  </si>
  <si>
    <t>2020_Questions</t>
  </si>
  <si>
    <t>1.	下列甲、乙、丙三個敘述為原子內部結構探究的三個過程，依發生時間先後排序何者正確？ 甲：夸克的發現。 乙：電子只在特定軌道運行。 丙：利用α-粒子撞擊金箔，發現原子核的存在。 (A)甲乙丙	(B)甲丙乙	(C)乙丙甲	(D)乙甲丙	(E)丙乙甲</t>
  </si>
  <si>
    <t xml:space="preserve">E </t>
  </si>
  <si>
    <t>2.王君搭乘熱氣球在廣闊無風的平原上空觀賞風景，熱氣球以等速度 5.0 m/s 鉛直上升時，王君不小心使相機從相對離地高度為 100 m 處離手而成為自由落體，若不計空氣阻力並取重力加速度為 10 m/s²，則相機著地前瞬間的速度量值約為多少 m/s？
(A)55 (B)45 (C)35 (D)25 (E)15</t>
  </si>
  <si>
    <t xml:space="preserve">B </t>
  </si>
  <si>
    <t xml:space="preserve">3.	下列選項中橢圓為行星繞太陽的軌道，點代表橢圓的中心，點代表橢圓的焦點，、兩點處箭號與其長度分別代表行星在該處的速度方向與量值。哪一個選項中的圖最接近實際的情況？(選項(A)與選項(D)圖中的兩箭號等長，選項(B)、選項(C)與選項(E)圖中的兩箭號不等長)
(A)：橢圓軌道中，焦點 F 位於左側的橢圓內，代表太陽的位置。O 是橢圓的中心。P 點位於橢圓軌道的左側，運動方向向下；Q 點位於橢圓軌道的右側，運動方向向上。這表明行星在橢圓軌道中圍繞太陽運行，運動方向相對垂直。
(B)：焦點 F 代表太陽，位於橢圓的左側。O 為橢圓中心。P 點位於橢圓的上側，運動方向向下；Q 點位於橢圓的下側，運動方向向上，與 P 點的運動相反。這說明行星在其軌道上進行更明顯的上下運動。
(C)：太陽仍然位於焦點 F。O 是橢圓的中心，P 位於橢圓左側，運動方向向下；Q 位於橢圓右側，運動方向向上。與 (A) 類似，但運動軌跡在此圖中更為垂直。
(D)：太陽位於焦點 F，橢圓中心為 O。P 點運動方向向下，Q 點運動方向向上，橢圓形狀顯得稍扁。P 和 Q 的運動方向依然相反。
(E)：太陽位於焦點 F，橢圓中心為 O。P 點位於橢圓的左側，運動方向為水平向左；Q 位於右側，運動方向為垂直向上。這表明行星在橢圓軌道中運行的方向改變，P 和 Q 點的運動方式不同，呈現一種混合運動軌跡。 </t>
  </si>
  <si>
    <t>4.	三個點電荷排列成一直線，若為電量(＞0)，為點電荷間的距離，且所有電荷皆固定不動，則下列選項中，位於左端的電荷所受到靜電力的合力量值何者最大？  
(A)從左到右，點電荷的排列為：+2Q、+Q、−2Q，這三個點電荷之間的距離均為 R。
(B)從左到右，點電荷的排列為：+2Q、+Q、+2Q，這三個點電荷之間的距離均為 R。
(C)從左到右，點電荷的排列為：+Q、−2Q、−2Q，這三個點電荷之間的距離均為 R。
(D)從左到右，點電荷的排列為：+Q、+2Q、−2Q，這三個點電荷之間的距離均為 R。
(E)從左到右，點電荷的排列為：+Q、−2Q、+2Q，這三個點電荷之間的距離均為 R。</t>
  </si>
  <si>
    <t>5.	如圖1所示這個圖顯示了一個簡單的電磁裝置，該裝置包括一個螺線管和電源電路。以下是圖中的主要部分描述：
螺線管：螺線管繞在一個磁性物體周圍，當有電流流過時會產生磁場。圖中顯示了磁鐵(標示為S和N，代表南北極)懸掛於螺線管的上方，且可以通過彈簧進行位移。
彈簧：彈簧懸掛於螺線管上方，連接著磁鐵。當電流通過螺線管時，螺線管產生的磁場會與磁鐵相互作用，導致磁鐵移動，從而改變彈簧的伸縮狀態。
電路部分：
電源：提供電流給螺線管。
開關(P-Q)：控制電路的開閉。當開關閉合時，電流通過螺線管，產生磁場。
電阻(X-Y)：位於電路中的可變電阻，用來調節電流的大小，從而控制螺線管內的磁場強度。，P、Q兩點分別連接到電壓固定之直流電源的兩電極處，Q、Y兩點之間連接一個可變電阻器，X點可在Q、Y兩點間滑動，固定不動的螺線管上方藉由塑膠彈簧垂直懸掛一根磁棒。最初未通電時彈簧為靜止狀態，通電後達靜力平衡時，發現彈簧較未通電時長。如果緩緩滑動X點至另一位置後停下，當彈簧再度達靜力平衡後，彈簧更加伸長，試問下列何者選項之操作能夠與觀測結果一致？
(A)P點接正極，Q點接負極，X點向Y點滑動 (B)P點接正極，Q點接負極，X點向Q點滑動 (C)P點接負極，Q點接正極，X點向Y點滑動 (D)P點接負極，Q點接正極，X點向Q點滑動 (E)彈簧是否伸長與X點的滑動方向無關</t>
  </si>
  <si>
    <t>6.	某天文學家鎖定甲、乙兩個天體的觀測資料進行分析，之後確定其中一個是星系而另一個是星系團。若甲的質量約為乙的1000倍，且甲、乙兩天體相同元素所發出的對應光譜線，甲的波長皆大於乙，則下列敘述何者正確？ (A)甲為星系團，遠離速率較乙小	(B)甲為星系，距離較乙遠 (C)乙為星系團，遠離速率較甲小	(D)甲為星系，距離較乙近 (E)甲為星系團，遠離速率較乙大</t>
  </si>
  <si>
    <t>7.	進行「細胞形態的觀察」探討活動時，若將顯微鏡鏡頭對準觀測物後，視野中仍一片空白，應先調整圖2
甲：目鏡。
乙：載物台。
丙：粗調節輪。
丁：細調節輪。
顯微鏡的何處才有助於看見觀測物？ (A)甲 (B)乙 (C)丙 (D)丁 (E)戊</t>
  </si>
  <si>
    <t>8.	於電子顯微鏡下觀察微生物，除了觀察是否具有細胞核之外，下列何者也可用來區分所見微生物為原核生物或原生生物？ (A)具有核糖體者為原生生物 (B)具有染色體者為原核生物 (C)具有鞭毛者為原核生物 (D)具有細胞壁者為原核生物 (E)具有粒線體者為原生生物</t>
  </si>
  <si>
    <t>9.	巴拉刈是一種常用來做為除草劑的強氧化劑，可抑制光反應電子傳遞的過程。對人來說，巴拉刈也是劇毒，如果進入細胞會產生大量的過氧化物。下列敘述何者正確？ (A)植物在噴灑巴拉刈後仍可持續進行碳反應 (B)巴拉刈分解後產生氧使細胞加速受損 (C)巴拉刈以吸收電子方式干擾電子傳遞過程 (D)巴拉刈在葉綠體的作用位置主要在基質 (E)巴拉刈對植物與動物造成毒害的主要胞器完全相同</t>
  </si>
  <si>
    <t xml:space="preserve">10.	選項中的(A)～(E)為卵巢週期圖，X軸表示女性之月經週期(約28天)，從第1天算起，第15天排卵，如軸下之示意圖所示。Y軸為血漿中雌性激素之相對濃度(0～1)。圖中之實線表示卵巢分泌動情素之週期變化，而虛線則表示黃體素之週期變化。下列變化曲線何者正確？ (A)	(B)      (C)	(D)      (E)   11-12為題組 在0℃時，有五種不同的氣體-氨、氯化氫、氧、二氧化碳、氫，小華測量其在水中的溶解度的情況，得到圖3中甲、乙、丙、丁、戊五種不同的數值(括弧裡數值為溶解度)。為進一步確認此五種氣體，老師告知小華甲、丙、戊三種氣體的製備與收集的方法，如表1所示。      根據上述的實驗與資料，回答下列各題：
(A)：雌性激素在第10天和第20天達到兩個高峰，黃體素在排卵後逐漸升高，於第20天達到高峰。
(B)：雌性激素的高峰出現在第10天和第15天，黃體素在第15天迅速上升，並在排卵後逐漸下降。
(C)：雌性激素在第15天急劇上升，形成明顯的高峰，黃體素在排卵後維持高位。
(D)：雌性激素有兩個平緩的高峰，黃體素在排卵後逐漸升高並形成較長的持續期。
</t>
  </si>
  <si>
    <t xml:space="preserve">11-12為題組
在0℃時，有五種不同的氣體-氨、氯化氫、氧、二氧化碳、氫，小華測量其在水中的溶解度的情況，得到圖3中甲、乙、丙、丁、戊五種不同的數值(括弧裡數值為溶解度)。為進一步確認此五種氣體，老師告知小華甲、丙、戊三種氣體的製備與收集的方法，如表1所示。",
這張表列出了氣體甲、丙、戊的製備方式與收集方法。",
"甲": {"製備方式": "2 NH_4Cl(s) + Ca(OH)_2(s) →","收集方法": "向下排氣法"},
"丙": {"製備方式": "CaCO_3(s) + 2 HCl(aq) →","收集方法": "排水集氣法"},
"戊": {"製備方式": "H_2O_2(aq) → MnO_2, Δ","收集方法": "排水集氣法"}
圖3:
這張圖顯示了五種氣體在水中的溶解度(以升/升水計算)。X軸代表氣體的種類，Y軸代表溶解度，單位為升/升水。
甲: {"symbol": "♦","溶解度": 1176,"unit": "升/升水"},
乙: {"symbol": "■",溶解度": 507, unit": "升/升水" },
丙: {"symbol": "▲",溶解度": 1.71, unit": "升/升水"},
丁: {"symbol": "●",溶解度": 0.021, unit": "升/升水"},
戊": {"symbol": "□","溶解度": 0.049, "unit": "升/升水" }
</t>
  </si>
  <si>
    <t>11. 試問下列哪一項為氣體丁？
(A)氯化氫 (B)二氧化碳 (C)氫 (D)氧 (E)氨</t>
  </si>
  <si>
    <t>12. 下面哪一組實驗裝置圖符合氣體乙製備( 左圖) 與收集( 右圖) 的方法？
(A)：使用導管將氣體引導到收集容器中，這似乎是透過加熱反應生成氣體，並使用導管排放至下方的氣體收集裝置。
(B)：兩個不同的實驗設備顯示了兩種不同的氣體製備和收集方法。左側裝置使用圓形器皿進行反應，右側則使用三角燒瓶進行收集，這兩者都透過排水集氣法進行氣體的收集。
(C)：一個帶有導管的三角燒瓶進行化學反應，產生的氣體通過導管進入右側的收集瓶中。這可能是某種氣體產生裝置，用來收集產生的氣體。
(D)：使用三角燒瓶進行反應，並連接到排水集氣裝置，氣體由排水方式收集到裝置中。
(E)：這是另一個利用加熱生成氣體的裝置。氣體通過導管流入連接的集氣瓶內。</t>
  </si>
  <si>
    <r>
      <rPr>
        <sz val="11"/>
        <color theme="1"/>
        <rFont val="PMingLiu"/>
        <family val="1"/>
        <charset val="136"/>
      </rPr>
      <t>14.氨氣與氧氣反應，可生成一氧化氮，其反應式如下： NH</t>
    </r>
    <r>
      <rPr>
        <sz val="11"/>
        <color theme="1"/>
        <rFont val="新細明體"/>
        <family val="1"/>
        <charset val="136"/>
      </rPr>
      <t>₃</t>
    </r>
    <r>
      <rPr>
        <sz val="11"/>
        <color theme="1"/>
        <rFont val="新細明體"/>
        <family val="1"/>
        <charset val="136"/>
      </rPr>
      <t xml:space="preserve"> + O</t>
    </r>
    <r>
      <rPr>
        <sz val="11"/>
        <color theme="1"/>
        <rFont val="新細明體"/>
        <family val="1"/>
        <charset val="136"/>
      </rPr>
      <t>₂</t>
    </r>
    <r>
      <rPr>
        <sz val="11"/>
        <color theme="1"/>
        <rFont val="新細明體"/>
        <family val="1"/>
        <charset val="136"/>
      </rPr>
      <t xml:space="preserve"> → NO + H</t>
    </r>
    <r>
      <rPr>
        <sz val="11"/>
        <color theme="1"/>
        <rFont val="新細明體"/>
        <family val="1"/>
        <charset val="136"/>
      </rPr>
      <t>₂</t>
    </r>
    <r>
      <rPr>
        <sz val="11"/>
        <color theme="1"/>
        <rFont val="新細明體"/>
        <family val="1"/>
        <charset val="136"/>
      </rPr>
      <t>O (未平衡)\n一氧化氮與氧氣反應生成二氧化氮，其反應式如下： NO + O</t>
    </r>
    <r>
      <rPr>
        <sz val="11"/>
        <color theme="1"/>
        <rFont val="新細明體"/>
        <family val="1"/>
        <charset val="136"/>
      </rPr>
      <t>₂</t>
    </r>
    <r>
      <rPr>
        <sz val="11"/>
        <color theme="1"/>
        <rFont val="新細明體"/>
        <family val="1"/>
        <charset val="136"/>
      </rPr>
      <t xml:space="preserve"> → NO</t>
    </r>
    <r>
      <rPr>
        <sz val="11"/>
        <color theme="1"/>
        <rFont val="新細明體"/>
        <family val="1"/>
        <charset val="136"/>
      </rPr>
      <t>₂</t>
    </r>
    <r>
      <rPr>
        <sz val="11"/>
        <color theme="1"/>
        <rFont val="新細明體"/>
        <family val="1"/>
        <charset val="136"/>
      </rPr>
      <t xml:space="preserve"> (未平衡)若分別將此二化學反應式平衡，並取最小整數，試問下列哪一數字不會是兩個平衡反應式中的係數？",
(A) 1 (B) 2 (C) 3 (D) 4 (E) 5</t>
    </r>
  </si>
  <si>
    <r>
      <rPr>
        <sz val="11"/>
        <color theme="1"/>
        <rFont val="PMingLiu"/>
        <family val="1"/>
        <charset val="136"/>
      </rPr>
      <t>15.在 5°C 時，已知 A(g) + 2 B(g) → AB</t>
    </r>
    <r>
      <rPr>
        <sz val="11"/>
        <color theme="1"/>
        <rFont val="新細明體"/>
        <family val="1"/>
        <charset val="136"/>
      </rPr>
      <t>₂</t>
    </r>
    <r>
      <rPr>
        <sz val="11"/>
        <color theme="1"/>
        <rFont val="新細明體"/>
        <family val="1"/>
        <charset val="136"/>
      </rPr>
      <t>(g) 的反應熱為 ΔH</t>
    </r>
    <r>
      <rPr>
        <sz val="11"/>
        <color theme="1"/>
        <rFont val="新細明體"/>
        <family val="1"/>
        <charset val="136"/>
      </rPr>
      <t>₁</t>
    </r>
    <r>
      <rPr>
        <sz val="11"/>
        <color theme="1"/>
        <rFont val="新細明體"/>
        <family val="1"/>
        <charset val="136"/>
      </rPr>
      <t>，且 B(g) + C(g) → BC(g) 的反應熱為 ΔH</t>
    </r>
    <r>
      <rPr>
        <sz val="11"/>
        <color theme="1"/>
        <rFont val="新細明體"/>
        <family val="1"/>
        <charset val="136"/>
      </rPr>
      <t>₂</t>
    </r>
    <r>
      <rPr>
        <sz val="11"/>
        <color theme="1"/>
        <rFont val="新細明體"/>
        <family val="1"/>
        <charset val="136"/>
      </rPr>
      <t>。在相同溫度下，下列何者為 1/2 A(g) + BC(g) → 1/2 AB</t>
    </r>
    <r>
      <rPr>
        <sz val="11"/>
        <color theme="1"/>
        <rFont val="新細明體"/>
        <family val="1"/>
        <charset val="136"/>
      </rPr>
      <t>₂</t>
    </r>
    <r>
      <rPr>
        <sz val="11"/>
        <color theme="1"/>
        <rFont val="新細明體"/>
        <family val="1"/>
        <charset val="136"/>
      </rPr>
      <t>(g) + C(g) 的反應熱？",
(A)1/2 ΔH</t>
    </r>
    <r>
      <rPr>
        <sz val="11"/>
        <color theme="1"/>
        <rFont val="新細明體"/>
        <family val="1"/>
        <charset val="136"/>
      </rPr>
      <t>₁</t>
    </r>
    <r>
      <rPr>
        <sz val="11"/>
        <color theme="1"/>
        <rFont val="新細明體"/>
        <family val="1"/>
        <charset val="136"/>
      </rPr>
      <t xml:space="preserve"> − ΔH</t>
    </r>
    <r>
      <rPr>
        <sz val="11"/>
        <color theme="1"/>
        <rFont val="新細明體"/>
        <family val="1"/>
        <charset val="136"/>
      </rPr>
      <t>₂</t>
    </r>
    <r>
      <rPr>
        <sz val="11"/>
        <color theme="1"/>
        <rFont val="新細明體"/>
        <family val="1"/>
        <charset val="136"/>
      </rPr>
      <t xml:space="preserve">
(B)ΔH</t>
    </r>
    <r>
      <rPr>
        <sz val="11"/>
        <color theme="1"/>
        <rFont val="新細明體"/>
        <family val="1"/>
        <charset val="136"/>
      </rPr>
      <t>₁</t>
    </r>
    <r>
      <rPr>
        <sz val="11"/>
        <color theme="1"/>
        <rFont val="新細明體"/>
        <family val="1"/>
        <charset val="136"/>
      </rPr>
      <t xml:space="preserve"> − 2ΔH</t>
    </r>
    <r>
      <rPr>
        <sz val="11"/>
        <color theme="1"/>
        <rFont val="新細明體"/>
        <family val="1"/>
        <charset val="136"/>
      </rPr>
      <t>₂</t>
    </r>
    <r>
      <rPr>
        <sz val="11"/>
        <color theme="1"/>
        <rFont val="新細明體"/>
        <family val="1"/>
        <charset val="136"/>
      </rPr>
      <t xml:space="preserve">
(C)ΔH</t>
    </r>
    <r>
      <rPr>
        <sz val="11"/>
        <color theme="1"/>
        <rFont val="新細明體"/>
        <family val="1"/>
        <charset val="136"/>
      </rPr>
      <t>₁</t>
    </r>
    <r>
      <rPr>
        <sz val="11"/>
        <color theme="1"/>
        <rFont val="新細明體"/>
        <family val="1"/>
        <charset val="136"/>
      </rPr>
      <t xml:space="preserve"> / (ΔH</t>
    </r>
    <r>
      <rPr>
        <sz val="11"/>
        <color theme="1"/>
        <rFont val="新細明體"/>
        <family val="1"/>
        <charset val="136"/>
      </rPr>
      <t>₂</t>
    </r>
    <r>
      <rPr>
        <sz val="11"/>
        <color theme="1"/>
        <rFont val="新細明體"/>
        <family val="1"/>
        <charset val="136"/>
      </rPr>
      <t>)²
 (D)√ΔH</t>
    </r>
    <r>
      <rPr>
        <sz val="11"/>
        <color theme="1"/>
        <rFont val="新細明體"/>
        <family val="1"/>
        <charset val="136"/>
      </rPr>
      <t>₁</t>
    </r>
    <r>
      <rPr>
        <sz val="11"/>
        <color theme="1"/>
        <rFont val="新細明體"/>
        <family val="1"/>
        <charset val="136"/>
      </rPr>
      <t xml:space="preserve"> / ΔH</t>
    </r>
    <r>
      <rPr>
        <sz val="11"/>
        <color theme="1"/>
        <rFont val="新細明體"/>
        <family val="1"/>
        <charset val="136"/>
      </rPr>
      <t>₂</t>
    </r>
    <r>
      <rPr>
        <sz val="11"/>
        <color theme="1"/>
        <rFont val="新細明體"/>
        <family val="1"/>
        <charset val="136"/>
      </rPr>
      <t>"
 (E)ΔH</t>
    </r>
    <r>
      <rPr>
        <sz val="11"/>
        <color theme="1"/>
        <rFont val="新細明體"/>
        <family val="1"/>
        <charset val="136"/>
      </rPr>
      <t>₁</t>
    </r>
    <r>
      <rPr>
        <sz val="11"/>
        <color theme="1"/>
        <rFont val="新細明體"/>
        <family val="1"/>
        <charset val="136"/>
      </rPr>
      <t xml:space="preserve"> × ΔH</t>
    </r>
    <r>
      <rPr>
        <sz val="11"/>
        <color theme="1"/>
        <rFont val="新細明體"/>
        <family val="1"/>
        <charset val="136"/>
      </rPr>
      <t>₂</t>
    </r>
    <r>
      <rPr>
        <sz val="11"/>
        <color theme="1"/>
        <rFont val="新細明體"/>
        <family val="1"/>
        <charset val="136"/>
      </rPr>
      <t xml:space="preserve">"
</t>
    </r>
  </si>
  <si>
    <t>16. 下列表格中， 哪一個選項的三個元素分別符合表格中所列之條件？
依據表格中的A-E，元素的特性可以描述如下：
(A)元素態為網狀固體：碳 C；導電、導熱性佳：氬Ar；原子半徑為同族最小：氟F。
(B)元素態為網狀固體：矽 Si；導電、導熱性佳：鎂 Mg；原子半徑為同族最小：氮 N。
(C)元素態為網狀固體：磷 P ；導電、導熱性佳：鋁 Al ；原子半徑為同族最小：鋰 Li 。
(D)元素態為網狀固體：硼 B；導電、導熱性佳：矽 Si ；原子半徑為同族最小：氮 N 。
(E)元素態為網狀固體：碳 C；導電、導熱性佳：鈉 Na；原子半徑為同族最小：鋁 Al。</t>
  </si>
  <si>
    <t>17.某些離子的半徑如表2所示(單位：10⁻ ¹ ⁰ m)。甲、乙、丙、丁為根據表中資料所作的敘述或推論，下列哪一選項正確？ 
O²⁻ 離子的半徑為 1.40 nm。
F⁻ 離子的半徑為 1.33 nm。
Na⁺ 離子的半徑為 1.02 nm。
Mg²⁺ 離子的半徑為 0.66 nm。
Al³⁺ 離子的半徑為 0.51 nm。
S²⁻ 離子的半徑為 1.84 nm。
Cl⁻ 離子的半徑為 1.81 nm。
K⁺ 離子的半徑為 1.51 nm。
Ca²⁺ 離子的半徑為 1.00 nm。
甲： 表中共有5個離子的核外電子數為18
乙： 電子數相同的陽離子， 原子序愈大者， 半徑愈小
丙： 具相同電子排列的陰離子， 其半徑隨原子序的增大而變大
丁： 同一族的離子， 當電荷相同時， 其半徑隨原子序的增大而變大
(A)甲乙 (B)丙丁 (C)甲丙 (D)乙丁 (E)甲丁</t>
  </si>
  <si>
    <t xml:space="preserve">18.	法國數學家帕斯卡利用兩支相似的水銀氣壓計，將一支帶到多姆山的山頂，一支留在山腳下，發現山頂的氣壓計高度比山腳下的低了7.6公分。假設山腳下的氣壓為一大氣壓(約1013百帕)，氣溫約20℃，試由圖4
縱軸：代表高度，單位是公尺(m)，從0公尺到約4000公尺。
橫軸：代表氣壓，單位是百帕(hPa)，從500百帕到1100百帕。
圖中的曲線表明，隨著高度的增加，氣壓會逐漸下降。具體來說：
在地面高度(0公尺)時，氣壓接近1100百帕。
當高度上升到約1000公尺，氣壓降到約900百帕。
隨著高度繼續增加，氣壓持續下降。在高度達到3000公尺時，氣壓降到大約700百帕左右。
最後，當高度接近4000公尺時，氣壓接近500百帕。
判斷多姆山高度及山頂的氣溫分別為多少？(平均溫度遞減率為每上升100公尺下降0.65℃) (A)約500公尺高，山頂氣溫約15.0℃ (B)約500公尺高，山頂氣溫約17.5℃ (C)約1000公尺高，山頂氣溫約10.0℃ (D)約1000公尺高，山頂氣溫約13.5℃ (E)約1500公尺高，山頂氣溫約10.0℃  </t>
  </si>
  <si>
    <t>19-20為題組 2011年3月11日，日本東部海底發生規模9.0的強震，地震所激起的海嘯不僅造成日本東部嚴重的災害，連遠在太平洋對岸的美洲西部海岸都受到衝擊。該海嘯自地震發生後抵達各地的延時如圖5。
地圖範圍：圖中覆蓋了太平洋的大部分區域，從亞洲的日本開始，向東延伸至北美洲西岸。南北方向則從北緯60°到南緯20°，涵蓋了北太平洋和部分南太平洋地區。
震央：圖中標示了一個黑色星號，位於日本附近，這是地震的震中位置，表示海嘯由這裡開始。
等延時線：圖中以等高線的形式標示了海嘯從震央傳播到各地所需的時間，數字表示小時數。每條等延時線代表海嘯傳播到該線所需的時間。
1小時線：距離震中最近的區域，幾乎完全覆蓋日本周邊的海域。
2至5小時線：這些等延時線依次向外擴展，表示海嘯傳播到鄰近的亞洲東海岸和太平洋中部。
6至10小時線：這些線延伸到夏威夷群島和太平洋東部區域。
11至17小時線：這些線進一步延伸，表示海嘯最終傳播到美國西海岸、墨西哥和南美洲部分地區。
傳播距離：在地圖底部有一個距離比例尺，標示著0到1000公里的距離範圍，用來幫助判斷海嘯的傳播距離。</t>
  </si>
  <si>
    <t>19.	由圖5判讀，地震激起海嘯後，海嘯波抵達臺灣東岸約需多少時間？ (A) 40分鐘	(B) 3小時	(C) 5小時	(D) 8小時	(E) 10小時</t>
  </si>
  <si>
    <t>20.	下列有關海嘯波的特性，何者可以根據圖5推知？ (A)海嘯波的週期	(B)海嘯波的波長	(C)海嘯波的波高 (D)海嘯波的行進速度	(E)海嘯侵襲各地海岸時的最大高度</t>
  </si>
  <si>
    <t>21.	圖6是1991年至2012年間發生在臺灣周遭規模大於4.0的震源分布圖，
地理範圍：圖的頂部標示了經緯度範圍，緯度從21°到26°，經度從119°到123°。深度標示：圖的右側標示了深度範圍，從100公里到300公里不等，代表地震發生的深度。這些深度顯示了震源位於地表下的距離。
地震事件：圖中的黑色點表示不同地震事件的位置和深度，分佈在不同的經緯度範圍以及不同的深度。較淺的地震位於靠近地表的區域(接近100公里)，較深的地震則可能位於接近300公里的深處。
地震密度：可以看到在特定經緯度和深度範圍內，地震事件的分佈更加密集，這可能表明這些區域的地震活動較為活躍。
從此圖可推測臺灣的板塊構造，下列有關臺灣板塊構造的敘述哪一項正確？ (A)歐亞板塊和菲律賓海板塊僅相互錯動 (B)在臺灣東北部外海，菲律賓海板塊向北逆衝到歐亞板塊上方 (C)在臺灣東北部外海，歐亞板塊向南隱沒到菲律賓海板塊下方 (D)在臺灣南半部，歐亞板塊向東逆衝到菲律賓海板塊上方 (E)在臺灣南半部，歐亞板塊向東隱沒到菲律賓海板塊下方</t>
  </si>
  <si>
    <t>22.	臺灣造山運動活躍，山崩事件時有所聞，下列有關影響臺灣山崩因素的敘述何者正確？ (A)板塊運動速率越快，山崩越不容易發生 (B)岩層含水量越低，山崩越容易發生 (C)節理(岩層破裂面)發達密集的山壁，山崩越容易發生 (D)坡度大小不重要，若岩性堅硬、耐風化，則不易山崩 (E)岩層和坡面的傾斜方向相同，且岩層傾角比坡面傾角小，則不會山崩</t>
  </si>
  <si>
    <t>23.	地震大多為斷層錯動所造成，其能量以地震波的形式向外傳遞，地震波及斷層錯動都可能造成災害。下列有關地震的敘述，何者正確？ (A)地震規模大小與斷層錯動所釋放的能量無關 (B)從地震的P波和S波速率及單一測站測得的P波和S波到達時間差，即可算出該地震震源的位置 (C)地震震度隨著距離震源越遠，震度越小，和各地地質無關 (D)地震可引起土壤液化，造成建築物下陷、倒塌 (E)地震波的波速越快，造成的地表搖晃越大 二、多選題(占24分)</t>
  </si>
  <si>
    <t>24.	下列關於「量子現象」的敘述哪些正確？(應選2項) (A)電子的雙狹縫干涉現象是因為電子具有粒子性 (B)氫原子的發射光譜是屬於連續光譜 (C)光電效應的實驗結果顯示光具有粒子性 (D)量子現象皆可用古典物理中的電磁理論解釋 (E)實驗觀測到的氫原子光譜特徵可用氫原子能階模型來解釋</t>
  </si>
  <si>
    <t>25.	某廠商生產三種燈泡：白熾燈泡、省電燈泡、LED燈泡，其資料如表3所示。
每個售價(元)：白熾燈泡：15元、省電燈泡：60元、LED燈泡：125元。
耗電功率(瓦特)：白熾燈泡：60瓦特、省電燈泡：15瓦特、LED燈泡：10瓦特。
平均光通量(流明)：白熾燈泡：860流明、省電燈泡：775流明、LED燈泡：900流明。
壽命(小時)：白熾燈泡：1,000小時、省電燈泡：10,000小時、LED燈泡：15,000小時。
假設一度電的電費為2.5元，每年平均約使用2000小時，且燈泡售價不變，「電能轉換為光通量效率」定義為平均光通量對耗電功率的比值，則下列敘述哪些正確？(應選2項) (A)LED燈泡一年的電費約為100元 (B)一年電費與燈泡購置費總和的大小順序為：白熾燈泡＞LED燈泡＞省電燈泡 (C)一年電費與燈泡購置費總和的大小順序為：白熾燈泡＞省電燈泡＞LED燈泡 (D)「電能轉換為光通量效率」的大小順序為：LED燈泡＞省電燈泡＞白熾燈泡 (E)只就節省電能考量，應全面換裝省電燈泡</t>
  </si>
  <si>
    <t>26.	某生以鳳仙花及朱槿花為對象，探討影響花粉萌發的因素。因素有三項：開花後第幾天的花粉(1或3天)、浸泡花粉的蔗糖溶液濃度(0～20%)、及蔗糖溶液處理花粉的時間長短(1或2小時)。各項因素與萌發率的關係如圖7所示。
### 圖片包含四個柱狀圖，分別顯示鳳仙花和朱槿花在不同蔗糖濃度下，經過處理 **1小時** 和 **2小時**，再經過 **1天** 和 **3天** 後的發芽率變化。
### 左側圖：**處理 1 小時**
#### 鳳仙花(黑色柱狀圖)：
- **1天發芽**：
  - **0%蔗糖濃度**下發芽率最高，約為 60%。
  - **5%蔗糖濃度**發芽率仍較高，約為 40%。
  - 隨著蔗糖濃度增加，發芽率逐漸下降，**20%蔗糖濃度**下發芽率幾乎為 0%。
- **3天發芽**：
  - **5%蔗糖濃度**下發芽率最高，約為 30%-40%。
  - **10%蔗糖濃度**發芽率約為 20%。
  - **20%蔗糖濃度**發芽率幾乎為 0%。
#### 朱槿花(灰色斜線柱狀圖)：
- **1天發芽**：
  - **5%蔗糖濃度**下發芽率最高，約為 20%。
  - 其他濃度(0%、10%、15%、20%)發芽率極低，幾乎為 0%。
- **3天發芽**：
  - **5%蔗糖濃度**下發芽率最高，約為 20%。
  - **10%蔗糖濃度**下發芽率約為 10%-20%，隨濃度增加，發芽率逐漸下降，**20%蔗糖濃度**發芽率幾乎為 0%。
### 右側圖：**處理 2 小時**
#### 鳳仙花(黑色柱狀圖)：
- **1天發芽**：
  - **5%蔗糖濃度**下發芽率最高，接近 80%。
  - **10%蔗糖濃度**下發芽率約為 60%。
  - 隨蔗糖濃度增加，發芽率逐漸下降，**20%蔗糖濃度**仍保持約 20% 的發芽率。
- **3天發芽**：
  - **5%蔗糖濃度**下發芽率最高，接近 60%。
  - **10%蔗糖濃度**發芽率約為 40%。
  - 隨蔗糖濃度增加，發芽率逐漸下降，**20%蔗糖濃度**發芽率接近 10%。
#### 朱槿花(灰色斜線柱狀圖)：
- **1天發芽**：
  - **5%蔗糖濃度**下發芽率最高，接近 50%。
  - 隨著濃度增加，發芽率逐漸下降，**20%蔗糖濃度**發芽率幾乎為 0%。
- **3天發芽**：
  - **5%蔗糖濃度**下發芽率最高，接近 40%。
  - **10%蔗糖濃度**發芽率約為 30%。
  - 隨濃度增加，發芽率下降，**20%蔗糖濃度**發芽率幾乎為 0%。
有關蔗糖對花粉萌發過程的影響，下列哪些正確？(應選3項)              (A)花粉可在不含蔗糖的溶液中萌發 (B)用5%的蔗糖對1天的鳳仙花花粉沒有增益的效果 (C)用10%的蔗糖對3天的朱槿花花粉有增益的效果 (D)用15%的蔗糖處理萌發率都比10%處理為低 (E)用20%的蔗糖處理鳳仙花花粉沒有增益的效果</t>
  </si>
  <si>
    <t>27.	心音是心臟瓣膜(活瓣)關閉的聲音，每一次的心搏可聽到兩個連續從心臟發出的聲音，下列關於心搏與心音的敘述哪些正確？(應選3項) (A)心臟的搏動純粹由心肌收縮所造成 (B)整個心搏週期中房室瓣會關閉兩次 (C)心搏速率受神經及內分泌的影響 (D)主動脈基部的半月瓣關閉時會發出聲音 (E)心音的特徵可以做為診病的參考基礎</t>
  </si>
  <si>
    <t>28.	絲瓜藤的卷鬚可攀爬木竿，捕蠅草的葉可捕蟲。這兩種生理現象的敘述哪些正確？(應選2項) (A)皆與碰觸方向無關 (B)攀爬不可逆，捕蟲則可逆 (C)碰觸位置的細胞生長皆受抑制 (D)攀爬過程有生長素參與，捕蟲過程則無 (E)攀爬與睡眠運動相似，捕蟲與觸發運動相似</t>
  </si>
  <si>
    <t>29.	有關於人體的呼吸運動，下列敘述哪些正確？(應選3項) (A)吸入的氣體會進入肺部外側的胸腔中 (B)橫膈(肌)與肋間肌收縮會驅動吸氣的動作 (C)肺泡的骨骼肌鬆弛時使氣體進入肺泡 (D)肺泡血液和大氣間氣體交換依賴擴散作用 (E)呼吸運動兼受自主性及意識性之機制進行</t>
  </si>
  <si>
    <t>30.	登革熱是由具RNA的登革熱病毒引起的疾病，主要以埃及斑蚊為傳染媒介，但其致病機制尚未完全清楚。若某甲被帶有登革熱病毒的埃及斑蚊叮咬後，他將會發生下列哪些現象？(應選3項) (A)出現局部發炎反應	(B)被叮咬後就會立即發高燒 (C)經由接觸可能將病症傳染給家人	(D)其專一性胞毒T細胞增生並分化 (E)其專一性B細胞分化為漿細胞，以產生抗體</t>
  </si>
  <si>
    <t>31.        某生擬將1.00 M的NaOH水溶液，加水稀釋成0.100 M的NaOH水溶液，則應使用下列哪些實驗器材進行配製？(應選2項) 
(A): 燒杯(Beaker)。
(B): 量筒(Graduated Cylinder)。
(C): 錐形瓶(Erlenmeyer Flask)。
(D): 容量瓶(Volumetric Flask)。
(E): 移液管(Pipette)。</t>
  </si>
  <si>
    <t>32.	豆漿是國人常用飲品，其製作過程如下： (1)將黃豆洗淨置入盆中泡水使其膨脹，傾斜盆子將水緩緩倒出 (2)再用篩子瀝乾水分後，再次將黃豆沖水洗淨後放入果汁機 (3)加適量水並啟動果汁機，使黃豆汁呈現細綿狀 (4)將打好的豆汁倒入鍋中，以小火慢煮，過程中需持續攪拌，避免燒焦 (5)將煮滾的豆汁過篩，即告完成 下列物質純化之技術與上述過程使用到類似者有哪些？(應選2項) (A)蒸餾	(B)層析	(C)過濾	(D)傾析	(E)再結晶</t>
  </si>
  <si>
    <t>33.	太陽表面有些黑暗區域，稱為「太陽黑子」，黑子區域的磁場強度比周圍磁場強，溫度也較低。有關太陽黑子的敘述，下列哪些選項正確？(應選3項) (A)黑子觀測可利用投影法或透過太陽濾鏡，避免強光傷害眼球 (B)黑子區域存在了成分未知的氣體，其物理性質不明，但已知顏色偏暗 (C)黑子的強磁性會放出無線電波，影響地球電離層的厚度 (D)黑子每年個數不同，個數變化週期約十一年 (E)黑子數目較多的那幾年，太陽噴發活動比較劇烈，也易影響到地球環境</t>
  </si>
  <si>
    <t>34.	某生利用學校的望遠鏡測得銀河系內某天體在可見光的星等為 2.5，考慮星際塵埃會使亮度變暗，修正後得到的星等為 2.5 + Δm。下列敘述哪些正確？(應選 2 項)
選項： 
(A) Δm &gt; 0
(B) Δm &lt; 0
(C) 淺天體的光譜型態決定 Δm 是否為正值
(D) 若該天體距離越遠，通常星際塵埃的影響越顯著
(E) 若該天體位於銀河系外，則 Δm = 0</t>
  </si>
  <si>
    <t xml:space="preserve">35.	颱風是影響臺灣的重要天氣系統之一，下列敘述哪些正確？(應選3項) (A)颱風是一種熱帶氣旋 (B)颱風也是一種鋒面系統 (C)北太平洋颱風的路徑主要受到西南季風的影響 (D)颱風的形成條件和海面溫度有關 (E)颱風中心底層的氣壓比其高空的氣壓高     </t>
  </si>
  <si>
    <t>36-40為題組 生活於大自然裡，人們不時可感覺到或看見電的效應，例如靜電放電、閃電。劇烈天氣常伴隨閃電，以致強烈對流及降雨的地區閃電頻率較高。除上述現象外，生物體也利用電來運作，以達成協調的目的。 生物體所有細胞膜的兩側均有電位差，形成膜電位。生物體存活期間，其細胞都維持一定水平的膜電位，以確保細胞內之微環境恆定。神經生物學家觀察細胞膜之電位變化，發現神經細胞受刺激後，細胞膜局部區域的電位會急遽升高。這項電位改變會沿著軸突傳遞，引起神經衝動，也稱為動作電位。動作電位不僅使神經元達成傳遞訊息的目的，也是肌肉收縮的生理基礎。腦的活動需依靠許多神經細胞集體運作。腦波圖即為腦細胞運作時的電壓(電位差)隨著時間變化的紀錄，常用於醫療診斷或神經科學探究。 此外，用電對現代生活不可或缺。日常生活的電能是由其他能量轉換而來，如何有效地將其他能量轉換成電能一直是科技研究重要課題，當能量形式的轉換次數愈多，能量損失也愈多，因此若能經由一次直接轉換成電能，將可減少能量損失。</t>
  </si>
  <si>
    <t>36.	根據上述文章，下列有關閃電現象的敘述哪些正確？(應選3項) (A)劇烈天氣所伴隨的閃電現象大多發生在對流層內 (B)夏天午後熱對流旺盛，造成的降水容易伴隨閃電 (C)冬季東北季風沿地形爬升時，造成的降水不容易伴隨閃電 (D)任一種鋒面型態所造成的降水都會伴隨閃電 (E)閃電現象只發生在小規模的天氣系統，颱風造成的降水不會有閃電</t>
  </si>
  <si>
    <t>37.	下列有關細胞膜及其電位之敘述，何者正確？ (A)在靜止狀態下，細胞膜的兩側電荷分布相同 (B)神經細胞受刺激後，會產生由細胞本體流向軸突的電流 (C)神經衝動發生時，軸突上之電位會陸續發生變化 (D)動作電位是神經細胞之間所發生的電位變化 (E)除了神經元外，其他細胞之膜不會產生動作電位</t>
  </si>
  <si>
    <t>38.	若將腦部同一位置在4種情況下，以相同比例尺度繪製的腦電波紀錄簡化後如圖8所示。
β波 (Beta waves)：出現在清醒活動時，頻率最高，波形最為密集，代表高度專注和精神活動。
α波 (Alpha waves)：出現在清醒但放鬆的狀態下，頻率較低，波形較為規律，常見於閉眼休息時。
θ波 (Theta waves)：出現在瞌睡或即將入睡時，頻率進一步降低，波形變得更為緩慢和不規則。
δ波 (Delta waves)：出現在深度睡眠時，頻率最低，波形最大且最緩慢，代表深度放鬆或無意識的狀態。
圖中也顯示了每個腦波的電壓範圍(100微伏特)，以及時間軸上的標記(1秒)，用來表示各腦波的時間週期。
已知，下列有關該腦電波紀錄電壓起伏幅度的敘述，何者正確？   (A)電壓為電能量，單位為焦耳 (B)電壓的單位為安培，是國際單位制的基本量 (C)深睡時，電壓起伏幅度最微弱 (D)清醒活動時，電壓起伏幅度最強烈，約是1 mV (E)睏倦入眠時，電壓起伏幅度大於清醒休息時</t>
  </si>
  <si>
    <t>39.	依據圖8所示，下列關於腦電波的敘述何者正確？ (A)腦電波的頻率為波長與波速的乘積 (B)深睡時，腦電波的頻率最高 (C)深睡時，腦電波的週期大於2秒 (D)睏倦入眠時，腦電波的頻率大於5 Hz (E)清醒活動時，腦電波的頻率最高，大於1000 Hz</t>
  </si>
  <si>
    <t xml:space="preserve">40.	以下哪些屬於一次直接轉換成電能，且能量形式描述正確？(應選2項) (A)乾電池：熱能→電能	(B)水力發電：位能→電能 (C)風力發電：動能→電能	(D)太陽能電池：光能→電能 (E)天然氣發電：化學能→電能 </t>
  </si>
  <si>
    <t>41-42為題組 組成生物體的主要元素有碳、氫、氮及氧等。這些元素先形成各種大小不等的物質分子，如單醣和胺基酸。再經同化作用合成較大的物質，如多醣和蛋白質。這些物質分子可以形成細胞結構，或是調節生理機能。</t>
  </si>
  <si>
    <t>41.        生物體內的某分子具有下列性質： (1)至少含碳、氫、氮及氧四種元素 (2)含氮的重量百分比超過3% (3)若含有磷元素時，磷的重量百分比極低 (4)分子量約為葡萄糖分子量的150倍 下列何者最有可能為此分子？ (A)胺基酸        (B)脂肪        (C)澱粉        (D)蛋白質        (E)DNA</t>
  </si>
  <si>
    <t xml:space="preserve">42.	下列生物體細胞內的結構，哪些同時具有DNA、RNA、蛋白質及磷脂質？(應選2項) (A)葉綠體	(B)核糖體	(C)中心粒	(D)核仁	(E)粒線體  </t>
  </si>
  <si>
    <t>43-44為題組 某選手由架上挺舉質量為100公斤的槓鈴，垂直挺舉過程中，槓鈴垂直速度隨時間的關係曲線如圖9所示(速度向上為正)
這張圖片展示了一個物體在時間 (秒) 和垂直速度 (m/s) 之間的變化圖。圖中的黑色曲線表示物體在垂直方向上的速度隨時間的變化。圖中還標示了幾個特定的點，分別為 甲、乙、丙、丁、戊、己、庚、辛、壬，這些點可能代表物體速度改變的重要時刻或特徵點。
主要觀察：
垂直軸：顯示垂直速度，單位為 m/s，範圍從 -1.8 m/s 到 2.4 m/s，表示物體的垂直運動速度可正可負，正值代表向上運動，負值代表向下運動。
水平軸：顯示時間，單位為秒，範圍從 0 到 3 秒，表示這段時間內物體垂直速度的變化。
曲線的波峰和波谷分別表示物體的速度達到最大值和最小值。當曲線穿過 0 時，表示物體速度瞬間為 0，這可能是物體改變運動方向的時刻。
甲：時間 (s)：0 秒、垂直速度 (m/s)：-0.8 m/s
乙：時間 (s)：約 0.35 秒、垂直速度 (m/s)：約 1.2 m/s
丙：時間 (s)：約 0.9 秒、垂直速度 (m/s)：2.4 m/s
丁：時間 (s)：約 1.1 秒、垂直速度 (m/s)：約 1.6 m/s
戊：時間 (s)：約 1.3 秒、垂直速度 (m/s)：0 m/s
己：時間 (s)：約 1.5 秒、垂直速度 (m/s)：約 -0.6m/s
庚：時間 (s)：約 1.8 秒、垂直速度 (m/s)：約 0 m/s
辛：時間 (s)：約 2.2 秒、垂直速度 (m/s)：約 0.8 m/s
壬：時間 (s)：約 2.7 秒、垂直速度 (m/s)：約 0.8 m/s
，圖中甲至壬為挺舉過程中的某些特定時刻。</t>
  </si>
  <si>
    <t>43.	下列有關槓鈴力學能的敘述何者正確？ (A)由零秒到甲時刻過程，槓鈴的動能增加 (B)由丁時刻到戊時刻過程，槓鈴的位能減少 (C)由戊時刻到庚時刻過程，槓鈴的位能減少 (D)己時刻為槓鈴的位能最低點 (E)丙時刻為槓鈴的位能最高點</t>
  </si>
  <si>
    <t>44.	若取重力加速度為10m/s ²，則甲時刻到乙時刻之間，舉重選手挺舉槓鈴所施之平均作用力約是多少牛頓？ (A) 100	(B) 500	(C) 1000	(D) 1500	(E) 3200</t>
  </si>
  <si>
    <t xml:space="preserve">45.	假設重力完全來自地球，下列關於飛行中物體的敘述，哪些正確？(應選3項) (A)在大氣中等速度直線飛行的民航機，所受的合力為零 (B)在太空中等速繞地球飛行的人造衛星，所受的合力為零 (C)在太空中等速繞地球飛行的人造衛星，所需的向心力由重力提供 (D)在太空中等速繞地球飛行的人造衛星，不需要耗用燃料提供動力 (E)在大氣中作鉛垂面等速圓周運動的戰鬥機內飛行員，所需的向心力僅由重力提供  </t>
  </si>
  <si>
    <r>
      <rPr>
        <sz val="11"/>
        <color theme="1"/>
        <rFont val="PMingLiu"/>
        <family val="1"/>
        <charset val="136"/>
      </rPr>
      <t>46-47為題組
兩塊質量不同的磁鐵靜置於水平桌面，同性磁極N相向，達靜力平衡後，圖10
主要標示的力：
F</t>
    </r>
    <r>
      <rPr>
        <sz val="11"/>
        <color theme="1"/>
        <rFont val="新細明體"/>
        <family val="1"/>
        <charset val="136"/>
      </rPr>
      <t>₁</t>
    </r>
    <r>
      <rPr>
        <sz val="11"/>
        <color theme="1"/>
        <rFont val="新細明體"/>
        <family val="1"/>
        <charset val="136"/>
      </rPr>
      <t xml:space="preserve"> 和 F</t>
    </r>
    <r>
      <rPr>
        <sz val="11"/>
        <color theme="1"/>
        <rFont val="新細明體"/>
        <family val="1"/>
        <charset val="136"/>
      </rPr>
      <t>₂</t>
    </r>
    <r>
      <rPr>
        <sz val="11"/>
        <color theme="1"/>
        <rFont val="新細明體"/>
        <family val="1"/>
        <charset val="136"/>
      </rPr>
      <t>：分別是作用在兩個物體上的水平推力，方向相反，作用於物體的左邊和右邊。
T</t>
    </r>
    <r>
      <rPr>
        <sz val="11"/>
        <color theme="1"/>
        <rFont val="新細明體"/>
        <family val="1"/>
        <charset val="136"/>
      </rPr>
      <t>₁</t>
    </r>
    <r>
      <rPr>
        <sz val="11"/>
        <color theme="1"/>
        <rFont val="新細明體"/>
        <family val="1"/>
        <charset val="136"/>
      </rPr>
      <t xml:space="preserve"> 和 T</t>
    </r>
    <r>
      <rPr>
        <sz val="11"/>
        <color theme="1"/>
        <rFont val="新細明體"/>
        <family val="1"/>
        <charset val="136"/>
      </rPr>
      <t>₂</t>
    </r>
    <r>
      <rPr>
        <sz val="11"/>
        <color theme="1"/>
        <rFont val="新細明體"/>
        <family val="1"/>
        <charset val="136"/>
      </rPr>
      <t>：是垂直向上的支持力(正向力)，分別作用於兩個物體，與物體的重量相平衡。
W</t>
    </r>
    <r>
      <rPr>
        <sz val="11"/>
        <color theme="1"/>
        <rFont val="新細明體"/>
        <family val="1"/>
        <charset val="136"/>
      </rPr>
      <t>₁</t>
    </r>
    <r>
      <rPr>
        <sz val="11"/>
        <color theme="1"/>
        <rFont val="新細明體"/>
        <family val="1"/>
        <charset val="136"/>
      </rPr>
      <t xml:space="preserve"> 和 W</t>
    </r>
    <r>
      <rPr>
        <sz val="11"/>
        <color theme="1"/>
        <rFont val="新細明體"/>
        <family val="1"/>
        <charset val="136"/>
      </rPr>
      <t>₂</t>
    </r>
    <r>
      <rPr>
        <sz val="11"/>
        <color theme="1"/>
        <rFont val="新細明體"/>
        <family val="1"/>
        <charset val="136"/>
      </rPr>
      <t>：分別是兩個物體的重力，方向垂直向下。
f</t>
    </r>
    <r>
      <rPr>
        <sz val="11"/>
        <color theme="1"/>
        <rFont val="新細明體"/>
        <family val="1"/>
        <charset val="136"/>
      </rPr>
      <t>₁</t>
    </r>
    <r>
      <rPr>
        <sz val="11"/>
        <color theme="1"/>
        <rFont val="新細明體"/>
        <family val="1"/>
        <charset val="136"/>
      </rPr>
      <t xml:space="preserve"> 和 f</t>
    </r>
    <r>
      <rPr>
        <sz val="11"/>
        <color theme="1"/>
        <rFont val="新細明體"/>
        <family val="1"/>
        <charset val="136"/>
      </rPr>
      <t>₂</t>
    </r>
    <r>
      <rPr>
        <sz val="11"/>
        <color theme="1"/>
        <rFont val="新細明體"/>
        <family val="1"/>
        <charset val="136"/>
      </rPr>
      <t>：是物體之間的連接力或摩擦力，方向相反，作用在兩個物體的接觸點上。
物體上的 S 和 N 表示磁極，暗示兩個物體可能是磁性材料或有磁場作用。
為它們受力情形的示意圖， F1 、F2 為磁力， f1 、f2 為摩擦力， W1 、W 2為重力， T1 、T2為正向力。</t>
    </r>
  </si>
  <si>
    <r>
      <rPr>
        <sz val="11"/>
        <color theme="1"/>
        <rFont val="PMingLiu"/>
        <family val="1"/>
        <charset val="136"/>
      </rPr>
      <t>46. 下列哪一對的力，互為作用力與反作用力？
(A)  F</t>
    </r>
    <r>
      <rPr>
        <sz val="11"/>
        <color theme="1"/>
        <rFont val="新細明體"/>
        <family val="1"/>
        <charset val="136"/>
      </rPr>
      <t>₁</t>
    </r>
    <r>
      <rPr>
        <sz val="11"/>
        <color theme="1"/>
        <rFont val="新細明體"/>
        <family val="1"/>
        <charset val="136"/>
      </rPr>
      <t xml:space="preserve"> 、 F</t>
    </r>
    <r>
      <rPr>
        <sz val="11"/>
        <color theme="1"/>
        <rFont val="新細明體"/>
        <family val="1"/>
        <charset val="136"/>
      </rPr>
      <t>₂</t>
    </r>
    <r>
      <rPr>
        <sz val="11"/>
        <color theme="1"/>
        <rFont val="新細明體"/>
        <family val="1"/>
        <charset val="136"/>
      </rPr>
      <t>(B)  f</t>
    </r>
    <r>
      <rPr>
        <sz val="11"/>
        <color theme="1"/>
        <rFont val="新細明體"/>
        <family val="1"/>
        <charset val="136"/>
      </rPr>
      <t>₁</t>
    </r>
    <r>
      <rPr>
        <sz val="11"/>
        <color theme="1"/>
        <rFont val="新細明體"/>
        <family val="1"/>
        <charset val="136"/>
      </rPr>
      <t xml:space="preserve"> 、 f</t>
    </r>
    <r>
      <rPr>
        <sz val="11"/>
        <color theme="1"/>
        <rFont val="新細明體"/>
        <family val="1"/>
        <charset val="136"/>
      </rPr>
      <t>₂</t>
    </r>
    <r>
      <rPr>
        <sz val="11"/>
        <color theme="1"/>
        <rFont val="新細明體"/>
        <family val="1"/>
        <charset val="136"/>
      </rPr>
      <t>(C) F</t>
    </r>
    <r>
      <rPr>
        <sz val="11"/>
        <color theme="1"/>
        <rFont val="新細明體"/>
        <family val="1"/>
        <charset val="136"/>
      </rPr>
      <t>₁</t>
    </r>
    <r>
      <rPr>
        <sz val="11"/>
        <color theme="1"/>
        <rFont val="新細明體"/>
        <family val="1"/>
        <charset val="136"/>
      </rPr>
      <t xml:space="preserve"> 、  f</t>
    </r>
    <r>
      <rPr>
        <sz val="11"/>
        <color theme="1"/>
        <rFont val="新細明體"/>
        <family val="1"/>
        <charset val="136"/>
      </rPr>
      <t>₁</t>
    </r>
    <r>
      <rPr>
        <sz val="11"/>
        <color theme="1"/>
        <rFont val="新細明體"/>
        <family val="1"/>
        <charset val="136"/>
      </rPr>
      <t xml:space="preserve">  (D) T</t>
    </r>
    <r>
      <rPr>
        <sz val="11"/>
        <color theme="1"/>
        <rFont val="新細明體"/>
        <family val="1"/>
        <charset val="136"/>
      </rPr>
      <t>₁</t>
    </r>
    <r>
      <rPr>
        <sz val="11"/>
        <color theme="1"/>
        <rFont val="新細明體"/>
        <family val="1"/>
        <charset val="136"/>
      </rPr>
      <t>、W</t>
    </r>
    <r>
      <rPr>
        <sz val="11"/>
        <color theme="1"/>
        <rFont val="新細明體"/>
        <family val="1"/>
        <charset val="136"/>
      </rPr>
      <t>₁</t>
    </r>
    <r>
      <rPr>
        <sz val="11"/>
        <color theme="1"/>
        <rFont val="新細明體"/>
        <family val="1"/>
        <charset val="136"/>
      </rPr>
      <t xml:space="preserve"> (E)  F</t>
    </r>
    <r>
      <rPr>
        <sz val="11"/>
        <color theme="1"/>
        <rFont val="新細明體"/>
        <family val="1"/>
        <charset val="136"/>
      </rPr>
      <t>₁</t>
    </r>
    <r>
      <rPr>
        <sz val="11"/>
        <color theme="1"/>
        <rFont val="新細明體"/>
        <family val="1"/>
        <charset val="136"/>
      </rPr>
      <t xml:space="preserve"> 、  f</t>
    </r>
    <r>
      <rPr>
        <sz val="11"/>
        <color theme="1"/>
        <rFont val="新細明體"/>
        <family val="1"/>
        <charset val="136"/>
      </rPr>
      <t xml:space="preserve">₂
</t>
    </r>
  </si>
  <si>
    <r>
      <rPr>
        <sz val="11"/>
        <color theme="1"/>
        <rFont val="PMingLiu"/>
        <family val="1"/>
        <charset val="136"/>
      </rPr>
      <t>47. 設重力加速度為 ，若僅考慮力的量值，則下列關係式何者正確？
(A) F</t>
    </r>
    <r>
      <rPr>
        <sz val="11"/>
        <color theme="1"/>
        <rFont val="新細明體"/>
        <family val="1"/>
        <charset val="136"/>
      </rPr>
      <t>₁</t>
    </r>
    <r>
      <rPr>
        <sz val="11"/>
        <color theme="1"/>
        <rFont val="新細明體"/>
        <family val="1"/>
        <charset val="136"/>
      </rPr>
      <t xml:space="preserve"> = W</t>
    </r>
    <r>
      <rPr>
        <sz val="11"/>
        <color theme="1"/>
        <rFont val="新細明體"/>
        <family val="1"/>
        <charset val="136"/>
      </rPr>
      <t>₁</t>
    </r>
    <r>
      <rPr>
        <sz val="11"/>
        <color theme="1"/>
        <rFont val="新細明體"/>
        <family val="1"/>
        <charset val="136"/>
      </rPr>
      <t>g (B) T</t>
    </r>
    <r>
      <rPr>
        <sz val="11"/>
        <color theme="1"/>
        <rFont val="新細明體"/>
        <family val="1"/>
        <charset val="136"/>
      </rPr>
      <t>₂</t>
    </r>
    <r>
      <rPr>
        <sz val="11"/>
        <color theme="1"/>
        <rFont val="新細明體"/>
        <family val="1"/>
        <charset val="136"/>
      </rPr>
      <t>=W</t>
    </r>
    <r>
      <rPr>
        <sz val="11"/>
        <color theme="1"/>
        <rFont val="新細明體"/>
        <family val="1"/>
        <charset val="136"/>
      </rPr>
      <t>₂</t>
    </r>
    <r>
      <rPr>
        <sz val="11"/>
        <color theme="1"/>
        <rFont val="新細明體"/>
        <family val="1"/>
        <charset val="136"/>
      </rPr>
      <t>g (C) W</t>
    </r>
    <r>
      <rPr>
        <sz val="11"/>
        <color theme="1"/>
        <rFont val="新細明體"/>
        <family val="1"/>
        <charset val="136"/>
      </rPr>
      <t>₁</t>
    </r>
    <r>
      <rPr>
        <sz val="11"/>
        <color theme="1"/>
        <rFont val="新細明體"/>
        <family val="1"/>
        <charset val="136"/>
      </rPr>
      <t>= F</t>
    </r>
    <r>
      <rPr>
        <sz val="11"/>
        <color theme="1"/>
        <rFont val="新細明體"/>
        <family val="1"/>
        <charset val="136"/>
      </rPr>
      <t>₁</t>
    </r>
    <r>
      <rPr>
        <sz val="11"/>
        <color theme="1"/>
        <rFont val="新細明體"/>
        <family val="1"/>
        <charset val="136"/>
      </rPr>
      <t xml:space="preserve">  (D) T</t>
    </r>
    <r>
      <rPr>
        <sz val="11"/>
        <color theme="1"/>
        <rFont val="新細明體"/>
        <family val="1"/>
        <charset val="136"/>
      </rPr>
      <t>₁</t>
    </r>
    <r>
      <rPr>
        <sz val="11"/>
        <color theme="1"/>
        <rFont val="新細明體"/>
        <family val="1"/>
        <charset val="136"/>
      </rPr>
      <t>= T</t>
    </r>
    <r>
      <rPr>
        <sz val="11"/>
        <color theme="1"/>
        <rFont val="新細明體"/>
        <family val="1"/>
        <charset val="136"/>
      </rPr>
      <t>₂₁</t>
    </r>
    <r>
      <rPr>
        <sz val="11"/>
        <color theme="1"/>
        <rFont val="新細明體"/>
        <family val="1"/>
        <charset val="136"/>
      </rPr>
      <t xml:space="preserve"> (E) f</t>
    </r>
    <r>
      <rPr>
        <sz val="11"/>
        <color theme="1"/>
        <rFont val="新細明體"/>
        <family val="1"/>
        <charset val="136"/>
      </rPr>
      <t>₁</t>
    </r>
    <r>
      <rPr>
        <sz val="11"/>
        <color theme="1"/>
        <rFont val="新細明體"/>
        <family val="1"/>
        <charset val="136"/>
      </rPr>
      <t>=  f</t>
    </r>
    <r>
      <rPr>
        <sz val="11"/>
        <color theme="1"/>
        <rFont val="新細明體"/>
        <family val="1"/>
        <charset val="136"/>
      </rPr>
      <t>₂</t>
    </r>
  </si>
  <si>
    <t xml:space="preserve">48-49為題組
如圖11所示，
顯示了一個由 O 點開始，長度為 L 的兩段垂直和水平的連接線段，分別指向兩個不同的點 甲 和 乙。圖中標記了兩個重要的長度 L，一個向上，一個向左，並且這兩段線是彼此垂直的。
今有質量分別為 m甲 與 m乙之甲、乙兩小球，其質量比值 m甲/m乙=α&lt;1 ，將兩小球分別用長度為 的細線懸掛於同一固定點O，甲球靜止懸掛，而乙球向右拉直至細線呈現水平，然後靜止釋放乙球使其與甲球產生碰撞，且兩球立即黏在一起，黏在一起後盪起的最大高度為 L/2，圖12為其示意圖，
展示了一個由 O 點向 甲 點的斜向線段，以及一個與此相關的垂直標記，將總長度 L 分為兩個部分，各為 L/2。圖中還標記了 乙 點，位於 甲 點附近。
細繩質量及空氣阻力均可忽略。
</t>
  </si>
  <si>
    <t xml:space="preserve">48. 假設以兩球自然下垂時的最低點為位能零點，則因碰撞而損失的力學能佔原來總力學能的比例為下列何者？
(A)1/α  (B)α/2  ©1-α/2  (D)1+α/2  (E) 0
</t>
  </si>
  <si>
    <t xml:space="preserve">49. 質量比值α最接近下列何者？
(A)0.9 (B)0.6 (C)0.4 (D)0.25 (E)0.1
</t>
  </si>
  <si>
    <t xml:space="preserve">50. 下列哪些細胞成熟後，幾乎(約90%以上的機率)不會再進行有絲分裂？(應選3項)
(A)神經元 (B)表皮細胞 (C)黏膜細胞 (D)肌肉細胞 (E)紅血球細胞
</t>
  </si>
  <si>
    <t>51. 明明建立她和姊姊白白的血親譜系圖(圖13)；
第一代：
A型父親 和 B型母親 生育了兩個孩子，分別是 明明 和 白白。
第二代：
明明 和 白白是 B型。
明明 結婚後和 X(血型未標示)生了一個孩子，這個孩子的血型是 A型。
白白 結婚後和 Y(血型未標示)生了兩個孩子，其中一個孩子的血型是 B型，另一個孩子的血型是 O型。
除了尚未驗血的新生女兒，她標註上全部人的ABO血型。X為明明的先生，而Y是她的姊夫，下列她寫下的推論何者正確？ (A)我(明明)媽媽的血型是同型合子 (B)我爸爸的血型不可能是同型合子 (C)我先生的血型必定是同型合子的A型 (D)我姊夫的血型一定是同型合子的O型 (E)我女兒的血型四種ABO血型都有可能</t>
  </si>
  <si>
    <t>52.	利用基因轉殖技術，人的胰島素基因可被轉殖進大腸桿菌，以便生產胰島素。由此可知下列有關哺乳動物與原核生物比較之推論，哪些正確？(應選3項) (A)兩者的轉譯機制相似	(B)兩者都會產生胰島素 (C)兩者都適用分子生物學中心法則	(D)兩者的細胞分裂機制相似 (E)兩者DNA中的核苷酸種類相同</t>
  </si>
  <si>
    <t>53.	林奈及其後繼者的系統分類中，任何一個物種均可唯一地被歸類於屬、科、目、綱、門及界等六個層級之一。然而1990年代之後，「域」被外加於「界」之上，並普遍為生物學界所接受。下列何者是促成此一行動之關鍵？ (A)發現DNA病毒 (B)發現RNA病毒 (C)發現具有雙層脂質外膜的病毒 (D)發現現生古(細)菌較相似於真核生物，而非(真)細菌 (E)發現(真)細菌存在的地層比古(細)菌更為古老</t>
  </si>
  <si>
    <t>54.        圖14
這張圖片展示了植被的演替過程，其中不同時期的群集隨著時間的推移而發展。圖中包含四個主要群集，分別是 甲、乙、丙、丁，對應於不同的植被階段。
年份對應的群集：
1年：群集 甲，可能代表早期的草本植物階段，剛開始發展，只有一些低矮的植物。
2年：群集 乙，顯示植被進入了稍微進一步的階段，開始有灌木等稍高的植物出現。
2-15年：群集 丙，這時植被逐漸成熟，出現更多的樹木和更高大的植物。
15-30年：群集 丙，植被持續增長，樹木變得更高大，森林結構開始形成。
30-60年：群集 丁，此時植被已經發展成完整的森林，樹木最高大，生態系統穩定。
為某隔絕地遭森林大火後，地上植被隨時間發展的情形。下列有關此地消長的敘述哪些正確？(應選3項)       
 (A)以物種的豐富度而言，甲群集低於丙群集 (B)以物種之間的競爭程度而言，乙群集較丁群集為小 (C)以群集轉變過程而言，大火後較火山爆發後來得快 (D)丁群集若達到巔峰的狀態，其物種組成將不再變化 (E)群集消長過程所形成的植被外貌是不連續的</t>
  </si>
  <si>
    <t>55.	全球之人口成長趨勢，經聯合國經濟和社會事務部統計如圖15實線所示
這張圖顯示了全球人口隨時間變化的趨勢，橫軸是年份(從1900年到2100年)，縱軸是全球人口數量(單位為億)。
圖中趨勢：
實線 部分顯示從1900年到2020年間人口的實際增長趨勢，全球人口穩步上升，尤其是在20世紀中葉後，增長速度加快。
虛線 部分顯示了2020年後的人口增長預測，預計人口將在本世紀中段(大約2050年左右)達到頂峰，接近100億人，之後增長趨勢將放緩，可能會進入停滯或下降階段。
，2019年之人口數為77億。預測人的未來族群之大小如細虛線所示。下列敘述哪些正確？(應選3項)             (A)人的族群成長可用指數函數表示 (B)目前人的族群仍然處於正成長期 (C)預測未來二十年人的族群年成長率逐漸下降 (D)目前的年齡結構仍帶動著2080年的族群走向 (E)每一位成年女性的生育數若稍大於2，可維持族群大小</t>
  </si>
  <si>
    <t>56.	表4所列為甲、乙、丙、丁和戊五種物質的熔點： 
這張表格展示了不同物質的熔點，物質分別為 甲、乙、丙、丁、戊，對應的熔點如下：
甲：熔點 1069°C
乙：熔點 -182°C
丙：熔點大於 3500°C
丁：熔點 801°C
戊：熔點 650°C其中，甲具有共價鍵和離子鍵，乙在空氣中穩定且難溶於水，丙具共價網狀結構並可導電，丁易溶於水且其水溶液可導電，戊則具有延展性。已知甲、乙、丙、丁和戊分別代表以下所列的物質之一： 石墨、鎂帶、氯化鈉、甲烷、酒精、金剛石、碳化矽、硫酸鉀 下列選項中的配對哪些正確？(應選2項) (A)甲為硫酸鉀	(B)乙為甲烷	(C)丙為金剛石	(D)丁為碳化矽	(E)戊為氯化鈉</t>
  </si>
  <si>
    <t>57.	化學家在合成新的有機化合物後，會利用碳與氫的元素分析數據，來幫助化合物的鑑定。假設在鑑定一未知的有機化合物時，發現當10.0毫克的樣品完全燃燒後，其混合氣體可使無水過氯酸鎂管柱增加10.8毫克，並使氫氧化鈉管柱增加26.4毫克。試問下列哪一個化合物，最符合實驗所測量結果？  
(A)：環己醇，結構中有一個六元環(環己烷)和一個羥基(-OH)連接在一起。
(B)：直鏈烷烴，這是一個三碳的直鏈烷烴分子(丙烷)。
(C)：苯酚，苯環上連接著一個羥基(-OH)。
(D)：1,3-丁二烯，這是一個含有兩個雙鍵的四碳分子。
(E)：環己烯醇，這是一個六元環(環己烯)上連接一個雙鍵和一個羥基(-OH)。</t>
  </si>
  <si>
    <t>58. 已知 25°C 時，同體積的鹽酸水溶液與氫氧化鈉水溶液混合後，其 pH 值為 6.0，則混合前鹽酸水溶液的濃度與氫氧化鈉水溶液的濃度相差多少？
(A) 鹽酸水溶液較氫氧化鈉水溶液多 1.0×10⁻⁶ M
(B) 鹽酸水溶液較氫氧化鈉水溶液多 2.0×10⁻⁶ M
(C) 氫氧化鈉水溶液較鹽酸水溶液多 1.0×10⁻⁶ M
(D) 氫氧化鈉水溶液較鹽酸水溶液多 2.0×10⁻⁶ M
(E) 氫氧化鈉水溶液較鹽酸水溶液多 3.0×10⁻⁶ M</t>
  </si>
  <si>
    <r>
      <rPr>
        <sz val="11"/>
        <color theme="1"/>
        <rFont val="PMingLiu"/>
        <family val="1"/>
        <charset val="136"/>
      </rPr>
      <t>59.	布洛芬是一種市面上常見的消炎止痛藥成分，其化學結構如圖16。
分子結構的主要特徵：
左側有一個丙基支鏈(CH</t>
    </r>
    <r>
      <rPr>
        <sz val="11"/>
        <color theme="1"/>
        <rFont val="新細明體"/>
        <family val="1"/>
        <charset val="136"/>
      </rPr>
      <t>₃</t>
    </r>
    <r>
      <rPr>
        <sz val="11"/>
        <color theme="1"/>
        <rFont val="新細明體"/>
        <family val="1"/>
        <charset val="136"/>
      </rPr>
      <t>-CH</t>
    </r>
    <r>
      <rPr>
        <sz val="11"/>
        <color theme="1"/>
        <rFont val="新細明體"/>
        <family val="1"/>
        <charset val="136"/>
      </rPr>
      <t>₂</t>
    </r>
    <r>
      <rPr>
        <sz val="11"/>
        <color theme="1"/>
        <rFont val="新細明體"/>
        <family val="1"/>
        <charset val="136"/>
      </rPr>
      <t>-CH</t>
    </r>
    <r>
      <rPr>
        <sz val="11"/>
        <color theme="1"/>
        <rFont val="新細明體"/>
        <family val="1"/>
        <charset val="136"/>
      </rPr>
      <t>₂</t>
    </r>
    <r>
      <rPr>
        <sz val="11"/>
        <color theme="1"/>
        <rFont val="新細明體"/>
        <family val="1"/>
        <charset val="136"/>
      </rPr>
      <t>-)，連接著苯環的第1個碳原子。
苯環上還連接了一個異丙基支鏈(CH</t>
    </r>
    <r>
      <rPr>
        <sz val="11"/>
        <color theme="1"/>
        <rFont val="新細明體"/>
        <family val="1"/>
        <charset val="136"/>
      </rPr>
      <t>₃</t>
    </r>
    <r>
      <rPr>
        <sz val="11"/>
        <color theme="1"/>
        <rFont val="新細明體"/>
        <family val="1"/>
        <charset val="136"/>
      </rPr>
      <t>-CH-)，位於苯環的第4個碳原子。
在苯環的另一邊，第2位碳原子上連接了一個羧酸官能團(COOH)，這是常見的酸性基團。
此分子的化學式為，可溶於水，水溶液為酸性。下列敘述哪些正確？(應選2項)      (A)此分子骨架中的碳-碳鍵是以共價鍵形式結合 (B)其水溶液為酸性，與結構中的羧基有關 (C)結構中氧原子與氫原子間是以離子鍵的形式結合，因此此分子的固態為離子晶體 (D)此分子六員環上的碳，其路易斯結構具有孤電子對 (E)此分子具有雙鍵，因此有順-反異構物之存在</t>
    </r>
  </si>
  <si>
    <r>
      <rPr>
        <sz val="11"/>
        <color theme="1"/>
        <rFont val="PMingLiu"/>
        <family val="1"/>
        <charset val="136"/>
      </rPr>
      <t>60. 西元 2019 年，諾貝爾化學獎頒給對鋰離子電池研究有重大貢獻的學者。鋰離子電池作用原理是利用鋰離子在兩電極之間的移動來充放電。常見的鋰離子電池使用鋰離子嵌入石墨當作陽極，石墨的三維多層結構有助於鋰離子結合以及移動，因此可作為電池之陽極材料，在放電時其化學反應如下(C₆ 表示每六個碳原子可以嵌入一個鋰離子)：",
"式1": "LiC₆ → C₆ + Li⁺ + e⁻",
"式2":"  "CoO</t>
    </r>
    <r>
      <rPr>
        <sz val="11"/>
        <color theme="1"/>
        <rFont val="新細明體"/>
        <family val="1"/>
        <charset val="136"/>
      </rPr>
      <t>₂</t>
    </r>
    <r>
      <rPr>
        <sz val="11"/>
        <color theme="1"/>
        <rFont val="新細明體"/>
        <family val="1"/>
        <charset val="136"/>
      </rPr>
      <t xml:space="preserve"> + Li⁺ + e⁻ → LiCoO</t>
    </r>
    <r>
      <rPr>
        <sz val="11"/>
        <color theme="1"/>
        <rFont val="新細明體"/>
        <family val="1"/>
        <charset val="136"/>
      </rPr>
      <t>₂</t>
    </r>
    <r>
      <rPr>
        <sz val="11"/>
        <color theme="1"/>
        <rFont val="新細明體"/>
        <family val="1"/>
        <charset val="136"/>
      </rPr>
      <t>",
 結合式1與式2， 放電時電池總反應為： 
"式3": "CoO</t>
    </r>
    <r>
      <rPr>
        <sz val="11"/>
        <color theme="1"/>
        <rFont val="新細明體"/>
        <family val="1"/>
        <charset val="136"/>
      </rPr>
      <t>₂</t>
    </r>
    <r>
      <rPr>
        <sz val="11"/>
        <color theme="1"/>
        <rFont val="新細明體"/>
        <family val="1"/>
        <charset val="136"/>
      </rPr>
      <t xml:space="preserve"> + LiC₆ → LiCoO</t>
    </r>
    <r>
      <rPr>
        <sz val="11"/>
        <color theme="1"/>
        <rFont val="新細明體"/>
        <family val="1"/>
        <charset val="136"/>
      </rPr>
      <t>₂</t>
    </r>
    <r>
      <rPr>
        <sz val="11"/>
        <color theme="1"/>
        <rFont val="新細明體"/>
        <family val="1"/>
        <charset val="136"/>
      </rPr>
      <t xml:space="preserve"> + C₆",
 此反應在正常條件下為可逆反應，因此鋰離子電池可以反覆充放電。下列敘述哪些正確？(應選2項) 
(A)在放電反應中（ 式3） ， 石墨作為氧化劑
(B)將石墨換成鑽石材料的三維結構， 應可儲存更多鋰離子， 讓電池更有效率
(C)式3的反應由左到右為放熱反應
(D)放電時， 鋰離子與電子由石墨層中釋放出來
(E)鋰離子電池破裂後有起火爆炸的危險， 因為鋰離子活性很高， 遇水會燃燒
</t>
    </r>
  </si>
  <si>
    <t>61.	某一金屬離子溶液，其實驗結果如下： (1)加入碘離子或氯離子於溶液中，皆會形成沉澱 (2)將鎳金屬片放入此金屬離子溶液中，發現溶液由無色轉變為綠色 (3)將銅片放入此金屬離子溶液中，會發生氧化還原反應 下列何者為此金屬離子？ (A)鐵(Ⅲ)離子	(B)銀離子	(C)銅離子 (D)鉛離子	(E)汞離子</t>
  </si>
  <si>
    <t>62.	依照距離地球由近而遠排列：月球、木星、織女星、X、仙女座星系。X最可能是下列何者？ (A)室女座星系團	(B)哈雷彗星	(C)天王星 (D)銀河系中心	(E)冥王星</t>
  </si>
  <si>
    <t>63.	已知未飽和空氣塊的溫度直減率約為10℃/公里，飽和空氣塊的溫度直減率約為6℃/公里。若觀測員在地面空地量到氣溫、露點溫度皆為30℃，則在地面的一個空氣塊，若不與環境交換熱量，上升到2公里高度時，其氣溫、露點溫度為下列何者？ (A)氣溫10℃、露點溫度10℃	(B)氣溫10℃、露點溫度18℃ (C)氣溫18℃、露點溫度18℃	(D)氣溫18℃、露點溫度30℃ (E)氣溫30℃、露點溫度30℃</t>
  </si>
  <si>
    <t>64.	如果某大氣模式涵蓋範圍為臺灣所在的東亞地區，該模式在水平方向無法解析小於60公里的大氣系統變化。這樣的模式適合處理下列哪一種大氣現象？ (A)鋒面的位置 (B)龍捲風的位置 (C)午後熱對流的強度 (D)聖嬰現象發生時，整個赤道太平洋海面上的大氣變化 (E)颱風侵襲臺灣時，受颱風影響範圍內街道上的最大風速</t>
  </si>
  <si>
    <t>65.	科學家主要利用聲波來探測海洋，一般海水的垂直聲速結構如圖17所示，這張圖展示了聲速隨深度變化的情況。橫軸是聲速，單位是公尺/秒，範圍從 1500 到 1550 公尺/秒；縱軸是深度，單位是公里，範圍從 0 到 4 公里。
主要觀察：
聲速在淺層(接近地表)時較低，隨著深度增加，聲速逐漸增加。
在深度約 1 公里至 2 公里之間，聲速有明顯上升的趨勢，並在深度接近 4 公里時達到最大值，約為 1550 公尺/秒。考量海水溫度及壓力的垂直變化，推測海水溫度與壓力對海水聲速的可能影響。(應選2項)
(A) 海水溫度越高，則海水聲速越高。
(B) 海水溫度越高，則海水聲速越低。
(C) 海水聲速不受溫度影響。
(D) 海水壓力越高，則海水聲速越高。
(E) 海水壓力越高，則海水聲速越低。
(F) 海水聲速不受壓力影響。</t>
  </si>
  <si>
    <t>66.	科學家透過各種地質探勘後，繪製出某地區的地層示意圖(圖18)，
這張圖片展示了一個地層剖面圖，顯示了不同種類的岩層和一個深成岩體(標示為 I)，從下方侵入周圍的沉積岩層。圖片中的主要岩層包括：
砂岩 A：位於最底層，直接接觸深成岩體。
頁岩 B：砂岩 A 上方的一層頁岩。
頁岩 C：頁岩 B 上方的另一層頁岩。
砂岩 D：位於頁岩 C 上方，屬於最上層的沉積岩。
圖中顯示的特徵：
深成岩體從下方穿透沉積岩層，並向上擴展，形成蘑菇狀的形態，這是典型的侵入岩體形態。
每層沉積岩被侵入岩體擠壓、改變形狀，但仍然保持其主要的層次結構。
假設此露頭不曾經過地層倒轉，則下列敘述哪些正確？(應選2項)
 (A)岩層的生成順序可能是A–B–I–C–D (B)岩層的生成順序可能為A–B–C–D–I (C)該火成岩形似火山，A、B先生成，火山I和C同時形成 (D)根據截切定律，I比A、B和C早生成 (E)缺乏化石和定年資料，無法判斷岩層的確切年代</t>
  </si>
  <si>
    <t>67. 以下短文有不少謬誤，下列以**區間標示的敘述哪些正確？(應選 3 項),
人類生活對石油的依賴甚深；然而**(A)石油是化石燃料的一種，屬於非再生資源，終有枯竭的一天**，且大量使用石油已對地球環境與其永續發展造成了許多負面的衝擊。
石油常作為燃料，是許多機具運作的能量來源，但是**(B)石油的燃燒會釋放出大量的二氧化碳到氣圈中，強化溫室效應，**這已被認為是今日全球暖化的主因，且**(C)二氧化碳進入平流層後，會與臭氧產生反應，導致臭氧洞的產生；**此外，大氣中二氧化碳氣體驟增的結果，亦使得海洋中溶解、吸收的二氧化碳驟然增加，二氧化碳被海水吸收後會形成碳酸，造成了海洋酸化，**(D)海洋中具矽質殼體的生物，例如：矽藻，將首當其衝受到殼體溶解的威脅，**生態系統也將岌岌可危。
石油亦是塑膠製品的原料，而塑膠多難以自然分解，眾多未被妥善回收的廢棄塑膠製品會到達海洋。**(E)在北太平洋環流系統包圍的中央海域中，那裡流速緩慢，也發現有塑膠碎屑聚集的大型區塊，**由於這些碎屑在海水中過於富集，已嚴重破壞海洋生態環境。</t>
  </si>
  <si>
    <t xml:space="preserve">68. 電波望遠鏡之父顏斯基(Karl Jansky)利用自製天線偵測暴風雨的電波訊號時，另外發現不明來源的訊號。他花了一年時間研究這個不明電波，發現每隔23小時56分出現一次最大值。根據這個發現，可以猜測這個不明電波最可能來自何處？
(A)地球電離層 (B)銀河系中心 (C)太陽
(D)金星 (E)月球
</t>
  </si>
  <si>
    <t>2021_Questions</t>
  </si>
  <si>
    <r>
      <rPr>
        <sz val="11"/>
        <color theme="1"/>
        <rFont val="PMingLiu"/>
        <family val="1"/>
        <charset val="136"/>
      </rPr>
      <t>1.	寒流來襲，某地發生因熱水器使用不當造成的一氧化碳(CO)中毒案例，幸經施予高壓氧及時救回。依上述說明推測，何者是CO導致死亡的主要原因？ (A)與O</t>
    </r>
    <r>
      <rPr>
        <sz val="11"/>
        <color theme="1"/>
        <rFont val="新細明體"/>
        <family val="1"/>
        <charset val="136"/>
      </rPr>
      <t>₂</t>
    </r>
    <r>
      <rPr>
        <sz val="11"/>
        <color theme="1"/>
        <rFont val="新細明體"/>
        <family val="1"/>
        <charset val="136"/>
      </rPr>
      <t>競爭血紅素，造成血氧濃度嚴重不足 (B)與O</t>
    </r>
    <r>
      <rPr>
        <sz val="11"/>
        <color theme="1"/>
        <rFont val="新細明體"/>
        <family val="1"/>
        <charset val="136"/>
      </rPr>
      <t>₂</t>
    </r>
    <r>
      <rPr>
        <sz val="11"/>
        <color theme="1"/>
        <rFont val="新細明體"/>
        <family val="1"/>
        <charset val="136"/>
      </rPr>
      <t>競爭電子傳遞鏈釋出的電子，造成有氧呼吸作用停止 (C)阻斷神經通往肌肉的傳導，造成呼吸肌癱瘓而窒息 (D)抑制糖解作用相關酵素功能，造成細胞呼吸作用停止 (E)與CO</t>
    </r>
    <r>
      <rPr>
        <sz val="11"/>
        <color theme="1"/>
        <rFont val="新細明體"/>
        <family val="1"/>
        <charset val="136"/>
      </rPr>
      <t>₂</t>
    </r>
    <r>
      <rPr>
        <sz val="11"/>
        <color theme="1"/>
        <rFont val="新細明體"/>
        <family val="1"/>
        <charset val="136"/>
      </rPr>
      <t>競爭血紅素，造成碳酸鹽無法排出體外而產生酸中毒</t>
    </r>
  </si>
  <si>
    <t xml:space="preserve">A </t>
  </si>
  <si>
    <t>2.	顯微鏡下觀察兔子睪丸切片，可看到3型細胞如下： 甲、位於細精管間的細胞 乙、靠近細精管壁內緣的細胞 丙、靠近細精管腔，蝌蚪形的細胞 有關這3型細胞的敘述，何者正確？ (A)甲、丙為生殖細胞	(B)丙具有雙套染色體 (C)乙是甲特化形成	(D)丙具減數分裂能力 (E)甲大量受損可能導致性激素分泌不足</t>
  </si>
  <si>
    <t>3.	某短日照植物的臨界日長為13小時，若其開花僅受光週期的影響，此植物在哪一情況最不易開花？ (A)夏至時在赤道	(B)春分時在赤道 (C)冬至時在赤道	(D)夏至時在北半球高緯度地區 (E)秋分時在南半球高緯度地區</t>
  </si>
  <si>
    <t>4. 在適當條件下，某一化學反應的分子示意圖如下所示，其中•和○代表不同元素的
原子。
左邊有兩個分子，每個分子由兩個不同類型的原子組成。圖中黑色圓圈與白色圓圈可能分別代表不同的原子。
每個分子中有三個原子，兩個相同的白色原子與一個不同的黑色原子。
反應過程：
生成物：
一個由兩個黑色圓圈組成的分子，可能是由兩個相同原子形成的雙原子分子。
兩個由一個黑色圓圈和一個白色圓圈組成的分子，這些分子是雙原子分子，代表不同原子的結合。
下列關於此反應的敘述， 何者錯誤？
(A)是分解反應
(B)是吸熱反應
(C)遵守質量守恆定律
(D)有一個物質的標準莫耳生成熱為0
(E)有兩個物質的化學組成符合倍比定律</t>
  </si>
  <si>
    <t>5.	自然界中，氧化還原反應扮演著重要的角色，下列有關碳循環的過程，何者沒有牽涉到氧化還原反應？ (A)細胞呼吸是利用葡萄糖反應產生二氧化碳，並釋出能量 (B)生物體內的碳水化合物逐漸在地層中沉積，最後轉變成煤 (C)煤和石油在空氣中燃燒產生二氧化碳 (D)二氧化碳溶於水，與鈣離子(Ca²⁺)結合，以碳酸鈣沉澱的方式積存於海底 (E)二氧化碳經由光合作用轉變為葡萄糖，並釋放出氧氣</t>
  </si>
  <si>
    <t>6.	石蕊在pH小於4.5與大於8.3的溶液中分別呈現紅色與藍色，將白色濾紙分別浸置其中，晾乾可得紅色與藍色石蕊試紙。下列敘述何者正確？ (A)人體血漿滴在藍色石蕊試紙上，試紙變成紅色 (B)市售胃乳液(含制酸劑)滴在潤溼的紅色石蕊試紙上，試紙變成藍色 (C)以石蕊試紙測試10 mL的鹽酸，因酸鹼反應，試紙變成白色 (D)將乙酸乙酯滴在潤溼的紅色石蕊試紙上，試紙變成藍色 (E)6.4的水溶液滴在紅色石蕊試紙上，試紙變成藍色</t>
  </si>
  <si>
    <t>7.	下列甲～丁的球－棍分子模型中，斜影、灰、黑球分別代表氧、氫、碳原子。
甲：這個分子有兩個碳原子(黑色球)和四個氫原子(灰色球)，每個碳原子之間形成了單鍵，兩端各接兩個氫原子。
乙：此分子包含一個雙鍵結構，由兩個碳原子(黑色球)通過雙鍵相連，每個碳原子各接兩個氫原子(灰色球)。
丙：分子內有兩個碳原子(黑色球)形成三鍵結合，並且每個碳原子各接一個氫原子(灰色球)。
丁：這個分子有兩個碳原子(黑色球)通過單鍵相連，其中一個碳原子連接一個氧原子(斜影球)和一個氫原子(灰色球)，另一個碳原子連接兩個氫原子。
此四個分子中有幾個屬於醇類化合物？       (A) 0	(B) 1	(C) 2	(D) 3	(E) 4</t>
  </si>
  <si>
    <r>
      <rPr>
        <sz val="11"/>
        <color theme="1"/>
        <rFont val="PMingLiu"/>
        <family val="1"/>
        <charset val="136"/>
      </rPr>
      <t>8. 硼的原子序為 5，平均原子量為 10.81。下列關於硼及其他化物的敘述，何者正確？
(A) 沒有同位素
(B) 中子數為 5
(C) 僅電子數為 2
(D) BH</t>
    </r>
    <r>
      <rPr>
        <sz val="11"/>
        <color theme="1"/>
        <rFont val="新細明體"/>
        <family val="1"/>
        <charset val="136"/>
      </rPr>
      <t>₃</t>
    </r>
    <r>
      <rPr>
        <sz val="11"/>
        <color theme="1"/>
        <rFont val="新細明體"/>
        <family val="1"/>
        <charset val="136"/>
      </rPr>
      <t xml:space="preserve"> 不符合八隅體規則
(E) NH</t>
    </r>
    <r>
      <rPr>
        <sz val="11"/>
        <color theme="1"/>
        <rFont val="新細明體"/>
        <family val="1"/>
        <charset val="136"/>
      </rPr>
      <t>₄</t>
    </r>
    <r>
      <rPr>
        <sz val="11"/>
        <color theme="1"/>
        <rFont val="新細明體"/>
        <family val="1"/>
        <charset val="136"/>
      </rPr>
      <t>BF</t>
    </r>
    <r>
      <rPr>
        <sz val="11"/>
        <color theme="1"/>
        <rFont val="新細明體"/>
        <family val="1"/>
        <charset val="136"/>
      </rPr>
      <t>₄</t>
    </r>
    <r>
      <rPr>
        <sz val="11"/>
        <color theme="1"/>
        <rFont val="新細明體"/>
        <family val="1"/>
        <charset val="136"/>
      </rPr>
      <t xml:space="preserve"> 為分子化合物</t>
    </r>
  </si>
  <si>
    <r>
      <rPr>
        <sz val="11"/>
        <color theme="1"/>
        <rFont val="PMingLiu"/>
        <family val="1"/>
        <charset val="136"/>
      </rPr>
      <t>9. 丙烯 (C</t>
    </r>
    <r>
      <rPr>
        <sz val="11"/>
        <color theme="1"/>
        <rFont val="新細明體"/>
        <family val="1"/>
        <charset val="136"/>
      </rPr>
      <t>₃</t>
    </r>
    <r>
      <rPr>
        <sz val="11"/>
        <color theme="1"/>
        <rFont val="新細明體"/>
        <family val="1"/>
        <charset val="136"/>
      </rPr>
      <t>H₆)、丙醛 (C</t>
    </r>
    <r>
      <rPr>
        <sz val="11"/>
        <color theme="1"/>
        <rFont val="新細明體"/>
        <family val="1"/>
        <charset val="136"/>
      </rPr>
      <t>₃</t>
    </r>
    <r>
      <rPr>
        <sz val="11"/>
        <color theme="1"/>
        <rFont val="新細明體"/>
        <family val="1"/>
        <charset val="136"/>
      </rPr>
      <t>H₆O)、丙酮 (C</t>
    </r>
    <r>
      <rPr>
        <sz val="11"/>
        <color theme="1"/>
        <rFont val="新細明體"/>
        <family val="1"/>
        <charset val="136"/>
      </rPr>
      <t>₃</t>
    </r>
    <r>
      <rPr>
        <sz val="11"/>
        <color theme="1"/>
        <rFont val="新細明體"/>
        <family val="1"/>
        <charset val="136"/>
      </rPr>
      <t>H₆O) 和丙酸 (C</t>
    </r>
    <r>
      <rPr>
        <sz val="11"/>
        <color theme="1"/>
        <rFont val="新細明體"/>
        <family val="1"/>
        <charset val="136"/>
      </rPr>
      <t>₃</t>
    </r>
    <r>
      <rPr>
        <sz val="11"/>
        <color theme="1"/>
        <rFont val="新細明體"/>
        <family val="1"/>
        <charset val="136"/>
      </rPr>
      <t>H₆O</t>
    </r>
    <r>
      <rPr>
        <sz val="11"/>
        <color theme="1"/>
        <rFont val="新細明體"/>
        <family val="1"/>
        <charset val="136"/>
      </rPr>
      <t>₂</t>
    </r>
    <r>
      <rPr>
        <sz val="11"/>
        <color theme="1"/>
        <rFont val="新細明體"/>
        <family val="1"/>
        <charset val="136"/>
      </rPr>
      <t>) 之標準莫耳燃燒熱分別為 -2060、-1990、-1790 和 -1530 kJ。此四化合物標準莫耳生成熱的大小順序，下列何者正確？
(A) 丙酸 &lt; 丙酮 &lt; 丙醛 &lt; 丙烯
(B) 丙酸 &lt; 丙醛 &lt; 丙酮 &lt; 丙烯
(C) 丙酸 &lt; 丙酮 &lt; 丙烯 &lt; 丙醛
(D) 丙烯 &lt; 丙醛 &lt; 丙酮 &lt; 丙酸
(E) 丙烯 &lt; 丙酸 &lt; 丙酮 &lt; 丙醛</t>
    </r>
  </si>
  <si>
    <t>10. 某物質不溶於水，富含一種半導體工業所需的重要元素，且所含另一元素是人體不可或缺的成分之一。下列何者最符合以上所述？
(A)石英砂 (B)硫化鉛 (C)氯化鈣 (D)氧化鐵 (E)大理石</t>
  </si>
  <si>
    <t xml:space="preserve">11. 某單頻光在一種透明水溶液中的傳播速率與該水溶液的密度成反比。今以厚度非常薄的均勻透明玻璃平板組成的立方形容器盛裝此水溶液， 並靜置於水平桌面上後， 發現水溶液的密度由下而上隨高度遞減。
如圖1 所示， 
這張圖展示了一個方形容器，容器內可能是液體或某種物質，並且有兩條箭頭標示出外部射入的光線。
上方的箭頭：
這條箭頭從左上方以較為垂直的角度射向容器的邊緣位置。
光線以較小的入射角(接近垂直)入射，並直接朝著容器內的物質表面入射。
這條光線可能會經歷折射進入容器內，具體路徑將取決於容器內物質的折射率。
下方的箭頭：
這條箭頭從左下方以更傾斜的角度入射，入射角較大。
光線朝著容器表面較低的部分入射，角度比上方箭頭更加傾斜。
這條光線的折射和反射行為可能會更明顯，根據入射角和介質的折射率，可能發生折射、反射或全反射現象。
兩道相同單頻光線由空氣中斜向射入水溶液， 若忽略玻璃的折射， 則下列選項的光線行進方向何者正確？
(A)兩條光線從左側入射，並以不同的角度射入容器內。上方光線 的入射角較小，幾乎垂直入射，方向幾乎是直接進入液體的垂直線。下方光線 的入射角稍大，入射點靠近容器的邊緣處。
(B)兩條光線的入射角與 (A) 類似，但兩條光線的入射點稍有不同。上方光線 和 下方光線 都進入容器內並稍微向下彎曲，可能表示折射角變小。
(C)兩條光線入射角度較大，尤其是上方光線，比較靠近水面，可能代表折射現象更加明顯。入射角大，光線進入液體後的折射角可能變大。
(D)兩條光線依然從左側射入，但入射角較小，尤其是下方光線的入射角很小，幾乎與液面平行。光線可能以接近平行的方式進入液體，並可能在內部發生折射或反射。
(E)上方和下方的光線入射角稍大，與 (C) 類似。兩條光線在液體中的折射和方向改變可能與液體折射率有關，顯示不同角度的折射情況。
</t>
  </si>
  <si>
    <t>12.	下列甲、乙、丙描述的狀況，屬於宇宙演化過程中的不同階段： 甲、宇宙中大部分粒子為電子與質子，尚未結合成原子 乙、宇宙中開始出現氦原子 丙、恆星開始形成 依時間先後順序排列，下列何者正確？ (A)甲乙丙	(B)乙甲丙	(C)丙乙甲	(D)丙甲乙	(E)甲丙乙</t>
  </si>
  <si>
    <t>13.	下列關於基本交互作用力的敘述，何者正確？ (A)物體的彈性伸縮力和物體間的摩擦力都源自電磁力 (B)原子核內質子和中子之間的交互作用主要是弱力 (C)強力的作用尺度一定比弱力的作用尺度為小 (D)電子會衰變是其內部的弱力作用所造成 (E)重力不是物體之間的基本交互作用力</t>
  </si>
  <si>
    <t xml:space="preserve">14.	下列以SI基本單位表示之物理量單位，何者正確？ 
(A) 電量 A·s²
(B) 壓力 kg / (m·s)
(C) 功率 kg·m² / s³
(D) 動能 kg·m² / s
(E) 熱量 kg·m / s
</t>
  </si>
  <si>
    <t>15.	圖2為水平射出的電子束通過雙狹縫A、B的實驗示意圖，
以下是對圖中元件的詳細描述：
電子束：圖左邊的箭頭表示電子束從左側射向右側，這是由電子發射器發出的電子。
雙狹縫：中間有兩條縱向的黑色縫隙，分別標記為 A 和 B，表示兩個狹窄的縫隙。電子通過這兩個狹縫後，會在右邊的探測器上產生干涉圖樣。
電子偵測器：位於右側，用於記錄通過雙狹縫後的電子位置及其干涉圖樣。
圖形不依比例繪製。結果顯示偵測器測得的電子數目分布為干涉條紋狀的圖樣。關於上述實驗結果，下列敘述何者正確？ (A)落在干涉條紋暗帶的電子，其通過狹縫時的速率均比落在亮帶的電子為小 (B)電子數目出現干涉條紋狀的分布，是電子之間的靜電力所造成 (C)本實驗結果闡釋了電子具有粒子性 (D)電子的速度不同會造成干涉條紋圖樣的改變 (E)可確定每個電子由哪一個狹縫通過</t>
  </si>
  <si>
    <t>16.	圖3為P波與S波從震源傳遞到不同距離所需要的時間，又稱地震波走時曲線圖。
這張圖表顯示了S 波和P 波隨距離的傳播時間圖，縱軸是時間(秒)，橫軸是距離(公里)。根據圖中斜率的不同，可以看到 S 波和 P 波的傳播速度差異。
主要觀察點：
P 波(初波)：
在圖中位於較下方，斜率較小，這表明 P 波傳播速度較快。P 波是縱波，通常在地震中先被檢測到。
根據圖，隨著距離的增加，P 波所需的時間增加，但增長速率較慢，顯示其速度較快。
S 波(次波)：
S 波的曲線在上方，斜率較大，表明 S 波傳播速度較慢。S 波是橫波，通常在 P 波之後被檢測到。
隨著距離增加，S 波所需的時間比 P 波多，顯示其速度較慢。
P 波 的傳播線位於下方，斜率較小，這表示 P 波 速度較快。S 波 的傳播線位於上方，斜率較大，這表示 S 波 速度較慢。
根據圖表讀取數據：
P 波：在距離 100 公里處，P 波所需時間約為 20 秒。在距離 100 公里處，S 波所需時間約為 30 秒。
今有一地震發生，在某測站測得P波和S波到達的時間差為8秒，則某測站距震源約多少公里？ (A) 40 (B) 50 (C) 60 (D) 70 (E) 80</t>
  </si>
  <si>
    <t>17. 科學家搭乘潛艇在臺灣東部海域下潛至約四千公尺的深海環境，觀察海水基本性質。已知聲速大小與溫度、鹽度、壓力成正比，下列圖片的變化趨勢何者正確？
(A) 溫度：橫軸代表溫度，縱軸代表深度。曲線顯示出，隨著深度增加，溫度先下降後上升，這可能與水體或大氣層中的溫度分佈有關。
(B) 鹽度：橫軸代表鹽度，縱軸代表深度。鹽度隨深度增加先減少，然後逐漸增加，這是海洋中的典型現象，可能表示在某些深度鹽度較低，而在更深處鹽度增高。
(C) 壓力：橫軸代表壓力，縱軸代表深度。隨著深度增加，壓力也顯著增加，這是由於水或氣體柱重力的影響，深度越大，壓力越高。
(D) 密度：橫軸代表密度，縱軸代表深度。密度隨深度增加的變化趨勢顯示為密度在淺層較低，隨著深度增加密度逐漸上升，這可能與海水或大氣層的密度分佈有關。
(E) 聲速：橫軸代表聲速，縱軸代表深度。聲速隨深度變化的曲線顯示聲速在淺層較低，然後隨著深度增加聲速逐漸上升。這在海洋或大氣中常見，因為溫度、壓力和密度的變化會影響聲速。</t>
  </si>
  <si>
    <t>18.	科學家嘗試以各種方法重建地球的歷史，下列有關探索地球歷史的敘述，何者正確？ (A)古生代的人寫歷史較不精準，所以錯誤百出 (B)根據疊置定律，可推測岩脈的生成時間比圍繞岩脈的地層晚 (C)相對地質年代係根據放射性元素定年，以分辨岩層年代的早晚 (D)利用放射性元素定年，母元素的量經過2個半衰期後只剩原來的二分之一 (E)「均變說」是指過去發生地質作用的原理和現在進行地質作用的原理相同</t>
  </si>
  <si>
    <t>19.	十九世紀中期，荷蘭氣象學家白貝羅發現：在北半球，若背對風的來向，則高壓在其右邊，低壓在左邊，這就是有名的白貝羅定律(Buys Ballot’s law)。但後來發現，這個經驗定律比較適合應用在航空或航海上，而不太適合在陸地上使用。其最主要的原因為何？ (A)因為海上或空中的氣象測站較少，使用經驗定律比較方便 (B)因為海上及空中的摩擦力較小，風向比較不會偏轉 (C)因為陸地上的氣壓梯度力比較小，風速比較快 (D)因為陸上氣象資訊更新較快，不必使用經驗定律 (E)因為航運比陸運更需要氣象資訊</t>
  </si>
  <si>
    <t>20.	地球自轉軸固定指向北極星，與黃道面的夾角為。若水手在航行的船上觀察北極星的仰角為，則該船約在北緯幾度？ (A) 66.5 (B) 35 (C) 23.5 (D) 11.5 (E) 0</t>
  </si>
  <si>
    <t>21. 臺灣的地形複雜，當颱風侵襲時，颱風中心位於不同地點，所造成的風雨型態也不一樣。圖4上半部為2010年9月18日至20日，凡那比颱風侵襲臺灣時的路徑圖，颱風於19日早上在東部海岸登陸。圖4下半部甲、乙、丙為不同時間的每小時累積雨量分布圖，顏色越深表示累積雨量越大。
這張圖顯示了一個颱風路徑圖以及三個台灣地區的氣象圖(甲、乙、丙)，圖示中包括颱風在台灣附近的路徑和時間標記，並且顯示了颱風的影響範圍。
路徑圖：上方的圖展示了颱風的移動路徑，從 9/18 00 開始，颱風從東方接近台灣，於 9/19 05 時到達台灣南部，並於 9/20 17 移動到台灣西部外海。時間標記顯示了颱風的進程，這條路徑顯示颱風從東向西穿過台灣。
甲、乙、丙圖：
下方的三幅圖展示了台灣的地理分佈，並且標示了不同區域的氣象數據(如降雨量或風速)。
甲圖：可能代表颱風初期影響台灣東部和南部地區的降雨或風速分佈，該區域的著色較深。
乙圖：可能顯示颱風穿過台灣時全島受到的影響，整個台灣都有著色，表示廣泛的降雨或風速影響。
丙圖：可能表示颱風離開後台灣各地的情況，影響逐漸減弱，北部和東部著色較淺，表示降雨或風速的減少。
按時間先後排列9月19日05時、11時和17時的降雨情形，其排列順序最有可能為下列何者？
(A)甲乙丙 (B)甲丙乙 (C)乙甲丙 (D)乙丙甲 (E)丙乙甲</t>
  </si>
  <si>
    <t xml:space="preserve">22.	豔陽高照的暑假，若要到位於山脈東側的臺東太麻里海邊，進行大約二小時的潮間帶地質調查，由於海邊無遮蔽物且於太陽直射下工作易中暑，在考慮太陽位置及山脈影響下，根據圖5的潮汐表，
日期：
圖表的橫軸顯示了從 7月3日 到 7月16日 的日期範圍，時間刻度為每天 0 時。每條垂直虛線表示每天的 0 點時間，這些線標記了每天潮差變化的時間範圍。
詳細潮差波動：
7月3日到7月8日：潮差較小，波動範圍大約在 ±1 公尺 左右。
7月9日到7月12日：潮差達到最大範圍，波動範圍接近 ±2 公尺。這段時間顯示了大潮的現象，波動較大，表示漲潮和退潮的幅度較大。
7月13日到7月16日：潮差逐漸減小，波動範圍再次回到 ±1 公尺 左右，表示潮汐的波動開始變小。
哪個時間開始地質調查，最可兼顧安全及避免中暑？                (A) 7月5日上午10時	(B) 7月7日下午3時	(C) 7月9日上午10時 (D) 7月11日上午10時	(E) 7月13日下午3時 </t>
  </si>
  <si>
    <t>23.	胎盤的組織所分泌的某激素可進入母體循環系統，以維持母體動情素及黃體激素的分泌與子宮內膜繼續增厚。母體血漿中此激素濃度高時，也會出現在尿液中。驗孕筆即檢驗女性尿液中是否出現該激素，判斷是否懷孕。下列哪些特徵是該激素可作為驗孕的依據？(應選2項) (A)為胎盤的組織所分泌 (B)能維持動情素的分泌 (C)能維持黃體激素分泌 (D)能維持子宮內膜繼續增厚 (E)會出現在尿液中</t>
  </si>
  <si>
    <t>24.	下列有關植物分生組織內細胞的敘述，哪些正確？(應選2項) (A)分生組織細胞具分化成不同功能細胞的能力 (B)根部周鞘具分生組織細胞可發育出支根 (C)根部頂端分生組織的細胞位於根冠(根帽) (D)分生組織細胞較小，核也較小 (E)分生組織細胞染色體在各階段皆清晰可見</t>
  </si>
  <si>
    <t>25.	下列哪些物質的運輸方式，無細胞膜上運輸蛋白的參與，也不消耗ATP分子？(應選2項) (A)植物根部細胞自土壤中吸收無機鹽 (B)氧氣在肺泡與肺泡細胞間的交換 (C)白血球細胞對細菌的吞噬 (D)小腸上皮細胞對脂肪酸的吸收 (E)腎小管的管壁細胞對葡萄糖的再吸收</t>
  </si>
  <si>
    <t>26.	某生參加科學競賽，因壓力與緊張，覺得不適到醫護室休息，測量血壓為收縮壓150 mmHg/舒張壓100 mmHg，下列哪些是造成該血壓的可能因素？(應選2項) (A)心跳速率較平常為快 (B)心臟每分鐘血液輸出量較平常為少 (C)動脈平滑肌收縮，造成血壓較平常時高 (D)排汗增加，使血壓較正常值為低 (E)神經與激素作用較平常時增加，使血管舒張</t>
  </si>
  <si>
    <r>
      <rPr>
        <sz val="11"/>
        <color theme="1"/>
        <rFont val="PMingLiu"/>
        <family val="1"/>
        <charset val="136"/>
      </rPr>
      <t>27. 於一密閉容器中，將乙烯 (C</t>
    </r>
    <r>
      <rPr>
        <sz val="11"/>
        <color theme="1"/>
        <rFont val="新細明體"/>
        <family val="1"/>
        <charset val="136"/>
      </rPr>
      <t>₂</t>
    </r>
    <r>
      <rPr>
        <sz val="11"/>
        <color theme="1"/>
        <rFont val="新細明體"/>
        <family val="1"/>
        <charset val="136"/>
      </rPr>
      <t>H</t>
    </r>
    <r>
      <rPr>
        <sz val="11"/>
        <color theme="1"/>
        <rFont val="新細明體"/>
        <family val="1"/>
        <charset val="136"/>
      </rPr>
      <t>₄</t>
    </r>
    <r>
      <rPr>
        <sz val="11"/>
        <color theme="1"/>
        <rFont val="新細明體"/>
        <family val="1"/>
        <charset val="136"/>
      </rPr>
      <t>) 與氫氣的混合氣體共 94 克進行反應，假設所有的乙烯都與氫氣作用產生乙烷 (C</t>
    </r>
    <r>
      <rPr>
        <sz val="11"/>
        <color theme="1"/>
        <rFont val="新細明體"/>
        <family val="1"/>
        <charset val="136"/>
      </rPr>
      <t>₂</t>
    </r>
    <r>
      <rPr>
        <sz val="11"/>
        <color theme="1"/>
        <rFont val="新細明體"/>
        <family val="1"/>
        <charset val="136"/>
      </rPr>
      <t>H₆)。反應完成後，容器內的總莫耳數為 5 莫耳，則下列哪些敘述正確？(應選 2 項)
(A) 反應完成後，容器內的氣體分子數目增加
(B) 原混合氣體中，有 3 莫耳的氫氣
(C) 原混合氣體中，有 3 莫耳的乙烯
(D) 反應完成後，容器內還有剩餘的氫氣
(E) 產生 2 莫耳的乙烷</t>
    </r>
  </si>
  <si>
    <t>28. 利用濾紙層析法分析紫色水性彩色筆的染料時，首先用紫色水性彩色筆在圓形濾紙圓心部位畫一個實心圓形，如圖6 所示。
圖 6：紫色染料一開始被放在盤子中央，表示染料最初的滴落點。圖中顯示的是紫色染料在盤子中的原始狀態，還沒有開始擴散或移動。
其次，用滴管在圓心緩慢逐滴加水，
此時部分染料隨著水漬在濾紙上呈現同心圓擴散，如圖7 所示。
圖 7：在這一圖中，可以看到紫色染料正在擴散，並且有滴管繼續滴加紫色液體。圖中箭頭指示了擴散的方向，表示紫色染料開始向四周擴散，均勻地向外流動。
停止加水後，擴散至如圖8 所示。圖 8：紫色染料擴散後，顯示了紅色和藍色環形區域，這表示不同顏色的染料已經混合並形成了多層次的擴散區域。
圖中看到染料形成了多個同心圓，從內向外分別是紫色、紅色和藍色，這代表了染料不同顏色隨著擴散逐漸形成的混合區域。
下列哪些敘述， 可由上述實驗結果得知？ ( 應選2項)
(A)藍色與紅色物質均為純物質
(B)藍色物質的分子量大於紅色物質的分子量
(C)紫色染料為混合物， 至少含有兩種不同的成分
(D)藍色與紅色物質與濾紙附著力不同， 因而造成同心圓的分布
(E)紫色染料為純物質， 與水反應後形成藍色與紅色物質</t>
  </si>
  <si>
    <t>29.	科學家從某類似地球環境之星球所收集的標本中，分離出與細胞構造相似的實體，經觀察後具有下列重要特徵，試問哪些可支持「該實體具生命現象，且類似地球上單細胞生物體」？(應選2項) (A)體積極小只能在顯微鏡下加以觀察 (B)可以吸收水分，使體積變大 (C)能合成多種特殊分子構成複雜結構，來執行維持實體內部環境穩定的作用 (D)一個實體偶而會分裂成兩個個體，每一個體與原實體機能相同 (E)顯微鏡下可觀察到多個實體會群聚形成聚落</t>
  </si>
  <si>
    <t xml:space="preserve">30.	有關人體防禦作用，下列哪些敘述正確？(應選3項) (A)細胞與T細胞均由骨髓產生 (B)漿細胞可破壞腫瘤細胞 (C)發炎紅、腫症狀是因體內釋放組織胺 (D)注射疫苗使人體產生抗體，主要為專一性防禦 (E)所有T細胞只參與細胞免疫 </t>
  </si>
  <si>
    <t>31-32為題組 一個由均勻導線繞成的螺線管，長度與截面積均為固定，試回答31-32題。</t>
  </si>
  <si>
    <t>31.	導線載有穩定電流時，下列關於螺線管磁場的敘述哪些正確？(應選2項) (A)管外側的磁場強度最大 (B)管內中心處的磁場強度為零 (C)管兩端相當於磁鐵棒的N極與S極 (D)管內的磁場強度與電流量值無關 (E)管內的磁場方向可用安培右手定則判斷</t>
  </si>
  <si>
    <t>32.	將螺線管鉛直靜置，當導線的電流穩定時，有一N極朝下的棒形磁鐵自螺線管上方直線接近，發現磁鐵接近時導線的電流增大。下列哪些敘述正確？(應選2項) (A)磁鐵尚未接近螺線管之前，管內原來的磁場方向向下 (B)磁鐵尚未接近螺線管之前，管內原來的磁場方向向上 (C)磁鐵接近螺線管時，管內磁場的方向不變，強度減弱 (D)磁鐵接近螺線管時，管內磁場的方向不變，強度增強 (E)磁鐵接近螺線管時，管內磁場的方向不變，強度不變</t>
  </si>
  <si>
    <t>33.	下列關於核能的敘述，哪些正確？(應選3項) (A)核分裂時都會放出夸克，故可發電 (B)原子彈和核能電廠都可利用核分裂來釋出能量 (C)鈾-235可經由核分裂釋出能量，以供人類使用 (D)太陽能板的發電原理是直接將核能轉為電能 (E)太陽藉由核融合得以發光，太陽發光越久，其總質量就越小</t>
  </si>
  <si>
    <t>34. 如圖 9，這個圖顯示了一個圓形圖案，並且圓的中心點標記為 O。圓被兩條互相垂直的直線劃分為四個部分，分別經過圓心，並且在圓的四個邊界標記了a、b、c 和 d 四個點。
圖中各部分說明：
O：圓心，兩條直徑交會的點。
a 和 b：分別位於橫軸(水平線)的兩端，a 在左側，b 在右側。
c 和 d：分別位於豎軸(垂直線)的兩端，c 在上方，d 在下方。
這兩條直徑將圓分為四個象限，並且分別經過a、b、c、d四個點。
一輛車在無風的平地，沿著圓直徑由 a 往 b 行駛。當通過圓心 O 的瞬間，車上聲源發出瞬時短暫、頻率為 f₀ 的聲波。若直徑 cd 與 ab 垂直，且靜立於 a、b、c、d 的四位聽者聽到的聲音頻率分別為 f_a、f_b、f_c、f_d，則下列關係式哪些正確？(應選 2 項)
(A) f_a = f_c
(B) f_a &gt;  f_d
(C) f_c = f_d
(D) f_b &gt; f_a &gt; f_c
(E) f_b &gt; f₀ &gt;  f_a</t>
  </si>
  <si>
    <t>35.	圖10為水利署統計臺灣地區1949-2009年間的年降雨量變化，虛線為平均年降雨量2500毫米，1953、1972、1990、1998與2005等五年為相對降雨較多的豐水年，而1963、1980、1993與2002等四年為相對降雨較少的枯水年，各年份下方數字為該年之年降雨量。
這張圖顯示了1949 年至 2009 年之間的年度雨量變化趨勢，縱軸表示年雨量(單位：毫米)，橫軸表示年份。圖中標示了多個特定年份的年雨量數據，並且標有平均雨量值 2500 毫米。
具體觀察點：
每個年份的年雨量通過折線圖表示，且顯示出一些年份的年雨量峰值和谷值，標示在圖上的年份和雨量數據包括：
1953 年：年雨量達 3180 毫米，接近高峰。
1963 年：年雨量為 1830 毫米，低於平均值。
1972 年：年雨量為 3240 毫米，為該時期的一個高峰。
1980 年：年雨量為 1605 毫米，出現一個較低的雨量谷值。
1990 年：年雨量達 3144 毫米，再次接近高峰。
1993 年：年雨量為 1645 毫米。
1998 年：年雨量為 3322 毫米，為該時期的一個最高點。
2002 年：年雨量降至 1572 毫米，是圖表中最低的一點。
2005 年：年雨量達 3568 毫米，為整個期間的最高峰。
另從氣象局資料顯示臺灣地區長期年降雨量無明顯的變化趨勢，但年降雨時數有減少趨勢，而降雨強度＝降雨量/降雨時數。
依據上文及所習得的知識，下列哪些敘述正確？(應選2項)            
 (A)在1989-2009年間，豐水年的年降雨量越來越多 (B)在1989-2009年間，枯水年的年降雨量越來越多 (C)在1989-2009年間，枯水年的降雨強度越來越低 (D)在1989-2009年間，豐水年的降雨強度越來越高 (E)豐枯水年在1989-2009年間，與在1949-1989年間發生的頻率差異不大</t>
  </si>
  <si>
    <t>36. 海流是大洋中特定流向且持續的大規模海水運動。下列哪些是其生成原因？( 應選2 項)
(A)風吹拂海面 (B)日、月引力 (C)海底地震(D)地球自轉 (E)海水密度不同</t>
  </si>
  <si>
    <r>
      <rPr>
        <sz val="11"/>
        <color theme="1"/>
        <rFont val="PMingLiu"/>
        <family val="1"/>
        <charset val="136"/>
      </rPr>
      <t>37-40為題組 為了維持生命與從事各種工作，人體需要攝取食物與由大氣中獲得氧氣，來提供能量並調節排除熱量的速率，以維持恆常體溫。因此，人體可視為一個與周圍環境交互作用的系統，透過新陳代謝，將能量(以下稱之為內能)儲存與轉換，並與環境進行功與熱的交換。假設在時間Δt ，某人從事騎車、搬運物品等活動，所做的功為 ΔW， 而由身體排除的淨熱量為 ΔQ，則根據第一守恆定律，身體的內能變化量 ΔU 將遵守以下關係式：
-ΔU = ΔQ + ΔW上式除以Δt 生存後，相關各量之時間變化率之間的關係；一般將 -ΔU/Δt 當作此人在上述時間內的代謝率。人體在休息時維持基本機能(含體溫)所需的最低代謝率，稱為基礎代謝率。平均為約每公斤人體重量的基礎代謝率約為 1.0 瓦特。維持人體新陳代謝所需的能量，是食物被消化後與氧作用所產生的。以碳水化合物(如葡萄糖)為例，將它轉換為人體所需能量的一系列過程，總結起來可簡單表示如下：
C₆H</t>
    </r>
    <r>
      <rPr>
        <sz val="11"/>
        <color theme="1"/>
        <rFont val="新細明體"/>
        <family val="1"/>
        <charset val="136"/>
      </rPr>
      <t>₁₂</t>
    </r>
    <r>
      <rPr>
        <sz val="11"/>
        <color theme="1"/>
        <rFont val="新細明體"/>
        <family val="1"/>
        <charset val="136"/>
      </rPr>
      <t>O₆ + 6O</t>
    </r>
    <r>
      <rPr>
        <sz val="11"/>
        <color theme="1"/>
        <rFont val="新細明體"/>
        <family val="1"/>
        <charset val="136"/>
      </rPr>
      <t>₂</t>
    </r>
    <r>
      <rPr>
        <sz val="11"/>
        <color theme="1"/>
        <rFont val="新細明體"/>
        <family val="1"/>
        <charset val="136"/>
      </rPr>
      <t xml:space="preserve"> → 6CO</t>
    </r>
    <r>
      <rPr>
        <sz val="11"/>
        <color theme="1"/>
        <rFont val="新細明體"/>
        <family val="1"/>
        <charset val="136"/>
      </rPr>
      <t>₂</t>
    </r>
    <r>
      <rPr>
        <sz val="11"/>
        <color theme="1"/>
        <rFont val="新細明體"/>
        <family val="1"/>
        <charset val="136"/>
      </rPr>
      <t xml:space="preserve"> + 6H</t>
    </r>
    <r>
      <rPr>
        <sz val="11"/>
        <color theme="1"/>
        <rFont val="新細明體"/>
        <family val="1"/>
        <charset val="136"/>
      </rPr>
      <t>₂</t>
    </r>
    <r>
      <rPr>
        <sz val="11"/>
        <color theme="1"/>
        <rFont val="新細明體"/>
        <family val="1"/>
        <charset val="136"/>
      </rPr>
      <t>O
其中每公克的葡萄糖在此反應中釋出的能量約為16千焦耳，我們習慣稱此能量為其單位質量的熱量。依上文回答37-40題。</t>
    </r>
  </si>
  <si>
    <t>37. 人體透過呼吸運動吸進體內的氣體， 其最主要成分為何？
(A)氧氣 (B)二氧化碳 (C)氮氣 (D)水氣 (E)臭氧</t>
  </si>
  <si>
    <t>38. 有關人體代謝率與體溫維持， 下列哪些敘述正確？ ( 應選2 項)
(A)體溫的恆定可藉由調整 ΔQ來維持
(B)調整 ΔQ的神經中樞是下視丘
(C)在高溫環境下，神經中樞減少體表(皮膚)血流量使ΔQ變小來維持體溫
(D)在高溫環境下，除減少 ΔQ，神經中樞調升甲狀腺素分泌來減緩代謝產熱
(E)決定基礎代謝率的因素， 不包含靜止休息時單位時間離開人體的淨熱量</t>
  </si>
  <si>
    <t>39. 一名質量為50 公斤的學生， 在常溫下靜止躺著休息， 若他體溫正常且保持恆定
不變， 則其內能之時間變化率的量值應如何表示？
 (A) ∣ΔW/Δt∣=50 瓦特
(B) ∣ΔW∣=50 瓦特
(C) ∣−ΔU/Δt∣=50 瓦特
(D) ∣-ΔU∣=50 瓦特
(E) ∣ΔQ∣=50 瓦特</t>
  </si>
  <si>
    <t>40. 承上題，若他體內新陳代謝所需能量都來自葡萄糖，則他躺著休息2 小時共消耗幾公克葡萄糖？
(A) 0.450 (B) 22.5 (C) 62.5 (D) 360 (E) 450</t>
  </si>
  <si>
    <t>41. 人口的快速增加造成地球資源快速消耗，對自然界生物造成嚴重威脅。表1 是全世界的人口數量變化； 
西元 1 年：全球人口約為 20 千萬(2 億)。
西元 1000 年：全球人口約為 31 千萬(3.1 億)。
西元 1750 年：全球人口約為 79 千萬(7.9 億)。
西元 1800 年：全球人口約為 98 千萬(9.8 億)。
西元 1850 年：全球人口約為 126 千萬(12.6 億)。
西元 1900 年：全球人口約為 165 千萬(16.5 億)。
西元 1950 年：全球人口約為 252 千萬(25.2 億)。
西元 2000 年：全球人口約為 607 千萬(60.7 億)。
西元 2020 年：全球人口約為 770 千萬(77 億)。
圖11 為S 型族群成長曲線。
這張圖顯示了個體數量隨時間變化的曲線，代表了生物族群或細胞群體在一個環境中的增長模式。曲線反映了群體數量在不同時期的變化，並且分為四個階段：
曲線中的四個階段：
適應期：在這一階段，個體數量增長緩慢，因為群體正在適應新的環境。這是群體開始建立的初期，成長速度較低。
增長期：這是一個快速增長的時期，個體數量以指數形式上升。環境中的資源充足，生殖率高，死亡率低，群體的成長速度非常快。
減速期：隨著時間的推移，環境資源開始變得有限，個體數量的增長速度減慢。死亡率逐漸上升，生殖率下降，群體的增長開始放緩。
平衡期：群體進入穩定的平衡階段，此時個體數量保持穩定。出生率與死亡率大致相等，群體維持在環境可承載的最大數量。
根據表1 及所學判斷， 下列有關人口成長的敘述哪些正確？ ( 應選2 項)
(A)西元1200年全球人口成長仍在適應期
(B) 20 世紀醫藥衛生進步使全球人口成長提早達到平衡期
(C)人類屬於幼年死亡率低的第一型( 凸型) 存活曲線， 使人口呈指數成長
(D)從上表可判斷出全球人口年齡結構圖呈穩定型金字塔
(E) 18世紀工業革命後使用新的耕種機具讓糧食資源增加， 是全球人口快速成長的因素之一</t>
  </si>
  <si>
    <t>42. 有關遺傳與相關疾病， 下列哪些敘述正確？ ( 應選2 項)
(A)紅綠色盲屬於性聯遺傳疾病
(B)人類ABO血型屬於多基因遺傳
(C)真核細胞轉錄作用發生在核糖體
(D)孟德爾認為每一種性狀均由一對遺傳因子控制
(E)有絲分裂中同源染色體聯會提供分離律的細胞學證據</t>
  </si>
  <si>
    <t>43. BrDU 是人工合成的核苷酸， 可被細胞吸收並使用為DNA 複製原料， 過程中與腺嘌呤配對。四位同學甲～ 丁依上述提出相關論述：
甲、BrDU是核苷酸， 結構包括5碳糖、含氮鹼基與磷酸
乙、BrDU在有絲分裂過程中染色體排列於細胞中央時， 被嵌入複製中的DNA
丙、BrDU與腺嘌呤形成配對， 故在細胞複製DNA時取代尿嘧啶
丁、細胞完成某次分裂後給予BrDU， 待再完成一次分裂後， 則所有DNA只有單股含BrDU
何者為論述正確的同學？
(A)甲、乙 (B)乙、丙 (C)乙、丁 (D)甲、丁 (E)甲、丙</t>
  </si>
  <si>
    <t>44. 有關達爾文的演化論， 下列哪些敘述正確？ ( 應選2 項)
(A)親代競爭力較強的性狀在後代族群中出現的頻率會提高
(B)達爾文提出天擇說時， 未參考孟德爾的遺傳定律
(C)越常使用的器官會越發達， 且此優勢會遺傳到下一代
(D)當環境資源有限時， 可經由突變提高優勢並增加個體數
(E)特有種皆是由不同地理環境的不同始祖演化而來</t>
  </si>
  <si>
    <t>45. 圖12 中甲、乙、丙是位於臺灣的3 個森林實驗樣區內調查到的植物物種及數量分布。有關其所處生態系的敘述， 何者最正確？
甲生態系：
甲生態系包含幾種主要的樹木和植物物種：
鐵杉：在甲生態系中數量最多，為該生態系中佔有絕對優勢的物種。
扁柏：數量次多，僅次於鐵杉，也是甲生態系的重要樹種。
長尾柯、台灣杉和蠟大杉：這些物種的數量中等，相對鐵杉和扁柏較少。
紅檜和紅豆杉：數量最少，為該生態系中較為稀少的物種。
乙生態系：
玉山箭竹：是乙生態系中數量最多的物種。
玉山圓柏：數量僅次於玉山箭竹，也為乙生態系中的主要物種。
台灣冷杉和高山欖：這些物種的數量較少，但仍然在乙生態系中具有一定的影響力。
台灣二葉松：數量較少，是該生態系中分佈較少的物種之一。
丙生態系：
丙生態系的物種多樣性較高，物種之間的數量分佈比較均衡：
青剛櫟：為丙生態系中數量最多的物種，但優勢不如其他生態系中的主要物種，顯示該生態系中的物種數量相對均衡。
前嶺櫟、梅樹、楓香：這些物種的數量中等，並沒有太大差異，顯示出丙生態系的多樣性。
火燒樹、大頭茶：這些物種的數量較少，但依然在丙生態系中有一定的存在。
台灣肖楠和大葉楠：數量相對較少，顯示它們在丙生態系中分佈不廣。
(A)甲生態系為針闊葉混合林， 此類型為臺灣特有的生態系
(B)乙生態系受到的人為干擾情況最嚴重
(C)乙生態系為臺灣海拔分布最高的生態系
(D)丙生態系的溼度高， 位於海拔1800～ 2000公尺山區
(E)丙生態系為闊葉林生態， 為三個生態系中物種多樣性最高的區域</t>
  </si>
  <si>
    <t>46. 圖13 為臺灣某山區的生物量塔， 下列哪些敘述正確？ ( 應選3 項)
(圖13)展示了生態金字塔，顯示了不同營養級的生物量分佈。每一層代表不同的營養級，並且每層的寬度表示每個營養級中的生物量(單位為：公克/平方米/年)。
營養級和生物量分佈：初級生產者(如圖中的葉片)：代表植物等自營生物，它們透過光合作用產生能量。
生物量為 1000 g/m²/年，在金字塔的基層，表示初級生產者在整個生態系統中擁有最多的生物量。
初級消費者(如圖中的昆蟲)：代表草食性動物，它們以初級生產者為食。生物量為 200 g/m²/年，在金字塔中位於初級生產者之上，顯示初級消費者的生物量少於初級生產者。
次級消費者(如圖中的鳥)：代表肉食性動物，它們以初級消費者為食。生物量為 30 g/m²/年，比初級消費者的生物量更少，表明高營養級的生物量逐漸減少。
三級消費者(如圖中的猛禽)：代表頂級掠食者，它們以次級消費者為食。生物量最少，僅為 1 g/m²/年，顯示在營養級的最高層中，生物量是最少的。
(A)營養階層愈高， 生物體型一定愈大
(B)能量的流失主要以熱能散逸
(C)呼吸作用與分解作用造成能量流失
(D)每提高一個營養階層， 約有80-90%能量流失
(E)每下降一個營養階層， 約有80-90%族群個體數消失</t>
  </si>
  <si>
    <t>47. 科學家經多年雜交選育獲得了具黑色斑紋的家蠶新品種。下列選項何者與黑色家蠶的培育技術原理相似？
(A)以轉殖技術產生的抗蟲玉米 (B)複製動物桃莉羊
(C)以組織培養繁殖蝴蝶蘭 (D)孟德爾豌豆試交實驗
(E)殖入生長激素基因的鮭魚
48. 乾電池的正極是碳棒( 石墨棒)，</t>
  </si>
  <si>
    <r>
      <rPr>
        <sz val="11"/>
        <color theme="1"/>
        <rFont val="PMingLiu"/>
        <family val="1"/>
        <charset val="136"/>
      </rPr>
      <t>48. 乾電池的正極是碳棒(石墨棒)，負極是外殼的金屬鋅；碳棒周圍是碳粉、NH</t>
    </r>
    <r>
      <rPr>
        <sz val="11"/>
        <color theme="1"/>
        <rFont val="新細明體"/>
        <family val="1"/>
        <charset val="136"/>
      </rPr>
      <t>₄</t>
    </r>
    <r>
      <rPr>
        <sz val="11"/>
        <color theme="1"/>
        <rFont val="新細明體"/>
        <family val="1"/>
        <charset val="136"/>
      </rPr>
      <t>Cl、ZnCl</t>
    </r>
    <r>
      <rPr>
        <sz val="11"/>
        <color theme="1"/>
        <rFont val="新細明體"/>
        <family val="1"/>
        <charset val="136"/>
      </rPr>
      <t>₂</t>
    </r>
    <r>
      <rPr>
        <sz val="11"/>
        <color theme="1"/>
        <rFont val="新細明體"/>
        <family val="1"/>
        <charset val="136"/>
      </rPr>
      <t>、MnO</t>
    </r>
    <r>
      <rPr>
        <sz val="11"/>
        <color theme="1"/>
        <rFont val="新細明體"/>
        <family val="1"/>
        <charset val="136"/>
      </rPr>
      <t>₂</t>
    </r>
    <r>
      <rPr>
        <sz val="11"/>
        <color theme="1"/>
        <rFont val="新細明體"/>
        <family val="1"/>
        <charset val="136"/>
      </rPr>
      <t>、澱粉及水等組成的糊狀填充物。乾電池兩極的半反應如下：
正極：2MnO</t>
    </r>
    <r>
      <rPr>
        <sz val="11"/>
        <color theme="1"/>
        <rFont val="新細明體"/>
        <family val="1"/>
        <charset val="136"/>
      </rPr>
      <t>₂</t>
    </r>
    <r>
      <rPr>
        <sz val="11"/>
        <color theme="1"/>
        <rFont val="新細明體"/>
        <family val="1"/>
        <charset val="136"/>
      </rPr>
      <t>(s) + 2NH</t>
    </r>
    <r>
      <rPr>
        <sz val="11"/>
        <color theme="1"/>
        <rFont val="新細明體"/>
        <family val="1"/>
        <charset val="136"/>
      </rPr>
      <t>₄</t>
    </r>
    <r>
      <rPr>
        <sz val="11"/>
        <color theme="1"/>
        <rFont val="新細明體"/>
        <family val="1"/>
        <charset val="136"/>
      </rPr>
      <t>Cl(aq) + Zn²⁺(aq) + 2e⁻ → Mn</t>
    </r>
    <r>
      <rPr>
        <sz val="11"/>
        <color theme="1"/>
        <rFont val="新細明體"/>
        <family val="1"/>
        <charset val="136"/>
      </rPr>
      <t>₂</t>
    </r>
    <r>
      <rPr>
        <sz val="11"/>
        <color theme="1"/>
        <rFont val="新細明體"/>
        <family val="1"/>
        <charset val="136"/>
      </rPr>
      <t>O</t>
    </r>
    <r>
      <rPr>
        <sz val="11"/>
        <color theme="1"/>
        <rFont val="新細明體"/>
        <family val="1"/>
        <charset val="136"/>
      </rPr>
      <t>₃</t>
    </r>
    <r>
      <rPr>
        <sz val="11"/>
        <color theme="1"/>
        <rFont val="新細明體"/>
        <family val="1"/>
        <charset val="136"/>
      </rPr>
      <t>(s) + Zn(NH</t>
    </r>
    <r>
      <rPr>
        <sz val="11"/>
        <color theme="1"/>
        <rFont val="新細明體"/>
        <family val="1"/>
        <charset val="136"/>
      </rPr>
      <t>₃</t>
    </r>
    <r>
      <rPr>
        <sz val="11"/>
        <color theme="1"/>
        <rFont val="新細明體"/>
        <family val="1"/>
        <charset val="136"/>
      </rPr>
      <t>)</t>
    </r>
    <r>
      <rPr>
        <sz val="11"/>
        <color theme="1"/>
        <rFont val="新細明體"/>
        <family val="1"/>
        <charset val="136"/>
      </rPr>
      <t>₂</t>
    </r>
    <r>
      <rPr>
        <sz val="11"/>
        <color theme="1"/>
        <rFont val="新細明體"/>
        <family val="1"/>
        <charset val="136"/>
      </rPr>
      <t>Cl</t>
    </r>
    <r>
      <rPr>
        <sz val="11"/>
        <color theme="1"/>
        <rFont val="新細明體"/>
        <family val="1"/>
        <charset val="136"/>
      </rPr>
      <t>₂</t>
    </r>
    <r>
      <rPr>
        <sz val="11"/>
        <color theme="1"/>
        <rFont val="新細明體"/>
        <family val="1"/>
        <charset val="136"/>
      </rPr>
      <t>(aq) + H</t>
    </r>
    <r>
      <rPr>
        <sz val="11"/>
        <color theme="1"/>
        <rFont val="新細明體"/>
        <family val="1"/>
        <charset val="136"/>
      </rPr>
      <t>₂</t>
    </r>
    <r>
      <rPr>
        <sz val="11"/>
        <color theme="1"/>
        <rFont val="新細明體"/>
        <family val="1"/>
        <charset val="136"/>
      </rPr>
      <t>O(l)
負極：Zn(s) → Zn²⁺(aq) + 2e⁻
已知 MnO</t>
    </r>
    <r>
      <rPr>
        <sz val="11"/>
        <color theme="1"/>
        <rFont val="新細明體"/>
        <family val="1"/>
        <charset val="136"/>
      </rPr>
      <t>₂</t>
    </r>
    <r>
      <rPr>
        <sz val="11"/>
        <color theme="1"/>
        <rFont val="新細明體"/>
        <family val="1"/>
        <charset val="136"/>
      </rPr>
      <t>、碳粉及 Mn</t>
    </r>
    <r>
      <rPr>
        <sz val="11"/>
        <color theme="1"/>
        <rFont val="新細明體"/>
        <family val="1"/>
        <charset val="136"/>
      </rPr>
      <t>₂</t>
    </r>
    <r>
      <rPr>
        <sz val="11"/>
        <color theme="1"/>
        <rFont val="新細明體"/>
        <family val="1"/>
        <charset val="136"/>
      </rPr>
      <t>O</t>
    </r>
    <r>
      <rPr>
        <sz val="11"/>
        <color theme="1"/>
        <rFont val="新細明體"/>
        <family val="1"/>
        <charset val="136"/>
      </rPr>
      <t>₃</t>
    </r>
    <r>
      <rPr>
        <sz val="11"/>
        <color theme="1"/>
        <rFont val="新細明體"/>
        <family val="1"/>
        <charset val="136"/>
      </rPr>
      <t xml:space="preserve"> 不溶於水，NH</t>
    </r>
    <r>
      <rPr>
        <sz val="11"/>
        <color theme="1"/>
        <rFont val="新細明體"/>
        <family val="1"/>
        <charset val="136"/>
      </rPr>
      <t>₄</t>
    </r>
    <r>
      <rPr>
        <sz val="11"/>
        <color theme="1"/>
        <rFont val="新細明體"/>
        <family val="1"/>
        <charset val="136"/>
      </rPr>
      <t>Cl 與 ZnCl</t>
    </r>
    <r>
      <rPr>
        <sz val="11"/>
        <color theme="1"/>
        <rFont val="新細明體"/>
        <family val="1"/>
        <charset val="136"/>
      </rPr>
      <t>₂</t>
    </r>
    <r>
      <rPr>
        <sz val="11"/>
        <color theme="1"/>
        <rFont val="新細明體"/>
        <family val="1"/>
        <charset val="136"/>
      </rPr>
      <t xml:space="preserve"> 可溶於水。
下列有關敘述，哪些正確？(應選 3 項)
(A) 同一顆乾電池所含的 NH</t>
    </r>
    <r>
      <rPr>
        <sz val="11"/>
        <color theme="1"/>
        <rFont val="新細明體"/>
        <family val="1"/>
        <charset val="136"/>
      </rPr>
      <t>₄</t>
    </r>
    <r>
      <rPr>
        <sz val="11"/>
        <color theme="1"/>
        <rFont val="新細明體"/>
        <family val="1"/>
        <charset val="136"/>
      </rPr>
      <t>Cl 質量，新電池較廢電池為高
(B) 同一顆乾電池所含的 ZnCl</t>
    </r>
    <r>
      <rPr>
        <sz val="11"/>
        <color theme="1"/>
        <rFont val="新細明體"/>
        <family val="1"/>
        <charset val="136"/>
      </rPr>
      <t>₂</t>
    </r>
    <r>
      <rPr>
        <sz val="11"/>
        <color theme="1"/>
        <rFont val="新細明體"/>
        <family val="1"/>
        <charset val="136"/>
      </rPr>
      <t xml:space="preserve"> 質量，新電池較廢電池為低
(C) 同一顆乾電池所含的 MnO</t>
    </r>
    <r>
      <rPr>
        <sz val="11"/>
        <color theme="1"/>
        <rFont val="新細明體"/>
        <family val="1"/>
        <charset val="136"/>
      </rPr>
      <t>₂</t>
    </r>
    <r>
      <rPr>
        <sz val="11"/>
        <color theme="1"/>
        <rFont val="新細明體"/>
        <family val="1"/>
        <charset val="136"/>
      </rPr>
      <t xml:space="preserve"> 質量，新電池較廢電池為高
(D) 放電過程中，糊狀物中的銨離子與氫氧根逐漸反應變少
(E) 廢乾電池的糊狀物如加水處理，過濾後的濾渣在空氣中加熱，其中碳粉會變成 CO</t>
    </r>
    <r>
      <rPr>
        <sz val="11"/>
        <color theme="1"/>
        <rFont val="新細明體"/>
        <family val="1"/>
        <charset val="136"/>
      </rPr>
      <t>₂</t>
    </r>
    <r>
      <rPr>
        <sz val="11"/>
        <color theme="1"/>
        <rFont val="新細明體"/>
        <family val="1"/>
        <charset val="136"/>
      </rPr>
      <t>，Mn</t>
    </r>
    <r>
      <rPr>
        <sz val="11"/>
        <color theme="1"/>
        <rFont val="新細明體"/>
        <family val="1"/>
        <charset val="136"/>
      </rPr>
      <t>₂</t>
    </r>
    <r>
      <rPr>
        <sz val="11"/>
        <color theme="1"/>
        <rFont val="新細明體"/>
        <family val="1"/>
        <charset val="136"/>
      </rPr>
      <t>O</t>
    </r>
    <r>
      <rPr>
        <sz val="11"/>
        <color theme="1"/>
        <rFont val="新細明體"/>
        <family val="1"/>
        <charset val="136"/>
      </rPr>
      <t>₃</t>
    </r>
    <r>
      <rPr>
        <sz val="11"/>
        <color theme="1"/>
        <rFont val="新細明體"/>
        <family val="1"/>
        <charset val="136"/>
      </rPr>
      <t xml:space="preserve"> 會轉化成 MnO</t>
    </r>
    <r>
      <rPr>
        <sz val="11"/>
        <color theme="1"/>
        <rFont val="新細明體"/>
        <family val="1"/>
        <charset val="136"/>
      </rPr>
      <t>₂</t>
    </r>
    <r>
      <rPr>
        <sz val="11"/>
        <color theme="1"/>
        <rFont val="新細明體"/>
        <family val="1"/>
        <charset val="136"/>
      </rPr>
      <t>，藉此可回收廢電池中的 MnO</t>
    </r>
    <r>
      <rPr>
        <sz val="11"/>
        <color theme="1"/>
        <rFont val="新細明體"/>
        <family val="1"/>
        <charset val="136"/>
      </rPr>
      <t>₂</t>
    </r>
  </si>
  <si>
    <r>
      <rPr>
        <sz val="11"/>
        <color theme="1"/>
        <rFont val="PMingLiu"/>
        <family val="1"/>
        <charset val="136"/>
      </rPr>
      <t>49. 價電子數相等的物質常有相似的結構，例如 H</t>
    </r>
    <r>
      <rPr>
        <sz val="11"/>
        <color theme="1"/>
        <rFont val="新細明體"/>
        <family val="1"/>
        <charset val="136"/>
      </rPr>
      <t>₃</t>
    </r>
    <r>
      <rPr>
        <sz val="11"/>
        <color theme="1"/>
        <rFont val="新細明體"/>
        <family val="1"/>
        <charset val="136"/>
      </rPr>
      <t>BNH</t>
    </r>
    <r>
      <rPr>
        <sz val="11"/>
        <color theme="1"/>
        <rFont val="新細明體"/>
        <family val="1"/>
        <charset val="136"/>
      </rPr>
      <t>₃</t>
    </r>
    <r>
      <rPr>
        <sz val="11"/>
        <color theme="1"/>
        <rFont val="新細明體"/>
        <family val="1"/>
        <charset val="136"/>
      </rPr>
      <t xml:space="preserve"> 與乙烷具有相等價電子數與相似的結構。另外，簡式 BN 與 C</t>
    </r>
    <r>
      <rPr>
        <sz val="11"/>
        <color theme="1"/>
        <rFont val="新細明體"/>
        <family val="1"/>
        <charset val="136"/>
      </rPr>
      <t>₂</t>
    </r>
    <r>
      <rPr>
        <sz val="11"/>
        <color theme="1"/>
        <rFont val="新細明體"/>
        <family val="1"/>
        <charset val="136"/>
      </rPr>
      <t xml:space="preserve"> 有相等價電子數，故氮化硼也能形成層狀和金剛石相似的結構。下列哪個敘述，哪些正確？(應選 3 項)
(A) H</t>
    </r>
    <r>
      <rPr>
        <sz val="11"/>
        <color theme="1"/>
        <rFont val="新細明體"/>
        <family val="1"/>
        <charset val="136"/>
      </rPr>
      <t>₃</t>
    </r>
    <r>
      <rPr>
        <sz val="11"/>
        <color theme="1"/>
        <rFont val="新細明體"/>
        <family val="1"/>
        <charset val="136"/>
      </rPr>
      <t>BNH</t>
    </r>
    <r>
      <rPr>
        <sz val="11"/>
        <color theme="1"/>
        <rFont val="新細明體"/>
        <family val="1"/>
        <charset val="136"/>
      </rPr>
      <t>₃</t>
    </r>
    <r>
      <rPr>
        <sz val="11"/>
        <color theme="1"/>
        <rFont val="新細明體"/>
        <family val="1"/>
        <charset val="136"/>
      </rPr>
      <t xml:space="preserve"> 分子有 1 對孤對電子
(B) H</t>
    </r>
    <r>
      <rPr>
        <sz val="11"/>
        <color theme="1"/>
        <rFont val="新細明體"/>
        <family val="1"/>
        <charset val="136"/>
      </rPr>
      <t>₃</t>
    </r>
    <r>
      <rPr>
        <sz val="11"/>
        <color theme="1"/>
        <rFont val="新細明體"/>
        <family val="1"/>
        <charset val="136"/>
      </rPr>
      <t>BNH</t>
    </r>
    <r>
      <rPr>
        <sz val="11"/>
        <color theme="1"/>
        <rFont val="新細明體"/>
        <family val="1"/>
        <charset val="136"/>
      </rPr>
      <t>₃</t>
    </r>
    <r>
      <rPr>
        <sz val="11"/>
        <color theme="1"/>
        <rFont val="新細明體"/>
        <family val="1"/>
        <charset val="136"/>
      </rPr>
      <t xml:space="preserve"> 分子具有 1 個 B-N 單鍵
(C) H</t>
    </r>
    <r>
      <rPr>
        <sz val="11"/>
        <color theme="1"/>
        <rFont val="新細明體"/>
        <family val="1"/>
        <charset val="136"/>
      </rPr>
      <t>₃</t>
    </r>
    <r>
      <rPr>
        <sz val="11"/>
        <color theme="1"/>
        <rFont val="新細明體"/>
        <family val="1"/>
        <charset val="136"/>
      </rPr>
      <t>BNH</t>
    </r>
    <r>
      <rPr>
        <sz val="11"/>
        <color theme="1"/>
        <rFont val="新細明體"/>
        <family val="1"/>
        <charset val="136"/>
      </rPr>
      <t>₃</t>
    </r>
    <r>
      <rPr>
        <sz val="11"/>
        <color theme="1"/>
        <rFont val="新細明體"/>
        <family val="1"/>
        <charset val="136"/>
      </rPr>
      <t xml:space="preserve"> 分子的結構符合八隅體規則
(D) BN 形成類似石墨的結構，硼原子間無共價鍵結，氮原子間也無共價鍵結，各自形成平面網狀的層狀結構，硼層與氮層之間無共價鍵存在
(E) BN 形成類似金剛石結構，每個氮原子與鄰近 4 個硼原子產生 4 個共價鍵，而每個硼原子也與鄰近 4 個氮原子產生 4 個共價鍵</t>
    </r>
  </si>
  <si>
    <r>
      <rPr>
        <sz val="11"/>
        <color theme="1"/>
        <rFont val="PMingLiu"/>
        <family val="1"/>
        <charset val="136"/>
      </rPr>
      <t>50. 光化學煙霧是汽機車引擎大量排放氮氧化物(NOₓ)至大氣，經光化學反應後所致。已知 NOₓ 所涉及的化學反應如下：
N</t>
    </r>
    <r>
      <rPr>
        <sz val="11"/>
        <color theme="1"/>
        <rFont val="新細明體"/>
        <family val="1"/>
        <charset val="136"/>
      </rPr>
      <t>₂</t>
    </r>
    <r>
      <rPr>
        <sz val="11"/>
        <color theme="1"/>
        <rFont val="新細明體"/>
        <family val="1"/>
        <charset val="136"/>
      </rPr>
      <t>(g) + O</t>
    </r>
    <r>
      <rPr>
        <sz val="11"/>
        <color theme="1"/>
        <rFont val="新細明體"/>
        <family val="1"/>
        <charset val="136"/>
      </rPr>
      <t>₂</t>
    </r>
    <r>
      <rPr>
        <sz val="11"/>
        <color theme="1"/>
        <rFont val="新細明體"/>
        <family val="1"/>
        <charset val="136"/>
      </rPr>
      <t>(g) → (吸熱)  2 NO(g)　　　式 1
2 NO(g) + O</t>
    </r>
    <r>
      <rPr>
        <sz val="11"/>
        <color theme="1"/>
        <rFont val="新細明體"/>
        <family val="1"/>
        <charset val="136"/>
      </rPr>
      <t>₂</t>
    </r>
    <r>
      <rPr>
        <sz val="11"/>
        <color theme="1"/>
        <rFont val="新細明體"/>
        <family val="1"/>
        <charset val="136"/>
      </rPr>
      <t>(g) → 2 NO</t>
    </r>
    <r>
      <rPr>
        <sz val="11"/>
        <color theme="1"/>
        <rFont val="新細明體"/>
        <family val="1"/>
        <charset val="136"/>
      </rPr>
      <t>₂</t>
    </r>
    <r>
      <rPr>
        <sz val="11"/>
        <color theme="1"/>
        <rFont val="新細明體"/>
        <family val="1"/>
        <charset val="136"/>
      </rPr>
      <t>(g)　　　式 2
NO</t>
    </r>
    <r>
      <rPr>
        <sz val="11"/>
        <color theme="1"/>
        <rFont val="新細明體"/>
        <family val="1"/>
        <charset val="136"/>
      </rPr>
      <t>₂</t>
    </r>
    <r>
      <rPr>
        <sz val="11"/>
        <color theme="1"/>
        <rFont val="新細明體"/>
        <family val="1"/>
        <charset val="136"/>
      </rPr>
      <t>(g) →(光)  NO(g) + O(g)　　　式 3
O(g) + O</t>
    </r>
    <r>
      <rPr>
        <sz val="11"/>
        <color theme="1"/>
        <rFont val="新細明體"/>
        <family val="1"/>
        <charset val="136"/>
      </rPr>
      <t>₂</t>
    </r>
    <r>
      <rPr>
        <sz val="11"/>
        <color theme="1"/>
        <rFont val="新細明體"/>
        <family val="1"/>
        <charset val="136"/>
      </rPr>
      <t>(g) → O</t>
    </r>
    <r>
      <rPr>
        <sz val="11"/>
        <color theme="1"/>
        <rFont val="新細明體"/>
        <family val="1"/>
        <charset val="136"/>
      </rPr>
      <t>₃</t>
    </r>
    <r>
      <rPr>
        <sz val="11"/>
        <color theme="1"/>
        <rFont val="新細明體"/>
        <family val="1"/>
        <charset val="136"/>
      </rPr>
      <t>(g)　　　式 4
下列相關敘述， 哪些正確？ ( 應選3項)
(A)臭氧的路易斯結構有共振結構
(B)上述反應產生的臭氧乃由氧氣轉化而成
(C)二氧化氮溶於水， 水溶液呈鹼性
(D)一氧化氮總熱含量高於氮氣和氧氣的總熱含量
(E)上述反應產生的臭氧有助於修補臭氧層破洞</t>
    </r>
  </si>
  <si>
    <r>
      <rPr>
        <sz val="11"/>
        <color theme="1"/>
        <rFont val="PMingLiu"/>
        <family val="1"/>
        <charset val="136"/>
      </rPr>
      <t>51-52 為題組
下列甲～ 庚皆為含有10個碳原子的有機化合物， 據此回答51-52題。
甲：帶有苯環，並且在苯環上有一個羥基(-OH)和一個甲基(-CH</t>
    </r>
    <r>
      <rPr>
        <sz val="11"/>
        <color theme="1"/>
        <rFont val="新細明體"/>
        <family val="1"/>
        <charset val="136"/>
      </rPr>
      <t>₃</t>
    </r>
    <r>
      <rPr>
        <sz val="11"/>
        <color theme="1"/>
        <rFont val="新細明體"/>
        <family val="1"/>
        <charset val="136"/>
      </rPr>
      <t>)。
乙：類似於甲，有一個苯環，但羥基和甲基的排列不同，顯示出官能基位置的改變。
丙：是一個六員環(環己烷)，並且含有一個羥基。
丁：與丙類似，為一個六員環結構，但在環上有兩個雙鍵，屬於二烯烴。
戊：具有雙鍵和羥基。
己：環狀結構，並且有一個羰基(-C=O)。
庚：一個六員環並帶有一個羥基。</t>
    </r>
  </si>
  <si>
    <t>51. 上述化合物中哪些互為同分異構物？ ( 應選3 項)
(A)甲、己 (B)甲、丙 (C)丙、庚 (D)乙、戊 (E)戊、庚</t>
  </si>
  <si>
    <t>52. 有關上述化合物的敘述， 下列哪些正確？ ( 應選2 項)
(A)皆有孤對電子 (B)乙與戊互為幾何異構物
(C)有兩者屬於芳香烴 (D)有六個屬於不飽和烴
(E)丙與庚有最多的氫原子數</t>
  </si>
  <si>
    <r>
      <rPr>
        <sz val="11"/>
        <color theme="1"/>
        <rFont val="PMingLiu"/>
        <family val="1"/>
        <charset val="136"/>
      </rPr>
      <t>53. 利用化學方法可將 C₆₀ 分子「打開」一個洞，引入一個 H</t>
    </r>
    <r>
      <rPr>
        <sz val="11"/>
        <color theme="1"/>
        <rFont val="新細明體"/>
        <family val="1"/>
        <charset val="136"/>
      </rPr>
      <t>₂</t>
    </r>
    <r>
      <rPr>
        <sz val="11"/>
        <color theme="1"/>
        <rFont val="新細明體"/>
        <family val="1"/>
        <charset val="136"/>
      </rPr>
      <t>、H</t>
    </r>
    <r>
      <rPr>
        <sz val="11"/>
        <color theme="1"/>
        <rFont val="新細明體"/>
        <family val="1"/>
        <charset val="136"/>
      </rPr>
      <t>₂</t>
    </r>
    <r>
      <rPr>
        <sz val="11"/>
        <color theme="1"/>
        <rFont val="新細明體"/>
        <family val="1"/>
        <charset val="136"/>
      </rPr>
      <t>O 或 HF 分子，然後再將 C₆₀「關合」，可製備 A@C₆₀ (A=H</t>
    </r>
    <r>
      <rPr>
        <sz val="11"/>
        <color theme="1"/>
        <rFont val="新細明體"/>
        <family val="1"/>
        <charset val="136"/>
      </rPr>
      <t>₂</t>
    </r>
    <r>
      <rPr>
        <sz val="11"/>
        <color theme="1"/>
        <rFont val="新細明體"/>
        <family val="1"/>
        <charset val="136"/>
      </rPr>
      <t>、H</t>
    </r>
    <r>
      <rPr>
        <sz val="11"/>
        <color theme="1"/>
        <rFont val="新細明體"/>
        <family val="1"/>
        <charset val="136"/>
      </rPr>
      <t>₂</t>
    </r>
    <r>
      <rPr>
        <sz val="11"/>
        <color theme="1"/>
        <rFont val="新細明體"/>
        <family val="1"/>
        <charset val="136"/>
      </rPr>
      <t>O、HF) (圖14)，
圖14具體描述：
碳原子結構：每個黑色的圓點代表一個碳原子，碳原子之間的連線代表共價鍵。這些碳原子組成了類似於足球的五邊形和六邊形交替排列的結構。
分子形狀：整個分子呈現球形結構，這種形狀使富勒烯具有獨特的物理和化學特性。
「A」點：位於分子的中心，可能標記出一個原子、粒子或者其他需要強調的位置。
@ 表示小分子 A 被封閉於 C₆₀ 內，可與外界隔絕。下列哪些敘述正確？(應選 2 項)
(A) C₆₀ 與石墨為同素異形體
(B) H</t>
    </r>
    <r>
      <rPr>
        <sz val="11"/>
        <color theme="1"/>
        <rFont val="新細明體"/>
        <family val="1"/>
        <charset val="136"/>
      </rPr>
      <t>₂</t>
    </r>
    <r>
      <rPr>
        <sz val="11"/>
        <color theme="1"/>
        <rFont val="新細明體"/>
        <family val="1"/>
        <charset val="136"/>
      </rPr>
      <t>@C₆₀ 為純物質
(C) H</t>
    </r>
    <r>
      <rPr>
        <sz val="11"/>
        <color theme="1"/>
        <rFont val="新細明體"/>
        <family val="1"/>
        <charset val="136"/>
      </rPr>
      <t>₂</t>
    </r>
    <r>
      <rPr>
        <sz val="11"/>
        <color theme="1"/>
        <rFont val="新細明體"/>
        <family val="1"/>
        <charset val="136"/>
      </rPr>
      <t>O@C₆₀ 為混合物
(D) H</t>
    </r>
    <r>
      <rPr>
        <sz val="11"/>
        <color theme="1"/>
        <rFont val="新細明體"/>
        <family val="1"/>
        <charset val="136"/>
      </rPr>
      <t>₂</t>
    </r>
    <r>
      <rPr>
        <sz val="11"/>
        <color theme="1"/>
        <rFont val="新細明體"/>
        <family val="1"/>
        <charset val="136"/>
      </rPr>
      <t xml:space="preserve">@C₆₀ 中的氫原子與碳原子間有共價鍵
(E) HF 的水溶液具酸性，故 HF@C₆₀ 可與氫氧化鈉溶液進行酸鹼反應
</t>
    </r>
  </si>
  <si>
    <r>
      <rPr>
        <sz val="11"/>
        <color theme="1"/>
        <rFont val="PMingLiu"/>
        <family val="1"/>
        <charset val="136"/>
      </rPr>
      <t>54. 科學家在金星大氣層中發現 PH</t>
    </r>
    <r>
      <rPr>
        <sz val="11"/>
        <color theme="1"/>
        <rFont val="新細明體"/>
        <family val="1"/>
        <charset val="136"/>
      </rPr>
      <t>₃</t>
    </r>
    <r>
      <rPr>
        <sz val="11"/>
        <color theme="1"/>
        <rFont val="新細明體"/>
        <family val="1"/>
        <charset val="136"/>
      </rPr>
      <t xml:space="preserve"> 的存在，濃度為 5-20 ppb。已知：① 地球大氣層中的 PH</t>
    </r>
    <r>
      <rPr>
        <sz val="11"/>
        <color theme="1"/>
        <rFont val="新細明體"/>
        <family val="1"/>
        <charset val="136"/>
      </rPr>
      <t>₃</t>
    </r>
    <r>
      <rPr>
        <sz val="11"/>
        <color theme="1"/>
        <rFont val="新細明體"/>
        <family val="1"/>
        <charset val="136"/>
      </rPr>
      <t xml:space="preserve"> 均來自微生物；② 金星的天文、地質現象，都無法產生 PH</t>
    </r>
    <r>
      <rPr>
        <sz val="11"/>
        <color theme="1"/>
        <rFont val="新細明體"/>
        <family val="1"/>
        <charset val="136"/>
      </rPr>
      <t>₃</t>
    </r>
    <r>
      <rPr>
        <sz val="11"/>
        <color theme="1"/>
        <rFont val="新細明體"/>
        <family val="1"/>
        <charset val="136"/>
      </rPr>
      <t>；③ PH</t>
    </r>
    <r>
      <rPr>
        <sz val="11"/>
        <color theme="1"/>
        <rFont val="新細明體"/>
        <family val="1"/>
        <charset val="136"/>
      </rPr>
      <t>₃</t>
    </r>
    <r>
      <rPr>
        <sz val="11"/>
        <color theme="1"/>
        <rFont val="新細明體"/>
        <family val="1"/>
        <charset val="136"/>
      </rPr>
      <t xml:space="preserve"> 容易被氧化成其他物質。下列相關推論哪些正確？(應選 3 項)
(A) 金星可能存在微生物
(B) 金星上的 PH</t>
    </r>
    <r>
      <rPr>
        <sz val="11"/>
        <color theme="1"/>
        <rFont val="新細明體"/>
        <family val="1"/>
        <charset val="136"/>
      </rPr>
      <t>₃</t>
    </r>
    <r>
      <rPr>
        <sz val="11"/>
        <color theme="1"/>
        <rFont val="新細明體"/>
        <family val="1"/>
        <charset val="136"/>
      </rPr>
      <t xml:space="preserve"> 在地球上不會被氧化
(C) 沒有生物的星球應該不會產生 PH</t>
    </r>
    <r>
      <rPr>
        <sz val="11"/>
        <color theme="1"/>
        <rFont val="新細明體"/>
        <family val="1"/>
        <charset val="136"/>
      </rPr>
      <t xml:space="preserve">₃
</t>
    </r>
    <r>
      <rPr>
        <sz val="11"/>
        <color theme="1"/>
        <rFont val="新細明體"/>
        <family val="1"/>
        <charset val="136"/>
      </rPr>
      <t>(D) 地球上 PH</t>
    </r>
    <r>
      <rPr>
        <sz val="11"/>
        <color theme="1"/>
        <rFont val="新細明體"/>
        <family val="1"/>
        <charset val="136"/>
      </rPr>
      <t>₃</t>
    </r>
    <r>
      <rPr>
        <sz val="11"/>
        <color theme="1"/>
        <rFont val="新細明體"/>
        <family val="1"/>
        <charset val="136"/>
      </rPr>
      <t xml:space="preserve"> 的氧化產物可能為磷的含氧酸
(E) 金星大氣層中，可能有目前未知的化學反應導致 PH</t>
    </r>
    <r>
      <rPr>
        <sz val="11"/>
        <color theme="1"/>
        <rFont val="新細明體"/>
        <family val="1"/>
        <charset val="136"/>
      </rPr>
      <t>₃</t>
    </r>
    <r>
      <rPr>
        <sz val="11"/>
        <color theme="1"/>
        <rFont val="新細明體"/>
        <family val="1"/>
        <charset val="136"/>
      </rPr>
      <t xml:space="preserve"> 的產生</t>
    </r>
  </si>
  <si>
    <t>55. 某星球的平均密度與半徑，分別為地球的0.10 倍與10 倍，則此星球表面的重力加速度量值約是地球表面重力加速度量值的幾倍？
(A) 0.010 (B) 0.10 (C) 1.0 (D) 10 (E) 100</t>
  </si>
  <si>
    <t>56. 2020 年7 月有3 艘太空船從地球出發前往火星，此時地球在A 處、火星在B 處。太空船由火箭推動進入橢圓軌道後在重力下航行， 如圖15 所示， 
這張圖顯示了太空船從地球軌道到火星軌道的運行過程，標示了幾個關鍵的點和軌道：
地球公轉軌道：地球環繞太陽的軌道，標示在圖中內側的圓環。
火星公轉軌道：火星環繞太陽的軌道，位於地球軌道的外側，顯示了火星與地球之間的距離。
太空船軌道：太空船從地球到火星的遷移軌道，軌道從地球軌道(點A)開始，經過45度角，向外擴展，直到到達火星軌道(點B)。點C可能代表太空船在某段軌道中的位置。
太陽：位於軌道中央，作為地球和火星公轉的中心天體。
直到要與火星會合時，再進入繞行火星的軌道，最後於C 處會合。已知火星公轉週期為地球公轉週期的1.9 倍，則太空船由地球出發到與火星會合， 所需時間最接近下列何者？
(A) 600天
(B) 360天
(C) 300天
(D) 260天
(E) 180天</t>
  </si>
  <si>
    <t>57. 下列哪些過程中有涉及到力學能的能量轉換？ ( 應選3 項)
(A)隕石墜落到月球表面的過程
(B)彈簧與物體組合成的系統做週期性振盪運動
(C)燃燒煤產生熱的過程
(D)太陽能發電的過程
(E)水力發電的過程</t>
  </si>
  <si>
    <r>
      <rPr>
        <sz val="11"/>
        <color theme="1"/>
        <rFont val="PMingLiu"/>
        <family val="1"/>
        <charset val="136"/>
      </rPr>
      <t>58-59為題組
質量 m 的物體在空氣中鉛直落下時，因受到向上阻力 f，其運動方程式為 ma = mg - f，式中 a 為物體下落的加速度，g 為重力加速度。已知阻力 f = k v²，其中心物體速率 v，常數 k 則視物體實際受到阻力的截面積而定；截面積越大則 k 越大。當速率 v 增大時，f 也會增大，直到 f = mg 時，a 變等於零，物體即開始以等速率 v</t>
    </r>
    <r>
      <rPr>
        <sz val="11"/>
        <color theme="1"/>
        <rFont val="新細明體"/>
        <family val="1"/>
        <charset val="136"/>
      </rPr>
      <t>₁</t>
    </r>
    <r>
      <rPr>
        <sz val="11"/>
        <color theme="1"/>
        <rFont val="新細明體"/>
        <family val="1"/>
        <charset val="136"/>
      </rPr>
      <t xml:space="preserve"> 下落。此 v</t>
    </r>
    <r>
      <rPr>
        <sz val="11"/>
        <color theme="1"/>
        <rFont val="新細明體"/>
        <family val="1"/>
        <charset val="136"/>
      </rPr>
      <t>₁</t>
    </r>
    <r>
      <rPr>
        <sz val="11"/>
        <color theme="1"/>
        <rFont val="新細明體"/>
        <family val="1"/>
        <charset val="136"/>
      </rPr>
      <t xml:space="preserve"> 稱為物體的終端速率。依據上述回答 58-59 題。</t>
    </r>
  </si>
  <si>
    <r>
      <rPr>
        <sz val="11"/>
        <color theme="1"/>
        <rFont val="PMingLiu"/>
        <family val="1"/>
        <charset val="136"/>
      </rPr>
      <t>58. 一跳傘者背負降落傘，以初速率v₀ 從靜止的熱氣球上鉛直跳下，在打開降落傘之前達到終端速率v</t>
    </r>
    <r>
      <rPr>
        <sz val="11"/>
        <color theme="1"/>
        <rFont val="新細明體"/>
        <family val="1"/>
        <charset val="136"/>
      </rPr>
      <t>₁</t>
    </r>
    <r>
      <rPr>
        <sz val="11"/>
        <color theme="1"/>
        <rFont val="新細明體"/>
        <family val="1"/>
        <charset val="136"/>
      </rPr>
      <t xml:space="preserve"> ；然後打開降落傘，降落傘張開後使截面積增大，在落地前達到另一終端速率 v</t>
    </r>
    <r>
      <rPr>
        <sz val="11"/>
        <color theme="1"/>
        <rFont val="新細明體"/>
        <family val="1"/>
        <charset val="136"/>
      </rPr>
      <t>₂</t>
    </r>
    <r>
      <rPr>
        <sz val="11"/>
        <color theme="1"/>
        <rFont val="新細明體"/>
        <family val="1"/>
        <charset val="136"/>
      </rPr>
      <t>。下列關係式何者正確？
(A) v₀ &gt; v</t>
    </r>
    <r>
      <rPr>
        <sz val="11"/>
        <color theme="1"/>
        <rFont val="新細明體"/>
        <family val="1"/>
        <charset val="136"/>
      </rPr>
      <t xml:space="preserve">₁
</t>
    </r>
    <r>
      <rPr>
        <sz val="11"/>
        <color theme="1"/>
        <rFont val="新細明體"/>
        <family val="1"/>
        <charset val="136"/>
      </rPr>
      <t>(B) v</t>
    </r>
    <r>
      <rPr>
        <sz val="11"/>
        <color theme="1"/>
        <rFont val="新細明體"/>
        <family val="1"/>
        <charset val="136"/>
      </rPr>
      <t>₁</t>
    </r>
    <r>
      <rPr>
        <sz val="11"/>
        <color theme="1"/>
        <rFont val="新細明體"/>
        <family val="1"/>
        <charset val="136"/>
      </rPr>
      <t xml:space="preserve"> &gt; v</t>
    </r>
    <r>
      <rPr>
        <sz val="11"/>
        <color theme="1"/>
        <rFont val="新細明體"/>
        <family val="1"/>
        <charset val="136"/>
      </rPr>
      <t xml:space="preserve">₂
</t>
    </r>
    <r>
      <rPr>
        <sz val="11"/>
        <color theme="1"/>
        <rFont val="新細明體"/>
        <family val="1"/>
        <charset val="136"/>
      </rPr>
      <t>(C) v</t>
    </r>
    <r>
      <rPr>
        <sz val="11"/>
        <color theme="1"/>
        <rFont val="新細明體"/>
        <family val="1"/>
        <charset val="136"/>
      </rPr>
      <t>₂</t>
    </r>
    <r>
      <rPr>
        <sz val="11"/>
        <color theme="1"/>
        <rFont val="新細明體"/>
        <family val="1"/>
        <charset val="136"/>
      </rPr>
      <t xml:space="preserve"> &gt; v</t>
    </r>
    <r>
      <rPr>
        <sz val="11"/>
        <color theme="1"/>
        <rFont val="新細明體"/>
        <family val="1"/>
        <charset val="136"/>
      </rPr>
      <t xml:space="preserve">₁
</t>
    </r>
    <r>
      <rPr>
        <sz val="11"/>
        <color theme="1"/>
        <rFont val="新細明體"/>
        <family val="1"/>
        <charset val="136"/>
      </rPr>
      <t>(D) v₀ = v</t>
    </r>
    <r>
      <rPr>
        <sz val="11"/>
        <color theme="1"/>
        <rFont val="新細明體"/>
        <family val="1"/>
        <charset val="136"/>
      </rPr>
      <t xml:space="preserve">₁
</t>
    </r>
    <r>
      <rPr>
        <sz val="11"/>
        <color theme="1"/>
        <rFont val="新細明體"/>
        <family val="1"/>
        <charset val="136"/>
      </rPr>
      <t>(E) v₀ = v</t>
    </r>
    <r>
      <rPr>
        <sz val="11"/>
        <color theme="1"/>
        <rFont val="新細明體"/>
        <family val="1"/>
        <charset val="136"/>
      </rPr>
      <t>₂</t>
    </r>
  </si>
  <si>
    <r>
      <rPr>
        <sz val="11"/>
        <color theme="1"/>
        <rFont val="PMingLiu"/>
        <family val="1"/>
        <charset val="136"/>
      </rPr>
      <t>59. 承上題，此跳傘者除負相同降落傘外，另攜體積更大的降落傘的 B者再次自一較高球以相同初速自高跳下，在打開降落傘前，達到終端速率 v</t>
    </r>
    <r>
      <rPr>
        <sz val="11"/>
        <color theme="1"/>
        <rFont val="新細明體"/>
        <family val="1"/>
        <charset val="136"/>
      </rPr>
      <t>₃</t>
    </r>
    <r>
      <rPr>
        <sz val="11"/>
        <color theme="1"/>
        <rFont val="新細明體"/>
        <family val="1"/>
        <charset val="136"/>
      </rPr>
      <t>，然後打開降落傘，在落地前達到另一終端速率 v</t>
    </r>
    <r>
      <rPr>
        <sz val="11"/>
        <color theme="1"/>
        <rFont val="新細明體"/>
        <family val="1"/>
        <charset val="136"/>
      </rPr>
      <t>₄</t>
    </r>
    <r>
      <rPr>
        <sz val="11"/>
        <color theme="1"/>
        <rFont val="新細明體"/>
        <family val="1"/>
        <charset val="136"/>
      </rPr>
      <t>。下列關係式哪些正確？(應選 2 項)
(A) v</t>
    </r>
    <r>
      <rPr>
        <sz val="11"/>
        <color theme="1"/>
        <rFont val="新細明體"/>
        <family val="1"/>
        <charset val="136"/>
      </rPr>
      <t>₁</t>
    </r>
    <r>
      <rPr>
        <sz val="11"/>
        <color theme="1"/>
        <rFont val="新細明體"/>
        <family val="1"/>
        <charset val="136"/>
      </rPr>
      <t xml:space="preserve"> &gt; v</t>
    </r>
    <r>
      <rPr>
        <sz val="11"/>
        <color theme="1"/>
        <rFont val="新細明體"/>
        <family val="1"/>
        <charset val="136"/>
      </rPr>
      <t xml:space="preserve">₃
</t>
    </r>
    <r>
      <rPr>
        <sz val="11"/>
        <color theme="1"/>
        <rFont val="新細明體"/>
        <family val="1"/>
        <charset val="136"/>
      </rPr>
      <t>(B) v</t>
    </r>
    <r>
      <rPr>
        <sz val="11"/>
        <color theme="1"/>
        <rFont val="新細明體"/>
        <family val="1"/>
        <charset val="136"/>
      </rPr>
      <t>₄</t>
    </r>
    <r>
      <rPr>
        <sz val="11"/>
        <color theme="1"/>
        <rFont val="新細明體"/>
        <family val="1"/>
        <charset val="136"/>
      </rPr>
      <t xml:space="preserve"> &gt; v</t>
    </r>
    <r>
      <rPr>
        <sz val="11"/>
        <color theme="1"/>
        <rFont val="新細明體"/>
        <family val="1"/>
        <charset val="136"/>
      </rPr>
      <t xml:space="preserve">₁
</t>
    </r>
    <r>
      <rPr>
        <sz val="11"/>
        <color theme="1"/>
        <rFont val="新細明體"/>
        <family val="1"/>
        <charset val="136"/>
      </rPr>
      <t>(C) v</t>
    </r>
    <r>
      <rPr>
        <sz val="11"/>
        <color theme="1"/>
        <rFont val="新細明體"/>
        <family val="1"/>
        <charset val="136"/>
      </rPr>
      <t>₃</t>
    </r>
    <r>
      <rPr>
        <sz val="11"/>
        <color theme="1"/>
        <rFont val="新細明體"/>
        <family val="1"/>
        <charset val="136"/>
      </rPr>
      <t xml:space="preserve"> &gt; v</t>
    </r>
    <r>
      <rPr>
        <sz val="11"/>
        <color theme="1"/>
        <rFont val="新細明體"/>
        <family val="1"/>
        <charset val="136"/>
      </rPr>
      <t xml:space="preserve">₄
</t>
    </r>
    <r>
      <rPr>
        <sz val="11"/>
        <color theme="1"/>
        <rFont val="新細明體"/>
        <family val="1"/>
        <charset val="136"/>
      </rPr>
      <t>(D) v</t>
    </r>
    <r>
      <rPr>
        <sz val="11"/>
        <color theme="1"/>
        <rFont val="新細明體"/>
        <family val="1"/>
        <charset val="136"/>
      </rPr>
      <t>₃</t>
    </r>
    <r>
      <rPr>
        <sz val="11"/>
        <color theme="1"/>
        <rFont val="新細明體"/>
        <family val="1"/>
        <charset val="136"/>
      </rPr>
      <t xml:space="preserve"> &gt; v</t>
    </r>
    <r>
      <rPr>
        <sz val="11"/>
        <color theme="1"/>
        <rFont val="新細明體"/>
        <family val="1"/>
        <charset val="136"/>
      </rPr>
      <t xml:space="preserve">₁
</t>
    </r>
    <r>
      <rPr>
        <sz val="11"/>
        <color theme="1"/>
        <rFont val="新細明體"/>
        <family val="1"/>
        <charset val="136"/>
      </rPr>
      <t>(E) v</t>
    </r>
    <r>
      <rPr>
        <sz val="11"/>
        <color theme="1"/>
        <rFont val="新細明體"/>
        <family val="1"/>
        <charset val="136"/>
      </rPr>
      <t>₄</t>
    </r>
    <r>
      <rPr>
        <sz val="11"/>
        <color theme="1"/>
        <rFont val="新細明體"/>
        <family val="1"/>
        <charset val="136"/>
      </rPr>
      <t xml:space="preserve"> = v</t>
    </r>
    <r>
      <rPr>
        <sz val="11"/>
        <color theme="1"/>
        <rFont val="新細明體"/>
        <family val="1"/>
        <charset val="136"/>
      </rPr>
      <t>₂</t>
    </r>
  </si>
  <si>
    <r>
      <rPr>
        <sz val="11"/>
        <color theme="1"/>
        <rFont val="PMingLiu"/>
        <family val="1"/>
        <charset val="136"/>
      </rPr>
      <t>60-61 為題組
如圖16 所示， 
這張圖展示了一個典型的滑輪系統。圖中包含兩個質量物體，分別標示為M</t>
    </r>
    <r>
      <rPr>
        <sz val="11"/>
        <color theme="1"/>
        <rFont val="新細明體"/>
        <family val="1"/>
        <charset val="136"/>
      </rPr>
      <t>₁</t>
    </r>
    <r>
      <rPr>
        <sz val="11"/>
        <color theme="1"/>
        <rFont val="新細明體"/>
        <family val="1"/>
        <charset val="136"/>
      </rPr>
      <t>和M</t>
    </r>
    <r>
      <rPr>
        <sz val="11"/>
        <color theme="1"/>
        <rFont val="新細明體"/>
        <family val="1"/>
        <charset val="136"/>
      </rPr>
      <t>₂</t>
    </r>
    <r>
      <rPr>
        <sz val="11"/>
        <color theme="1"/>
        <rFont val="新細明體"/>
        <family val="1"/>
        <charset val="136"/>
      </rPr>
      <t>，這些物體通過滑輪相連。以下是具體的描述：
M</t>
    </r>
    <r>
      <rPr>
        <sz val="11"/>
        <color theme="1"/>
        <rFont val="新細明體"/>
        <family val="1"/>
        <charset val="136"/>
      </rPr>
      <t>₁</t>
    </r>
    <r>
      <rPr>
        <sz val="11"/>
        <color theme="1"/>
        <rFont val="新細明體"/>
        <family val="1"/>
        <charset val="136"/>
      </rPr>
      <t>：位於水平表面上的質量塊，通過繩索與滑輪相連，這個質量塊可能會受到摩擦力或其他限制影響其運動。
M</t>
    </r>
    <r>
      <rPr>
        <sz val="11"/>
        <color theme="1"/>
        <rFont val="新細明體"/>
        <family val="1"/>
        <charset val="136"/>
      </rPr>
      <t>₂</t>
    </r>
    <r>
      <rPr>
        <sz val="11"/>
        <color theme="1"/>
        <rFont val="新細明體"/>
        <family val="1"/>
        <charset val="136"/>
      </rPr>
      <t>：懸掛在滑輪另一端的質量物體，受到重力作用向下運動。當M</t>
    </r>
    <r>
      <rPr>
        <sz val="11"/>
        <color theme="1"/>
        <rFont val="新細明體"/>
        <family val="1"/>
        <charset val="136"/>
      </rPr>
      <t>₂</t>
    </r>
    <r>
      <rPr>
        <sz val="11"/>
        <color theme="1"/>
        <rFont val="新細明體"/>
        <family val="1"/>
        <charset val="136"/>
      </rPr>
      <t>向下移動時，會拉動M</t>
    </r>
    <r>
      <rPr>
        <sz val="11"/>
        <color theme="1"/>
        <rFont val="新細明體"/>
        <family val="1"/>
        <charset val="136"/>
      </rPr>
      <t>₁</t>
    </r>
    <r>
      <rPr>
        <sz val="11"/>
        <color theme="1"/>
        <rFont val="新細明體"/>
        <family val="1"/>
        <charset val="136"/>
      </rPr>
      <t>向滑輪方向移動。
滑輪：安裝在支架上的滑輪，負責改變繩索方向，使兩個質量物體能夠相互作用。這是一個理想化的滑輪系統，假設滑輪沒有摩擦且繩索不可伸長。
吊桶以長度不變的細繩繞過光滑定滑輪， 連接到水平桌面上質量為M</t>
    </r>
    <r>
      <rPr>
        <sz val="11"/>
        <color theme="1"/>
        <rFont val="新細明體"/>
        <family val="1"/>
        <charset val="136"/>
      </rPr>
      <t>₁</t>
    </r>
    <r>
      <rPr>
        <sz val="11"/>
        <color theme="1"/>
        <rFont val="新細明體"/>
        <family val="1"/>
        <charset val="136"/>
      </rPr>
      <t>的木塊。今緩慢將微量細砂加入吊桶，直到吊桶與細砂的總質量為M</t>
    </r>
    <r>
      <rPr>
        <sz val="11"/>
        <color theme="1"/>
        <rFont val="新細明體"/>
        <family val="1"/>
        <charset val="136"/>
      </rPr>
      <t>₂</t>
    </r>
    <r>
      <rPr>
        <sz val="11"/>
        <color theme="1"/>
        <rFont val="新細明體"/>
        <family val="1"/>
        <charset val="136"/>
      </rPr>
      <t xml:space="preserve"> 、木塊開始滑動為止。已知木塊水平移動且不轉動、受到的動摩擦力量值固定為f ，重力加速度量值為g ， 且繩上各點的張力恆沿著繩子方向作用、量值均為T 。依據上述回答60-61 題。</t>
    </r>
  </si>
  <si>
    <r>
      <rPr>
        <sz val="11"/>
        <color theme="1"/>
        <rFont val="PMingLiu"/>
        <family val="1"/>
        <charset val="136"/>
      </rPr>
      <t>60. 今 a</t>
    </r>
    <r>
      <rPr>
        <sz val="11"/>
        <color theme="1"/>
        <rFont val="新細明體"/>
        <family val="1"/>
        <charset val="136"/>
      </rPr>
      <t>₁</t>
    </r>
    <r>
      <rPr>
        <sz val="11"/>
        <color theme="1"/>
        <rFont val="新細明體"/>
        <family val="1"/>
        <charset val="136"/>
      </rPr>
      <t xml:space="preserve"> 與 a</t>
    </r>
    <r>
      <rPr>
        <sz val="11"/>
        <color theme="1"/>
        <rFont val="新細明體"/>
        <family val="1"/>
        <charset val="136"/>
      </rPr>
      <t>₂</t>
    </r>
    <r>
      <rPr>
        <sz val="11"/>
        <color theme="1"/>
        <rFont val="新細明體"/>
        <family val="1"/>
        <charset val="136"/>
      </rPr>
      <t xml:space="preserve"> 分別代表木塊與吊桶之加速度量值。在木塊滑動後，下列等式哪些正確？(應選 2 項)
(A) a</t>
    </r>
    <r>
      <rPr>
        <sz val="11"/>
        <color theme="1"/>
        <rFont val="新細明體"/>
        <family val="1"/>
        <charset val="136"/>
      </rPr>
      <t>₂</t>
    </r>
    <r>
      <rPr>
        <sz val="11"/>
        <color theme="1"/>
        <rFont val="新細明體"/>
        <family val="1"/>
        <charset val="136"/>
      </rPr>
      <t xml:space="preserve"> = g
(B) a</t>
    </r>
    <r>
      <rPr>
        <sz val="11"/>
        <color theme="1"/>
        <rFont val="新細明體"/>
        <family val="1"/>
        <charset val="136"/>
      </rPr>
      <t>₂</t>
    </r>
    <r>
      <rPr>
        <sz val="11"/>
        <color theme="1"/>
        <rFont val="新細明體"/>
        <family val="1"/>
        <charset val="136"/>
      </rPr>
      <t xml:space="preserve"> = M</t>
    </r>
    <r>
      <rPr>
        <sz val="11"/>
        <color theme="1"/>
        <rFont val="新細明體"/>
        <family val="1"/>
        <charset val="136"/>
      </rPr>
      <t>₂</t>
    </r>
    <r>
      <rPr>
        <sz val="11"/>
        <color theme="1"/>
        <rFont val="新細明體"/>
        <family val="1"/>
        <charset val="136"/>
      </rPr>
      <t>g/(M</t>
    </r>
    <r>
      <rPr>
        <sz val="11"/>
        <color theme="1"/>
        <rFont val="新細明體"/>
        <family val="1"/>
        <charset val="136"/>
      </rPr>
      <t>₁</t>
    </r>
    <r>
      <rPr>
        <sz val="11"/>
        <color theme="1"/>
        <rFont val="新細明體"/>
        <family val="1"/>
        <charset val="136"/>
      </rPr>
      <t>+ M</t>
    </r>
    <r>
      <rPr>
        <sz val="11"/>
        <color theme="1"/>
        <rFont val="新細明體"/>
        <family val="1"/>
        <charset val="136"/>
      </rPr>
      <t>₂</t>
    </r>
    <r>
      <rPr>
        <sz val="11"/>
        <color theme="1"/>
        <rFont val="新細明體"/>
        <family val="1"/>
        <charset val="136"/>
      </rPr>
      <t>)
(C) a</t>
    </r>
    <r>
      <rPr>
        <sz val="11"/>
        <color theme="1"/>
        <rFont val="新細明體"/>
        <family val="1"/>
        <charset val="136"/>
      </rPr>
      <t>₂</t>
    </r>
    <r>
      <rPr>
        <sz val="11"/>
        <color theme="1"/>
        <rFont val="新細明體"/>
        <family val="1"/>
        <charset val="136"/>
      </rPr>
      <t xml:space="preserve"> = (M</t>
    </r>
    <r>
      <rPr>
        <sz val="11"/>
        <color theme="1"/>
        <rFont val="新細明體"/>
        <family val="1"/>
        <charset val="136"/>
      </rPr>
      <t>₂</t>
    </r>
    <r>
      <rPr>
        <sz val="11"/>
        <color theme="1"/>
        <rFont val="新細明體"/>
        <family val="1"/>
        <charset val="136"/>
      </rPr>
      <t>g –T)/ M</t>
    </r>
    <r>
      <rPr>
        <sz val="11"/>
        <color theme="1"/>
        <rFont val="新細明體"/>
        <family val="1"/>
        <charset val="136"/>
      </rPr>
      <t xml:space="preserve">₂
</t>
    </r>
    <r>
      <rPr>
        <sz val="11"/>
        <color theme="1"/>
        <rFont val="新細明體"/>
        <family val="1"/>
        <charset val="136"/>
      </rPr>
      <t>(D) a</t>
    </r>
    <r>
      <rPr>
        <sz val="11"/>
        <color theme="1"/>
        <rFont val="新細明體"/>
        <family val="1"/>
        <charset val="136"/>
      </rPr>
      <t>₁</t>
    </r>
    <r>
      <rPr>
        <sz val="11"/>
        <color theme="1"/>
        <rFont val="新細明體"/>
        <family val="1"/>
        <charset val="136"/>
      </rPr>
      <t xml:space="preserve"> = (M</t>
    </r>
    <r>
      <rPr>
        <sz val="11"/>
        <color theme="1"/>
        <rFont val="新細明體"/>
        <family val="1"/>
        <charset val="136"/>
      </rPr>
      <t>₂</t>
    </r>
    <r>
      <rPr>
        <sz val="11"/>
        <color theme="1"/>
        <rFont val="新細明體"/>
        <family val="1"/>
        <charset val="136"/>
      </rPr>
      <t>g –f)/ M</t>
    </r>
    <r>
      <rPr>
        <sz val="11"/>
        <color theme="1"/>
        <rFont val="新細明體"/>
        <family val="1"/>
        <charset val="136"/>
      </rPr>
      <t xml:space="preserve">₁
</t>
    </r>
    <r>
      <rPr>
        <sz val="11"/>
        <color theme="1"/>
        <rFont val="新細明體"/>
        <family val="1"/>
        <charset val="136"/>
      </rPr>
      <t>(E) a</t>
    </r>
    <r>
      <rPr>
        <sz val="11"/>
        <color theme="1"/>
        <rFont val="新細明體"/>
        <family val="1"/>
        <charset val="136"/>
      </rPr>
      <t>₁</t>
    </r>
    <r>
      <rPr>
        <sz val="11"/>
        <color theme="1"/>
        <rFont val="新細明體"/>
        <family val="1"/>
        <charset val="136"/>
      </rPr>
      <t xml:space="preserve"> = M</t>
    </r>
    <r>
      <rPr>
        <sz val="11"/>
        <color theme="1"/>
        <rFont val="新細明體"/>
        <family val="1"/>
        <charset val="136"/>
      </rPr>
      <t>₂</t>
    </r>
    <r>
      <rPr>
        <sz val="11"/>
        <color theme="1"/>
        <rFont val="新細明體"/>
        <family val="1"/>
        <charset val="136"/>
      </rPr>
      <t>g –f /(M</t>
    </r>
    <r>
      <rPr>
        <sz val="11"/>
        <color theme="1"/>
        <rFont val="新細明體"/>
        <family val="1"/>
        <charset val="136"/>
      </rPr>
      <t>₁</t>
    </r>
    <r>
      <rPr>
        <sz val="11"/>
        <color theme="1"/>
        <rFont val="新細明體"/>
        <family val="1"/>
        <charset val="136"/>
      </rPr>
      <t>+ M</t>
    </r>
    <r>
      <rPr>
        <sz val="11"/>
        <color theme="1"/>
        <rFont val="新細明體"/>
        <family val="1"/>
        <charset val="136"/>
      </rPr>
      <t>₂</t>
    </r>
    <r>
      <rPr>
        <sz val="11"/>
        <color theme="1"/>
        <rFont val="新細明體"/>
        <family val="1"/>
        <charset val="136"/>
      </rPr>
      <t xml:space="preserve">)
</t>
    </r>
  </si>
  <si>
    <r>
      <rPr>
        <sz val="11"/>
        <color theme="1"/>
        <rFont val="PMingLiu"/>
        <family val="1"/>
        <charset val="136"/>
      </rPr>
      <t>61. 承上題，當木塊由靜止開始，向左滑動的距離為 s 時，木塊的動能為 K</t>
    </r>
    <r>
      <rPr>
        <sz val="11"/>
        <color theme="1"/>
        <rFont val="新細明體"/>
        <family val="1"/>
        <charset val="136"/>
      </rPr>
      <t>₁</t>
    </r>
    <r>
      <rPr>
        <sz val="11"/>
        <color theme="1"/>
        <rFont val="新細明體"/>
        <family val="1"/>
        <charset val="136"/>
      </rPr>
      <t>，吊桶與細砂的總動能為 K</t>
    </r>
    <r>
      <rPr>
        <sz val="11"/>
        <color theme="1"/>
        <rFont val="新細明體"/>
        <family val="1"/>
        <charset val="136"/>
      </rPr>
      <t>₂</t>
    </r>
    <r>
      <rPr>
        <sz val="11"/>
        <color theme="1"/>
        <rFont val="新細明體"/>
        <family val="1"/>
        <charset val="136"/>
      </rPr>
      <t>，則下列等式哪些正確？(應選 2 項)
(A) K</t>
    </r>
    <r>
      <rPr>
        <sz val="11"/>
        <color theme="1"/>
        <rFont val="新細明體"/>
        <family val="1"/>
        <charset val="136"/>
      </rPr>
      <t>₁</t>
    </r>
    <r>
      <rPr>
        <sz val="11"/>
        <color theme="1"/>
        <rFont val="新細明體"/>
        <family val="1"/>
        <charset val="136"/>
      </rPr>
      <t xml:space="preserve"> = (T-f)s
(B) K</t>
    </r>
    <r>
      <rPr>
        <sz val="11"/>
        <color theme="1"/>
        <rFont val="新細明體"/>
        <family val="1"/>
        <charset val="136"/>
      </rPr>
      <t>₁</t>
    </r>
    <r>
      <rPr>
        <sz val="11"/>
        <color theme="1"/>
        <rFont val="新細明體"/>
        <family val="1"/>
        <charset val="136"/>
      </rPr>
      <t xml:space="preserve"> = (M</t>
    </r>
    <r>
      <rPr>
        <sz val="11"/>
        <color theme="1"/>
        <rFont val="新細明體"/>
        <family val="1"/>
        <charset val="136"/>
      </rPr>
      <t>₂</t>
    </r>
    <r>
      <rPr>
        <sz val="11"/>
        <color theme="1"/>
        <rFont val="新細明體"/>
        <family val="1"/>
        <charset val="136"/>
      </rPr>
      <t>g+T)s
(C) K</t>
    </r>
    <r>
      <rPr>
        <sz val="11"/>
        <color theme="1"/>
        <rFont val="新細明體"/>
        <family val="1"/>
        <charset val="136"/>
      </rPr>
      <t>₂</t>
    </r>
    <r>
      <rPr>
        <sz val="11"/>
        <color theme="1"/>
        <rFont val="新細明體"/>
        <family val="1"/>
        <charset val="136"/>
      </rPr>
      <t xml:space="preserve"> = (M</t>
    </r>
    <r>
      <rPr>
        <sz val="11"/>
        <color theme="1"/>
        <rFont val="新細明體"/>
        <family val="1"/>
        <charset val="136"/>
      </rPr>
      <t>₂</t>
    </r>
    <r>
      <rPr>
        <sz val="11"/>
        <color theme="1"/>
        <rFont val="新細明體"/>
        <family val="1"/>
        <charset val="136"/>
      </rPr>
      <t>g+T-f)s
(D) K</t>
    </r>
    <r>
      <rPr>
        <sz val="11"/>
        <color theme="1"/>
        <rFont val="新細明體"/>
        <family val="1"/>
        <charset val="136"/>
      </rPr>
      <t>₁</t>
    </r>
    <r>
      <rPr>
        <sz val="11"/>
        <color theme="1"/>
        <rFont val="新細明體"/>
        <family val="1"/>
        <charset val="136"/>
      </rPr>
      <t xml:space="preserve"> + K</t>
    </r>
    <r>
      <rPr>
        <sz val="11"/>
        <color theme="1"/>
        <rFont val="新細明體"/>
        <family val="1"/>
        <charset val="136"/>
      </rPr>
      <t>₂</t>
    </r>
    <r>
      <rPr>
        <sz val="11"/>
        <color theme="1"/>
        <rFont val="新細明體"/>
        <family val="1"/>
        <charset val="136"/>
      </rPr>
      <t xml:space="preserve"> = (M</t>
    </r>
    <r>
      <rPr>
        <sz val="11"/>
        <color theme="1"/>
        <rFont val="新細明體"/>
        <family val="1"/>
        <charset val="136"/>
      </rPr>
      <t>₂</t>
    </r>
    <r>
      <rPr>
        <sz val="11"/>
        <color theme="1"/>
        <rFont val="新細明體"/>
        <family val="1"/>
        <charset val="136"/>
      </rPr>
      <t>g-f)s
(E) K</t>
    </r>
    <r>
      <rPr>
        <sz val="11"/>
        <color theme="1"/>
        <rFont val="新細明體"/>
        <family val="1"/>
        <charset val="136"/>
      </rPr>
      <t>₁</t>
    </r>
    <r>
      <rPr>
        <sz val="11"/>
        <color theme="1"/>
        <rFont val="新細明體"/>
        <family val="1"/>
        <charset val="136"/>
      </rPr>
      <t xml:space="preserve"> + K</t>
    </r>
    <r>
      <rPr>
        <sz val="11"/>
        <color theme="1"/>
        <rFont val="新細明體"/>
        <family val="1"/>
        <charset val="136"/>
      </rPr>
      <t>₂</t>
    </r>
    <r>
      <rPr>
        <sz val="11"/>
        <color theme="1"/>
        <rFont val="新細明體"/>
        <family val="1"/>
        <charset val="136"/>
      </rPr>
      <t xml:space="preserve"> = (M</t>
    </r>
    <r>
      <rPr>
        <sz val="11"/>
        <color theme="1"/>
        <rFont val="新細明體"/>
        <family val="1"/>
        <charset val="136"/>
      </rPr>
      <t>₂</t>
    </r>
    <r>
      <rPr>
        <sz val="11"/>
        <color theme="1"/>
        <rFont val="新細明體"/>
        <family val="1"/>
        <charset val="136"/>
      </rPr>
      <t>g-f-T)s</t>
    </r>
  </si>
  <si>
    <t>62. 如圖17 所示，這張圖顯示了一個典型的兩座高山之間的情境。以下是具體的描述：
兩座高山：兩座高山分別位於圖的兩側，山脊的角度為60度，標示了山坡的斜度。
水平面：在高山之間有一條水平線，代表的是地平線或海平面，位於兩個觀察點(甲和乙)的下方。
甲和乙：兩個標示點，甲位於兩座高山之間的最低點，而乙則位於西側。某生走在南北方向峽谷中的甲點，兩旁高山的山坡約60度向山谷傾斜，在西側山腳有一薄煤層出露，測得煤層傾斜向東、傾角45度、走向為南北( 走向是煤層水平延伸的方向)。此區地層層序正常，沒有斷層、褶皺或其他因素干擾，今某生從甲點往西水平挖100 公尺到乙點後仍不見煤層，某生應該在乙點繼續往哪邊挖才能找到煤層？
(A)往上挖100公尺
(B)往地底下挖100公尺
(C)往南水平挖100公尺
(D)往北水平挖100公尺
(E)往西水平挖100公尺</t>
  </si>
  <si>
    <t xml:space="preserve">63-64 為題組
表2列出5顆恆星的光譜型、視星等及絕對星等， 據此回答63-64題。
甲星：光譜型：M型、視星等：9.5、絕對星等：12.8
乙星：光譜型：A型、視星等：-1.4、絕對星等：1.4
丙星：光譜型：K型、視星等：8.4、絕對星等：11.3 
丁星：光譜型：M型、視星等：8.9、絕對星等：11.1、
戊星：光譜型：G型、視星等：4.2、絕對星等：5.3 </t>
  </si>
  <si>
    <t>63. 若不考慮星光在太空與地球大氣中受到吸收的影響，恆星的視星等m、絕對星等M 與距離 d 的關係為 m-M= 5 log(d) -5，其中 log為對數。依此判斷這 5 顆恆星中，
何者距離我們最遠？
(A)甲 (B)乙 (C)丙 (D)丁 (E)戊</t>
  </si>
  <si>
    <t>64. 承上題， 這5 顆恆星中， 何者的表面溫度最高？
(A)甲 (B)乙 (C)丙 (D)丁 (E)戊</t>
  </si>
  <si>
    <t>65. 海面高度差異是影響海流流動的主要因素之一，而高度梯度越大，流速越快。受科氏力影響，一般大洋西側的海流流速較快。利用人造衛星對海洋進行雷達測高
遙測，可獲知大範圍海域的海面高度變化。下列何者最有可能是人造衛星所獲得的南太平洋海面高度的等高線圖？
(A) 高水位：圖中的同心圓從內到外逐漸擴展，內圈代表最高水位。水位在該區域的中心位置最高，往外逐步減少。這可能代表高壓區域或海洋中心處的隆起現象。
(B) 高水位：此圖的水位分佈也呈現出高水位，但同心圓的排列略微有些變化，可能顯示出水位高度在中心的分佈稍有不同。該圖可能代表另一種高水位情境，例如潮汐或氣壓影響下的變動。
(C) 高水位：同樣是一個高水位區域，但同心圓的分佈比(A)和(B)略微緊密，顯示水位變化的區域可能較小，水位差異集中在更狹小的範圍內。這可能是因為該區域受到較強的局部效應影響，例如局部的潮汐變動。
(D) 低水位：這個圖中，中心標示為「低水位」，同心圓表示從中心位置向外擴展，水位逐漸上升，最外圍的水位最高。這顯示出該區域的中心水位最低，可能與低壓區或海洋中的低谷區域有關。
(E) 低水位：類似於(D)，此圖也顯示出「低水位」的分佈，但同心圓的分佈方式不同，水位下降區域可能更廣泛或水位變化的幅度較小。這種情況可能反映了較大的地理區域內的水位變化，或受其他氣候和地理因素的影響。</t>
  </si>
  <si>
    <t>66.	透過紅色玻璃片，觀看所有景象呈現深淺不一的紅色色調。用來拍攝星空，則所有恆星都呈明亮不同的紅色。現透過望遠鏡用相機拍攝星空，針對同一天區，分別以紅色及藍色玻璃片各拍一幅影像。依此可獲得恆星的何種訊息？ (A)比對兩幅影像，能判斷出恆星的年齡 (B)比對兩幅影像，能判斷出恆星的距離 (C)比對兩幅影像，能辨別出藍色高溫恆星 (D)從藍色玻璃片影像中，能辨別哪些是低溫恆星 (E)在紅色玻璃片影像中，紅色恆星非常明亮</t>
  </si>
  <si>
    <t>67.	科學家常從岩石的特性推測當時的沉積環境。今有某鑽井，由上而下，依序鑽出頁岩、砂岩和礫岩。若這些岩層都沒有經過變動，下列有關它們生成的敘述何者正確？ (A)沉積環境的水愈晚期愈淺 (B)沉積環境的水流速度愈晚期愈慢 (C)火山激烈噴發，火山彈四射後，沉積礫岩 (D)斷層作用，使原來礫岩粉化成砂岩和頁岩 (E)山崩生成礫岩，而後礫岩風化，形成砂岩、頁岩</t>
  </si>
  <si>
    <t>68.	探空氣球的觀測資料，有助於瞭解環境大氣的特徵。若板橋氣象站在某星期一、星期二量測到的大氣溫度隨高度變化垂直分布如圖18所示，
這張圖展示了兩天內溫度隨高度變化的情況，分別是星期一和星期二的溫度剖面圖。以下是詳細的描述：
星期一:高度 (1 km)：隨著高度的增加，溫度呈下降趨勢。圖中顯示出從地表15°C開始，溫度逐漸下降至約30°C，表明地表溫度較低，而高空的溫度較高。這可能是受到白天強烈日照的影響，造成高空溫度升高，形成逆溫現象。
星期二:高度 (1 km)：與星期一不同，星期二的溫度隨高度上升的趨勢是從地表15°C開始，隨高度增加，溫度也逐漸上升，最終達到30°C。這可能是一種正常的氣溫垂直分佈現象，即隨高度增加，溫度減少的常見大氣結構被改變，表現出不同的氣候條件。
且兩天的大氣水氣含量相同，下列哪些敘述正確？(應選2項) (A)星期一的大氣較不穩定，容易發生對流 (B)星期二的大氣較容易有垂直發展旺盛的雲層出現 (C)星期一較不容易有垂直發展的雲層出現 (D)星期二的大氣環境，較容易發生空氣汙染 (E)兩天的雲層垂直發展厚度大約相同</t>
  </si>
  <si>
    <t>2022_Questions</t>
  </si>
  <si>
    <t>圖1這張圖展示了颱風從9月17日到9月26日的完整移動路徑，並標記了每個日期的具體位置。颱風的起始位置：颱風從9月17日的最右下角開始移動，並在接下來幾天內逐步向北移動。到9月21日，颱風的路徑進入了更複雜的階段，並在9月21日到22日之間出現了明顯的轉折，表明可能是受到大氣壓力或其他氣象條件的影響。路徑的轉折與變化：在9月22日到23日，颱風開始逐步向西北方向行進，並在這段時間內進入一個明顯的轉彎階段，這表明颱風可能增強或移動速度發生了變化。颱風靠近大陸：從9月24日到9月26日，颱風逐步靠近大陸，路徑變得較為平緩，顯示颱風可能逐步減速或在接近登陸點時勢力減弱。最後的路徑顯示，颱風有可能接觸到中國大陸的沿海地區。
圖1為某颱風中心在21～26日的行進及預測路徑。假設颱風可視為固定質量的質點，地球轉動對颱風行進路徑的影響可忽略不計，颱風行進路徑在同一水平面上，且颱風沿預測路徑持續前進不折返。依據上述與圖1回答1-2題。</t>
  </si>
  <si>
    <t>1.	已知此颱風在21日14時的暴風半徑為180公里，如白色圓圈所示。試以預測路徑估算自21日14時至22日02時之間，颱風移動的平均時速量值約多少公里？ (A)5	(B) 10	(C) 20	(D) 30	(E) 40</t>
  </si>
  <si>
    <t xml:space="preserve"> C</t>
  </si>
  <si>
    <t>2.	已知此颱風在22日02時至23日14時之間，以等速率移動，但方向持續改變，之後朝北北西的方向維持直線前進，則下列敘述哪些正確？(應選2項) (A) 22日02時至23日14時之間，颱風在路徑上各點位置所受合力為零 (B) 22日02時至23日14時之間，颱風在路徑上各點位置所受合力方向與速度方向垂直 (C) 23日14時之後，颱風恆以等速度前進 (D) 23日14時之後，颱風在各點位置所受合力都為零 (E) 24日14時至26日14時之間，颱風所受的平均合力方向與速度方向相反</t>
  </si>
  <si>
    <t xml:space="preserve"> AB</t>
  </si>
  <si>
    <t>3. 已知地球（E）與火星（M）的rE / rM平均半徑比值約為1.86，質量比值mE /mM約為9.3，試問同一物體在火星表面所受重力約為在地球表面所受重力的多少倍？
(A) 0.10 (B) 0.37 (C) 0.72 (D) 0.93 (E) 1.86</t>
  </si>
  <si>
    <t xml:space="preserve"> B</t>
  </si>
  <si>
    <t>4.自然界的基本交互作用中，哪幾種對日常天氣現象的影響最為明顯常見？(應選2項) (A)弱作用(弱核力) (B)強作用(強核力) (C)夸克作用 (D)電磁力作用 (E)重力作用</t>
  </si>
  <si>
    <r>
      <rPr>
        <sz val="11"/>
        <color theme="1"/>
        <rFont val="PMingLiu"/>
        <family val="1"/>
        <charset val="136"/>
      </rPr>
      <t>5. 若質量為720 公斤的球體，具有3600 千焦耳的動能，則此球體的速率約為多少公尺/秒？
(A) 10²
(B) 10³
(C) 10</t>
    </r>
    <r>
      <rPr>
        <sz val="11"/>
        <color theme="1"/>
        <rFont val="Arial"/>
        <family val="2"/>
      </rPr>
      <t>⁴
(D) 10⁵
(E) 10⁶</t>
    </r>
  </si>
  <si>
    <t>6.常用的晶片卡中有內建線圈，如示意圖2 的下半部所示，向左箭號代表應電流I2 &gt; 0的流向。
圖2 的上半部為讀卡機線圈，向右箭號代表電流I1&gt;  0時的流向。當 I1&gt;  0時線圈產生的磁場，如虛線所示。晶片卡線圈貼近讀卡機線圈時，電流I1產生的磁場會造成應電流  I2 的變動，驅動晶片發出訊息。
圖片中展示了一個關於磁場和電流的情境。上方的元件標示為讀卡機，並有一個電流 I1進入其中。該元件周圍存在一個垂直向下的磁場，磁場線穿過下方的晶片。晶片上標示有另一個電流 I2，表示電流在晶片內流動。
當兩線圈均為靜止且 I2= 0時，欲使晶片卡線圈產生圖示I2&gt;0流向的應電流，則讀卡機線圈的電流 I1 應如何？(應選2 項)(A) 1
I  0且維持定值
(B) 1
I  0且漸增
(C) 1
I  0 且漸增
(D) 1
I  0 且維持定值
(E) 1
I  0 且漸減</t>
  </si>
  <si>
    <r>
      <rPr>
        <sz val="11"/>
        <color theme="1"/>
        <rFont val="PMingLiu"/>
        <family val="1"/>
        <charset val="136"/>
      </rPr>
      <t>7-8 題為題組
2021 年的諾貝爾物理學獎頒給了氣候系統的研究，如：氣候系統。圖 3 為簡化的地球氣候系統模型圖，圖中實線代表進入系統的太陽輻射，虛線 Fg 代表地面向上發出的被大氣所吸收的熱輻射，虛線 F_A(↑) 與 F_A(↓) 分別代表大氣向外(上)與向內(下)的熱輻射。當太陽輻射的能量進出系統達到水平衡時，大氣內、外長期平均溫度維持穩定。然而，溫室氣體增加，會造成系統能量收支不平衡，長期平均溫度也因此而產生變化。
圖 3 描述了一個地球氣候系統的簡化模型。圖中顯示太陽輻射穿過大氣層，到達地表。地面吸收輻射並向外釋放能量，表示為 Fg。大氣層內部分能量向上散發，表示為 FA↑，部分能量向下返回地面，表示為 FA↓。當系統達到能量平衡時，地表與大氣的溫度變化量 ΔT 內和 ΔT 外 都為 0。
圖 4 為大氣向外熱輻射功率對熱輻射頻率的曲線圖，5 個平滑的細線代表標準的輻射體，由克氏(絕對)溫度 220 K 到 300 K，每隔 20 K 的熱輻射特性曲線。圖 4 上圖與下圖的黑色波折線，分別代表 CO</t>
    </r>
    <r>
      <rPr>
        <sz val="11"/>
        <color theme="1"/>
        <rFont val="新細明體"/>
        <family val="1"/>
        <charset val="136"/>
      </rPr>
      <t>₂</t>
    </r>
    <r>
      <rPr>
        <sz val="11"/>
        <color theme="1"/>
        <rFont val="新細明體"/>
        <family val="1"/>
        <charset val="136"/>
      </rPr>
      <t xml:space="preserve"> 含量為 0 與 1000 ppm 時，地球氣候系統模型預測大氣向外熱輻射功率隨頻率的變化。
圖 4 顯示了大氣向外熱輻射功率隨熱輻射頻率變化的兩個情況，上圖為 CO</t>
    </r>
    <r>
      <rPr>
        <sz val="11"/>
        <color theme="1"/>
        <rFont val="新細明體"/>
        <family val="1"/>
        <charset val="136"/>
      </rPr>
      <t>₂</t>
    </r>
    <r>
      <rPr>
        <sz val="11"/>
        <color theme="1"/>
        <rFont val="新細明體"/>
        <family val="1"/>
        <charset val="136"/>
      </rPr>
      <t xml:space="preserve"> 濃度為 0 ppm 的情況，下圖為 CO</t>
    </r>
    <r>
      <rPr>
        <sz val="11"/>
        <color theme="1"/>
        <rFont val="新細明體"/>
        <family val="1"/>
        <charset val="136"/>
      </rPr>
      <t>₂</t>
    </r>
    <r>
      <rPr>
        <sz val="11"/>
        <color theme="1"/>
        <rFont val="新細明體"/>
        <family val="1"/>
        <charset val="136"/>
      </rPr>
      <t xml:space="preserve"> 濃度為 1000 ppm 的情況。兩個圖中的黑色波折線分別表示不同的輻射特性，線條間隔表示不同溫度(從 220K 到 300K)。從圖中可以看到，隨著 CO</t>
    </r>
    <r>
      <rPr>
        <sz val="11"/>
        <color theme="1"/>
        <rFont val="新細明體"/>
        <family val="1"/>
        <charset val="136"/>
      </rPr>
      <t>₂</t>
    </r>
    <r>
      <rPr>
        <sz val="11"/>
        <color theme="1"/>
        <rFont val="新細明體"/>
        <family val="1"/>
        <charset val="136"/>
      </rPr>
      <t xml:space="preserve"> 濃度的增加，大氣向外輻射的功率會受到影響，尤其在低溫區域(如 220K)，輻射功率的變化更為明顯。
依據上述題文資料，回答 7-8 題</t>
    </r>
  </si>
  <si>
    <t>7. 圖4 所預測之地球大氣向外熱輻射，最接近攝氏多少度的標準的輻射體，所發出之熱輻射？
(A) 270 (B) 260 (C) 100 (D) -10 (E) -100</t>
  </si>
  <si>
    <t xml:space="preserve">D </t>
  </si>
  <si>
    <r>
      <rPr>
        <sz val="11"/>
        <color theme="1"/>
        <rFont val="PMingLiu"/>
        <family val="1"/>
        <charset val="136"/>
      </rPr>
      <t>8. 若ΔT內與 ΔT外分別代表因為溫室氣體CO</t>
    </r>
    <r>
      <rPr>
        <sz val="11"/>
        <color theme="1"/>
        <rFont val="新細明體"/>
        <family val="1"/>
        <charset val="136"/>
      </rPr>
      <t>₂</t>
    </r>
    <r>
      <rPr>
        <sz val="11"/>
        <color theme="1"/>
        <rFont val="新細明體"/>
        <family val="1"/>
        <charset val="136"/>
      </rPr>
      <t>增加導致大氣內與外之長期平均溫度的變化。依據圖3 與圖4 的模型預測，當大氣中的CO</t>
    </r>
    <r>
      <rPr>
        <sz val="11"/>
        <color theme="1"/>
        <rFont val="新細明體"/>
        <family val="1"/>
        <charset val="136"/>
      </rPr>
      <t>₂</t>
    </r>
    <r>
      <rPr>
        <sz val="11"/>
        <color theme="1"/>
        <rFont val="新細明體"/>
        <family val="1"/>
        <charset val="136"/>
      </rPr>
      <t xml:space="preserve"> 含量增加時， ΔT 內與 ΔT 外的關係式，
哪些正確？(應選2 項)
(A) ΔT內&lt;0 
(B) ΔT內 &gt;0
(C) ΔT 內=ΔT外=0
(D) ΔT外&gt;0 
(E) ΔT外 &lt; 0</t>
    </r>
  </si>
  <si>
    <t>9. 下列關於科學史實敘述，何者正確？
(A)馬克士威以馬克士威方程式解釋光電效應
(B)愛因斯坦以光子模型解釋光電效應
(C)拉塞福利用電子撞擊氫原子探究原子結構
(D)波耳首先觀測到氫原子光譜
(E)波耳氫原子模型的建構比拉塞福的原子模型來得早</t>
  </si>
  <si>
    <t>10. 下列離子之電荷質量比，即電荷與質量比值的關係，何者正確？(原子量 H = 1.0，He = 4.0，Li = 6.9) 
(A) H⁺ &gt; He²⁺ &gt; Li⁺
(B) He²⁺ &gt; Li⁺ &gt; H⁺
(C) Li⁺ &gt; He²⁺ &gt; H⁺
(D) He²⁺ &gt; Li⁺ = H⁺
(E) Li⁺ = H⁺ &gt; He²⁺</t>
  </si>
  <si>
    <t>11. 小婷將混合染料以濾紙層析法分析，在展開液上升至停止線時終止層析。待濾紙乾燥後，觀察發現甲、乙、丙三種成分之相對位置如圖5；
這個圖示呈現的是一個層析過程的示意圖，顯示樣品在開始線(起始線)進行分離，並且分離出的各個成分甲、乙、丙會根據移動的速率和分離過程的位置在不同的位置上停止到達停止線。層析是常見的分離技術，用來根據分子或離子在不同介質中的移動速度進行分離。
並定義Rf 值如下：
Rf值=成分由起始線的移動距離/同時間展開液由起始線至停止線的移動距離；
Rf值與該成分及展開液的特性有關，可做鑑定之用。
下列敘述何者正確？
(A)乙的Rf值為0.2
(B)甲與丙的Rf值，兩者相加約為0.6
(C)乙與丙在層析時，移動速率比約為8 : 5
(D)甲、乙、丙的分子量大小關係為甲＜乙＜丙
(E)甲、乙、丙的Rf值，會隨著展開液移動距離的增加而變大</t>
  </si>
  <si>
    <t>12. 在低溫高壓的狀態下，甲烷的氣體分子被水分子包覆，形成類似冰晶的化合物，稱為甲烷水合物。
這張圖是壓力與溫度的相圖，展示了水與水的相界以及甲烷水合物與甲烷的相界。圖中，縱軸是壓力(以 atm 為單位)，橫軸是溫度(以攝氏度為單位)。圖示標明了水和冰之間的相界，以及甲烷水合物和甲烷之間的相界。相圖用來描述不同物質在不同壓力和溫度條件下的物態轉變，顯示出在何種條件下，物質會從一種相態轉變為另一種相態。
圖6 是甲烷水合物的相圖，依此，下列敘述哪些正確？(應選2 項)
(A)甲烷水合物點燃時，發生燃燒反應的應為甲烷氣體
(B)甲烷氣體與水不會同時存在
(C)在0℃、140大氣壓時，甲烷水合物與冰同時存在
(D)在-15℃時，不會有甲烷水合物的存在
(E)在0℃、10大氣壓時，不會有甲烷水合物的存在</t>
  </si>
  <si>
    <t xml:space="preserve">13. 已知指示劑X 在pH 值7.5 以下和8.0 以上分別是無色和粉紅色，而指示劑Y 在pH 值4.0-7.5 與8.0-10.0 時分別是綠色和藍色。若將濃度各0.1 M 的溶液甲和乙分別以體積
比1: 9 、1:1 和9 :1 充分混合，再分別用指示劑X 和Y 測混合溶液，其結果如表1 所示：
在甲：乙比例為 1:9 時，指示劑 X 顯示粉紅色，指示劑 Y 顯示藍色。
在甲：乙比例為 1:1 時，指示劑 X 和 Y 都無色或顯示綠色。
在甲：乙比例為 9:1 時，指示劑 X 仍無色，而指示劑 Y 顯示綠色。
根據上述實驗結果，下列何者最有可能為溶液甲和乙的組合？
(A) 甲為 HCl(aq)，乙為NH3(aq)
(B) 甲為 NH3(aq)，乙為 HCl(aq))
(C) 甲為 NaCl(aq)，乙為NH3(aq)
(D) 甲為 NH3(aq)，乙為 CH3COOH(aq)
(E) 甲為 CH3COOH(aq)，乙為NH3(aq)
</t>
  </si>
  <si>
    <r>
      <rPr>
        <sz val="11"/>
        <color theme="1"/>
        <rFont val="PMingLiu"/>
        <family val="1"/>
        <charset val="136"/>
      </rPr>
      <t>14.汽油是含有 5 至 12 個碳原子的碳氫化合物，燃燒時會排放 CO</t>
    </r>
    <r>
      <rPr>
        <sz val="11"/>
        <color theme="1"/>
        <rFont val="新細明體"/>
        <family val="1"/>
        <charset val="136"/>
      </rPr>
      <t>₂</t>
    </r>
    <r>
      <rPr>
        <sz val="11"/>
        <color theme="1"/>
        <rFont val="新細明體"/>
        <family val="1"/>
        <charset val="136"/>
      </rPr>
      <t>，是造成空氣中 CO</t>
    </r>
    <r>
      <rPr>
        <sz val="11"/>
        <color theme="1"/>
        <rFont val="新細明體"/>
        <family val="1"/>
        <charset val="136"/>
      </rPr>
      <t>₂</t>
    </r>
    <r>
      <rPr>
        <sz val="11"/>
        <color theme="1"/>
        <rFont val="新細明體"/>
        <family val="1"/>
        <charset val="136"/>
      </rPr>
      <t xml:space="preserve"> 增加的原因之一。假如以辛烷(C₈H</t>
    </r>
    <r>
      <rPr>
        <sz val="11"/>
        <color theme="1"/>
        <rFont val="新細明體"/>
        <family val="1"/>
        <charset val="136"/>
      </rPr>
      <t>₁</t>
    </r>
    <r>
      <rPr>
        <sz val="11"/>
        <color theme="1"/>
        <rFont val="新細明體"/>
        <family val="1"/>
        <charset val="136"/>
      </rPr>
      <t>₈)代表汽油的成分，並且汽油在引擎運轉時，可完全燃燒，其反應式如下：
C₈H</t>
    </r>
    <r>
      <rPr>
        <sz val="11"/>
        <color theme="1"/>
        <rFont val="新細明體"/>
        <family val="1"/>
        <charset val="136"/>
      </rPr>
      <t>₁</t>
    </r>
    <r>
      <rPr>
        <sz val="11"/>
        <color theme="1"/>
        <rFont val="新細明體"/>
        <family val="1"/>
        <charset val="136"/>
      </rPr>
      <t>₈(l)+O</t>
    </r>
    <r>
      <rPr>
        <sz val="11"/>
        <color theme="1"/>
        <rFont val="新細明體"/>
        <family val="1"/>
        <charset val="136"/>
      </rPr>
      <t>₂</t>
    </r>
    <r>
      <rPr>
        <sz val="11"/>
        <color theme="1"/>
        <rFont val="新細明體"/>
        <family val="1"/>
        <charset val="136"/>
      </rPr>
      <t>(g)→CO</t>
    </r>
    <r>
      <rPr>
        <sz val="11"/>
        <color theme="1"/>
        <rFont val="新細明體"/>
        <family val="1"/>
        <charset val="136"/>
      </rPr>
      <t>₂</t>
    </r>
    <r>
      <rPr>
        <sz val="11"/>
        <color theme="1"/>
        <rFont val="新細明體"/>
        <family val="1"/>
        <charset val="136"/>
      </rPr>
      <t>(g)+H</t>
    </r>
    <r>
      <rPr>
        <sz val="11"/>
        <color theme="1"/>
        <rFont val="新細明體"/>
        <family val="1"/>
        <charset val="136"/>
      </rPr>
      <t>₂</t>
    </r>
    <r>
      <rPr>
        <sz val="11"/>
        <color theme="1"/>
        <rFont val="新細明體"/>
        <family val="1"/>
        <charset val="136"/>
      </rPr>
      <t>O(l)
若一公頃的森林平均每天可吸收 16 公斤的 CO</t>
    </r>
    <r>
      <rPr>
        <sz val="11"/>
        <color theme="1"/>
        <rFont val="新細明體"/>
        <family val="1"/>
        <charset val="136"/>
      </rPr>
      <t>₂</t>
    </r>
    <r>
      <rPr>
        <sz val="11"/>
        <color theme="1"/>
        <rFont val="新細明體"/>
        <family val="1"/>
        <charset val="136"/>
      </rPr>
      <t>，當汽車油箱中 50 公升的辛烷完全燃燒，則所產生的 CO</t>
    </r>
    <r>
      <rPr>
        <sz val="11"/>
        <color theme="1"/>
        <rFont val="新細明體"/>
        <family val="1"/>
        <charset val="136"/>
      </rPr>
      <t>₂</t>
    </r>
    <r>
      <rPr>
        <sz val="11"/>
        <color theme="1"/>
        <rFont val="新細明體"/>
        <family val="1"/>
        <charset val="136"/>
      </rPr>
      <t xml:space="preserve"> 約為一公頃森林多少天的吸收量？(C₈H</t>
    </r>
    <r>
      <rPr>
        <sz val="11"/>
        <color theme="1"/>
        <rFont val="新細明體"/>
        <family val="1"/>
        <charset val="136"/>
      </rPr>
      <t>₁</t>
    </r>
    <r>
      <rPr>
        <sz val="11"/>
        <color theme="1"/>
        <rFont val="新細明體"/>
        <family val="1"/>
        <charset val="136"/>
      </rPr>
      <t>₈：密度 = 0.70 g/cm³，分子量 = 114)
(A) 0.84 (B) 2.2 (C) 6.8 (D) 14 (E) 54</t>
    </r>
  </si>
  <si>
    <r>
      <rPr>
        <sz val="11"/>
        <color theme="1"/>
        <rFont val="PMingLiu"/>
        <family val="1"/>
        <charset val="136"/>
      </rPr>
      <t>15. 某離子化合物X 之溶解度與溫度關係如圖7。
圖7顯示的是溫度與溶解度之間的關係。具體來說：
橫軸表示溫度，範圍從 0°C 到 100°C。
縱軸表示溶解度，單位為 g/100g H</t>
    </r>
    <r>
      <rPr>
        <sz val="11"/>
        <color theme="1"/>
        <rFont val="新細明體"/>
        <family val="1"/>
        <charset val="136"/>
      </rPr>
      <t>₂</t>
    </r>
    <r>
      <rPr>
        <sz val="11"/>
        <color theme="1"/>
        <rFont val="新細明體"/>
        <family val="1"/>
        <charset val="136"/>
      </rPr>
      <t>O，範圍從 30 g 到 70 g。
圖中的趨勢線顯示，隨著溫度的升高，物質在水中的溶解度逐漸增加，呈現出線性上升的趨勢。這意味著在更高的溫度下，更多的物質可以溶解在相同量的水中。
林生利用圖8 裝置測試體積為100 cm³金屬塊的浮力，且可忽略溫度對其影響。在45℃已達溶解平衡的X 水溶液中，尚有未溶解的X 固體。將金屬塊完全沒入該溶液中，發現金屬塊重量減輕120 克重，若X 式量為75，則此X 飽和溶液的體積莫耳濃度(M)為何？
(A) 2.8 (B) 3.4 (C) 4.0 (D) 4.6 (E) 5.3</t>
    </r>
  </si>
  <si>
    <r>
      <rPr>
        <sz val="11"/>
        <color theme="1"/>
        <rFont val="PMingLiu"/>
        <family val="1"/>
        <charset val="136"/>
      </rPr>
      <t>16. 圖9 
氯（Cl） 原子位於苯環（六元環）上，表示氯取代苯環上的兩個位置。
氟（F） 原子位於苯環和分子其他位置，共有多個氟原子。
氨基（NH</t>
    </r>
    <r>
      <rPr>
        <sz val="11"/>
        <color theme="1"/>
        <rFont val="Arial"/>
        <family val="2"/>
      </rPr>
      <t>₂） 基團連接在苯環的一個位置。
硫醇基（SO） 和 三氟甲基（CF₃） 基團分別位於苯環外部的另一個部分，連接到一個五元環上。
氰基（CN） 基團連接到五元環。
是殺蟲劑芬普尼的結構；據此，一個芬普尼分子所含的所有氮原子共有幾對孤對電子？
(A) 2
(B) 4
(C) 6
(D) 8
(E) 10</t>
    </r>
  </si>
  <si>
    <t>17. 圖10 是某些元素(以代號a～h 表示)其原子的質量數與質子數關係圖。根據此圖，下列敘述哪些正確？(應選2 項)
在圖10中，a 到 h 的位置分佈如下：
a: 質子數 4，質量數 8
b: 質子數 6，質量數 12
c: 質子數 8，質量數 16
d: 質子數 14，質量數 28
e: 質子數 14，質量數 30
f: 質子數 16，質量數 32
g: 質子數 18，質量數 40
h: 質子數 20，質量數 44
(A) a的原子半徑比b的原子半徑大
(B) d與e為同位素
(C) c的氧化物水溶液之鹼性比d的氧化物水溶液弱
(D) h的價電子數比f多
(E) f 的中子數比e多</t>
  </si>
  <si>
    <t>18. 2021 年諾貝爾化學獎頒給研究催化劑的學者。人體中的酵素(或稱酶)，即是生化反應的催化劑，如胃液中的胃蛋白酶可將蛋白質分解為小的分子片段。酵素的催化能力受環
境的溫度、酸鹼性、受質濃度和專一性等影響。下列敘述哪些正確？(應選2 項)
(A)酵素通常是胺基酸的聚合物
(B)胃蛋白酶在pH＝7.4的環境有最佳活性
(C)溫度越高時，胃蛋白酶的催化能力越強
(D)食用大量制酸劑會降低胃蛋白酶的催化能力
(E)胃蛋白酶亦可將澱粉分解產生葡萄糖</t>
  </si>
  <si>
    <t xml:space="preserve">AD </t>
  </si>
  <si>
    <t>19-20題為題組
分析細胞的DNA含量可瞭解組織中細胞的染色體套數或細胞所處之時期。研究者對某一具雙套染色體之生物，將其DNA以螢光物質染色，利用DNA含量與螢光強度成正比
的原理，統計組織中不同螢光強度的細胞個數。</t>
  </si>
  <si>
    <t>19. 依據上文，下列對於細胞有絲分裂的敘述，何者正確？
(A)細胞分裂過程中，細胞因具單套染色體，螢光強度最弱
(B)細胞分裂完成時，細胞具雙套染色體，螢光強度較間期時弱
(C)細胞完成DNA複製時，細胞具三套染色體，螢光強度最強
(D)細胞DNA複製時，是處於細胞分裂期
(E)細胞完成DNA複製後進入間期，此時螢光強度最強</t>
  </si>
  <si>
    <t>20. 取下列哪些部位的細胞進行DNA 含量分析，較可能得到細胞分裂進行中的結果？(應選2 項)
(A)植物木質部
(B)植物根尖
(C)受傷後修復中的皮膚
(D)成熟生殖細胞
(E)成熟神經細胞</t>
  </si>
  <si>
    <t>21.有關真核生物的光合作用和呼吸作用，下列哪些正確？(應選3 項)
(A)光合作用在葉綠體中進行
(B)發酵作用在粒線體中進行
(C)光合作用的過程中會產生ATP
(D)有氧呼吸產生ATP的過程在細胞質中進行
(E)有些植物細胞內可同時進行光合作用和有氧呼吸</t>
  </si>
  <si>
    <t>22.從孟德爾的遺傳實驗中，延續到目前的遺傳學，有關基因的概念及其物質基礎的敘述，下列哪些正確？(應選2 項)
(A)描述豌豆遺傳所說的一對遺傳因子等同現代遺傳學的兩個基因型之概念
(B)用遺傳因子描述豌豆的遺傳現象時，遺傳因子假說是一種具符號的抽象概念
(C)分子生物學的中心法則說明了孟德爾實驗中性狀和遺傳因子之間的關連性
(D)位於同一條染色體上的基因，還是有很高的機會遵循孟德爾的獨立分配律
(E)孟德爾的第一及第二遺傳法則適用於含DNA之生物，也適用於病毒</t>
  </si>
  <si>
    <t>23. 小芳在實驗室學習基因轉殖的技術，他將生長激素基因(GH)殖入大西洋鮭之受精卵後，與控制組分別在試驗場之養殖池養成。另外，亦將轉殖組和控制組之魚分別飼養在由附近河流取水的養殖池中，以比較使用不同水質養殖的差別。三年後得成魚之體長如表2。
該表格顯示了控制組與 GH 轉殖組在試驗場池水與河水中的數據結果。數據以 cm 為單位，表示試驗中不同組別的高度變化：
控制組 在 試驗場池水 中的數據為 82 cm，而在 河水 中的數據為 53 cm。
GH 轉殖組 在 試驗場池水 中的數據為 166 cm，而在 河水 中的數據為 152 cm。
根據表2，下列敘述哪些正確？(應選2項)
(A)控制組的魚，其體內並未有生長激素的分泌
(B)GH轉殖組的魚，其肌肉之密度較控制組的魚為低
(C)在河水中，可能較缺乏大西洋鮭生長所需的物質
(D)在河水中，GH轉殖的大西洋鮭仍然會分泌高量生長激素
(E)GH轉殖的大西洋鮭，在河水中分泌生長激素的量高於在試驗場池水中</t>
  </si>
  <si>
    <t xml:space="preserve">CD </t>
  </si>
  <si>
    <t>24-25題為題組
注射疫苗可透過免疫的過程達到防疫的目的， 新冠肺炎( Coronavirus Disease 2019,COVID-19)之RNA疫苗即為對抗嚴重急性呼吸道症候群冠狀病毒2型(SARS-CoV-2)的疫苗之一。</t>
  </si>
  <si>
    <t>24. 有關RNA 的敘述，下列哪些正確？(應選2 項)
(A) RNA分子為短片段的雙股螺旋結構
(B)構成RNA分子的四種基本鹼基與構成DNA的一樣
(C)細胞的基因被表現時，RNA經由轉錄產生
(D) COVID-19疫苗的RNA轉譯後會產生蛋白質
(E)注射RNA疫苗後，其中的RNA必先插入基因體中才能產生蛋白質</t>
  </si>
  <si>
    <t>25. 圖11 縱軸表示人體試驗施打某RNA 疫苗後，中和抗體產生之數量，以顯示所誘導出免疫反應能力的大小(免疫原性)。橫軸表示施打之策略及時間。此試驗設定的劑量有五種(1 μg、10 μg、30 μg、50 μg 及60 μg)，第1 次施打日定為第1 日；施打後7 天，定為第8 日；第22 日執行追加之第2 次施打，劑量與第1 次相同，但60 μg 組未實施第2 次注射。圖中之虛線為檢測極限值，即此值以下不具檢測參考之意義。
1 μg 劑量下，在不同天數（1天、8天、22天、29天、43天）後的中和抗體數量變化如下：
• 第1天：抗體數量約在 1×10¹ 
• 第8天：抗體數量約在 1×10¹
• 第22天：抗體數量略有進一步增加，接近 1×10¹-1×10²中間值
• 第29天：抗體數量進一步增加，接近 1×10¹-1×10² 左右
• 第43天：抗體數量進一步增加，接近 1×10² 左右
針對 10 μg 劑量下，在不同天數（1天、8天、22天、29天、43天）後的中和抗體數量變化如下：
• 第1天：抗體數量約在1×10¹  
• 第8天：抗體數量約在1×10¹ 
• 第22天：抗體數量進一步增加，略高 1×10¹
• 第29天：抗體數量進一步增加，&gt; 1×10² 左右
• 第43天：抗體數量略微下降，但1×10² 左右
針對 30 μg 劑量下，在不同天數（1天、8天、22天、29天、43天）後的中和抗體數量變化如下：
• 第1天：抗體數量抗體數量約在1×10¹
• 第8天：抗體數量抗體數量約在1×10¹
• 第22天：抗體數量進一步增加&gt;1×10¹，比10 μg 劑量22天略高
• 第29天：抗體數量進一步增加，在 1×10²與1×10 ³之間
• 第43天：抗體數量進一步下降，但仍保持在 1×10²以上
針對 50 μg 劑量下，在不同天數（1天、8天、22天、29天、43天）後的中和抗體數量變化如下：
• 第1天：抗體數量抗體數量約在1×10¹
• 第8天：抗體數量抗體數量約在1×10¹
• 第22天：抗體數量進一步增加&gt;1×10¹，比30 μg 劑量22天略高
• 第29天：抗體數量進一步增加，達 1×10 ³
• 第43天：抗體數量進一步下降，但仍保持在1×10²與1×10 ³之間
針對 60 μg 劑量下，在不同天數（1天、8天、22天、29天、43天）後的中和抗體數量變化如下：
• 第1天：抗體數量抗體數量約在1×10¹
• 第8天：抗體數量抗體數量約在1×10¹
• 第22天：抗體數量微幅增加&gt;1×10¹，比其他劑量22天相比較低
• 第29天：抗體數量微幅增加，達 1×10¹- 1×10²中間
• 第43天：抗體數量進一步下降，與22天相似
下列敘述哪些正確？(應選3 項)
(A)注射1 μg組為本試驗之控制組
(B)試驗值均被校正，使第1劑施打前之注射當天之免疫原性值為1
(C)注射後第22天，顯示適當的第一劑就有有意義的免疫原性
(D)注射後第29天，顯示第二劑對免疫原性有提升的效果
(E)對照注射60 μg組的結果，可顯示第二劑對增強免疫原性值有其必要性</t>
  </si>
  <si>
    <t>26. 共同祖先之後代所呈現的同源結構是衡量後代物種間組成自然類群之準則。有關相對自然類群形成之推論，下列哪些正確？(應選2 項)
(A)雞和人因體溫恆定而歸為同一類群，而非雞與鱷魚
(B)烏龜與蝙蝠因具有後肢而歸為同一類群，而非烏龜與海豚
(C)吳郭魚和鮭魚因具硬骨結構而歸為同一類群，而非吳郭魚與鯊魚
(D)植物和動物因其細胞具有細胞核而歸為同一類群，而非植物與細菌
(E)無尾熊和貓熊因生態習性相似而歸為同一類群，而非無尾熊與袋鼠</t>
  </si>
  <si>
    <t>27. 姊姊和弟弟唸過演化的主題後，姊姊做小結：「達爾文的天擇理論說明了族群會改變的原理」。下列他們兩人一來一往的後續對話，哪些正確？(應選3 項)
(A) 「那麼！天擇對DNA 的改變就不管用了！」。
(B) 「DNA 發生突變後，某些較適合的性狀，天擇後會將它保留下來」。
(C) 「反之，對於有害的DNA 突變，大部分天擇後會將它們移除」。
(D) 「有關DNA 的現代理論已經取代十九世紀達爾文的演化理論了」。
(E) 「DNA 序列若發生趨同演化現象，則較不容易推論長時間的演化面貌」。</t>
  </si>
  <si>
    <t>28-29題為題組 2020年7月30日美國太空總署探測車「毅力號」發射升空，並降落在火星表面「傑澤羅坑」邊緣一個富存黏土礦物與碳酸鹽的三角洲附近(圖12中的白色圓圈區域)。
這張圖片顯示了一個圓形區域，中心有一個明顯的坑洞，可能是火山口或撞擊坑，並且從中心向外延伸出放射狀的紋理。右下角的比例尺顯示該區域大約有1公里的跨度。</t>
  </si>
  <si>
    <t>28.	下列關於火星的描述，哪些正確？(應選2項) (A)屬於類地行星 (B)由地球前往火星會通過小行星帶 (C)是與地球體積大小最相近的太陽系行星 (D)大氣濃密，表面主要因活躍的大氣活動而呈現棕紅色，以「大紅斑」最為著名 (E)表面曾經有流水的痕跡，表示火星曾經可能適合生命發展</t>
  </si>
  <si>
    <t>29.	圖13是圖12的局部放大影像，當中可見(甲)小隕石坑、(乙)波紋狀的風成沙丘、(丙)三角洲。此地貌由老到新的形成順序為何？ (A)甲-乙-丙 (B)乙-丙-甲 (C)丙-乙-甲 (D)丙-甲-乙 (E)乙-甲-丙
這張圖片展示了地表的某個結構，圖片中間有一個明顯的圓形坑洞，並在中心部位有類似波紋狀的紋理。圖片上方有標示「甲」和「丙」，並指向不同的區域，而坑洞內標記為「乙」。</t>
  </si>
  <si>
    <t>30. 小蕙與小傑分別於甲、乙兩地點所拍得的星跡照片如圖14。
甲地的圖片顯示了多條幾乎垂直的光軌，這可能是在靠近地球自轉軸(如北極或南極)附近拍攝的，或是在當地夜空觀察到星星運動的軌跡呈現幾乎直線的效果。
乙地的圖片顯示了斜向運動的光軌，這通常表示在靠近赤道地區，或是拍攝者的視角與地球自轉軸有較大角度時，星星在夜空中的運動軌跡。
兩人皆面向東方，長時間曝光拍攝，下列哪些正確？(應選2 項)
(A)甲地位於北半球，且緯度高於45度
(B)乙地位於南半球，且緯度低於45度
(C)甲地相當接近赤道
(D)甲地的緯度，較乙地高
(E)乙地位於北半球，且緯度約等於45度</t>
  </si>
  <si>
    <t>31.	天體的顏色提供豐富訊息。例如：織女星發出藍白光芒，心宿二顏色偏紅，天王星外觀為藍綠色，火星呈暗紅色。依據以上描述，下列何者正確？ (A)織女星的表面溫度比心宿二高 (B)天王星的表面溫度比火星高 (C)天王星的表面溫度比心宿二高 (D)織女星的發光能力比心宿二強 (E)火星的發光能力比心宿二強</t>
  </si>
  <si>
    <t>32.	水以固體、液體與氣體三相存在於地球系統中，相變時會伴隨著潛熱釋放或吸收。下列哪些現象會伴隨潛熱釋放？(應選3項) (A)清晨時水氣凝結形成露珠時 (B)在高緯度地區冰直接變成水氣時 (C)地面積雪融化時 (D)水氣附著到凝結核上形成冰晶時 (E)夏季午後常見到的對流雲形成時</t>
  </si>
  <si>
    <t>33.	古人將所見星空，想成是繁星投影在一個無限大，以地球為中心且具有相同旋轉軸的天球。太陽一年的視軌跡為黃道，與天球赤道夾。天球概念之示意圖如圖15，
這張圖片顯示了一個天球圖，表示天球北極、天球南極、天球赤道、黃道以及十二星座的位置。圖中標示了四個點(甲、乙、丙、丁)，這些點可能代表特定的天文觀測點或星座與天球赤道及黃道的交會點。黃道是太陽一年中的視運動路徑，而天球赤道則是地球赤道在天球上的投影。
圖片中涉及的星座如巨蟹座、雙子座、獅子座、射手座等，是黃道十二宮的星座。這些星座分佈在黃道上，表明太陽會在不同時期進入這些星座的背景。
甲：位於摩羯座和人馬座的交界處，靠近天球赤道。
乙：標示在獅子座和室女座之間，黃道上方。
丙：在雙子座和巨蟹座的附近，靠近黃道與天球赤道的交匯處。
丁：靠近天蠍座和白羊座的區域，位於黃道下方。
若以地球繞太陽公轉來推論太陽在天球中的移動軌跡，圖中對北半球而言，太陽自春分到冬至的移動順序為下列何者？ (A) 甲→乙→丙→丁 (B) 乙→丙→丁→甲 (C) 甲→丁→丙→乙 (D) 丁→丙→乙→甲 (E) 丙→丁→甲→乙</t>
  </si>
  <si>
    <t xml:space="preserve">34.	圖16是某年秋天某日東亞地區的衛星雲圖，H表示高壓，白線為局部等壓線，灰線為甲天氣系統長帶狀的雲，乙為另一天氣系統，丙箭頭所指處為臺灣的位置。
甲：可能代表某個地區或城鎮，標示了一條箭頭向南延伸至丙處，表明可能是預測颱風的移動路徑。
乙：顯示了一個大型雲團，應該是颱風或熱帶氣旋的中心部分，位於沿海附近。這顯示出颱風接近陸地的跡象。
丙：似乎是箭頭的終點，可能是颱風未來移動的預測路徑。這個地點可能是颱風預計登陸的區域。
圖中的「H」代表高壓系統，通常與較晴朗、穩定的天氣相關，而乙附近的大型雲團則可能與低壓系統或颱風有關，通常伴隨著強風和降雨。依圖，下列哪些較為正確？(應選3項) (A)甲天氣系統長帶狀的雲為黑潮暖海溫所形成 (B)乙天氣系統的雲為颱風或熱帶低壓的雲系 (C)丙箭頭所指位置同時受到甲、乙兩天氣系統影響 (D)乙天氣系統是冷、暖氣團交會形成 (E)臺灣東北部要提防豪雨   </t>
  </si>
  <si>
    <t>35-36題為題組 日本鰻在河川中成長，將成熟時，洄游數千公里到馬里亞納群島海域產卵。孵化後，幼魚隨北赤道洋流與黑潮漂游到近岸，再游進河川。每年冬季都可見日本、韓國、臺灣、大陸等地漁民於沿岸捕撈鰻苗供養殖所需。</t>
  </si>
  <si>
    <t>35.	根據短文，以下推論何者有顯著錯誤？ (A)若鰻的幼魚被動地隨著黑潮漂送，則鰻苗於東亞的分布情形可以反應黑潮的流況分布 (B)福建海岸及臺灣西岸冬季都可能捕撈到鰻苗，表示黑潮水於冬季時會進入臺灣海峽 (C)已知黑潮平均流速約1 m/s，相對於日本九州海岸，臺灣鰻苗漁汛多半提早一至兩天 (D)鰻的幼魚利用黑潮移動，所以在日本、韓國、臺灣、大陸等地都可以捕撈鰻苗 (E)近岸海水及河流的污染，及生態環境破壞，可能是鰻魚產量變少的原因之一</t>
  </si>
  <si>
    <t>36.鰻魚可感知鹽度以找尋適當河川。已知表層之黑潮水鹽度為33 ‰，河水鹽度為1 ‰，假設水體充分混合，當鰻魚所在水域之鹽度為25 ‰時，黑潮水與河水混合的重量比例為何？ (A) 3:1 (B) 2:3 (C)1:1 (D) 3: 2 (E)1: 2</t>
  </si>
  <si>
    <t>37-42題為題組 黑碳是指生質或化石燃料經不完全燃燒形成的產物，可經過幾千年到幾百萬年，不易分解。小芊想測量古地質樣品中的黑碳，老師告訴小芊，樣品中還有許多含碳物質，如動植物殘骸、化石燃料及油母質等，會影響黑碳含量的評估，因此必須先分離出不是屬於黑碳的碳質。油母質是指動植物遺骸(通常是藻類或木質植物)在地下深處被細菌分解，除去醣類、脂肪酸及胺基酸後，殘留下不溶於有機溶劑的高分子聚合物。 由文獻得知，以油母質與木炭做為實驗樣品，在酸性環境下，使用甲、乙、丙三種不同濃度的二鉻酸()進行反應，得不同的反應時間點下，碳的殘留百分比，如圖17。
第一張圖(油母質樣品)：
圖中顯示了油母質樣品在不同濃度條件下，碳殘留隨著反應時間逐漸減少的趨勢。
隨著反應時間增加，甲、乙、丙濃度下的碳殘留百分比都呈現下降的趨勢，但下降的速率不同。
可以看到最初的碳殘留百分比很高，接近100%，但隨著時間的推移逐漸下降，並在接近300小時時，殘留量趨於平穩。
第二張圖(木炭)：
圖示了木炭在不同濃度條件下，碳殘留隨著反應時間的變化。
不同於油母質樣品，木炭在整個反應時間範圍內，碳的殘留百分比基本保持穩定，接近80%-90%，並沒有明顯的下降趨勢。
根據上文與實驗結果，回答下列問題。</t>
  </si>
  <si>
    <t>37.圖17顯示油母質與木炭樣品分別與二鉻酸溶液反應，得碳的殘留百分比不同。下列關於實驗結果與推論的敘述，哪些正確？(應選2項) (A)油母質中的碳質相較木炭中的碳質的分子量大 (B)油母質中的碳質顆粒較小，木炭中的碳質顆粒較大 (C)油母質中碳的殘留百分比較木炭為低，是因油母質較易與二鉻酸溶液反應 (D)油母質中的碳質比木炭中的碳質容易被還原 (E)木炭中碳的殘留百分比，不因二鉻酸溶液濃度的不同而有明顯差異</t>
  </si>
  <si>
    <t>38.文獻中常以二鉻酸溶液來分離不屬於黑碳的物質，從圖17的結果，回答下列問題：甲、乙、丙三種溶液中的二鉻酸濃度大小關係為何？ （2 分）</t>
  </si>
  <si>
    <t>丙＞乙＞甲</t>
  </si>
  <si>
    <t>甲 &gt; 乙 &gt; 丙</t>
  </si>
  <si>
    <t>39.	燃燒煤或有機生質產生的黑碳可以懸浮於大氣中，形成懸浮微粒，並影響地球氣溫。若要估計黑碳對地球氣溫影響的程度，應該蒐集下列哪些資料比較合理？(應選2項) (A)大氣中黑碳的總量 (B)沉積於地殼中黑碳的總量 (C)黑碳中含碳分子的分子量 (D)單位重量黑碳微粒所吸收太陽輻射的量 (E)家用烹調與暖氣加熱所排放出的黑碳總量</t>
  </si>
  <si>
    <r>
      <rPr>
        <sz val="11"/>
        <color theme="1"/>
        <rFont val="PMingLiu"/>
        <family val="1"/>
        <charset val="136"/>
      </rPr>
      <t>40. 若黑碳沉降到極區冰川表面，對冰雪消融速率有何種影響？填入適當的詞彙。 冰雪消融速率會_________</t>
    </r>
    <r>
      <rPr>
        <u/>
        <sz val="11"/>
        <color theme="1"/>
        <rFont val="Arial"/>
        <family val="2"/>
      </rPr>
      <t xml:space="preserve">_____          </t>
    </r>
    <r>
      <rPr>
        <u/>
        <sz val="11"/>
        <color theme="1"/>
        <rFont val="PMingLiu"/>
        <family val="1"/>
        <charset val="136"/>
      </rPr>
      <t>（2 分）</t>
    </r>
    <r>
      <rPr>
        <u/>
        <sz val="11"/>
        <color theme="1"/>
        <rFont val="Arial"/>
        <family val="2"/>
      </rPr>
      <t xml:space="preserve">                 </t>
    </r>
  </si>
  <si>
    <t>增加</t>
  </si>
  <si>
    <t>41.	在古土壤與二鉻酸充分反應移除不屬於黑碳的碳質後，以下實驗敘述，何者可以較易且最準確地得到樣品中黑碳含量？ (A)直接烘乾秤重 (B)以有機溶劑充分潤洗後烘乾秤重 (C)在氧氣下點火充分燃燒，產生的氣體用排水集氣法收集 (D)在氧氣下點火充分燃燒後，產生的氣體依序通入過氯酸鎂、氫氧化鈉後再分別秤重 (E)通入氫氣反應，測量生成的甲烷體積</t>
  </si>
  <si>
    <t xml:space="preserve">42.	「碳循環」有地球的控溫系統之稱，下列有關碳循環的敘述哪些正確？(應選3項) (A)火山噴發會將岩石圈內的二氧化碳釋放至大氣中 (B)植物會進行消除二氧化碳的作用，也會進行呼吸作用釋放二氧化碳 (C)海水可無限制地溶入二氧化碳，藉由溫鹽環流帶往深海，再將其封存於岩石圈 (D)扣除人類活動影響，大氣中二氧化碳的比例從地球誕生以來無大幅度改變 (E)人類大量使用化石燃料，將大量二氧化碳釋放到大氣中，破壞了原有的碳循環平衡 </t>
  </si>
  <si>
    <r>
      <rPr>
        <sz val="11"/>
        <color theme="1"/>
        <rFont val="PMingLiu"/>
        <family val="1"/>
        <charset val="136"/>
      </rPr>
      <t>43-45題為題組 某海岸有不同高程的海階，如圖18的T₀至T</t>
    </r>
    <r>
      <rPr>
        <sz val="11"/>
        <color theme="1"/>
        <rFont val="新細明體"/>
        <family val="1"/>
        <charset val="136"/>
      </rPr>
      <t>₃</t>
    </r>
    <r>
      <rPr>
        <sz val="11"/>
        <color theme="1"/>
        <rFont val="新細明體"/>
        <family val="1"/>
        <charset val="136"/>
      </rPr>
      <t>所示。
這張圖片展示了一個地層剖面的示意圖，標示了不同的地質層及其相對位置，重點描述沉積物層、海蝕凹壁以及底部的火成岩基層。圖中的垂直軸表示深度(以公尺為單位)，水平軸表示距離，單位同樣是公尺。這張圖可能用於解釋一個沿海地區或大陸邊緣的地質剖面特徵。
圖片中的主要元素：
火成岩層(底部交叉紋理區域)：
位於剖面的基底，表示這是一個由火成岩構成的基岩層。火成岩是由岩漿或熔岩冷卻後形成的岩石，通常位於地層的深處，作為地質基礎。
沉積物層(灰色填充區域)：
覆蓋在火成岩之上，代表在火成岩之後由沉積作用形成的地層。這些沉積物可能來自於風化、侵蝕、運輸和沉積過程。隨著距離的增加，沉積物層逐漸變薄。
海蝕凹壁：
海蝕凹壁指的是由海水侵蝕作用所形成的地形特徵，通常出現在海岸邊緣，顯示出沉積物層的邊緣受到海洋侵蝕。這部分的輪廓顯示了不規則的凹陷形狀，表明海水對這些地層的侵蝕過程。
不同地層標記(T₀、T</t>
    </r>
    <r>
      <rPr>
        <sz val="11"/>
        <color theme="1"/>
        <rFont val="新細明體"/>
        <family val="1"/>
        <charset val="136"/>
      </rPr>
      <t>₁</t>
    </r>
    <r>
      <rPr>
        <sz val="11"/>
        <color theme="1"/>
        <rFont val="新細明體"/>
        <family val="1"/>
        <charset val="136"/>
      </rPr>
      <t>、T</t>
    </r>
    <r>
      <rPr>
        <sz val="11"/>
        <color theme="1"/>
        <rFont val="新細明體"/>
        <family val="1"/>
        <charset val="136"/>
      </rPr>
      <t>₂</t>
    </r>
    <r>
      <rPr>
        <sz val="11"/>
        <color theme="1"/>
        <rFont val="新細明體"/>
        <family val="1"/>
        <charset val="136"/>
      </rPr>
      <t>、T</t>
    </r>
    <r>
      <rPr>
        <sz val="11"/>
        <color theme="1"/>
        <rFont val="新細明體"/>
        <family val="1"/>
        <charset val="136"/>
      </rPr>
      <t>₃</t>
    </r>
    <r>
      <rPr>
        <sz val="11"/>
        <color theme="1"/>
        <rFont val="新細明體"/>
        <family val="1"/>
        <charset val="136"/>
      </rPr>
      <t>)：
這些標記代表了不同的地層界面，從最上層的T</t>
    </r>
    <r>
      <rPr>
        <sz val="11"/>
        <color theme="1"/>
        <rFont val="新細明體"/>
        <family val="1"/>
        <charset val="136"/>
      </rPr>
      <t>₃</t>
    </r>
    <r>
      <rPr>
        <sz val="11"/>
        <color theme="1"/>
        <rFont val="新細明體"/>
        <family val="1"/>
        <charset val="136"/>
      </rPr>
      <t>到最底層的T₀，分別對應於沉積物層的不同深度或時期。
T₀靠近最底部，接近火成岩層，表示最早形成的沉積層。
T</t>
    </r>
    <r>
      <rPr>
        <sz val="11"/>
        <color theme="1"/>
        <rFont val="新細明體"/>
        <family val="1"/>
        <charset val="136"/>
      </rPr>
      <t>₁</t>
    </r>
    <r>
      <rPr>
        <sz val="11"/>
        <color theme="1"/>
        <rFont val="新細明體"/>
        <family val="1"/>
        <charset val="136"/>
      </rPr>
      <t>、T</t>
    </r>
    <r>
      <rPr>
        <sz val="11"/>
        <color theme="1"/>
        <rFont val="新細明體"/>
        <family val="1"/>
        <charset val="136"/>
      </rPr>
      <t>₂</t>
    </r>
    <r>
      <rPr>
        <sz val="11"/>
        <color theme="1"/>
        <rFont val="新細明體"/>
        <family val="1"/>
        <charset val="136"/>
      </rPr>
      <t>、T</t>
    </r>
    <r>
      <rPr>
        <sz val="11"/>
        <color theme="1"/>
        <rFont val="新細明體"/>
        <family val="1"/>
        <charset val="136"/>
      </rPr>
      <t>₃</t>
    </r>
    <r>
      <rPr>
        <sz val="11"/>
        <color theme="1"/>
        <rFont val="新細明體"/>
        <family val="1"/>
        <charset val="136"/>
      </rPr>
      <t>則是逐漸向上的地層，顯示沉積物層隨時間累積，形成多層結構。
海階常有海蝕凹壁。小莉推論海蝕凹壁為當地堅硬的火成岩壁受潮水長期侵蝕而成。海蝕凹壁上常有大量的穿孔貝附著在凹壁上。穿孔貝僅在潮起潮落之間的高度存活，無法長期離開水面。因此，小莉推論此海階上的海蝕凹壁主要由大地震所造成的垂直抬升而成。小莉詳細丈量每個海階和海蝕凹壁的高程，並利用凹壁上穿孔貝的碳進行碳-14定年分析。所得的結果如表3所示。
T₀：累積高度為0公尺，定年結果為0年，這可能代表火成岩基底層，或是最早形成的沉積物層。
T</t>
    </r>
    <r>
      <rPr>
        <sz val="11"/>
        <color theme="1"/>
        <rFont val="新細明體"/>
        <family val="1"/>
        <charset val="136"/>
      </rPr>
      <t>₁</t>
    </r>
    <r>
      <rPr>
        <sz val="11"/>
        <color theme="1"/>
        <rFont val="新細明體"/>
        <family val="1"/>
        <charset val="136"/>
      </rPr>
      <t>：累積高度為6公尺，定年結果為800年，表示在T₀之上6公尺處的地層約形成於800年前。
T</t>
    </r>
    <r>
      <rPr>
        <sz val="11"/>
        <color theme="1"/>
        <rFont val="新細明體"/>
        <family val="1"/>
        <charset val="136"/>
      </rPr>
      <t>₂</t>
    </r>
    <r>
      <rPr>
        <sz val="11"/>
        <color theme="1"/>
        <rFont val="新細明體"/>
        <family val="1"/>
        <charset val="136"/>
      </rPr>
      <t>：累積高度為10公尺，定年結果為1600年，這層地層位於T</t>
    </r>
    <r>
      <rPr>
        <sz val="11"/>
        <color theme="1"/>
        <rFont val="新細明體"/>
        <family val="1"/>
        <charset val="136"/>
      </rPr>
      <t>₁</t>
    </r>
    <r>
      <rPr>
        <sz val="11"/>
        <color theme="1"/>
        <rFont val="新細明體"/>
        <family val="1"/>
        <charset val="136"/>
      </rPr>
      <t>上方4公尺處，並大約形成於1600年前。
T</t>
    </r>
    <r>
      <rPr>
        <sz val="11"/>
        <color theme="1"/>
        <rFont val="新細明體"/>
        <family val="1"/>
        <charset val="136"/>
      </rPr>
      <t>₃</t>
    </r>
    <r>
      <rPr>
        <sz val="11"/>
        <color theme="1"/>
        <rFont val="新細明體"/>
        <family val="1"/>
        <charset val="136"/>
      </rPr>
      <t>：累積高度為18公尺，定年結果為2400年，這是最上層的沉積物層，約形成於2400年前。</t>
    </r>
  </si>
  <si>
    <t>43.	該海蝕凹壁生成的過程中，下列何項地質作用影響最小？ (A)侵蝕作用	(B)搬運作用	(C)變質作用 (D)風化作用	(E)大地震瞬間抬升</t>
  </si>
  <si>
    <t>44.有關碳-14定年的敘述，下列哪些正確？(應選2項) (A)碳-14定年法為絕對地質年代定年法 (B)碳-14具放射性 (C)碳-14之半衰期約為5730年，此定年方式適用於時間尺度十萬年以上事件之探討 (D)碳-14定年中，母元素含量的比例隨時間呈線性衰減 (E)碳-14和碳-12是同位素，碳-14的原子核由8個質子和6個中子組成</t>
  </si>
  <si>
    <r>
      <rPr>
        <sz val="11"/>
        <color theme="1"/>
        <rFont val="PMingLiu"/>
        <family val="1"/>
        <charset val="136"/>
      </rPr>
      <t>45. 若此海岸海階的形成主要由偶發大地震事件所引起，假設在兩次大地震之間無明顯抬升與海水面高度變化，請依下列坐標軸與表3 的數據，畫出此海岸T</t>
    </r>
    <r>
      <rPr>
        <sz val="11"/>
        <color theme="1"/>
        <rFont val="MS Gothic"/>
        <family val="3"/>
        <charset val="128"/>
      </rPr>
      <t>₀</t>
    </r>
    <r>
      <rPr>
        <sz val="11"/>
        <color theme="1"/>
        <rFont val="新細明體"/>
        <family val="1"/>
        <charset val="136"/>
      </rPr>
      <t>至T</t>
    </r>
    <r>
      <rPr>
        <sz val="11"/>
        <color theme="1"/>
        <rFont val="Cambria Math"/>
        <family val="1"/>
      </rPr>
      <t>₃</t>
    </r>
    <r>
      <rPr>
        <sz val="11"/>
        <color theme="1"/>
        <rFont val="微軟正黑體"/>
        <family val="2"/>
        <charset val="136"/>
      </rPr>
      <t>期間，最符合上述地體抬升情形之累積高程</t>
    </r>
    <r>
      <rPr>
        <sz val="11"/>
        <color theme="1"/>
        <rFont val="Arial"/>
        <family val="2"/>
      </rPr>
      <t>(</t>
    </r>
    <r>
      <rPr>
        <sz val="11"/>
        <color theme="1"/>
        <rFont val="微軟正黑體"/>
        <family val="2"/>
        <charset val="136"/>
      </rPr>
      <t>縱軸</t>
    </r>
    <r>
      <rPr>
        <sz val="11"/>
        <color theme="1"/>
        <rFont val="Arial"/>
        <family val="2"/>
      </rPr>
      <t>)</t>
    </r>
    <r>
      <rPr>
        <sz val="11"/>
        <color theme="1"/>
        <rFont val="微軟正黑體"/>
        <family val="2"/>
        <charset val="136"/>
      </rPr>
      <t>隨時間</t>
    </r>
    <r>
      <rPr>
        <sz val="11"/>
        <color theme="1"/>
        <rFont val="Arial"/>
        <family val="2"/>
      </rPr>
      <t>(</t>
    </r>
    <r>
      <rPr>
        <sz val="11"/>
        <color theme="1"/>
        <rFont val="微軟正黑體"/>
        <family val="2"/>
        <charset val="136"/>
      </rPr>
      <t>橫軸</t>
    </r>
    <r>
      <rPr>
        <sz val="11"/>
        <color theme="1"/>
        <rFont val="Arial"/>
        <family val="2"/>
      </rPr>
      <t>)</t>
    </r>
    <r>
      <rPr>
        <sz val="11"/>
        <color theme="1"/>
        <rFont val="微軟正黑體"/>
        <family val="2"/>
        <charset val="136"/>
      </rPr>
      <t xml:space="preserve">的變化圖
注意：由大地震引起的快速抬升，和緩慢抬升是有所不同的。
</t>
    </r>
    <r>
      <rPr>
        <sz val="11"/>
        <color theme="1"/>
        <rFont val="Arial"/>
        <family val="2"/>
      </rPr>
      <t>(</t>
    </r>
    <r>
      <rPr>
        <sz val="11"/>
        <color theme="1"/>
        <rFont val="微軟正黑體"/>
        <family val="2"/>
        <charset val="136"/>
      </rPr>
      <t>這張圖是一個空白的折線圖，橫軸表示時間</t>
    </r>
    <r>
      <rPr>
        <sz val="11"/>
        <color theme="1"/>
        <rFont val="Arial"/>
        <family val="2"/>
      </rPr>
      <t>(</t>
    </r>
    <r>
      <rPr>
        <sz val="11"/>
        <color theme="1"/>
        <rFont val="微軟正黑體"/>
        <family val="2"/>
        <charset val="136"/>
      </rPr>
      <t>以年為單位</t>
    </r>
    <r>
      <rPr>
        <sz val="11"/>
        <color theme="1"/>
        <rFont val="Arial"/>
        <family val="2"/>
      </rPr>
      <t>)</t>
    </r>
    <r>
      <rPr>
        <sz val="11"/>
        <color theme="1"/>
        <rFont val="微軟正黑體"/>
        <family val="2"/>
        <charset val="136"/>
      </rPr>
      <t>，縱軸表示累積高度</t>
    </r>
    <r>
      <rPr>
        <sz val="11"/>
        <color theme="1"/>
        <rFont val="Arial"/>
        <family val="2"/>
      </rPr>
      <t>(</t>
    </r>
    <r>
      <rPr>
        <sz val="11"/>
        <color theme="1"/>
        <rFont val="微軟正黑體"/>
        <family val="2"/>
        <charset val="136"/>
      </rPr>
      <t>以公尺為單位</t>
    </r>
    <r>
      <rPr>
        <sz val="11"/>
        <color theme="1"/>
        <rFont val="Arial"/>
        <family val="2"/>
      </rPr>
      <t>)</t>
    </r>
    <r>
      <rPr>
        <sz val="11"/>
        <color theme="1"/>
        <rFont val="微軟正黑體"/>
        <family val="2"/>
        <charset val="136"/>
      </rPr>
      <t>。該圖顯示了時間與累積高度之間的關係，數據範圍為時間從</t>
    </r>
    <r>
      <rPr>
        <sz val="11"/>
        <color theme="1"/>
        <rFont val="Arial"/>
        <family val="2"/>
      </rPr>
      <t>0</t>
    </r>
    <r>
      <rPr>
        <sz val="11"/>
        <color theme="1"/>
        <rFont val="微軟正黑體"/>
        <family val="2"/>
        <charset val="136"/>
      </rPr>
      <t>年到</t>
    </r>
    <r>
      <rPr>
        <sz val="11"/>
        <color theme="1"/>
        <rFont val="Arial"/>
        <family val="2"/>
      </rPr>
      <t>3000</t>
    </r>
    <r>
      <rPr>
        <sz val="11"/>
        <color theme="1"/>
        <rFont val="微軟正黑體"/>
        <family val="2"/>
        <charset val="136"/>
      </rPr>
      <t>年，累積高度從</t>
    </r>
    <r>
      <rPr>
        <sz val="11"/>
        <color theme="1"/>
        <rFont val="Arial"/>
        <family val="2"/>
      </rPr>
      <t>0</t>
    </r>
    <r>
      <rPr>
        <sz val="11"/>
        <color theme="1"/>
        <rFont val="微軟正黑體"/>
        <family val="2"/>
        <charset val="136"/>
      </rPr>
      <t>公尺到</t>
    </r>
    <r>
      <rPr>
        <sz val="11"/>
        <color theme="1"/>
        <rFont val="Arial"/>
        <family val="2"/>
      </rPr>
      <t>25</t>
    </r>
    <r>
      <rPr>
        <sz val="11"/>
        <color theme="1"/>
        <rFont val="微軟正黑體"/>
        <family val="2"/>
        <charset val="136"/>
      </rPr>
      <t>公尺。</t>
    </r>
    <r>
      <rPr>
        <sz val="11"/>
        <color theme="1"/>
        <rFont val="Arial"/>
        <family val="2"/>
      </rPr>
      <t>)</t>
    </r>
    <r>
      <rPr>
        <sz val="11"/>
        <color theme="1"/>
        <rFont val="微軟正黑體"/>
        <family val="2"/>
        <charset val="136"/>
      </rPr>
      <t>。
並列式計算此海岸</t>
    </r>
    <r>
      <rPr>
        <sz val="11"/>
        <color theme="1"/>
        <rFont val="Arial"/>
        <family val="2"/>
      </rPr>
      <t>T</t>
    </r>
    <r>
      <rPr>
        <sz val="11"/>
        <color theme="1"/>
        <rFont val="Cambria Math"/>
        <family val="1"/>
      </rPr>
      <t>₀</t>
    </r>
    <r>
      <rPr>
        <sz val="11"/>
        <color theme="1"/>
        <rFont val="微軟正黑體"/>
        <family val="2"/>
        <charset val="136"/>
      </rPr>
      <t>至</t>
    </r>
    <r>
      <rPr>
        <sz val="11"/>
        <color theme="1"/>
        <rFont val="Arial"/>
        <family val="2"/>
      </rPr>
      <t>T</t>
    </r>
    <r>
      <rPr>
        <sz val="11"/>
        <color theme="1"/>
        <rFont val="Cambria Math"/>
        <family val="1"/>
      </rPr>
      <t>₃</t>
    </r>
    <r>
      <rPr>
        <sz val="11"/>
        <color theme="1"/>
        <rFont val="微軟正黑體"/>
        <family val="2"/>
        <charset val="136"/>
      </rPr>
      <t>期間的平均抬升速率</t>
    </r>
    <r>
      <rPr>
        <sz val="11"/>
        <color theme="1"/>
        <rFont val="Arial"/>
        <family val="2"/>
      </rPr>
      <t>(</t>
    </r>
    <r>
      <rPr>
        <sz val="11"/>
        <color theme="1"/>
        <rFont val="微軟正黑體"/>
        <family val="2"/>
        <charset val="136"/>
      </rPr>
      <t>單位為</t>
    </r>
    <r>
      <rPr>
        <sz val="11"/>
        <color theme="1"/>
        <rFont val="Arial"/>
        <family val="2"/>
      </rPr>
      <t>mm/</t>
    </r>
    <r>
      <rPr>
        <sz val="11"/>
        <color theme="1"/>
        <rFont val="微軟正黑體"/>
        <family val="2"/>
        <charset val="136"/>
      </rPr>
      <t>年，計算至小數點第一位</t>
    </r>
    <r>
      <rPr>
        <sz val="11"/>
        <color theme="1"/>
        <rFont val="Arial"/>
        <family val="2"/>
      </rPr>
      <t xml:space="preserve">) </t>
    </r>
    <r>
      <rPr>
        <sz val="11"/>
        <color theme="1"/>
        <rFont val="微軟正黑體"/>
        <family val="2"/>
        <charset val="136"/>
      </rPr>
      <t xml:space="preserve">。（2 分）
</t>
    </r>
  </si>
  <si>
    <t>一、
二、(18-0)m/(2400-0)年=18000nm/2400年=7.5nm/年；(6m/800年+4m/800年+8m/800年)÷3=7.5nm/年</t>
  </si>
  <si>
    <t>7.5mm/年</t>
  </si>
  <si>
    <t>7.5 毫米/年</t>
  </si>
  <si>
    <t xml:space="preserve"> 7.5 mm/年</t>
  </si>
  <si>
    <t>7.5nm/年</t>
  </si>
  <si>
    <t>46-48題為題組
新冠肺炎(Coronavirus Disease 2019, COVID-19)是由SARS-CoV-2導致的傳染性肺炎，並且引發全球大流行之疫情。依據您所學的生物學知識及最近社會大眾對病毒、疫苗及疫情之關心及問題探討，回答46-48題。</t>
  </si>
  <si>
    <t>46. 圖19 這張圖片展示了一個化學結構圖，似乎代表某種有機分子的結構。圖中主要包括三個部分：
甲：位於五邊形左側，表示一個環狀結構連接的部分。
乙：五邊形結構，通常代表的是一個五元環乙的標記可能指代該五元環的核心部分。
丙：位於右側，從五邊形延伸出去，連接到一個矩形，這可能是某個附加的基團或另一個分子片段。
為冠狀病毒RNA 中核苷酸之模式圖，有關此圖之描述下列哪些正確？(應選3 項)
(A)甲為磷酸基
(B)乙為去氧核糖
(C)丙可能是胞嘧啶
(D)丙可能是鳥糞嘌呤
(E)丙不可能是尿嘧啶</t>
  </si>
  <si>
    <t>47. 有關冠狀病毒在目前三域生物分類系統歸類的敘述，哪些正確？（應選2 項）
(A)此病毒長度通常小於1 μm，長度太小是目前生物分類系統未將病毒列入的原因
(B)此病毒之核心不具DNA，是被排除在目前生物分類系統之外的主要原因
(C)此病毒缺乏基本的細胞結構，故尚待分類學者引入生物分類系統
(D)此病毒的基因重組現象相當高，故較不適於分析同源結構來重建其演化關係
(E)此病毒SARS-CoV-2未使用二名法為學名，是目前尚未將它納入生物系統之主因</t>
  </si>
  <si>
    <t>48. 分析不同新冠病毒的完整基因體，並以來自蝙蝠之病毒RNA 做為親緣關係網絡圖的根，如圖20，
以下是對這張圖的完整歸納和解釋：
1. 蝙蝠病毒RNA：
位於親緣關係圖的最底部，是所有新冠病毒的共同祖先。
蝙蝠病毒RNA作為根，意味著所有現代的新冠病毒株都可以追溯到來自蝙蝠的RNA序列。
2. 中心點變異病毒株(X、Y、Z)：
X、Y、Z是三個關鍵的中心變異病毒株，分別代表了新冠病毒從蝙蝠病毒RNA開始演化後的重要分支：
X病毒株：位於圖的中間偏下部分，與蝙蝠病毒RNA的關係最接近，代表了一個早期的病毒變異體。
Y病毒株：位於圖的頂部，表示一個更大範圍的變異，可能是演化過程中的另一個關鍵變異體。
Z病毒株：介於X和Y之間，可能代表了一個中間變異，連接了X與Y病毒株的演化過程。
3. 各地點病毒株RNA：
圖中標示了不同地點(如甲地、乙地、丙地、丁地等)的病毒RNA株，這些地點的病毒株通過分支與X、Y、Z病毒株連接，顯示了它們的親緣關係：
甲地、乙地：這兩個地點的病毒RNA與X病毒株親緣關係最接近，表示這些地區的病毒株與X病毒株來自同一個較早期的演化分支。
丙地、丁地、戊地：這些地點的病毒株與Y病毒株關係更為密切，顯示這些地區的病毒株經歷了較多的變異，可能是較晚期的演化產物。
庚地、辛地、己地：這些地點的病毒RNA與Z病毒株親緣關係最接近，這些地區的病毒株可能是從Z病毒株衍生而來的。
4. 線段長度的意涵：
親緣圖中的線段長度代表RNA序列之間的差異程度。線段越長，表示序列差異越大，顯示出病毒在這些地點或變異株中發生了更多的基因變異。
X病毒株與蝙蝠病毒RNA之間的線段較短，表示它們之間的基因差異較小，而其他如Y和Z病毒株的線段較長，顯示它們與蝙蝠病毒RNA的差異較大。
5. 親緣關係最接近的地點：
甲地的病毒RNA與X病毒株以及蝙蝠病毒RNA的親緣關係最接近，這說明甲地的病毒株可能保留了更多的祖先特徵，經歷的基因變異較少。
其中之線段長度代表RNA 序列之差異程度；X、Y 及Z 分別為不同中心點變異病毒株的RNA；以及甲～辛等代表各地點病毒株的RNA。請擷取此圖資訊，繪一個蝙蝠病毒RNA、X、Y 及Z 之分支關係圖。（3 分）
並寫出哪一地點的病毒RNA，與X 和蝙蝠病毒RNA 親緣關係最接近。 （1 分）</t>
  </si>
  <si>
    <t>一、
二、辛地 或 辛</t>
  </si>
  <si>
    <t>甲地</t>
  </si>
  <si>
    <t xml:space="preserve">甲地 </t>
  </si>
  <si>
    <t>分支圖：蝙蝠病毒RNA → X → Z → Y；最接近 X 和蝙蝠病毒RNA 的地點：甲地</t>
  </si>
  <si>
    <t>親緣關係分析：
1. 分支圖：根部為「蝙蝠病毒」，直接相連的是 X。接著 X 分支產生 Y 與 Z。
2. 親緣最接近：甲地。因為甲地與 X 以及根部（蝙蝠）之間的線段最短，代表變異最少。</t>
  </si>
  <si>
    <t>49-54題為題組
測量血液流速的血流儀是以都卜勒效應為原理製成。若血流儀的感測器以頻率為f 的聲波或光波入射到血液，而接收到的反射波頻率為( f +Δf )，Δf 的量值與血液流速可
近似為成正比。圖21為探究飲酒對於血液流速影響的監測數據曲線。
圖表的詳細描述：
飲酒前(灰色曲線)：
飲酒前，血液流速相對較低，流速值約在20左右，且在整個觀察期內變化不大，波動相對較小。這表明在沒有飲酒的情況下，血液流速較穩定。
飲酒後(黑色曲線)：
飲酒後，血液流速明顯增加，流速值大約維持在40至60之間，顯示出血液流動加快，並且波動明顯較大。這可能是飲酒後引發血管擴張、血液流動加快的結果。
圖中標註了「血液流速增加」，具體顯示了飲酒後與飲酒前血液流速的顯著差異。</t>
  </si>
  <si>
    <t xml:space="preserve">49. 飲酒後，血液流速隨著時間變化可近似為週期波，且有高頻低幅的成分與低頻高幅的成分。如圖21所示，飲酒後的監測數據曲線強如週期大且振幅大的波動與週期小且振幅小的波動疊加，其中前者稱為低頻高幅，後者稱為高頻低幅。假設高頻的成分頻率為 fH，低頻的成分頻率為 fS，依據這項血液流速的探究與分析，下列哪些正確？(應選2項) 
(A) fH≈10 Hz
(B) fH≈1 Hz
(C) fS≈1 Hz
(D) fS≈0.1 Hz
(E) fS≈10 Hz
</t>
  </si>
  <si>
    <t xml:space="preserve">50. 感測器靜止放置在皮膚表面，已知血液的流動方向使血液中的物質接近感測器，若監測血液流速的光波其特性代號如表4所示，則在相同的介質之中，入射波與反射波特性的關係，何者正確？
•  波速：入射波的波速用 vI 表示，反射波的波速用 vR  表示。
•  波長：入射波的波長用 λI ，反射波的波長用 λR 表示。
•  頻率：入射波的頻率用 fI 表示，反射波的頻率用 fR 表示。
•  週期：入射波的週期用 TI 表示，反射波的週期用 TR  表示。
(A) vI&gt;vR
(B) fI&gt;fR
(C) TI&lt;TR 
(D) λI&gt;λR 
(E) λI=λR
</t>
  </si>
  <si>
    <t>51. 圖22 為波自介質A 射入介質B 的示意圖。
圖中標示了介質A和介質B，波從介質A進入介質B，顯示了波在兩個介質交界面上的折射情形。
介質A：下方較深的區域，這可能是光波或波動傳播的初始介質。根據不同介質的性質，波速、波長和頻率在這裡可能會有所不同。
介質B：上方較淺的區域，當波進入這個介質時，因為介質的不同性質，波可能會發生折射或其他變化。
波在介質A 中波速較慢，在介質B 中波速較快。箭號實線代表入射線，虛線為延伸線。在答題卷中的作答區畫出
(1)法線； （1 分）
(2)波進入介質B 之後的折射線。折射線只需要畫出示意的偏右上、偏左下、或沿虛線不偏折。（1 分）</t>
  </si>
  <si>
    <t xml:space="preserve">一、
二、 </t>
  </si>
  <si>
    <t>法線：從交界面垂直向上劃出。
折射線：偏向右上方繪製，以示在 B 中波速更快。</t>
  </si>
  <si>
    <t>畫出法線：
法線是垂直於介面（兩個介質交界面）的一條直線。
在入射點（波射到介面的點）處，畫一條垂直於介面的虛線，這條線就是法線。
畫出折射線：
根據折射定律，當波從波速較慢的介質進入波速較快的介質時，折射角會大於入射角，折射線會遠離法線。
因此，折射線應該偏離法線，比入射線離法線更遠。
在圖中，因為波從介質 A 向上進入介質 B，入射線是向上且向右的斜線。
折射線應該在介質 B 中，從入射點開始，向右上方偏折，比入射線更接近介面平面。
所以，折射線應該畫為偏右上的方向。</t>
  </si>
  <si>
    <t>在介質B中，由於波速增加，折射線向法線方向偏折，呈現偏右上的趨勢。</t>
  </si>
  <si>
    <t>(1) 法線：畫在入射點、垂直介面；(2) 折射線：偏右上，且較遠離法線</t>
  </si>
  <si>
    <t>折射定律 (Snell's Law)：1. 法線：通過入射點並與介質交界面垂直的直線。2. 折射線：波從慢速介質進入快速介質（$v_A &lt; v_B$），折射角會大於入射角，因此光線會偏離法線，在圖示中應畫向**「偏右上」**的方向。</t>
  </si>
  <si>
    <t>52. 承49 題，依據生物學知識判斷，血液流速變化中高頻的成分 fH，主要是由下列何種作用或機制所影響？
(A)呼吸 (B)心跳 (C)排泄 (D)酒精發酵 (E)能量產生</t>
  </si>
  <si>
    <t>53.依據圖23 中之血液抹片圖，並假設血流儀射入一波長800 奈米的雷射光，則反射波主要由下列何者所反射？
這張圖片顯示了一個顯微鏡下的血液樣本圖像，背景中大部分是圓形的白色結構，這些應該是紅血球，並且在圖中還可以看到幾個黑色或深色的小顆粒狀結構，這些可能是白血球或其他血液成分，如嗜中性球。
分析：
紅血球(白色圓形)：大多數細胞呈圓形，沒有細胞核，這是紅血球的典型特徵。紅血球負責攜帶氧氣並將其運輸到身體各處。
白血球(黑色顆粒狀)：圖中可以看到一些深色的顆粒狀結構，這些可能是白血球，特別是嗜中性球，它們具有分葉的細胞核和顆粒性質，負責對抗感染和清除異物。
 (A)紅血球 (B)白血球 (C)血小板 (D)蛋白質 (E)水</t>
  </si>
  <si>
    <r>
      <rPr>
        <sz val="11"/>
        <color theme="1"/>
        <rFont val="PMingLiu"/>
        <family val="1"/>
        <charset val="136"/>
      </rPr>
      <t xml:space="preserve">54. 假設血流儀的雷射光能精準準射入某器官的動脈(A)、微血管(C)及靜脈(V)，且反射出的雷射光頻率變化分別為 </t>
    </r>
    <r>
      <rPr>
        <sz val="11"/>
        <color theme="1"/>
        <rFont val="Calibri"/>
        <family val="2"/>
      </rPr>
      <t>Δ</t>
    </r>
    <r>
      <rPr>
        <sz val="11"/>
        <color theme="1"/>
        <rFont val="PMingLiu"/>
        <family val="1"/>
        <charset val="136"/>
      </rPr>
      <t>fA、</t>
    </r>
    <r>
      <rPr>
        <sz val="11"/>
        <color theme="1"/>
        <rFont val="Calibri"/>
        <family val="2"/>
      </rPr>
      <t>Δ</t>
    </r>
    <r>
      <rPr>
        <sz val="11"/>
        <color theme="1"/>
        <rFont val="PMingLiu"/>
        <family val="1"/>
        <charset val="136"/>
      </rPr>
      <t xml:space="preserve">fC 及 </t>
    </r>
    <r>
      <rPr>
        <sz val="11"/>
        <color theme="1"/>
        <rFont val="Calibri"/>
        <family val="2"/>
      </rPr>
      <t>Δ</t>
    </r>
    <r>
      <rPr>
        <sz val="11"/>
        <color theme="1"/>
        <rFont val="PMingLiu"/>
        <family val="1"/>
        <charset val="136"/>
      </rPr>
      <t>fV。依血管之功能、管壁彈性和厚度、管腔之大小等因素來推斷，</t>
    </r>
    <r>
      <rPr>
        <sz val="11"/>
        <color theme="1"/>
        <rFont val="Calibri"/>
        <family val="2"/>
      </rPr>
      <t>Δ</t>
    </r>
    <r>
      <rPr>
        <sz val="11"/>
        <color theme="1"/>
        <rFont val="PMingLiu"/>
        <family val="1"/>
        <charset val="136"/>
      </rPr>
      <t>fA 、</t>
    </r>
    <r>
      <rPr>
        <sz val="11"/>
        <color theme="1"/>
        <rFont val="Calibri"/>
        <family val="2"/>
      </rPr>
      <t>Δ</t>
    </r>
    <r>
      <rPr>
        <sz val="11"/>
        <color theme="1"/>
        <rFont val="PMingLiu"/>
        <family val="1"/>
        <charset val="136"/>
      </rPr>
      <t>fC 、</t>
    </r>
    <r>
      <rPr>
        <sz val="11"/>
        <color theme="1"/>
        <rFont val="Calibri"/>
        <family val="2"/>
      </rPr>
      <t>Δ</t>
    </r>
    <r>
      <rPr>
        <sz val="11"/>
        <color theme="1"/>
        <rFont val="PMingLiu"/>
        <family val="1"/>
        <charset val="136"/>
      </rPr>
      <t xml:space="preserve">fV之大小關係應如何才合理？ 
</t>
    </r>
    <r>
      <rPr>
        <sz val="11"/>
        <color theme="1"/>
        <rFont val="Calibri"/>
        <family val="2"/>
      </rPr>
      <t>Δ</t>
    </r>
    <r>
      <rPr>
        <sz val="11"/>
        <color theme="1"/>
        <rFont val="PMingLiu"/>
        <family val="1"/>
        <charset val="136"/>
      </rPr>
      <t>fA 、</t>
    </r>
    <r>
      <rPr>
        <sz val="11"/>
        <color theme="1"/>
        <rFont val="Calibri"/>
        <family val="2"/>
      </rPr>
      <t>Δ</t>
    </r>
    <r>
      <rPr>
        <sz val="11"/>
        <color theme="1"/>
        <rFont val="PMingLiu"/>
        <family val="1"/>
        <charset val="136"/>
      </rPr>
      <t>fC 、</t>
    </r>
    <r>
      <rPr>
        <sz val="11"/>
        <color theme="1"/>
        <rFont val="Calibri"/>
        <family val="2"/>
      </rPr>
      <t>Δ</t>
    </r>
    <r>
      <rPr>
        <sz val="11"/>
        <color theme="1"/>
        <rFont val="PMingLiu"/>
        <family val="1"/>
        <charset val="136"/>
      </rPr>
      <t>fV大小關係為：________________。（2 分）</t>
    </r>
  </si>
  <si>
    <t xml:space="preserve">ΔfA&gt;ΔfV&gt;ΔfC </t>
  </si>
  <si>
    <t xml:space="preserve">Δf A &gt;Δf V&gt;Δf C
​
</t>
  </si>
  <si>
    <t>ΔfA​&gt;ΔfV​&gt;ΔfC​</t>
  </si>
  <si>
    <r>
      <rPr>
        <sz val="11"/>
        <color theme="1"/>
        <rFont val="PMingLiu"/>
        <family val="1"/>
        <charset val="136"/>
      </rPr>
      <t>55-57題為題組 含有Cr(VI)的化合物，如鉻酸根離子(CrO</t>
    </r>
    <r>
      <rPr>
        <sz val="11"/>
        <color theme="1"/>
        <rFont val="新細明體"/>
        <family val="1"/>
        <charset val="136"/>
      </rPr>
      <t>₄</t>
    </r>
    <r>
      <rPr>
        <sz val="11"/>
        <color theme="1"/>
        <rFont val="新細明體"/>
        <family val="1"/>
        <charset val="136"/>
      </rPr>
      <t>²⁻)，簡稱六價鉻。生活用品的製程中常產生六價鉻，成為影響水源的污染物。美國國家環境保護署(U.S. EPA)與世界衛生組織(WHO)，分別建議飲用水的鉻含量不可高於100 ppb與50 ppb(10⁻⁰，即十億分之一)。如何有效移除水中六價鉻，一直是科學家試圖解決的課題。受到海綿的多孔結構可以吸水的啟發，科學家以具有多孔結構的有機金屬骨架(簡稱MOF)，吸附水中的六價鉻。MOF材料除了能移除水中六價鉻外，亦可在酸性水溶液中，經照光將六價鉻轉變成毒性較低的三價鉻(Cr(III))化合物，並將材料再生使用。</t>
    </r>
  </si>
  <si>
    <t>55.	將相同重量的MOF材料，放入兩杯體積相同但六價鉻濃度不同的水溶液，靜置30分鐘後，測量水中六價鉻濃度，其結果顯示於圖24。
圖中以兩個柱狀圖分別表示了溶液一和溶液二的六價鉻濃度。
圖表解讀：
初始濃度(深色柱狀)：在溶液一和溶液二中，六價鉻的初始濃度分別為接近 500 ppb 和約 250 ppb。這表示在未經處理前，溶液中六價鉻含量較高，遠超過美國國家環境保護署(U.S. EPA)和世界衛生組織(WHO)所建議的 100 ppb 和 50 ppb 的標準(圖中的虛線部分)。
經吸附材料處理後的濃度(淺色柱狀)：經過有機金屬骨架(MOF)材料處理後，溶液一的六價鉻濃度大幅下降至低於 100 ppb，而溶液二的六價鉻濃度也明顯降低，接近 100 ppb 以下。
虛線：圖中的兩條虛線分別代表 U.S. EPA(100 ppb)和 WHO(50 ppb)對飲用水中六價鉻濃度的建議標準。圖中可以明顯看到，經過處理後，溶液中的六價鉻濃度接近或低於建議標準，表明吸附材料對去除六價鉻具有顯著效果。
下列敘述，哪些正確？(應選3項) 
(A)MOF材料在溶液一與溶液二中，對六價鉻的移除率均高於70% (B)MOF材料在溶液一與溶液二中，對六價鉻的移除率均低於30% (C)處理過後的溶液一都同時符合EPA與WHO的飲用水標準 (D)處理過後的溶液二都同時符合EPA與WHO的飲用水標準 (E)本實驗的目的在測試MOF材料對於水溶液中六價鉻的吸附能力</t>
  </si>
  <si>
    <t>56.	科學家將MOF材料與聚合物結合，做成方便回收的錠型材料(簡稱MOF@聚合物)，並測試MOF材料與聚合物結合對於吸附六價鉻的能力，結果如圖25所示。
這張圖表展示了四種狀況下的六價鉻濃度(ppm)，並比較了使用不同材料處理後的結果。橫軸標示了不同的處理方式，縱軸顯示了六價鉻的濃度變化。
圖表解讀：
初始濃度(深色柱狀)：圖中顯示初始六價鉻濃度接近 5 ppm，表示在未經任何處理之前，六價鉻濃度較高，處於危險範圍內。
MOF材料處理後的濃度(淺色柱狀)：MOF材料處理後，六價鉻濃度大幅下降至接近 1 ppm。這顯示MOF材料對去除六價鉻有顯著效果。
MOF@聚合物處理後的濃度：使用 MOF 與聚合物結合的材料處理後，六價鉻濃度進一步下降，與僅使用 MOF 材料處理的結果相似。
聚合物處理後的濃度：僅使用聚合物材料處理，六價鉻濃度仍接近初始濃度，顯示聚合物單獨使用對去除六價鉻效果有限。
下列敘述，哪些正確？(應選3項) (A)「吸附材料的種類」為本實驗中的操縱變因 (B)此MOF材料、錠型材料與聚合物對六價鉻的吸附能力實驗，三者應使用相同初始濃度的六價鉻 (C)剔除聚合物對於六價鉻的吸附實驗，對於MOF@聚合物實驗結果解讀沒有影響 (D)MOF@聚合物形成的材料，增加了使用上的方便性，但卻犧牲了對六價鉻的吸附能力 (E)單獨使用聚合物，幾乎沒有移除水溶液中六價鉻的能力</t>
  </si>
  <si>
    <r>
      <rPr>
        <sz val="11"/>
        <color theme="1"/>
        <rFont val="PMingLiu"/>
        <family val="1"/>
        <charset val="136"/>
      </rPr>
      <t>57. 此MOF 材料在酸性及照光的條件下，可產生如下的反應：（4 分）
Cr</t>
    </r>
    <r>
      <rPr>
        <sz val="11"/>
        <color theme="1"/>
        <rFont val="Cambria Math"/>
        <family val="1"/>
      </rPr>
      <t>₂</t>
    </r>
    <r>
      <rPr>
        <sz val="11"/>
        <color theme="1"/>
        <rFont val="Arial"/>
        <family val="2"/>
      </rPr>
      <t>O</t>
    </r>
    <r>
      <rPr>
        <sz val="11"/>
        <color theme="1"/>
        <rFont val="Cambria Math"/>
        <family val="1"/>
      </rPr>
      <t>₇</t>
    </r>
    <r>
      <rPr>
        <sz val="11"/>
        <color theme="1"/>
        <rFont val="Arial"/>
        <family val="2"/>
      </rPr>
      <t>²</t>
    </r>
    <r>
      <rPr>
        <sz val="11"/>
        <color theme="1"/>
        <rFont val="Cambria Math"/>
        <family val="1"/>
      </rPr>
      <t>⁻</t>
    </r>
    <r>
      <rPr>
        <sz val="11"/>
        <color theme="1"/>
        <rFont val="Arial"/>
        <family val="2"/>
      </rPr>
      <t xml:space="preserve"> + H</t>
    </r>
    <r>
      <rPr>
        <sz val="11"/>
        <color theme="1"/>
        <rFont val="Cambria Math"/>
        <family val="1"/>
      </rPr>
      <t>⁺</t>
    </r>
    <r>
      <rPr>
        <sz val="11"/>
        <color theme="1"/>
        <rFont val="Arial"/>
        <family val="2"/>
      </rPr>
      <t xml:space="preserve"> → Cr³</t>
    </r>
    <r>
      <rPr>
        <sz val="11"/>
        <color theme="1"/>
        <rFont val="Cambria Math"/>
        <family val="1"/>
      </rPr>
      <t>⁺</t>
    </r>
    <r>
      <rPr>
        <sz val="11"/>
        <color theme="1"/>
        <rFont val="Arial"/>
        <family val="2"/>
      </rPr>
      <t xml:space="preserve"> +H</t>
    </r>
    <r>
      <rPr>
        <sz val="11"/>
        <color theme="1"/>
        <rFont val="Cambria Math"/>
        <family val="1"/>
      </rPr>
      <t>₂</t>
    </r>
    <r>
      <rPr>
        <sz val="11"/>
        <color theme="1"/>
        <rFont val="Arial"/>
        <family val="2"/>
      </rPr>
      <t>O ….式(1)
此外，小美於化學課中，也學到如下的反應式：
Cr</t>
    </r>
    <r>
      <rPr>
        <sz val="11"/>
        <color theme="1"/>
        <rFont val="Cambria Math"/>
        <family val="1"/>
      </rPr>
      <t>₂</t>
    </r>
    <r>
      <rPr>
        <sz val="11"/>
        <color theme="1"/>
        <rFont val="Arial"/>
        <family val="2"/>
      </rPr>
      <t>O</t>
    </r>
    <r>
      <rPr>
        <sz val="11"/>
        <color theme="1"/>
        <rFont val="Cambria Math"/>
        <family val="1"/>
      </rPr>
      <t>₇</t>
    </r>
    <r>
      <rPr>
        <sz val="11"/>
        <color theme="1"/>
        <rFont val="Arial"/>
        <family val="2"/>
      </rPr>
      <t>²</t>
    </r>
    <r>
      <rPr>
        <sz val="11"/>
        <color theme="1"/>
        <rFont val="Cambria Math"/>
        <family val="1"/>
      </rPr>
      <t>⁻</t>
    </r>
    <r>
      <rPr>
        <sz val="11"/>
        <color theme="1"/>
        <rFont val="Arial"/>
        <family val="2"/>
      </rPr>
      <t xml:space="preserve"> + Fe²</t>
    </r>
    <r>
      <rPr>
        <sz val="11"/>
        <color theme="1"/>
        <rFont val="Cambria Math"/>
        <family val="1"/>
      </rPr>
      <t>⁺</t>
    </r>
    <r>
      <rPr>
        <sz val="11"/>
        <color theme="1"/>
        <rFont val="Arial"/>
        <family val="2"/>
      </rPr>
      <t xml:space="preserve"> + H</t>
    </r>
    <r>
      <rPr>
        <sz val="11"/>
        <color theme="1"/>
        <rFont val="Cambria Math"/>
        <family val="1"/>
      </rPr>
      <t>⁺</t>
    </r>
    <r>
      <rPr>
        <sz val="11"/>
        <color theme="1"/>
        <rFont val="Arial"/>
        <family val="2"/>
      </rPr>
      <t xml:space="preserve"> →Cr³</t>
    </r>
    <r>
      <rPr>
        <sz val="11"/>
        <color theme="1"/>
        <rFont val="Cambria Math"/>
        <family val="1"/>
      </rPr>
      <t>⁺</t>
    </r>
    <r>
      <rPr>
        <sz val="11"/>
        <color theme="1"/>
        <rFont val="Arial"/>
        <family val="2"/>
      </rPr>
      <t xml:space="preserve"> +Fe³</t>
    </r>
    <r>
      <rPr>
        <sz val="11"/>
        <color theme="1"/>
        <rFont val="Cambria Math"/>
        <family val="1"/>
      </rPr>
      <t>⁺</t>
    </r>
    <r>
      <rPr>
        <sz val="11"/>
        <color theme="1"/>
        <rFont val="Arial"/>
        <family val="2"/>
      </rPr>
      <t xml:space="preserve"> +H</t>
    </r>
    <r>
      <rPr>
        <sz val="11"/>
        <color theme="1"/>
        <rFont val="Cambria Math"/>
        <family val="1"/>
      </rPr>
      <t>₂</t>
    </r>
    <r>
      <rPr>
        <sz val="11"/>
        <color theme="1"/>
        <rFont val="Arial"/>
        <family val="2"/>
      </rPr>
      <t>O
試問反應式(2)是屬於哪一種類的反應？
寫出式(2)平衡反應式的係數(係數為最簡整數比)
___Cr</t>
    </r>
    <r>
      <rPr>
        <sz val="11"/>
        <color theme="1"/>
        <rFont val="Cambria Math"/>
        <family val="1"/>
      </rPr>
      <t>₂</t>
    </r>
    <r>
      <rPr>
        <sz val="11"/>
        <color theme="1"/>
        <rFont val="Arial"/>
        <family val="2"/>
      </rPr>
      <t>O</t>
    </r>
    <r>
      <rPr>
        <sz val="11"/>
        <color theme="1"/>
        <rFont val="Cambria Math"/>
        <family val="1"/>
      </rPr>
      <t>₇</t>
    </r>
    <r>
      <rPr>
        <sz val="11"/>
        <color theme="1"/>
        <rFont val="Arial"/>
        <family val="2"/>
      </rPr>
      <t>²</t>
    </r>
    <r>
      <rPr>
        <sz val="11"/>
        <color theme="1"/>
        <rFont val="Cambria Math"/>
        <family val="1"/>
      </rPr>
      <t>⁻</t>
    </r>
    <r>
      <rPr>
        <sz val="11"/>
        <color theme="1"/>
        <rFont val="Arial"/>
        <family val="2"/>
      </rPr>
      <t xml:space="preserve"> + ___Fe²</t>
    </r>
    <r>
      <rPr>
        <sz val="11"/>
        <color theme="1"/>
        <rFont val="Cambria Math"/>
        <family val="1"/>
      </rPr>
      <t>⁺</t>
    </r>
    <r>
      <rPr>
        <sz val="11"/>
        <color theme="1"/>
        <rFont val="Arial"/>
        <family val="2"/>
      </rPr>
      <t xml:space="preserve"> + ___H</t>
    </r>
    <r>
      <rPr>
        <sz val="11"/>
        <color theme="1"/>
        <rFont val="Cambria Math"/>
        <family val="1"/>
      </rPr>
      <t>⁺</t>
    </r>
    <r>
      <rPr>
        <sz val="11"/>
        <color theme="1"/>
        <rFont val="Arial"/>
        <family val="2"/>
      </rPr>
      <t xml:space="preserve"> → ___Cr³</t>
    </r>
    <r>
      <rPr>
        <sz val="11"/>
        <color theme="1"/>
        <rFont val="Cambria Math"/>
        <family val="1"/>
      </rPr>
      <t>⁺</t>
    </r>
    <r>
      <rPr>
        <sz val="11"/>
        <color theme="1"/>
        <rFont val="Arial"/>
        <family val="2"/>
      </rPr>
      <t xml:space="preserve"> + ___Fe³</t>
    </r>
    <r>
      <rPr>
        <sz val="11"/>
        <color theme="1"/>
        <rFont val="Cambria Math"/>
        <family val="1"/>
      </rPr>
      <t>⁺</t>
    </r>
    <r>
      <rPr>
        <sz val="11"/>
        <color theme="1"/>
        <rFont val="Arial"/>
        <family val="2"/>
      </rPr>
      <t xml:space="preserve"> + ___H</t>
    </r>
    <r>
      <rPr>
        <sz val="11"/>
        <color theme="1"/>
        <rFont val="Cambria Math"/>
        <family val="1"/>
      </rPr>
      <t>₂</t>
    </r>
    <r>
      <rPr>
        <sz val="11"/>
        <color theme="1"/>
        <rFont val="Arial"/>
        <family val="2"/>
      </rPr>
      <t>O</t>
    </r>
  </si>
  <si>
    <t>一、氧化還原反應、氧化還原
二、 Cr₂O₇²⁻ + 6Fe²⁺ +14 H⁺ →2Cr³⁺ +6Fe³⁺+ 7H₂O</t>
  </si>
  <si>
    <t>氧化還原反應 1, 6, 14 → 2, 6, 7。</t>
  </si>
  <si>
    <t xml:space="preserve"> 氧化還原反應Cr 
2
​
 O 
7
2−
​
 +Fe 
2+
 +H 
+
 →Cr 
3+
 +Fe 
3+
 +H 
2
​
 O
</t>
  </si>
  <si>
    <t>化還原反應，平衡反應式係數為： Cr2​O72−​+6Fe2++14H+→2Cr3++6Fe3++7H2​O</t>
  </si>
  <si>
    <t>氧化還原反應；係數：1, 6, 14, 2, 6, 7</t>
  </si>
  <si>
    <r>
      <rPr>
        <sz val="11"/>
        <color theme="1"/>
        <rFont val="PMingLiu"/>
        <family val="1"/>
        <charset val="136"/>
      </rPr>
      <t>58-60題為題組 量子科學以光電科技改善了生活，也增進了質量國際標準的精密與穩定。科學家發現電壓、電阻與電磁波能量等電磁量的量子單元，與普朗克常數</t>
    </r>
    <r>
      <rPr>
        <i/>
        <sz val="11"/>
        <color theme="1"/>
        <rFont val="新細明體"/>
        <family val="1"/>
        <charset val="136"/>
      </rPr>
      <t>h</t>
    </r>
    <r>
      <rPr>
        <sz val="11"/>
        <color theme="1"/>
        <rFont val="新細明體"/>
        <family val="1"/>
        <charset val="136"/>
      </rPr>
      <t>相關，因此</t>
    </r>
    <r>
      <rPr>
        <i/>
        <sz val="11"/>
        <color theme="1"/>
        <rFont val="新細明體"/>
        <family val="1"/>
        <charset val="136"/>
      </rPr>
      <t>h</t>
    </r>
    <r>
      <rPr>
        <sz val="11"/>
        <color theme="1"/>
        <rFont val="新細明體"/>
        <family val="1"/>
        <charset val="136"/>
      </rPr>
      <t>=6.62607015×10</t>
    </r>
    <r>
      <rPr>
        <vertAlign val="superscript"/>
        <sz val="11"/>
        <color theme="1"/>
        <rFont val="新細明體"/>
        <family val="1"/>
        <charset val="136"/>
      </rPr>
      <t>⁻³</t>
    </r>
    <r>
      <rPr>
        <vertAlign val="superscript"/>
        <sz val="11"/>
        <color theme="1"/>
        <rFont val="新細明體"/>
        <family val="1"/>
        <charset val="136"/>
      </rPr>
      <t>⁴</t>
    </r>
    <r>
      <rPr>
        <vertAlign val="superscript"/>
        <sz val="11"/>
        <color theme="1"/>
        <rFont val="新細明體"/>
        <family val="1"/>
        <charset val="136"/>
      </rPr>
      <t xml:space="preserve"> J˙s</t>
    </r>
    <r>
      <rPr>
        <sz val="11"/>
        <color theme="1"/>
        <rFont val="新細明體"/>
        <family val="1"/>
        <charset val="136"/>
      </rPr>
      <t>訂為新的質量基準。工程師使用類似於圖26的電磁天平來校準質量，並利用經過量子單元校正的電磁量，來測量與換算線圈的電壓與電流，藉以連結質量與普朗克常數。 某生利用積木製作一座類似於圖26等臂的電磁天平。圖中右側為秤盤，左側為線圈和磁鐵，X與Y代表固定磁鐵的兩極。以支點為軸，線圈與秤盤可以是維持於水平的靜態模式，或上下微幅振動的動態模式。
這張圖片顯示了一個電磁天平的示意圖。天平的左側有一個線圈，固定在磁鐵 X 和 Y 之上，右側有一個秤盤，秤盤上放置了質量為 M 的物體。
元件描述：
線圈：位於天平的左側，當通電時，會產生磁力。
固定磁鐵 X 和 Y：磁鐵在 X 和 Y 之間提供一個穩定的磁場，當線圈通電時，磁力會與線圈的電流產生相互作用。
磁力：由線圈中的電流和固定磁鐵之間的相互作用產生，用來平衡右側的重力。
重力：在天平的右側，質量為 M 的物體受到重力作用，拉動天平的一側。</t>
    </r>
  </si>
  <si>
    <t>58.	關於文中提到的物理量，哪個為基本量？ (A)質量	(B)電阻	(C)電壓	(D)能量	(E)磁場</t>
  </si>
  <si>
    <t>59.	靜態模式時，無電流的線圈與空的秤盤質量相同，天平最初處於水平靜止狀態。待測物置入秤盤之後，參照圖26，下列線圈電流與磁極方向的組合，哪些能使天平恢復平衡？(應選2項)
(A)：電流環的方向為順時針，磁鐵的南極 (S) 在下，北極 (N) 在上。
(B)：電流環的方向為逆時針，磁鐵的南極 (S) 在下，北極 (N) 在上。
(C)：電流環的方向為順時針，磁鐵的南極 (S) 在上，北極 (N) 在下。
(D)：電流環的方向為逆時針，磁鐵的南極 (S) 在上，北極 (N) 在下。
(E)：電流環的方向為逆時針，磁鐵水平放置，南極 (S) 在左，北極 (N) 在右。</t>
  </si>
  <si>
    <r>
      <rPr>
        <sz val="11"/>
        <color theme="1"/>
        <rFont val="PMingLiu"/>
        <family val="1"/>
        <charset val="136"/>
      </rPr>
      <t>60. 靜態模式時，線圈電流 Ⅰ 與磁鐵之間的作用力為 FB=fBⅠ。由於缺乏檢測 fB  的設備，無法從靜態模式求得待測物的質量 M 。但可知，當線圈相對於磁鐵移動的速度為 v  時，線圈的感應電動勢(電壓)為 V=fBv，動態模式與靜態模式的 fB相同，示意如圖 27。圖中顯示了一個線圈放置在磁鐵(有 N 極和 S 極標示)上方，並連接到一個電壓表(標示為 V)。圖中的箭頭表示線圈的運動方向，這個裝置的設計用來展示電磁感應原理。（4 分）
分析線圈速度 v ，以及對應的電壓表讀數 V ，某數據如表 5
表格數據：
線圈速度 v(mm/s)：-3.8, -2.2, 0.1, 1.8, 3.6
感應電壓 V(mV)：-95, -55, 2.5, 45, 90
，並繪製感應電壓對線圈速度(V</t>
    </r>
    <r>
      <rPr>
        <sz val="11"/>
        <color theme="1"/>
        <rFont val="Cambria Math"/>
        <family val="1"/>
      </rPr>
      <t>−</t>
    </r>
    <r>
      <rPr>
        <sz val="11"/>
        <color theme="1"/>
        <rFont val="新細明體"/>
        <family val="1"/>
        <charset val="136"/>
      </rPr>
      <t>v)的關係圖，如圖 28 所示，這是一個反映感應電壓(V)與線圈速度(v)之間關係的圖表。橫軸為線圈速度(單位為 mm/s)，縱軸為感應電壓(單位為 mV)。
橫軸(線圈速度 v)：範圍從 -4 mm/s 到 4 mm/s，刻度為每格 1 mm/s。-4, -3, -2, -1, 0, 1, 2, 3, 4 (mm/s)
縱軸(感應電壓 V)：範圍從 -100 mV 到 100 mV，刻度為每格 20 mV。-100, -80, -60, -40, -20, 0, 20, 40, 60, 80, 100 (mV)
從圖上可以看到，感應電壓與線圈速度成正比關係，且線性增加或減少。
藉以推算 fB值。當天平達靜態平衡時，線圈電流為 I=40</t>
    </r>
    <r>
      <rPr>
        <sz val="11"/>
        <color theme="1"/>
        <rFont val="MS Gothic"/>
        <family val="3"/>
        <charset val="128"/>
      </rPr>
      <t> </t>
    </r>
    <r>
      <rPr>
        <sz val="11"/>
        <color theme="1"/>
        <rFont val="新細明體"/>
        <family val="1"/>
        <charset val="136"/>
      </rPr>
      <t>mA, 為單位，計算待測物的質量，須寫出計算步驟，並四捨五入至小數第 1 位。(已知重力加速度 g=9.8</t>
    </r>
    <r>
      <rPr>
        <sz val="11"/>
        <color theme="1"/>
        <rFont val="MS Gothic"/>
        <family val="3"/>
        <charset val="128"/>
      </rPr>
      <t> </t>
    </r>
    <r>
      <rPr>
        <sz val="11"/>
        <color theme="1"/>
        <rFont val="新細明體"/>
        <family val="1"/>
        <charset val="136"/>
      </rPr>
      <t>m/s²)</t>
    </r>
  </si>
  <si>
    <t>M = 1.09.8 ≈ 0.1 (kg)</t>
  </si>
  <si>
    <t xml:space="preserve"> 0.1 kg</t>
  </si>
  <si>
    <t xml:space="preserve">25 V⋅s/m  0.1 公斤
</t>
  </si>
  <si>
    <t>0.1 kg</t>
  </si>
  <si>
    <t>M=gFB​​=9.81.0​=0.10204 kg</t>
  </si>
  <si>
    <t>1.0/9.​8=102.04g</t>
  </si>
  <si>
    <t>2023_Questions</t>
  </si>
  <si>
    <t>1.	臺灣北部對「西北颱」特別敏感，因其常帶來嚴重的災害。「西北颱」係指颱風從臺灣東方海面向西北方行進，中心通過基隆與彭佳嶼之間的海面(如圖1)。
基隆：位於圖片的中央偏下位置，是主要的標示地點。
彭佳嶼：位於圖片的右上角，是基隆東北方向的小島。
總結位置關係：基隆 在 彭佳嶼 的西南方向(基隆左下、彭佳嶼右上)。
下列選項，哪些最有可能是颱風經過前後在基隆及彭佳嶼測得的風向？(應選2項) (A)基隆的風向由北風轉南風 (B)彭佳嶼的風向由北風轉南風 (C)基隆的風向由南風轉北風 (D)彭佳嶼的風向由南風轉北風 (E)基隆的風向持續吹南風</t>
  </si>
  <si>
    <t xml:space="preserve"> AD</t>
  </si>
  <si>
    <t>2.	圖2展示了兩個不同氣候條件下溫度與機率的關係，並且顯示了適應區間。具體解讀如下：
橫軸表示溫度，從「低」到「高」。
縱軸表示機率，顯示了不同溫度條件下某種生物或系統適應的概率。
圖中有兩條曲線：一條代表「現今氣候」，另一條代表「未來氣候」。未來氣候的曲線相對右移，表示未來的氣候溫度更高。
適應區間：位於甲與乙之間，這個區間代表當前生物或系統所適應的溫度範圍。現今氣候的曲線大部分位於這個區間內，而未來氣候的曲線則向右移，部分超出了這個適應區間，顯示未來的氣候變化可能超出當前適應的範圍。
甲與乙：這兩個點標示出適應區間的左右邊界，說明了當前環境下生物或系統適應的最低與最高溫度範圍。
代表某星球現今氣候與未來氣候的溫度機率分布，有一種農作物在該星球上可生存的溫度區間為甲至乙，比較該星球現今氣候與未來氣候的溫度機率分布，下列敘述何者錯誤？
 (A)現今氣候的低溫事件發生機率較高 (B)未來氣候的高溫事件發生機率較低 (C)未來氣候平均溫度比現今氣候低 (D)可耐低溫作物在該星球未來氣候較易生存 (E)該種農作物在未來氣候可適應機率較現今氣候為高</t>
  </si>
  <si>
    <t>BCDE</t>
  </si>
  <si>
    <t>3.	新聞曾報導在地球南極大陸發現來自火星的隕石，科學家何以推測該隕石來自火星？ (A)已經有載人太空船登陸火星，並曾攜回火星岩石 (B)太陽系早期火星與地球曾發生碰撞，可判斷當時有大量火星岩石掉落到地球 (C)經過化學分析，隕石中的元素同位素比例符合火星的元素同位素比例 (D)該隕石含有大量氧化鐵，呈現暗紅色 (E)該隕石外觀焦黑，有火燒的痕跡</t>
  </si>
  <si>
    <t>4.	海岸邊突然來個大浪將岸上的釣客或遊客捲入海中，這種大浪俗稱「瘋狗浪」。報載2013年11月9日強烈颱風海燕穿過菲律賓，在南海西部向越南挺進。當日臺灣北部天氣良好，無風無雨。某社區大學學員前往新北市貢寮區鼻頭角地質公園海濱從事戶外教學，地質公園海濱突然出現5公尺高的「瘋狗浪」，參觀海岸地形的遊客，遭大浪捲入海中。此次「瘋狗浪」最有可能是由哪種因素所造成的？ (A)因颱風瞬間強風直接產生的風浪 (B)因颱風外圍環流挾帶東北季風產生的湧浪 (C)因颱風造成的風浪破碎後產生的碎浪 (D)因颱風低壓引起水位高漲的暴潮 (E)因颱風造成土石崩落產生的海嘯</t>
  </si>
  <si>
    <t>5.	圖3為臺灣四個潮位站在7月26日至7月28日三天中的海水面高度紀錄，海水面高度均以基隆的海平面作為基準點。
基隆港：潮汐變化趨勢：基隆港的潮汐變化明顯，潮位在正負3公尺之間波動。每天大約經歷2次漲潮和2次退潮，漲潮和退潮的波峰與波谷非常明顯。潮位在白天和晚間都會發生大幅度變化，潮位變化規律呈現周期性。
臺中港：潮汐變化趨勢：臺中港的潮汐變化幅度與基隆港類似，也在正負3公尺左右波動。每天同樣經歷2次漲潮和2次退潮，潮位高峰和低谷明顯。漲潮和退潮的時間規律與基隆港相似，呈現較強的周期性變化。
花蓮港：潮汐變化趨勢：花蓮港的潮汐波動幅度較小，潮位在正負1公尺之間變化。雖然也有明顯的漲潮和退潮，但幅度遠小於基隆港和臺中港。潮位變化相對平緩，每天的漲退潮數量也較少，整體波動比較穩定，沒有劇烈的高低起伏。
馬祖港：潮汐變化趨勢：馬祖港的潮汐變化幅度與基隆港、臺中港相似，潮位在正負3公尺左右波動。每天大約經歷2次漲潮和2次退潮，潮位的漲落幅度大，漲潮和退潮的時間間隔規律，波峰和波谷之間的高度差距大。
若潮汐為影響港灣汙染物擴散之主因，根據這四個紀錄判斷，以下敘述哪些正確？(應選2項)          
(A)各測站每日24小時內會有兩次潮汐週期 (B)各測站乾潮的發生時間不完全相同 (C) 7月27日上午9時，各測站均處於退潮階段 (D)臺北港站的潮差較馬祖站的潮差大 (E)花蓮站附近的港灣，汙染物較難擴散</t>
  </si>
  <si>
    <t>6. 乾、溼球溫度計可用來測量空氣溼度。若甲地測得的乾、溼球溫度皆為30℃，而乙地乾、溼球溫度皆為20℃。下列敘述哪些正確？(應選2項) (A)兩地的相對溼度一樣        (B)甲地的相對溼度較高 (C)甲地的相對溼度較低        (D)兩地的水氣含量相等 (E)甲地的水氣含量較多        (F)甲地的水氣含量較少</t>
  </si>
  <si>
    <t>7.	表1為臺北氣象站2010年各月份的總降雨量、降雨日數(含雨跡日數)及雨跡日數統計表，雨跡代表當天降水量小於0.1 mm。
總降雨量(mm)：1月 105.3、2月 232.6、3月 66.5、4月 112.5、5月 183.9、6月 419.6、7月 89.1、8月 388.5、9月 144.2、10月 345.4、11月 127.3、12月 63.4；總計 2278.3。
降雨日數(天)：1月 16、2月 18、3月 11、4月 21、5月 17、6月 23、7月 13、8月 13、9月 18、10月 24、11月 19、12月 7；總計 200。
雨跡日數(天)：1月 1、2月 5、3月 5、4月 3、5月 3、6月 0、7月 1、8月 0、9月 3、10月 5、11月 1、12月 1；總計 32。
下列敘述何者正確？ (A)臺北測站2010年的平均「月降雨量」超過200 mm (B)臺北測站冬季的總降雨量高於夏季 (C)臺北測站12月發生降雨日的平均日降雨量為全年最大 (D)臺北測站8月發生降雨日的平均日降雨量大於6月 (E)若排除僅發生雨跡的日數，臺北測站2010年降雨日數仍超過半年以上</t>
  </si>
  <si>
    <t>8. 開放大洋的海表面鹽度分布與緯度有關，原因是受不同緯度的降水與蒸發結果所致。試問海面鹽度高的緯度與下列哪些大氣現象所在之處有關？(應選3項) (A)位於高壓區        (B)位於低壓區 (C)位於上升氣流區        (D)位於下降氣流區 (E)位於海面風場的輻合區        (F)位於海面風場的輻散區</t>
  </si>
  <si>
    <t>ADF</t>
  </si>
  <si>
    <t xml:space="preserve">9. 全球主要有三大地震帶，臺灣位於其中的「環太平洋地震帶」上。下列有關此地震帶的敘述何者正確？ (A)此地震帶的形成主要與張裂性板塊邊界有關 (B)地震主要發生在地殼中，所以此地震帶特徵多淺源地震 (C)此地震帶與環太平洋火山帶(火環)位置幾乎一致，有許多活火山 (D)地震與斷層活動息息相關，此地震帶的地震多半是由平移斷層活動造成 (E)臺灣位在此地震帶上，表示臺灣島與太平洋板塊相接 </t>
  </si>
  <si>
    <t>10-11題為題組 胡瓜嵌紋病毒(CMV)可使其宿主釋放特殊的氣味，吸引CMV的主要傳播媒介(蚜蟲)。CMV可感染多種作物，例如菸草。它是RNA病毒，會產生5種蛋白質，其中2b基因具有抑制植物抗病毒的能力，也能抑制宿主對抗蚜蟲。當具2b之CMV感染後，植物體上的蚜蟲會產生更多的後代，並有較高的存活率。</t>
  </si>
  <si>
    <t>10. 某研究做CMV感染試驗後，測量植株上的蚜蟲產子數和病毒量。下列哪一個結果圖最能顯示：「2b的存在有助CMV存活於植物體」？(橫軸的試驗處理：H—未受CMV感染、CMV—受正常2b基因CMV感染，及CMV-2b—受已失去2b基因CMV感染。縱軸的相對數或量已轉換為0～1間之數值。) 
(A) 顯示不同處理條件下的相對蝴蝶產子數：H 組產子數約為 0.2，CMV 組約為 0.6，CMV-2b 組約為 0.8。
說明：H 組產子數較低，CMV 組和 CMV-2b 組的產子數明顯高於 H 組。
(B) 顯示另一組實驗條件下的相對蝴蝶產子數：H 組產子數約為 0.4，CMV 組約為 0.8，CMV-2b 組約為 0.8。
說明：與 (A) 類似，H 組產子數較低，CMV 組和 CMV-2b 組的產子數較高。
(C) 顯示不同條件下的相對蝴蝶產子數：H 組產子數約為 0.8，CMV 組約為 0.2，CMV-2b 組約為 0.9。
說明：H 組的產子數稍高於 CMV 組，但 CMV-2b 組的產子數明顯高於其他兩組。
(D) 顯示不同條件下的相對病毒量：H 組病毒量約為 0.1，CMV 組約為 0.7，CMV-2b 組約為 0.5。
說明：H 組的病毒量極低，而 CMV 組的病毒量達到高峰，CMV-2b 組的病毒量也接近高峰。
(E) 顯示不同條件下的相對病毒量：H 組病毒量約為 0.1，CMV 組約為 0.8，CMV-2b 組約為 0.8。
說明：與 (D) 類似，H 組的病毒量依舊較低，而 CMV 和 CMV-2b 組的病毒量明顯高出許多。</t>
  </si>
  <si>
    <t>11.下列哪些現象具有專一性，可用來確定作物已被CMV感染？(應選2項) (A)作物中含有CMV的核糖體        (B)作物中含有CMV的RNA (C)作物中含有CMV的蛋白質        (D)作物釋放出特殊的氣味 (E)作物上發現大量蚜蟲</t>
  </si>
  <si>
    <t>12. 巴博 (Svante Paabo) 因發現了已滅絕人族成員之基因體 (DNA 之集合) 並探討現代人 (Homo sapiens) 之演化歷程，獲得 2022 年諾貝爾生理—醫學獎。從尼安德塔人的化石中，他先發現了粒線體 DNA，定序了第一個百萬個核苷酸酯的一版的粒線體序列。後來，發現一個新的已滅絕人族成員—丹尼索瓦人 (Denisovan)，並且裝其基因體序列。他的這項研究開發了全新而完整的材料，並開創了新的科學方法，為解析古的基因體學研究注入動力，以探索人族的演化過程。有關探討人類演化之科學進展，下列哪些正確？(題選 3 項)
(A) 要從化石人族之標本中取得粒線體 DNA 序列比取得細胞核 DNA 容易。
(B) 要從更多德塔人的核酸中取得相當連貫的 DNA 序列比從現代人困難許多。
(C) 假設丹尼索瓦人之最終學名為 Homo denisova，則此人與現代人非同一物種。
(D) 核基因體序列所提供的證據徹底否定了由粒線體 DNA 資料推論之人類演化過程。
(E) 掘出已博古生基因體學研究的材料和科技已經可以延伸使用到休眠紀的人類標本上。</t>
  </si>
  <si>
    <t>13.	取石蓮為材料欲觀察葉片保衛細胞之形態，下列玻片製作法何者最佳？ (A)將材料以小刀徒手切下薄片 (B)將材料以手指折撕 (C)將材料以蓋玻片壓散 (D)將材料以牙籤或解剖針塗抹於載玻片 (E)將材料直接放置於載玻片上</t>
  </si>
  <si>
    <t>14.	比較大腸桿菌和酵母菌的細胞，下列何者是它們共同擁有的結構？ (A)細胞核	(B)粒線體	(C)高基氏體	(D)核糖體	(E)內質網</t>
  </si>
  <si>
    <t>15.	某物種生殖母細胞雙套染色體數為12，下列何者正確？ (A)開始減數分裂之稍前，染色體發生聯會成為四分體數是48 (B)減數分裂一開始，每個生殖母細胞中的同源染色體數是24對 (C)減數分裂第一階段(減數分裂I)之後，每個子細胞中的二分體數是12 (D)該物種卵細胞中的染色體數是6 (E)該物種精子中的染色體數是3</t>
  </si>
  <si>
    <t>16.	「在地球上的生物經演化過程而形成目前的生物多樣性」，依此意涵下列敘述哪些正確？(應選2項) (A)地球的歷史顯示歷次物種多樣性大規模減低的主要原因是新物種出現不足 (B)大規模物種消失之後至達成生態系平衡之間，通常物種多樣性會逐漸增加 (C)除了物種多樣性外，通常生物多樣性還可在基因或生態系的層次上加以觀察 (D)若棲地複雜度增大，但因短期物種組成維持不變，故生態系多樣性仍然不變 (E)某顯性對隱性等位基因的比值為3：1，則顯示顯性表徵較隱性更適應環境</t>
  </si>
  <si>
    <t>17.	經由探討病毒的構造和功能之後，假如分類學者同意擴大以細胞為基礎的林奈分類系統，以容納病毒，則下列哪些建議應屬合理？(應選2項) (A)新立一個域 (B)新立一個界 (C)將它置入原核生物界 (D)將它置入細菌域 (E)將它置入古菌界</t>
  </si>
  <si>
    <t>18.	科學家篩到了兩個突變株(甲和乙)，其果實皆較野生型小。下列有關證實甲和乙突變為同一基因的敘述，何者正確？ (A)若甲和乙皆為隱性同型合子，進行互交，得子代為同樣小果，則可證實 (B)若甲和乙皆為顯性異型合子，進行互交，得子代為同樣小果，則可證實 (C)若甲和乙皆為顯性同型合子，進行互交，得子代為同樣小果，則可證實 (D)若甲和乙皆為隱性同型合子，進行互交，得子代果實較甲乙小，則可證實 (E)若甲和乙皆為顯性同型合子，進行互交，得子代果實較甲乙小，則可證實</t>
  </si>
  <si>
    <t>19. 酸鹼指示劑會在特定pH值範圍發生顏色轉變，常用酸鹼指示劑的變色範圍和其顏色如表2所示。 
甲基紅：在酸性環境下顯現紅色，在pH範圍4.2至6.3之間會發生變色，並在鹼性環境下變為黃色。
甲基橙：在酸性環境下顯現黃色，在pH範圍6.4至8.2之間會發生變色，並在鹼性環境下變為紅色。
酚酞：在酸性環境下無顏色，在pH範圍8.3至10.0之間會發生變色，並在鹼性環境下顯現紅色。
下列有關酸鹼指示劑的敘述，何者正確？ (A)酸鹼指示劑會因pH值變化而改變顏色，顯示它們本身可以跟酸或鹼反應 (B)將食鹽水溶液，加入少量甲基紅，會呈現紅與黃混合的橙色 (C)相同體積莫耳濃度、相同體積之鹽酸與氫氧化鈉水溶液反應後，加入少量酚酞，會呈現紅色 (D)甲基紅、酚紅、酚酞的變色範圍約為2倍氫離子濃度的差異範圍 (E)用甲基紅和酚紅的混合物當指示劑可更有效辨識強酸和強鹼</t>
  </si>
  <si>
    <r>
      <rPr>
        <sz val="11"/>
        <color theme="1"/>
        <rFont val="PMingLiu"/>
        <family val="1"/>
        <charset val="136"/>
      </rPr>
      <t>20. 文強在不同溫度下測定和KCl對水的溶解度(克/100克水)，他將數據記錄於表3，並據以繪製圖4表達溶解度與溫度的關係。
KNO</t>
    </r>
    <r>
      <rPr>
        <sz val="11"/>
        <color theme="1"/>
        <rFont val="Times New Roman"/>
        <family val="1"/>
      </rPr>
      <t>₃</t>
    </r>
    <r>
      <rPr>
        <sz val="11"/>
        <color theme="1"/>
        <rFont val="新細明體"/>
        <family val="1"/>
        <charset val="136"/>
      </rPr>
      <t xml:space="preserve"> 溶解度(克/100克水)：0°C 13.3、10°C 20.9、20°C 31.6、30°C 45.8、40°C 63.9、50°C 85.5、60°C 110、70°C 138；
KCl 溶解度(克/100克水)：0°C 27.6、10°C 31.0、20°C 34.0、30°C 37.0、40°C 40.0、50°C 42.6、60°C 45.5、70°C 48.3。
圖4溶解度圖表展示了KNO</t>
    </r>
    <r>
      <rPr>
        <sz val="11"/>
        <color theme="1"/>
        <rFont val="Times New Roman"/>
        <family val="1"/>
      </rPr>
      <t>₃</t>
    </r>
    <r>
      <rPr>
        <sz val="11"/>
        <color theme="1"/>
        <rFont val="新細明體"/>
        <family val="1"/>
        <charset val="136"/>
      </rPr>
      <t xml:space="preserve"> 和 KCl 在不同溫度下的溶解度變化。
曲線「甲」代表 KNO</t>
    </r>
    <r>
      <rPr>
        <sz val="11"/>
        <color theme="1"/>
        <rFont val="Times New Roman"/>
        <family val="1"/>
      </rPr>
      <t>₃</t>
    </r>
    <r>
      <rPr>
        <sz val="11"/>
        <color theme="1"/>
        <rFont val="新細明體"/>
        <family val="1"/>
        <charset val="136"/>
      </rPr>
      <t xml:space="preserve"> 的溶解度。隨著溫度的升高，KNO</t>
    </r>
    <r>
      <rPr>
        <sz val="11"/>
        <color theme="1"/>
        <rFont val="Times New Roman"/>
        <family val="1"/>
      </rPr>
      <t>₃</t>
    </r>
    <r>
      <rPr>
        <sz val="11"/>
        <color theme="1"/>
        <rFont val="新細明體"/>
        <family val="1"/>
        <charset val="136"/>
      </rPr>
      <t xml:space="preserve"> 的溶解度急劇增加，特別是在高溫(60°C以上)時溶解度上升得非常快。
曲線「乙」代表 KCl 的溶解度。KCl 的溶解度隨溫度的升高也有所增加，但相較於 KNO</t>
    </r>
    <r>
      <rPr>
        <sz val="11"/>
        <color theme="1"/>
        <rFont val="Times New Roman"/>
        <family val="1"/>
      </rPr>
      <t>₃</t>
    </r>
    <r>
      <rPr>
        <sz val="11"/>
        <color theme="1"/>
        <rFont val="新細明體"/>
        <family val="1"/>
        <charset val="136"/>
      </rPr>
      <t>，增加的幅度較小，變化較為平緩。
下列關於此實驗的結論及其後續實驗的敘述，何者正確？
 (A)圖4的曲線甲為KCl的溶解度與溫度的關係 (B)由圖4得知和KCl在某一溫度時具有相同的溶解度，且36.0＜＜37.0 (C)10℃時，131克飽和KCl溶液加熱蒸發10克水後，再降溫到10℃，充分攪拌該溶液待其達平衡後，則此時溶液的重量百分濃度為25% (D) 20℃時，將裝有5毫升飽和溶液的試管，置於裝有100毫升水的燒杯中，並於燒杯中加入10克固體，充分攪拌待其溶解後，則可見到試管中有結晶析出 (E)已知一混合物中含有等重量的和KCl，文強根據他的實驗結果，可利用加熱蒸發濃縮、冷卻結晶、過濾的方法將兩者分離</t>
    </r>
  </si>
  <si>
    <t>21.	硫能夠以兩種不同的固態形式穩定存在，分別是斜方硫與單斜硫。小智對此很感興趣，找出了硫的相圖(如圖5)。
圖表分析：
橫軸：溫度(°C)，從左到右表示溫度逐漸升高，特別標示出 445°C 的溫度點。
縱軸：壓力(atm)，顯示隨著壓力變化的不同相態。
1.0 atm 以下：在低於 1.0 atm 的情況下，物質的相變曲線會向左側移動。此時，溫度較低，物質可能更多地處於氣態或固態之間進行相變。這表示在更低壓力下，物質可能在相對較低的溫度下就能由液態變為氣態。
1.0 atm：當壓力正好是 1.0 atm 時，物質的相變過程遵循標準情況。例如，物質會在 445°C 這一溫度點從液態轉變為氣態，這也是該物質的沸點。同時，在這個壓力下，固態的不同晶型之間也可能發生相變，如從斜方硫轉變為單斜硫。
1.0 atm 以上：在超過 1.0 atm 的情況下，壓力增大會推動物質的相變點向更高的溫度移動。這意味著，物質需要在更高的溫度下才能由液態轉變為氣態。同時，固態的相變點也會隨壓力的增大而發生改變。
依據該圖，下列敘述哪些正確？(應選3項)       
 (A)在1 atm時，硫的沸點為445℃ (B)斜方硫、單斜硫和液態硫三者可以穩定共存 (C)斜方硫、單斜硫和氣態硫三者無法穩定共存 (D)斜方硫、液態硫和氣態硫三者可以穩定共存 (E)斜方硫與單斜硫可藉由溫度改變而互相轉化，兩者互為同素異形體</t>
  </si>
  <si>
    <t>22.	光化學煙霧是由氮氧化物(NOx)與揮發性碳氫化合物等污染物質，經紫外線照射後，由不同的反應所產生的懸浮微粒以及對流層中的臭氧，屬於大氣中的二次污染物，圖6為其中的部分過程。
展示了光化學反應過程中的一系列反應，並且涉及到氮氧化物(NO₂)、臭氧(O₃)以及有機化合物(如丙烯 C₃H₆、甲醛 HCHO、乙醛 CH₃CHO)的相互作用。以下是對圖中各反應步驟的解釋：
主要化學物質：
NO₂(二氧化氮)：在紫外線的照射下分解，釋放出一個氧原子(O)。
NO(氮氧化物)：NO 和 O₂ 結合會形成 NO₂。
O₃(臭氧)：臭氧是由氧氣(O₂)和氧原子(O)結合生成。
C₃H₆(丙烯)：丙烯在反應中會與 NO₂ 和 O₃ 產生反應，生成甲醛(HCHO)和乙醛(CH₃CHO)。
反應機制：
反應 I：NO₂ 在紫外線的照射下分解，產生 NO 和氧原子(O)。
反應 II：丙烯(C₃H₆)與氧原子(O)或臭氧(O₃)反應，生成甲醛(HCHO)和乙醛(CH₃CHO)。
反應 III：氧原子(O)與氧氣(O₂)反應生成臭氧(O₃)。
臭氧的反應：臭氧會與 NO 反應生成 NO₂，進而繼續這個循環。
此外，臭氧經紫外線照射後，可分解成氧原子與氧分子。下列相關敘述何者錯誤？ (A)反應Ⅰ為氧化還原反應 (B)反應Ⅱ中，丙烯被氧化 (C)分解產生NO與O的過程為吸熱反應 (D)反應Ⅲ的反應式為，為放熱反應 (E)此過程產生的對流層臭氧可幫助修復臭氧層破洞</t>
  </si>
  <si>
    <t>23.	圖7是某分子的結構式，W、X、Y、Z代表四種不同的原子，已知此分子是組成蛋白質的基本單元之一。
中心部分：
X 原子位於結構的核心位置，有三個 X 原子沿著水平排列，並且每個 X 原子之間存在雙鍵(兩條線)或單鍵。
Y 原子分別位於左右兩側 X 原子的旁邊，每個 Y 原子與 X 原子之間存在雙鍵或單鍵，並且 Y 原子有孤對電子(兩個點：··)。
水平分佈：
Z 原子與 Y 和 X 原子相連：每個 Z 原子位於 Y 的兩端，並且與 X 原子的鍵合呈現一種連接模式，顯示 Y-Z 和 X-Z 的結構關係。
兩側的 Z 原子分別位於圖的最左邊和最右邊，與 Y 原子鍵合。
垂直分佈：
在最中心的 X 原子下方，有一個 W 原子，與 X 原子形成單鍵，並且 W 原子還與一個 Z 原子相連，這個 Z 原子位於結構的最下方。
下列敘述哪些正確？(應選3項) (A)W為氮 (B)X為氧 (C)Y為碳 (D)Z為氫 (E)此分子有14個價電子未參與鍵結</t>
  </si>
  <si>
    <t xml:space="preserve">24.	硝酸銨(NH ₄NO ₃)因含氮量高，常被用來製造化肥，但長期使用會導致土壤酸化。2020年發生於黎巴嫩貝魯特港的硝酸銨爆炸事件，是因為在高溫條件下，硝酸銨會進行激烈的反應，產生水蒸氣、氮氣以及氧氣所致。下列有關硝酸銨的敘述哪些正確？(應選3項) 
(A)硝酸銨具有4個N−H與3個N−O共價鍵，是分子化合物 (B)硝酸銨水溶液中的[H⁺] ＞[H ⁻] (C)硝酸銨可幫助植物製造核酸、蛋白質 (D)硝酸銨爆炸時，進行氧化還原反應，成分中的氮皆被氧化產生氮氣 (E)硝酸銨在高溫下進行的反應，其反應式平衡後，各物種係數(為最簡整數)之和為9 </t>
  </si>
  <si>
    <r>
      <rPr>
        <sz val="11"/>
        <color theme="1"/>
        <rFont val="PMingLiu"/>
        <family val="1"/>
        <charset val="136"/>
      </rPr>
      <t>25-26題為題組 貼有甲、乙、丙、丁標籤的四個相同真空密閉容器，其中，甲、丁之間有一個關閉的氣閥相連，並分別於四個容器內置入5.4克M金屬粉末。接著，曉諭將不同質量的氧氣分別通入上述四個容器內，在適當的條件下與M反應，產生相同的氧化物。待反應完全後，分別測量每個容器內所生成的質量，結果如表4：
容器 甲：通入氧氣質量：1.6 克、產生 M</t>
    </r>
    <r>
      <rPr>
        <sz val="11"/>
        <color theme="1"/>
        <rFont val="PMingLiu"/>
        <family val="1"/>
        <charset val="136"/>
      </rPr>
      <t>₂</t>
    </r>
    <r>
      <rPr>
        <sz val="11"/>
        <color theme="1"/>
        <rFont val="新細明體"/>
        <family val="1"/>
        <charset val="136"/>
      </rPr>
      <t>Ox 質量：3.4 克。
容器 乙：通入氧氣質量：3.2 克、產生 M</t>
    </r>
    <r>
      <rPr>
        <sz val="11"/>
        <color theme="1"/>
        <rFont val="PMingLiu"/>
        <family val="1"/>
        <charset val="136"/>
      </rPr>
      <t>₂</t>
    </r>
    <r>
      <rPr>
        <sz val="11"/>
        <color theme="1"/>
        <rFont val="新細明體"/>
        <family val="1"/>
        <charset val="136"/>
      </rPr>
      <t>Ox 質量：6.8 克。
容器 丙：通入氧氣質量：4.8 克、產生 M</t>
    </r>
    <r>
      <rPr>
        <sz val="11"/>
        <color theme="1"/>
        <rFont val="PMingLiu"/>
        <family val="1"/>
        <charset val="136"/>
      </rPr>
      <t>₂</t>
    </r>
    <r>
      <rPr>
        <sz val="11"/>
        <color theme="1"/>
        <rFont val="新細明體"/>
        <family val="1"/>
        <charset val="136"/>
      </rPr>
      <t>Ox 質量：10.2 克。
容器 丁：通入氧氣質量：6.4 克、產生 M</t>
    </r>
    <r>
      <rPr>
        <sz val="11"/>
        <color theme="1"/>
        <rFont val="PMingLiu"/>
        <family val="1"/>
        <charset val="136"/>
      </rPr>
      <t>₂</t>
    </r>
    <r>
      <rPr>
        <sz val="11"/>
        <color theme="1"/>
        <rFont val="新細明體"/>
        <family val="1"/>
        <charset val="136"/>
      </rPr>
      <t>Ox 質量：10.2 克。</t>
    </r>
  </si>
  <si>
    <t>25.	已知M的原子量介於20與30 amu之間，且x為整數，則下列敘述，哪些正確？(應選2項) (A) x＝1 (B) M的原子量為24 amu (C) 的莫耳質量為102克/莫耳 (D)反應完全後，丙容器內有殘餘未反應的金屬M (E)反應完全後，丁容器內有殘餘未反應的氧氣</t>
  </si>
  <si>
    <t>26.	待以上四個容器反應完成後，曉諭打開連接甲、丁二容器的氣閥(氣閥的體積與質量可忽略不計)，使氣體可以自由流動進行第二次反應，二次反應完成後，容器的溫度與氣閥開啟前相同，則下列二次反應完成後容器的敘述，何者正確？ (A)甲容器內的壓力較氣閥打開前的壓力大 (B)甲容器內的固體質量較氣閥打開前增加1.6克 (C)甲與丁容器內的固體質量總和與氣閥打開前相等 (D)丁容器內的物質質量總和與氣閥打開前相等 (E)丁容器內的固體質量總和等於甲容器中的固體質量總和</t>
  </si>
  <si>
    <t>27.	某生欲探究同族的X元素與Y元素的週期規律性，設計了以下的實驗：先在圖8中的過濾瓶中置入少許二氧化錳，由薊頭漏斗加水，使水位略高於薊頭漏斗的長管底部，然後由薊頭漏斗慢慢倒入含有Y與氫組成的過Y化氫水溶液，將產生的氣體導入圖8中裝有X與氫組成的X化氫水溶液的燒杯中會產生淡黃色粉末。
裝置說明：
錐形過濾瓶：
裝有二氧化錳(MnO₂)和淡黃色粉末，這表明這是產生氣體反應的場所。
底部有水，顯示可能產生的氣體會被通過水的方式收集或溶解。
薊頭漏斗漏斗裝置：
由此可以滴加過Y化氫溶液。當過Y化氫滴加到二氧化錳時，會發生催化反應，產生氧氣(O₂)。
X化氫水溶液：
產生的氣體被通過管子引導至盛有X化氫水溶液的容器中，這可能是為了觀察氣體與溶液之間的反應。
下列有關此實驗的敘述哪些正確？(應選3項) (A)X元素的非金屬性大於Y元素 (B)X元素較Y元素易失去價電子 (C)X元素的原子半徑小於Y元素的原子半徑 (D)錐形過濾瓶中反應所產生的氣體具助燃性 (E)無色氣體與淡黃色粉末皆為共價分子物質</t>
  </si>
  <si>
    <t>28.	一群學生討論物理學發展史，初步整理出下列甲～己等6項資料的敘述。 甲：湯姆森經由實驗發現電子的存在。 乙：拉塞福提出原子的正電荷集中在核心、電子分布在核外圍的原子模型。 丙：首先發現載有電流的導線會在其周圍產生磁場的是厄斯特。 丁：首先推論光是電磁波的是赫茲。 戊：首先由實驗發現電磁感應現象的是法拉第。 己：首先提出能量具有量子化特性的是愛因斯坦。 在上述各項敘述中，正確的為下列何者？ (A)甲丁戊	(B)乙丙己	(C)丙丁戊己	(D)甲乙丙戊	(E)甲乙丁己</t>
  </si>
  <si>
    <t xml:space="preserve">29.	COVID-19疫情於2019年底爆發後，為防止疫情擴散，在初步辨認是否感染病毒時，會先以額溫槍測量額頭溫度；若有確診情形，則會將較嚴重的患者隔離於負壓病房以便診療，並避免病毒隨空氣外洩。關於上述的防疫措施，下列敘述哪些正確？(應選3項) (A)負壓病房內的空氣壓力比病房外為低，故病房內的空氣不易外洩 (B)負壓病房內的空氣壓力比病房外為高，故病房內的空氣不易外洩 (C)健康的人在體溫正常時與周圍環境必處於熱平衡狀態 (D)發燒時利用冰枕可使額頭降溫，主要是靠額頭與冰枕之間的熱傳導 (E)在量測額溫時，額頭到額溫槍之間是以電磁波的方式進行熱傳播 </t>
  </si>
  <si>
    <t>30-31題為題組 實驗上常利用X光來測定原子結構。一晶體內部的原子排列如圖9下方的放大圖所示，相鄰兩原子層的間距為d，X光束射向該晶體後，經兩層原子反射的兩道光波，會有路徑差2L而發生干涉，這與可見光通過雙狹縫的干涉類似。
圖中包含的元素：
光源：
從左側射出入射光，這可能是一束具有特定波長的光，如 X 射線或雷射光，專門用來與晶體結構發生相互作用。
晶體：
光線通過晶體，晶體內部的原子層會導致光的繞射或反射。
入射光：從光源發出的光線打到晶體上，經過晶體的內部結構後發生衍射或反射。
出射光：經過晶體衍射後的光線，向不同角度發射出去。
屏幕：
出射光線經過晶體之後，會打到屏幕上，產生一個繞射圖案。
屏幕上的繞射圖案可以用來分析晶體的結構。
下圖的詳細說明：
下圖展示了光線與原子層的相互作用，這表明這是一個涉及晶體的繞射實驗。
原子層：標註為「原子層」，表示晶體的內部結構由多層原子排列組成。
入射光和出射光：光線從不同的角度入射並經過原子層之間的反射，產生不同角度的出射光。
夾角 θ：入射光與出射光形成的角度，這個角度是用來計算繞射現象的重要參數。
d：標註為原子層間距，代表晶體內部原子層之間的距離。
L：晶體的內部參數，可能用來標示原子層的排列周期。</t>
  </si>
  <si>
    <r>
      <rPr>
        <sz val="11"/>
        <color theme="1"/>
        <rFont val="PMingLiu"/>
        <family val="1"/>
        <charset val="136"/>
      </rPr>
      <t>30.	經兩層原子反射後的X光波在屏幕上疊加後，因建設性干涉會在屏幕上出現點狀圖樣，如圖9所示。若以米(m)為長度單位，則最適合用來檢測該晶體的X光，其波長λ的數量級接近下列何者？ 
(A)10¯</t>
    </r>
    <r>
      <rPr>
        <sz val="11"/>
        <color theme="1"/>
        <rFont val="PMingLiu"/>
        <family val="1"/>
        <charset val="136"/>
      </rPr>
      <t>⁴</t>
    </r>
    <r>
      <rPr>
        <sz val="11"/>
        <color theme="1"/>
        <rFont val="新細明體"/>
        <family val="1"/>
        <charset val="136"/>
      </rPr>
      <t xml:space="preserve"> (B)10¯⁷ (C) )10¯¹⁰(D) )10¯¹³(E))10¯¹⁶</t>
    </r>
  </si>
  <si>
    <t>31.	關於可見光與粒子的雙狹縫干涉，下列敘述哪些正確？(應選2項) (A)通過雙狹縫的光波，只有波峰會抵達干涉亮紋處 (B)通過雙狹縫的光波，只有波谷會抵達干涉暗紋處 (C)通過雙狹縫的光波，波峰與波谷同時抵達干涉暗紋處 (D)原子為粒子，但經過適當縫距的雙狹縫也會有干涉現象 (E)電子為粒子，故經過任何的雙狹縫一定不會有干涉現象</t>
  </si>
  <si>
    <t>32.	甲生為了利用都卜勒效應測量血流的速率，使一發射器E發出頻率f很高的聲波，斜向入射到血管中。聲波在被隨著血液流動的紅血球反射後，傳播到靜置於血管兩側的接收器R1和R2，其中R1與發射器在血管同側，而R2在血管另一側，如圖10所示。
圖中各部分的描述：
E：代表發射器(Emitter)，它可能發射超聲波或激光來檢測血流。發射的波束向血流進行入射。
R1 和 R2：代表接收器(Receiver)，用於接收來自血流方向反射的波。R1 和 R2 可能分別位於血流的上方和下方，以測量波在不同位置的反射情況。
血流方向：圖中以箭頭標示，表明血液的流動方向與發射波束和接收器的布置相關。
實線和虛線：表示波的路徑，實線是波的入射路徑，虛線可能表示血液中的運動軌跡或波的反射方向。
若以f1和f2分別代表R1和R2測得的反射波頻率，則下列關係式，何者正確？ 
(A) f1=f2
(B) f2&lt;f1
(C) f2=f
(D) f1&lt;f2
(E)f1=f&lt;f2</t>
  </si>
  <si>
    <t>33.	在落體實驗中將半徑相同、質量為1 g、4 g、9 g的三個球，從離地同一高度處由靜止落下，測得各球下落的速率v在t&gt;50 s後均趨於穩定，其比值為1：2：3，如圖11所示。
圖表分析：
橫軸(t，時間，單位：秒)：從 0 到 50 秒，表示運動過程中的時間變化。
縱軸(v，速度，單位：m/s)：從 0 到 30 m/s，表示物體的速度隨時間變化的趨勢。
不同質量的曲線：
9g(方形標誌)：隨著時間增加，速度上升，並在 50 秒內達到約 28 m/s。
4g(圓形標誌)：速度逐漸上升，但上升速度慢於 9g，最終在約 50 秒時達到約 20m/s。
1g(三角形標誌)：速度變化最慢，最終在 50 秒內達到約 10 m/s。
若空氣施予各球的阻力與浮力的合力，其量值F與下落速率的關係V可近似為F = αv^β，其中常數 α 和 β 均與球的質量無關，則依據圖示資料，β 最接近下列何者？         
(A)β=-1
(B)β=0	
(C) β=1/2
	(D)β=1 
	(E)β=2</t>
  </si>
  <si>
    <t>34.	下列甲～戊為5個與能源有關的敘述： 甲：核能發電廠利用核分裂發電後，反應爐內的原子總質量會比發電前少 乙：發電廠利用核分裂發電時，鈾235燃料的全部質量都可轉換為熱能而用以發電 丙：以變壓器供電的電器，即使關機，只要變壓器接在插座上而通有電流就會耗電 丁：在相同車型與行駛條件下，兩車各載一人與一車載兩人的燃油消耗相同 戊：相同耗電功率的LED燈與白熾燈泡，其發光與照明的效能一定相同 在上述5項敘述中，正確的為下列何者？ (A)甲乙丙	(B)甲丁戊	(C)乙丙戊	(D)乙丁	(E)甲丙</t>
  </si>
  <si>
    <t>35.	圖12左邊的絕熱汽缸系統(含活塞)充有理想氣體，活塞與缸壁無摩擦；右邊的理想彈簧系統只能沿其中心軸伸縮，其底端固定，頂端連接一塊平板。在外力只有重力下，兩系統靜止豎立處於平衡狀態，頂端的高度都為h。今將重物甲和乙分別靜置於汽缸與彈簧系統的頂端後，兩系統開始振盪，最終活塞停在高度h'，而彈簧則持續振盪，其頂端可達到的最大高度為h"。
裝置說明：
活塞：
活塞位於裝置的左側，可以上下移動，壓縮或膨脹容器中的氣體。
活塞上方標註有「絕熱汽缸」，這表明氣缸可能是絕熱的，即沒有熱量進入或離開系統。
理想氣體：
圖中容器內部充滿了理想氣體，氣體分子均勻分布。
理想彈簧：
在圖的右側，彈簧與氣體系統連接。這是一個理想彈簧。
高度 h：
圖中標註的 h 代表活塞的高度變化。
下列關於以上三個高度的敘述哪些正確？(應選2項)       (A)兩系統都適用能量守恆定律，故h'=h"=h 
(B)絕熱汽缸系統不適用能量守恆定律，故h'&lt;h 
(C)重力作的功使汽缸系統的熱能增加Q，但Q無法完全用來作功使活塞升到高度h'，故h'&lt;h
 (D)若彈簧伸縮導致其溫度上升，則重力作的功等於彈簧系統與重物乙增加的力學能E，而可用來作功使彈簧系統的頂端上升到高度h，故 h'=h
(E)若彈簧系統與重物乙的溫度始終不變，則重力作的功等於彈簧系統與重物乙增加的力學能E，而可用來作功使彈簧系統的頂端上升到高度h，故h"=h</t>
  </si>
  <si>
    <t xml:space="preserve">36.	如圖13所示，甲與乙為兩個完全相同的圓盤型永久磁鐵，其N極與S極各自均勻分布在圓盤的上方或下方其中一個表面，但其質量分布並不均勻。
這張圖似乎展示了兩個盤狀物體(標註為甲和乙)的相互作用，可能與物理實驗或機械結構相關。以下是簡單的說明：
甲：圖中下方的圓盤，可能是支撐底座，固定不動。
乙：圖中上方的圓盤，與甲之間似乎有一些機械連接，可能可以移動或旋轉。
乙盤的傾斜角度暗示可能有某種力作用在它上面，使其產生變化。
連接裝置：乙與甲之間有兩根黑色的連接裝置，這些連接可能是彈簧、桿件或其他連接機構，用來保持乙和甲的相對位置。
甲固定於水平桌面上，乙在磁力與重力作用下斜靠在兩根直桿上，與甲分開。當達靜止平衡時，乙向左傾斜，在鉛直方向其左半邊受到的磁力比右半邊的為大，而其中心圓孔的邊緣壓在豎立的兩直桿上，則下列敘述何者正確？ (A)甲和乙之間的磁力為吸引力，且乙與兩直桿間無論是否有摩擦力皆可維持靜止 (B)甲和乙之間的磁力為排斥力，且乙與兩直桿間無論是否有摩擦力皆可維持靜止 (C)乙左側受到的磁力為吸引力，右側受到的為排斥力 (D)乙左側受到的磁力為排斥力，右側受到的為吸引力 (E)乙與兩直桿間必須有摩擦力，才能維持靜止 </t>
  </si>
  <si>
    <t>37-40 題為題組
煤主要作為燃料，在2020年提供了全球超過1/3的電力，但煤的使用會破壞環境，是造成氣候變化最大的人為二氧化碳(CO₂)來源。為了實現巴黎協定將全球暖化控制在2°C以下的目標，從2020年到2030年，煤的使用量需要減半。利用水力以取代燃煤來發電，是很多國家降低CO₂排放量所採取的對策之一。
假設你被要求提出一個水力發電廠的規畫案，目標是要使它每年可達成的CO₂減排量 M 為 10⁹ kg。已知水庫出水口的下游水道將保持無阻，發電機提供的電能的功率設定為 P = 10⁹ W，水庫水面與發電機進水口的水位落差為 h = 100 m，當水庫的水位到達發電機進水口時，每單位質量所具有的動能為 wₑ。表中列出的甲～己(括弧內為其符號)為規劃時需要考慮的一些參數。
甲 (c₁)：燃煤發電時，每單位電能耗用的煤質量。
乙 (c₂)：每單位質量的煤發電時排放的 CO₂ 質量。
丙 (μ)：每單位時間流入發電機的水質量。
丁 (ε)：發電機將水力轉換為電力的效率。
戊 (T)：每部發電機每日發電的平均時間。
己 (N)：安裝的發電機數目。</t>
  </si>
  <si>
    <t>37.依設計，預定的水位落差為 100 m，若取重力加速度 g = 10 m/s²，則 wₑ 約為多少 J/kg？ (A) 10⁰
(B) 10²
(C) 10³
(D) 10⁴
(E) 10⁵</t>
  </si>
  <si>
    <t>38.為了確保每部發電機都能提供預定的發電功率 P， 需要確定表 5 中哪些參數的數值？
(A) 甲丁
(B) 丙丁
(C) 乙戊
(D) 丙己
(E) 丁己</t>
  </si>
  <si>
    <t>39.為了估計採用水力發電以取代燃煤發電時，其所發每單位的電能可減少的 CO₂ 排放量，需要取得表 5 中哪些參數的數值？ 
(A) 甲乙
(B) 乙丙
(C) 甲丁
(D) 乙丁戊
(E) 甲丁戊己</t>
  </si>
  <si>
    <r>
      <rPr>
        <sz val="11"/>
        <color theme="1"/>
        <rFont val="PMingLiu"/>
        <family val="1"/>
        <charset val="136"/>
      </rPr>
      <t>40.以丙代表每部水力發電機在一年 (= 365 天) 的期間內可提供的電能，並依題幹所述以 M 代表所有 N 部水力發電機一年可達成的 CO</t>
    </r>
    <r>
      <rPr>
        <sz val="11"/>
        <color theme="1"/>
        <rFont val="Cambria Math"/>
        <family val="1"/>
      </rPr>
      <t>₂</t>
    </r>
    <r>
      <rPr>
        <sz val="11"/>
        <color theme="1"/>
        <rFont val="新細明體"/>
        <family val="1"/>
        <charset val="136"/>
      </rPr>
      <t xml:space="preserve"> 減排量。考慮依上述規格設計出來的水力發電機，試回答以下問題：
(a) 利用數值常數、w</t>
    </r>
    <r>
      <rPr>
        <sz val="11"/>
        <color theme="1"/>
        <rFont val="Times New Roman"/>
        <family val="1"/>
      </rPr>
      <t>ₑ</t>
    </r>
    <r>
      <rPr>
        <sz val="11"/>
        <color theme="1"/>
        <rFont val="新細明體"/>
        <family val="1"/>
        <charset val="136"/>
      </rPr>
      <t xml:space="preserve"> 與表 5 中定義的參數符號，以數學式表示每部發電機一年可提供的總電能 E</t>
    </r>
    <r>
      <rPr>
        <sz val="11"/>
        <color theme="1"/>
        <rFont val="Cambria Math"/>
        <family val="1"/>
      </rPr>
      <t>₁</t>
    </r>
    <r>
      <rPr>
        <sz val="11"/>
        <color theme="1"/>
        <rFont val="新細明體"/>
        <family val="1"/>
        <charset val="136"/>
      </rPr>
      <t>。（ 2分）
(b) 利用 E</t>
    </r>
    <r>
      <rPr>
        <sz val="11"/>
        <color theme="1"/>
        <rFont val="Cambria Math"/>
        <family val="1"/>
      </rPr>
      <t>₁</t>
    </r>
    <r>
      <rPr>
        <sz val="11"/>
        <color theme="1"/>
        <rFont val="新細明體"/>
        <family val="1"/>
        <charset val="136"/>
      </rPr>
      <t xml:space="preserve"> 與表 5 中定義的參數符號，以數學式表示整個水力發電廠一年可達成的 CO</t>
    </r>
    <r>
      <rPr>
        <sz val="11"/>
        <color theme="1"/>
        <rFont val="Cambria Math"/>
        <family val="1"/>
      </rPr>
      <t>₂</t>
    </r>
    <r>
      <rPr>
        <sz val="11"/>
        <color theme="1"/>
        <rFont val="新細明體"/>
        <family val="1"/>
        <charset val="136"/>
      </rPr>
      <t xml:space="preserve"> 減排量 M。（ 2分）</t>
    </r>
  </si>
  <si>
    <t>(A)每部發電機一年供電的總能量E1= 365ε(μuw)T
(B)一年可減少排放的CO2總質量M = c₁c₂E₁N</t>
  </si>
  <si>
    <t>(a) E₁ = ε × μ × wₑ × T × 365
(b) M = N × E₁ × c₁ × c₂</t>
  </si>
  <si>
    <t>E 
1
​
 =μ×w 
e
​
 ×ϵ×T×365
(b) 整個水力發電廠一年可達成的 CO₂ 減排量 
𝑀
M：
𝑀
=
𝑁
×
𝑐
1
×
𝑐
2
×
𝜇
×
𝜖
×
𝑤
𝑒
×
𝑇
×
365
M=N×c 
1
​
 ×c 
2
​
 ×μ×ϵ×w 
e
​
 ×T×365</t>
  </si>
  <si>
    <t xml:space="preserve">a) E
1
        ​
=365TP，亦可寫 E
1
        ​
=365Tεμw
e
        ​
(b) M=NE
1
        ​
c
1
        ​
c
2
        ​
</t>
  </si>
  <si>
    <t>(a) $E_1 = P \times 戊 \times 365$ （或 $10^9 \times 戊 \times 365$）(b) $M = 己 \times E_1 \times 甲 \times 乙$</t>
  </si>
  <si>
    <t>41-44題為題組
找尋其他適合居住的星球是科幻小說的經典題材。以目前地球科技，前往太陽系外仍然困難，而在太陽系內，相較於距離地球較近的月球或金星，火星最可能成為地球之外人類長期居住的星體。表6為火星與地球的數據比較。
地球：平均繞日半徑 1 AU，軌道週期 365.26 地球日，自轉週期 23.9 小時，自轉軸傾角 23.5 度，自轉軸指向星座小熊座，質量 1 地球質量，直徑 1 地球直徑，表面大氣壓力 1013 百帕，氧氣含量多，天體磁場較強且全球性。
火星：平均繞日半徑 1.5 AU，軌道週期 686.98 地球日，自轉週期 24.6 小時，自轉軸傾角 25.2 度，自轉軸指向星座天鵝座，質量 0.11 地球質量，直徑 0.53 地球直徑，表面大氣壓力 7.5 百帕，氧氣含量少，天體磁場極弱且局部。</t>
  </si>
  <si>
    <t>41. 如果 火星成為太空移民的目標， 基於已知事實， 下列何者 正確
(A)是距離地球最近的天體，交通方便
(B)表面引力與地球幾乎相等，有機會以大地工程製造出厚重大氣
(C)與太陽距離適中且具有大氣，整體溫度能使水以液態方式存在於火星地表
(D)地球上的北極星和火星上的北極星是同一顆恆星，不易迷失方向
(E)自轉週期與地球相當，因此日夜溫度變化的週期與地球類似</t>
  </si>
  <si>
    <t>42. 在地球觀察 25.3光年外天琴座的織女星，顏色為藍白色。試問若在火星觀察織女星，其顏色應該最接近下列何者？
(A)黑色 (B)紅色 (C)黃色 (D)藍白色 (E)紫色</t>
  </si>
  <si>
    <t>43. 與地球相比，下列有關火星的敘述，何者正確？
(A)火星表面的北回歸線，大約在北緯25度
(B)火星春夏秋冬各季節的時間比地球短
(C)火星受到更強的太陽潮汐力
(D)火星在當地春分時，於火星赤道觀測中午時刻的太陽仰角約為65度
(E)火星抵禦太陽風或宇宙射線的能力遠高於地球</t>
  </si>
  <si>
    <t>44.從火星觀察織女星所得到的絕對星等和地球上觀測到的有何差異 並解釋原因。織女星的絕對星等從地球觀測為 0.58(表 7) ，織女星的絕對星等從火星 _______(填入 &gt;、&lt;或=)，原因：__________。（ 2分）</t>
  </si>
  <si>
    <t>空格部分：＝
原因部分：絕對星等代表恆星的發光能力，不因觀測位置不同而改變。</t>
  </si>
  <si>
    <t>(=)</t>
  </si>
  <si>
    <t>織女星的絕對星等從火星觀測為 =，原因：絕對星等是恆星的固有亮度，不隨觀測位置改變。</t>
  </si>
  <si>
    <t>織女星的絕對星等從火星 =，原因：絕對星等是星體的固有亮度，與觀測者的位置無關。</t>
  </si>
  <si>
    <t>(=)；因為絕對星等是把天體亮度統一換算到固定距離（10 秒差距）下的數值，與觀測者位於地球或火星無關。</t>
  </si>
  <si>
    <t>(=)；絕對星等（Absolute Magnitude）的定義是將恆星置於標準距離（10 秒差距，約 32.6 光年）時所觀測到的亮度。這是一個恆星本質的物理量，不隨觀測者所在位置（地球或火星）而改變。</t>
  </si>
  <si>
    <t>45-47題為題組
乳糖與酪蛋白是牛乳中製作乳酪所需的重要成分。加入特定的微生物於牛乳中，靜置一段時間發酵，待微生物將乳糖轉化形成乳酸。在這個過程中，溫度、熟成時間和其他微量添加物(例如食鹽)都會影響乳酪的口感和味道。隨著發酵過程乳酸濃度的上升，酪蛋白會逐漸凝聚析出形成固體，是乳酪的主要成分，殘留在溶液中的蛋白質則統稱為乳清蛋白，經過加工以高蛋白營養品出售。</t>
  </si>
  <si>
    <t>45.	市售牛乳的pH為6.6，而乳酪的凝聚過程始於pH5.3。試問市售牛乳的氫離子濃度改變多少後，乳酪會開始凝聚？(log2＝0.30) (A)增加約1.3倍	(B)增加約13 %	(C)增加約20倍 (D)減少約10倍	(E)減少約10 %</t>
  </si>
  <si>
    <t>46.	下列關於乳酪製作過程的敘述，哪些正確？(應選2項) (A)過程中的發酵反應需要氧氣參與才能進行 (B)促使發酵反應的微生物無法在有氧氣的環境中存活 (C)隨著發酵反應的進行，溶液的pH值會逐漸回升至6.6 (D)酪蛋白的親水性會隨pH值而有所改變 (E)乳清蛋白在酸性條件下較酪蛋白更易溶於水</t>
  </si>
  <si>
    <r>
      <rPr>
        <sz val="11"/>
        <color theme="1"/>
        <rFont val="PMingLiu"/>
        <family val="1"/>
        <charset val="136"/>
      </rPr>
      <t xml:space="preserve">47. 小花根據以上發酵反應的資訊，提出了乳糖發酵的反應式( 式 1)，並測試表 8中各種不同的發酵條件對乳酪製作的影響。
圖片的左側是乳糖的結構式左側的乳糖是由兩個單醣分子組成，通過 </t>
    </r>
    <r>
      <rPr>
        <sz val="11"/>
        <color theme="1"/>
        <rFont val="Calibri"/>
        <family val="2"/>
      </rPr>
      <t>β</t>
    </r>
    <r>
      <rPr>
        <sz val="11"/>
        <color theme="1"/>
        <rFont val="PMingLiu"/>
        <family val="1"/>
        <charset val="136"/>
      </rPr>
      <t>(1→4) 醣苷鍵連接在一起。其結構包含：每個碳原子(C)都連接了不同的羥基(–OH)或氫原子(H)，並且有氧(O)參與鍵結。糖環結構是典型的六元環，並且與水分子進行水解反應。
右側的乳酸結構為簡單的三碳有機酸，具有以下特徵：一個羧酸基(–COOH)、一個羥基(–OH)連接到中央的碳原子、一個甲基(–CH</t>
    </r>
    <r>
      <rPr>
        <sz val="11"/>
        <color theme="1"/>
        <rFont val="Times New Roman"/>
        <family val="1"/>
      </rPr>
      <t>₃</t>
    </r>
    <r>
      <rPr>
        <sz val="11"/>
        <color theme="1"/>
        <rFont val="新細明體"/>
        <family val="1"/>
        <charset val="136"/>
      </rPr>
      <t>)也連接到中央的碳原子。
表格中的數據包括發酵溫度、熟成時間以及添加食鹽的百分比，詳細內容如下：
微生物種類：甲、乙、丙、丁、戊、己、庚、辛分別對應不同的微生物(A、B、C)。
發酵溫度 (°C)：微生物 A 在甲、戊、辛的發酵溫度為 28°C，乙和庚為 32°C，丙為 40°C，丁為 40°C，己為 28°C。
熟成時間 (小時)：各微生物的熟成時間有差異，最短為 5 小時(乙)，其餘的範圍在 10 至 24 小時之間。
添加食鹽 (%)：添加的食鹽百分比在 0.02% 至 0.1% 之間，甲和辛的微生物添加的食鹽為 0.02%，乙、丙、己、庚的微生物為 0.1%，丁和辛為 0.05%。
(a)若依照小花的預期，乳糖在水溶液中發酵生成乳酸的化學反應式為何？(各物質須以分子式表示，並以最簡係數平衡)（ 2分）
(b)若小花想知道熟成時間對乳酪製作的影響，應該挑選表8中哪三組條件下做出的乳酪來作比較？(1分)說明你的根據為何。（ 1分）</t>
    </r>
  </si>
  <si>
    <t>(A)C₁₂H₂₂O₁₁+ H₂0→4C₃H₆O₃
(B)1.組別：乙、己、庚三組。2.因為除了熟成時間不同外，其餘的條件，如：微生物種類、發酵溫度、添加食鹽都相同。</t>
  </si>
  <si>
    <t>(a) 乳糖發酵生成乳酸的反應式為：
𝐶
12
𝐻
22
𝑂
11
+
𝐻
2
𝑂
→
4
𝐶
3
𝐻
6
𝑂
3
C 
12
​
 H 
22
​
 O 
11
​
 +H 
2
​
 O→4C 
3
​
 H 
6
​
 O 
3
​
(b) 小花應挑選不同熟成時間的三組條件以比較乳酪製作的效果，如 甲（24小時）、乙（5小時）和丙（10小時）。</t>
  </si>
  <si>
    <t>(a) 化學反應式：C₁₂H₂₂O₁₁ + H₂O → 4 C₃H₆O₃
(b) 應選擇表8中的甲、戊、辛三組，因為這三組的微生物種類相同（微生物A）、發酵溫度相同（28°C）、食鹽添加量相近，只有熟成時間不同，適合比較熟成時間對乳酪製作的影響。</t>
  </si>
  <si>
    <t>(a)
C
12
H
22
O
11
+
H
2
O
→
4
C
3
H
6
O
3
C 
12
​
 H 
22
​
 O 
11
​
 +H 
2
​
 O→4C 
3
​
 H 
6
​
 O 
3
​
​
(b)
選擇三組發酵條件中，發酵溫度和添加食鹽比例相同，但熟成時間不同的條件進行比較。</t>
  </si>
  <si>
    <t>(A)C₁₂H₂₂O₁₁+ H₂0→4C₃H₆O₃ (B)選同一微生物、同一溫度、同一食鹽濃度，但熟成時間不同的三組</t>
  </si>
  <si>
    <t>(A)C₁₂H₂₂O₁₁+ H₂0→4C₃H₆O₃ (B)若要研究「熟成時間」的影響，必須使用「控制變因法」。選擇甲、戊、辛是因為它們使用相同的微生物 (A)、相同的發酵溫度 (28°C) 及相同的食鹽比例 (0.02%)，唯一不同的是熟成時間（10、15、12 小時）。</t>
  </si>
  <si>
    <t>48.	孟德爾於1865年提出的種子形狀雜交實驗顯示：圓滑種子：皺縮種子之比為5474：1850(約)，下列哪些是此結果與分離律之期望值有落差的原因？(應選3項) (A)資料整理時之取樣誤差 (B)模式之期望值未必正確 (C)選取親代植株的逢機失誤 (D)實驗之遺傳因子互相干擾 (E)實驗樣本數仍然不夠大</t>
  </si>
  <si>
    <t>49.	下列延伸孟德爾遺傳模式的敘述，哪些正確？(應選3項) (A)族群繼代遺傳過程中，顯性因子較隱性因子適應環境 (B)若孟德爾在可控條件的溫室進行，則應較在花園田畦更接近模式期望值 (C)若孟德爾實驗中發生達爾文的天擇力，則其實驗值會更加偏離期望值 (D)若控制兩性狀的遺傳因子如摩根所示位於同一染色體，則孟德爾所得到的表徵比值更會偏離期望值 (E)若逢機選取F1的圓滑種子進行培養，則皺縮的等位基因會在有限的世代數內消失</t>
  </si>
  <si>
    <t>50. 小明家之族譜詳細記載家族罹患顯性遺傳性多囊性腎臟病之成員。依此，他繪得某一支系的四個世代(I～Ⅳ)罹病分布圖，如圖14。
圖中I-1為女性患者，I-2為正常男性，並且以AA及aa對應顯性及隱性同型合子。
第一代 (I)：
包含 2 個個體，1 號和 2 號。
1 號個體是男性，患有某遺傳疾病(正方形黑色填滿)。
2 號個體是女性，健康(圓形白色)。
第二代 (II)：
包含 2 個個體，1 號和 2 號。
1 號個體是女性，患有遺傳疾病(圓形黑色填滿)。
2 號個體是男性，健康(正方形白色)。
第三代 (III)：
這一代包含 14 個個體，編號從 1 到 14。他們是第二代的後代。具體分析如下：
III-1 到 III-3：
III-1：男性，患有遺傳疾病(黑色填滿的正方形)。
III-2：女性，患有遺傳疾病(黑色填滿的圓形)。
III-3：女性，健康(白色圓形)。
III-4 到 III-6：
III-4：男性，健康(白色正方形)。
III-5：這個位置有一個問號，顯示此個體的資料不明確或狀態未知。
III-6：女性，健康(白色圓形)。
III-7 到 III-9：
III-7：女性，患有遺傳疾病(黑色圓形)。
III-8：男性，患有遺傳疾病(黑色正方形)。
III-9：女性，健康(白色圓形)。
III-10 到 III-14：
III-10：男性，患有遺傳疾病(黑色正方形)。
III-11：男性，健康(白色正方形)。
III-12：女性，健康(白色圓形)。
III-13：男性，健康(白色正方形)。
III-14：女性，患有遺傳疾病(黑色圓形)。
第四代 (IV)：
這一代包含 14 個個體，編號從 1 到 14，是第三代的後代。具體分析如下：
IV-1 到 IV-8：
IV-1 到 IV-4：男性，患有遺傳疾病(黑色正方形)。
IV-5 到 IV-7：女性，健康(白色圓形)，其中 IV-6 是一個攜帶者(半黑半白圓形)。
IV-8：男性，患有遺傳疾病(黑色正方形)。
IV-9 到 IV-12：
IV-9 到 IV-10：男性，患有遺傳疾病(黑色正方形)。
IV-11 到 IV-12：男性，健康(白色正方形)。
IV-13 到 IV-14：
IV-13：男性，健康(白色正方形)。
IV-14：女性，患有遺傳疾病(黑色圓形)。
(a)族譜所缺漏的III-5成員在罹病分布圖應為何種圖形？（ 1分）
(b)圖14中哪一對父母及其所有子女之罹病分布，可以恰好正確地表現孟德爾遺傳模式中的體染色體之遺傳方式？ （ 1分）說明為何為體染色體遺傳的原因？ （ 2分）</t>
  </si>
  <si>
    <t>(A) ● 或 黑色圓形 或 實心圓形
(B) Ⅲ-1、Ⅲ-2 或（Ⅱ-1、Ⅱ-2）
因為在其後代中罹病與健康者比例為3:1 或 因為在其後代都有罹病與健康的子女 或 雖父母都患病，但能生下正常的男孩和女孩 或 雖父母都患病，但能生下正常的女孩</t>
  </si>
  <si>
    <t>(a) 族譜缺漏的 III-5 成員在罹病分布圖應為 健康個體，圖形應為 白色的正方形或圓形。
(b) II-1 和 II-2 父母及其子女的罹病分布可以正確表現孟德爾遺傳模式中的體染色體顯性遺傳方式。因為該家系符合體染色體顯性遺傳特徵，即一位患病親代的後代有 50% 機會罹病，並且該病在性別之間均可傳遞。</t>
  </si>
  <si>
    <t>第三代的 III-7 和 III-8 夫婦及其子女。因為該對父母均為患病者，子女中既有患病也有正常，符合體染色體顯性遺傳的孟德爾遺傳模式。此遺傳方式在男女間發病機率相同，且患病者的子女有50%的機會患病。</t>
  </si>
  <si>
    <t>(a) III-5 成員應為健康 (aa)，即 白色圓形
(b)
正確的父母及子女組合為 II-1 (Aa) 和 II-2 (aa)，其子女符合孟德爾遺傳模式中的體染色體遺傳方式。</t>
  </si>
  <si>
    <t>III-5 應為白色方形（正常男性）
任一組出現「父母之一罹病、另一方正常，而子女中男女皆可能罹病也皆可能正常」且不受性別限制的家庭即可</t>
  </si>
  <si>
    <t>(a) 白色圓形(b)父母：III-10 與其配偶。其子女（IV-9 至 IV-12）中，2 人患病、2 人正常，比例恰為 1:1，符合 $Aa \times aa$ 的測交結果。</t>
  </si>
  <si>
    <t>51-54題為題組 自工業革命於1760年在英國開始後，人類對於化石燃料(煤和石油)的使用滿足了經濟發展和產業革命的需求，然而這些化石燃料的燃燒，也使空氣中的二氧化碳節節上升，如圖15(a)所示。除了二氧化碳之外，人類對化石燃料的運用也在環境中留下許多痕跡，鉛元素便是其中一個例子。圖15(b)是英國某湖泊岩心(岩芯)中1700年以來的鉛濃度變化，圖15(c)則是1700年以來，該岩心中的鉛-206與鉛-207的比例()變化。 煤和石油有著不同的鉛同位素訊號，如英國地區煤的比例為1.186，石油的比例為1.067，分析岩心中鉛濃度以及鉛同位素比例，便能推測該地過去化石燃料的使用情形。鉛-206及鉛-207是鉛元素常見的穩定同位素，來源可能是岩石、地下水、煤或石油，同時也可能從鈾元素衰變而來。鈾-238具有天然放射性，其質子數為92，中子數為146，會歷經衰變過程，轉變成穩定的鉛-206原子，如下式(2)所示。 
²³⁸ ₉₂U ⟶ ²³⁴ ₉₀Th ⟶ ²³⁴ ₉₁Pa ⟶ ²³⁴ ₉₂U ⟶ ... ⟶ ²⁰⁶ ₈₁Tl ⟶ ²⁰⁶ ₈₂Pb 式(2)
(a) 大氣中 CO₂ 濃度變化 (ppm)
這是一個垂直線圖，Y軸顯示西元年份，從 1700 到 2000 年，X軸顯示大氣中 CO₂ 的濃度(ppm)。
從圖中可以看到，自 1700 年以來，CO₂ 濃度隨時間逐漸上升，尤其是從 1900 年以後，CO₂ 濃度急劇增加，從大約 300 ppm 增加到接近 400 ppm。
這說明了人類活動(如工業革命、使用化石燃料)對大氣中 CO₂ 濃度的顯著影響。
(b) 岩心中 Pb 濃度變化 (ppm)
這是一個類似的垂直線圖，Y軸仍然顯示西元年份，從 1700 到 2000 年，X軸顯示岩心中鉛(Pb)的濃度，單位是 ppm。
圖中顯示 Pb 濃度隨時間有波動，尤其是在 1900 年左右，鉛濃度有顯著變化，這可能反映出工業革命後，因為燃燒煤和石油等活動，岩心中的 Pb 濃度增加。
整體濃度波動顯示了人類活動對地質層中鉛含量的影響。
(c) ²⁰⁶Pb/²⁰⁷Pb 同位素比值變化
這是一個散點圖，Y軸依舊是西元年份，從 1700 到 2000 年，X軸顯示 ²⁰⁶Pb/²⁰⁷Pb 的同位素比值。
從圖中可以看到，²⁰⁶Pb/²⁰⁷Pb 比值隨時間變化。1700 年到 1900 年，這個比值保持相對穩定，之後在 1950 年左右有一個顯著的下降，這與工業化有關。
這種比值的變化可以用來追蹤不同來源的鉛，例如煤和石油燃燒排放的鉛。</t>
  </si>
  <si>
    <t xml:space="preserve">51. 放射性同位素的衰變有 α 衰變、β 衰變及 γ 衰變等三種，這三種衰變方式發出的放射線分別為 α 射線、β 射線及 γ 射線。α 射線就是氦-4  (He⁴₂)  的原子核，β 射線就是具有高能量的電子，而 γ 射線就是波長極短的電磁波。依據式(2)所示鈾-238 (²³⁸₉₂U)衰變為鉛-206 (²⁰⁶₈₂Pb)
的過程，下列關於鈾與鉛同位素放射衰變的敘述，哪些正確？(應選 2 項)
(A) 鈾-238 (²³⁸₉₂U)發生α衰變後成為釷-234 (²³⁴₉₀Th)
(B) 鈾-238 (²³⁸₉₂U)發生β衰變後成為釷-234 (²³⁴₉₀Th)
(C) 鈾-238(²³⁸₉₂U)發生 γ 衰變後成為釷-234(²³⁴₉₀Th)
(D) 鉈-206(²⁰⁶₉₂U)發生 α衰變後成為鉛-206 (²⁰⁶₈₂Pb)
(E) 鉈-206(²⁰⁶ ₉₂U)發生 β衰變後成為鉛-206 (²⁰⁶₈₂Pb)
</t>
  </si>
  <si>
    <r>
      <rPr>
        <sz val="11"/>
        <color theme="1"/>
        <rFont val="PMingLiu"/>
        <family val="1"/>
        <charset val="136"/>
      </rPr>
      <t>52. 放射性同位素的衰變與基本交互作用有關。在有些不穩定的原子核中，部分的質子與中子所組成的小集團會脫離其他質子與中子的束縛而離開原子核；而在另一些原子核中，個別的質子或中子則可發生衰變而分別放出微中子或反微中子。
試問在式(2)所示鈾-238 (²³</t>
    </r>
    <r>
      <rPr>
        <sz val="11"/>
        <color theme="1"/>
        <rFont val="MS Gothic"/>
        <family val="3"/>
        <charset val="128"/>
      </rPr>
      <t>⁸₉₂</t>
    </r>
    <r>
      <rPr>
        <sz val="11"/>
        <color theme="1"/>
        <rFont val="新細明體"/>
        <family val="1"/>
        <charset val="136"/>
      </rPr>
      <t>U)衰變為鈾-234 (²³</t>
    </r>
    <r>
      <rPr>
        <sz val="11"/>
        <color theme="1"/>
        <rFont val="MS Gothic"/>
        <family val="3"/>
        <charset val="128"/>
      </rPr>
      <t>⁸₉₂</t>
    </r>
    <r>
      <rPr>
        <sz val="11"/>
        <color theme="1"/>
        <rFont val="新細明體"/>
        <family val="1"/>
        <charset val="136"/>
      </rPr>
      <t xml:space="preserve">U)的3 個階段中，涉及強作用與弱作用的衰變各為何？ </t>
    </r>
    <r>
      <rPr>
        <sz val="11"/>
        <color theme="1"/>
        <rFont val="PMingLiu"/>
        <family val="1"/>
        <charset val="136"/>
      </rPr>
      <t>（ 2分）</t>
    </r>
  </si>
  <si>
    <t>涉及強作用的衰變1分，涉及弱作用的衰變1分</t>
  </si>
  <si>
    <t>鈾-238 (²³⁸₉₂U) 衰變為釷-234 (²³⁴₉₀Th) 涉及 強作用（α 衰變），而鈾系列中的部分中子或質子衰變過程涉及 弱作用（如 β 衰變）。</t>
  </si>
  <si>
    <t>強作用力衰變：第一階段（鈾-238 衰變為釷-234）的 α 衰變 涉及強作用力。
弱作用力衰變：第二、三階段（釷-234 衰變為鏷-234，鏷-234 衰變為鈾-234）的 β 衰變 涉及弱作用力。</t>
  </si>
  <si>
    <t>涉及強作用的衰變： 第一階段的α衰變（鈾-238 → 釷-234）
涉及弱作用的衰變： 第二階段與第三階段的β衰變（釷-234 → 鉕-234 和 鉕-234 → 鈾-234）</t>
  </si>
  <si>
    <t>涉及強作用的是 α 衰變；涉及弱作用的是 β 衰變。</t>
  </si>
  <si>
    <t>1. 強作用：涉及核子集團（如  粒子）脫離原子核，為α衰變（ 。2. 弱作用：涉及個別核子的性質改變（如中子衰變成質子並放出電子），為β衰變 。</t>
  </si>
  <si>
    <t xml:space="preserve">53. 根據圖15，下列何者正確？
(A)空氣中二氧化碳的含量可從Pb²⁰⁶/ Pb²⁰⁷比例得知 
(B)此地的鉛濃度從1760年起呈現穩定上升的趨勢 
(C)岩心中的鉛濃度可由Pb²⁰⁶/ Pb²⁰⁷比例換算  
(D)此區域從1920年來Pb²⁰⁶/ Pb²⁰⁷比例逐漸下降，很可能和使用石油相關  
(E)英國於2000年起禁用有鉛汽油，因此同湖泊近年Pb²⁰⁶/ Pb²⁰⁷的比例應
</t>
  </si>
  <si>
    <t>54.工業革命的一大突破就是大量使用蒸氣機作為運輸動力，從圖15 的數據分析，可以推論此地運輸業的蒸汽機應在何時開始大量使用煤作為燃料？推論依據為何？（ 4分）</t>
  </si>
  <si>
    <t>(A) 年代部分：1820-1840年間
(B)Pb²⁰⁶/ Pb²⁰⁷比例或圖15(c)」、「該值短時間內有明顯變化」、「變化方向朝煤的Pb²⁰⁶/Pb²⁰⁷比例接近」者</t>
  </si>
  <si>
    <t>根據圖15 (b) 鉛濃度的上升趨勢，應該在 約 1900 年左右 開始大量使用煤。這時期鉛濃度在岩心中顯著增加，顯示工業革命後使用煤作為燃料的擴展。</t>
  </si>
  <si>
    <t>蒸汽機大量使用煤作為燃料的時間：約在 1800 年代初期。
推論依據：圖15(b)顯示岩心中鉛濃度在此時開始顯著上升，反映出煤燃燒增加所帶來的鉛排放增多。</t>
  </si>
  <si>
    <t>此地運輸業的蒸汽機應在**19世紀末至20世紀初（約1900年左右）**開始大量使用煤作為燃料。岩心中鉛濃度在1900年左右有顯著增加，反映出煤燃燒活動的增多，與蒸汽機大量使用煤作為燃料相符。</t>
  </si>
  <si>
    <t>可推論約在工業革命後、約 1760 年之後開始大量使用煤；依據是岩心中鉛濃度開始明顯上升，且 ²⁰⁶Pb/²⁰⁷Pb 比值接近煤的訊號（約 1.186），顯示煤燃燒造成的鉛沉降增加。</t>
  </si>
  <si>
    <t>1. 圖 15(b) 顯示從約 1800 年起，鉛濃度開始明顯脫離背景值上升。
2. 此時圖 15(c) 的同位素比值維持在 1.18 附近，與煤炭的特徵值（1.186）高度吻合，顯示此時增加的鉛主要來自煤炭燃燒。</t>
  </si>
  <si>
    <t>55-60題為題組
抗生素廣泛使用的結果會使抗藥性細菌增加，以致現有的抗生素不再有效，如何研發有效的新抗生素， 是個熱門的課題。2022年的諾貝爾化學獎頒給了三位從事點擊反應(click reactions)相關研究的學者，此類反應具有高效率產生化學鍵結的特性，若在生物分子上使用，可以使其便於與其他分子連接而產生新的應用。點擊反應便可以幫助化學家針對天然的抗生素進行修飾，或者直接用於合成新類型的分子，以開發新型抗生素來應對細菌抗藥性的問題。在某新抗生素的研究中，發現X與Y兩種細菌可生存在人體腸道中的相同部位。若能製造抑制對方生長的化合物，即可爭奪有限的空間與資源，對自身族群的生存即有很大的助益。科學家針對144個志願者所提供的檢體，偵測X與Y在與否的人數，數據如表9所示。
偵測到 X 且偵測到 Y：有 17 個樣本。
偵測到 X 但未偵測到 Y：有 15 個樣本。
未偵測到 X 但偵測到 Y：有 96 個樣本。
未偵測到 X 且未偵測到 Y：有 16 個樣本。</t>
  </si>
  <si>
    <t>55. 依據表9，細菌X 與Y 之間的關係最可能是下列何者？
(A)細菌X能夠抑制細菌Y的生長
(B)細菌Y能夠抑制細菌X的生長
(C)細菌X與Y皆會抑制彼此的生長
(D)細菌X與Y不會抑制彼此的生長
(E)細菌X會促進細菌Y的生長</t>
  </si>
  <si>
    <t>56.下列哪一個試驗的設計(縱軸所施的劑量大小)最可以模擬「抗生素廣泛被使用的結果」，
而得以測量細菌是否產生抗藥性或其抗藥性的程度？
五個不同圖形 (A-E)，每個圖形都表示抗生素劑量隨時間變化的情況。圖形的X軸表示時間，從左(先)到右(後)，Y軸表示抗生素劑量，從小到大。以下是對每個圖形的描述：
(A)：抗生素劑量隨時間逐漸增加，呈階梯狀上升。這表明隨著時間的推移，抗生素的劑量逐步提高。
(B)：抗生素劑量隨時間逐漸減少，呈階梯狀下降。這表明抗生素劑量隨著時間慢慢減少。
(C)：抗生素劑量隨時間基本保持不變，劑量水平保持穩定。
(D)：抗生素劑量先減少，然後逐漸回升，形成一個「U」型的趨勢。這表示抗生素劑量先下降到最低點，隨後又回升。
(E)：抗生素劑量先上升後下降，形成一個「倒V」型的趨勢，表示劑量隨時間先增後減。</t>
  </si>
  <si>
    <t>57. 廣泛使用抗生素使抗藥性細菌增加的演化力為何？ （ 2分）</t>
  </si>
  <si>
    <t>天擇 或 生存競爭及適者生存 或 自然選擇</t>
  </si>
  <si>
    <t>抗生素的廣泛使用為抗藥性細菌提供了 強烈的選擇壓力。具有抗藥基因的細菌在抗生素存在的環境中更具生存優勢，經過多代繁殖使抗藥性增加，這種選擇壓力是抗藥性細菌增加的主要演化力。</t>
  </si>
  <si>
    <t>自然選擇（天擇）</t>
  </si>
  <si>
    <t>自然選擇</t>
  </si>
  <si>
    <t>天擇（自然選擇）</t>
  </si>
  <si>
    <r>
      <rPr>
        <sz val="11"/>
        <color theme="1"/>
        <rFont val="PMingLiu"/>
        <family val="1"/>
        <charset val="136"/>
      </rPr>
      <t>58. 科學家成功的找到了一種新的抗生素−路鄧素(Lugdunin, C</t>
    </r>
    <r>
      <rPr>
        <sz val="11"/>
        <color theme="1"/>
        <rFont val="PMingLiu"/>
        <family val="1"/>
        <charset val="136"/>
      </rPr>
      <t>₄</t>
    </r>
    <r>
      <rPr>
        <sz val="11"/>
        <color theme="1"/>
        <rFont val="新細明體"/>
        <family val="1"/>
        <charset val="136"/>
      </rPr>
      <t>₀H₆</t>
    </r>
    <r>
      <rPr>
        <sz val="11"/>
        <color theme="1"/>
        <rFont val="PMingLiu"/>
        <family val="1"/>
        <charset val="136"/>
      </rPr>
      <t>₂</t>
    </r>
    <r>
      <rPr>
        <sz val="11"/>
        <color theme="1"/>
        <rFont val="新細明體"/>
        <family val="1"/>
        <charset val="136"/>
      </rPr>
      <t>N₈O₆S)，其結構如圖16所示。
該分子是一個多肽，具有多個含有氮 (N) 和氧 (O) 的官能團，並且存在多個酰胺鍵 (–CONH–)。
結構中有一個吲哚基團(與苯環和吡咯環融合在一起)。右下角還有一個次氨基 (NH) 與酰胺基相連，左上角包含一個硫 (S) 原子。
整個分子呈現環狀結構，這通常是由頭尾連接的肽鏈組成。
已知細菌合成路鄧素的方式，首先是串接常見的生物分子單體，形成鏈狀分子後，再將兩端相連成環狀分子。串接路鄧素的生物分子單體可形成哪一種重要有機物質？
(A)纖維素
(B)核苷酸
(C)蛋白質
(D)三酸甘油酯
(E)葡萄糖</t>
    </r>
  </si>
  <si>
    <r>
      <rPr>
        <sz val="11"/>
        <color theme="1"/>
        <rFont val="PMingLiu"/>
        <family val="1"/>
        <charset val="136"/>
      </rPr>
      <t>59. 根據文獻報導，路鄧素可使金黃葡萄球菌無法合成新的DNA、無法合成RNA、無法製造蛋白質，也無法製造細胞壁的前驅物，同時抑制了細菌四個主要生理代謝的途徑。下列有關DNA、RNA、蛋白質與細胞壁等物質的敘述，哪些正確？(應選3 項)
(A)植物細胞壁的主要成分是纖維素，其分子式可以(C₆H</t>
    </r>
    <r>
      <rPr>
        <sz val="11"/>
        <color theme="1"/>
        <rFont val="PMingLiu"/>
        <family val="1"/>
        <charset val="136"/>
      </rPr>
      <t>₁</t>
    </r>
    <r>
      <rPr>
        <sz val="11"/>
        <color theme="1"/>
        <rFont val="新細明體"/>
        <family val="1"/>
        <charset val="136"/>
      </rPr>
      <t>₀O₅) n表示
(B)植物細胞壁含有長碳鏈，是屬於一種界面活性劑
(C) DNA與RNA的基本結構為：磷酸根-五碳醣-含氮鹼基
(D) DNA與RNA具有相同的五碳醣
(E)蛋白質是由胺基酸所組成的聚合物</t>
    </r>
  </si>
  <si>
    <r>
      <rPr>
        <sz val="11"/>
        <color theme="1"/>
        <rFont val="PMingLiu"/>
        <family val="1"/>
        <charset val="136"/>
      </rPr>
      <t>60. 科學家同時測試了路邊素與另一種利用點擊反應開發出來的新型抗生素 T 作為比較，發現路邊素與 T 對細菌 S 的最低抑菌濃度分別為 2.0 µg/mL 與 1.5 × 10</t>
    </r>
    <r>
      <rPr>
        <sz val="11"/>
        <color theme="1"/>
        <rFont val="MS Gothic"/>
        <family val="3"/>
        <charset val="128"/>
      </rPr>
      <t>⁻⁶</t>
    </r>
    <r>
      <rPr>
        <sz val="11"/>
        <color theme="1"/>
        <rFont val="新細明體"/>
        <family val="1"/>
        <charset val="136"/>
      </rPr>
      <t xml:space="preserve"> M。若以莫耳濃度比較，則以何種抗生素處理細菌 S，所需的濃度較低？(路邊素的莫耳質量為 782 g/mol，需寫出計算過程)</t>
    </r>
    <r>
      <rPr>
        <sz val="11"/>
        <color theme="1"/>
        <rFont val="PMingLiu"/>
        <family val="1"/>
        <charset val="136"/>
      </rPr>
      <t>（ 2分）</t>
    </r>
  </si>
  <si>
    <t>(A) CM= 2.6 ×10⁻⁶ g/ml /782 g/mol=2.6 ×10⁻⁹ mol/mL= 2.6 ×10⁻⁶ M ；2.6 ×10⁻⁶ M &gt; 1.5 ×10⁻⁶ M
(B) 抗生素T所需的濃度較低</t>
  </si>
  <si>
    <t>路鄧素的濃度為 =2.56 ×10⁻⁹M
路鄧素的所需濃度較低</t>
  </si>
  <si>
    <t>2.56×10 
−6
 M抗生素 T 所需的濃度較低</t>
  </si>
  <si>
    <t>2.56×10 −6M  抗生素 T 的濃度較低。</t>
  </si>
  <si>
    <t>路鄧素所需莫耳濃度較低</t>
  </si>
  <si>
    <t>抗生素 T</t>
  </si>
  <si>
    <t>2024_Questions</t>
  </si>
  <si>
    <t>1.	探討活動時，小明觀察染色後細胞的形態並繪得如圖1的細胞圖。
這張圖片顯示了一群細胞狀的結構，每個細胞內部都有一個圓形的核。這可能是一個顯微鏡下觀察到的細胞群，其中每個細胞的外形不規則，類似於細胞膜的邊界，並且都有明顯的細胞核。這樣的結構可能與生物學研究或顯微圖像相關。
這圖所顯示的細胞最可能是來自下列何處的樣本？ (A)血液 (B)口腔黏膜 (C)洋蔥根尖 (D)洋蔥表皮 (E)水蘊草葉片</t>
  </si>
  <si>
    <t>2. 學者對甲乙兩葉菜類作物 栽種後約 2-3個月可採收 進行在不同溫度下光合作用效率的研究，所得結果如圖 2。
在圖2中，「甲」和「乙」的光合作用效率隨氣溫的變化呈現出不同的趨勢：
光合作用效率隨氣溫的變化：
2. 學者對甲乙兩葉菜類作物 栽種後約 2-3個月可採收 進行在不同溫度下光合作
用效率的研究，所得結果如圖 2。圖 3是某地的全年氣溫變化圖。根據這些資訊，
僅考慮溫度與光合作用的關係，下 列 哪些推論正確？（應選 2項)
甲：光合作用效率在15°C至25°C之間達到最高，峰值大約在20°C左右，隨著氣溫超過25°C後，光合作用效率開始顯著下降。在低溫（約10°C以下)時，甲的光合作用效率相對較低。
乙：乙的光合作用效率隨著氣溫升高也達到頂點，但其峰值稍微低於甲，約在20°C左右。與甲相比，乙的光合作用效率在高溫（25°C以上)下降得更快。
氣溫的比較：
低溫下（15°C以下)：甲的光合作用效率略高於乙。
中等氣溫（15°C至25°C之間)：甲和乙的光合作用效率都接近峰值，但甲稍高。
高溫下（25°C以上)：乙的光合作用效率下降得更快，甲則在高溫下仍保持相對較高的效率。
圖 3是某地的全年氣溫變化圖。示了全年不同月份中，平地和山地的氣溫變化曲線。兩條曲線代表了氣溫隨月份變化的趨勢，其中平地的氣溫在全年都高於山地，並且氣溫的峰值大約出現在7月份。隨著月份的變化，氣溫在夏季上升並在冬季下降，兩者的變化趨勢相似，但山地的氣溫在全年中始終比平地低。根據這些資訊，僅考慮溫度與光合作用的關係，下 列 哪些推論正確？（應選 2項)
(A)甲較乙適合於山地全年栽種
(B)若將乙種植於平地，則夏季較冬季所需栽種到收成時間應較短
(C)相較於山地，平地更適合栽種甲
(D)於平地，乙在冬天會比夏天消耗較多二氧化碳
(E)於平地，甲在冬天會比夏天消耗較多二氧化碳</t>
  </si>
  <si>
    <t>3. 依據細胞學說的主要內容及其推論， 下列 哪些正確  ？（應選 3項)
(A)病毒細胞是病毒體的構造與功能最基本單位
(B)尺度微小的細菌，其生物體仍由細胞構成
(C)紅血球細胞由血液中既存的紅血球分裂而來
(D)植物體的成長是綜合其細胞的數量增多和尺寸增大的結果
(E)動物體的行為表現複雜，但其功能可由多重細胞協調達成</t>
  </si>
  <si>
    <t>4 . 孟德爾進行一系列的豌豆雜交實驗，並將實驗數據分析後，整理出分離律與獨立
分配律二個遺傳法則。經過後續科學家的努力後，才逐漸確立這些法則對應的分子生物學基礎。獨立分配律指不同對的遺傳因子分離後，自由分配到子代。實質上，遺傳因子究竟是指什麼，則到二十世紀初才被確認。有關遺傳因子的分子組成及結構的研究， 下列哪些正確？ （ 應選3 項)
(A)洒吞（ 薩登) 發現細胞行減數分裂時， 染色體的分離與遺傳因子的分離相似
(B)弗蘭克林以X光繞射技術觀察到DNA結晶的繞射影像
(C)華生與克里克建構了DNA的雙股螺旋分子模型
(D)史蒂文斯以果蠅的眼色互交試</t>
  </si>
  <si>
    <t>5.卡里科和魏斯曼為2 0 2 3 年諾貝爾生醫獎的得主。他們發現RN A 中的部分尿嘧啶
（ U) 用假尿嘧啶取代後可逃避免疫系統， 而延長如R NA 等核酸在細胞內的存
活時間。這項發現使得製造mR NA 疫苗得到關鍵性技術，並且快速的發展、應用與上市，適時對抗全球流行的新冠疫情，並做出具體貢獻。下列有關真核細胞的RN A 敘述哪些正確？ （ 應選3 項)
(A)尿嘧啶和鳥糞嘌呤以彼此形成鍵結的形式存在RNA中
(B)RNA是由嘧啶和嘌呤相互對位鍵結形成的雙股分子
(C)正常人體的免疫系統會偵測非自體的RNA
(D)將RNA中的尿嘧啶置換為假尿嘧啶， 轉譯仍可順利進行
(E)將RNA中的尿嘧啶置換為假尿嘧啶， 則可提高mRNA疫苗的效力</t>
  </si>
  <si>
    <t>6.已知一段雙股去氧核糖核酸， 其中一股的含氮鹼基序列為AT T GCCT TA， A 為腺嘌呤、T 為胸腺嘧啶、C 為胞嘧啶、G 為鳥糞嘌呤， 下列有關此段雙股去氧核糖核酸的敘述， 何者正確？
(A)腺嘌呤個數與胞嘧啶相同
(B)腺嘌呤個數為胸腺嘧啶的兩倍
(C)嘧啶總個數多於嘌呤總個數
(D)嘌呤總個數多於嘧啶總個數
(E)鳥糞嘌呤與胞嘧啶個數相加等於腺嘌呤個數</t>
  </si>
  <si>
    <t>7.一種微球菌 Paenarthrobacteria ureafaciens K172（簡稱 K172)在 1975 年被發現存活
於尼龍工廠的汙水池中。此菌具有特別的n yl o n a s e 酵素， 能消化人造的尼龍分
子， 因此被稱為吃尼龍菌。然而， 尼龍之發明及使用始於1 9 3 5 年， 此之前P. ureafaciens 從未接觸過尼龍。由演化的觀點視之，可用下列哪些論點解釋此菌能夠存活在尼龍工廠的汙水池中？ （ 應選2 項)
(A)K172是基因改造生物
(B) P. ureafaciens DNA的鹼基序列發生改變
(C)K172遵循細胞來自細胞的細胞學說
(D)K172遵循孟德爾遺傳法則而來
(E)達爾文提出的天擇所造成的生物適應現象</t>
  </si>
  <si>
    <t>8 . 小明探討演化理論之發展歷史， 發現達爾文手繪之共同祖先概念圖饒富科學趣味，並仿製達爾文首次繪出的生命樹如圖4；
圖4顯示了一個分支狀的結構，可能是樹狀圖或系統發育樹。
「甲」：位於右下方，可能是整個樹狀結構中相對於其他分支更為獨立的一個群體，距離分支點較遠，表示它的演化關係相對獨立。
「乙」：位於樹狀結構的頂部，分支繁多，可能代表了一個有較多分化的群體。
「丙」：位於中上部，與乙靠近，也有多個分支，顯示其與乙可能有較接近的關係。
「丁」：位於左上方，有幾個分支，與乙和丙呈現一個較接近的演化關係，與甲相比距離主幹較遠，意味著這些群體之間可能有共同的演化歷程。
其中之節點為共同祖先，線段表示物種之存續。若以現代觀點解釋之，① 為親緣關係樹的根，甲～ 丁為端末物種，以甲乙代表甲和乙之親緣關係， 其餘類推， 並以X Y＞ Y Z 的「＞ 」表示X Y 的親疏關係較YZ 親（ 近)， 則下列關係何者正確？
(A)甲乙＞ 甲丙
(B)甲乙＜ 甲丁
(C)甲乙＞ 乙丙
(D)甲乙＜ 乙丁
(E)甲乙＞ 丙丁</t>
  </si>
  <si>
    <t>9 . 有關現行的生物分類系統， 下列敘述何者正確？
(A)階層愈高， 其內的（ 物) 種間相似的特徵愈多， 成員也較多
(B)階層愈低， 其內（ 物) 種較少， 親緣關係也較疏遠
(C)任取兩個同目的（ 物) 種必較同科的兩（ 物) 種在親緣關係上疏遠
(D)（ 物) 種是分類的基本單位， 只能以形態相區別
(E)屬是將（ 物) 種加以歸類後的第一個層級</t>
  </si>
  <si>
    <t>10.五種化合物的分子式分別是甲（C₉H₁₉N₃O₆)、乙（C₂₀H₃₀O)、丙（C₂₈H₄₄O)、丁（C₆H₈O₆)與戊（C₂₉H₅₀O₂)。某化合物經完全燃燒後，所得二氧化碳與水的重量比為11：3，則此化合物為下列哪一種？（原子量 C = 12.0、H = 1.00、O = 16.0)
(A) 甲
(B) 乙
(C) 丙
(D) 丁
(E) 戊</t>
  </si>
  <si>
    <t>11.在週期表之第二週期中， 具有4 個和6 個價電子的元素分別以X 和Y 表示。下列哪些正確？ （ 應選3 項)
(A)Y之價殼層電子數大於X， 故Y之原子半徑大於X
(B) 12 X 和16 Y 之中子數和質子數的比值均為1
(C) 2 XY 和XY互為同分異構物
(D)由路易斯結構可知2 XY 的孤對電子數是XY的2倍
(E) 2 XY 的水溶液呈弱酸性</t>
  </si>
  <si>
    <t>12-13 題為題組
黃鐵礦（FeS₂)是地表上主要硫物之一，通常與他種岩石的硫化物或氧化物伴生。地質學家為了了解黃鐵礦成分，進行以下的實驗。其實驗步驟如下：
步驟1：將黃鐵礦實驗樣品磨成粉末，於3個錐形瓶（標號1~3)中分別放置0.35克樣品，並加入50 mL的稀硝酸溶液。
步驟2：將3個錐形瓶置放在室溫，但不可用氧氣分壓下。
步驟3：經過一天後，取出20 mL上層溶清液，測量溶液中含鐵總濃度（[Fe_total]，包含Fe(II)與Fe(III))、SO₄²⁻濃度（[SO₄²⁻])及含硫總濃度（[S_total]，包含[SO₄²⁻]與其它含硫物質濃度)。
上述含硫總濃度是先用化學方法，將溶液中所有硫化物氧化成SO₄²⁻後，再加以測量，實驗結果列於表1。
表1顯示了黃鐵礦樣品在不同氧氣分壓下溶解後的成分分析結果。表中列出了三個樣品的氧氣分壓（atm)、總鐵濃度（[Fe_total]，以mM表示)、硫酸根離子與總鐵濃度的比值（[SO₄²⁻]/[Fe_total])、以及總硫與總鐵濃度的比值（[S_total]/[Fe_total])。
當氧氣分壓為0.21 atm時，總鐵濃度為2.4×10⁻² mM，硫酸根離子與總鐵濃度的比值為1.46，總硫與總鐵濃度的比值為1.74。
當氧氣分壓降低至3.0×10⁻³ atm時，總鐵濃度降低至1.4×10⁻³ mM，硫酸根離子與總鐵濃度的比值為1.39，總硫與總鐵濃度的比值為1.72。
當氧氣分壓進一步降低至3.3×10⁻⁵ atm時，總鐵濃度為3.8×10⁻⁴ mM，硫酸根離子與總鐵濃度的比值為1.24，總硫與總鐵濃度的比值為1.70。</t>
  </si>
  <si>
    <t>12.欲測量含硫物質的總濃度時，可選用以下哪種試劑，將水溶液內的硫化物都氧化成SO₄²⁻ ？
(A) 3 NH (aq) (B) 2 2 H O (aq) (C) Zn(s) (D) HCl(aq) (E) KCl(aq)</t>
  </si>
  <si>
    <t xml:space="preserve">13. 13. 下列實驗觀察哪些為合理敘述？（應選 3 項)
(A) 理論上純度100%的黃鐵礦樣品，其 [S total l]/[Fe total]值應該為2
(B) 黃鐵礦在酸性溶液中，會隨氧氣分壓增加而減少其溶解的量
(C) 此實驗黃鐵礦樣品中可能含有氧化鐵，所以量測  [S total l]/[Fe total]的值小於2
(D) 在純氧氣下操作此實驗，[SO₄²⁻]/[Fe total]的值會大於1.46
(E) 表1中，[SO₄²⁻]/[Fe total]值比[S total l]/[Fe total]值小，表示在氧氣分壓為0.21 atm，經過一天仍無法將硫化物都氧化成SO₄²⁻
</t>
  </si>
  <si>
    <t xml:space="preserve">14. 硼烷氨（H₃NBH₃)是一種固態能源，可與鹽酸反應產生氫氣。假設在25°C、1 atm下，取1.54克硼烷氨與足量的鹽酸反應，可完全轉變成硼酸（H₃BO₃)、氯化銨（NH₄Cl)與氫氣，反應式如下：
H₃NBH₃ + HCl + H₂O → H₃BO₃ + NH₄Cl + H₂（未平衡)
試問所產生氫氣的體積是多少升？（25°C、1 atm，1莫耳氫氣的體積為24.5升；原子量C = 12.0、H = 1.00、O = 16.0、N = 14.0、B = 10.8)
(A) 1.23  
(B) 3.36  
(C) 3.68  
(D) 4.90  
(E) 6.00  </t>
  </si>
  <si>
    <t>15. 李小仁買了一條流行的飛天小丑魚，是一種質量很輕類似氣球的飛行玩具，但是買回來後發現，廠商沒有將飛天小丑魚灌入氣體。於是，李小仁前往附近店家尋找，並填充一定量體積的氦氣， 但是找了幾家，發現氦氣的純度有所差異，皆含有體積1%氣體雜質。試問含有下列何種雜質會使飛天小丑魚最容易浮起？（ 原子量C＝ 1 2 . 0、N＝ 1 4 . 0、O＝ 1 6 . 0、Ne＝ 2 0 . 2、Ar＝ 4 0 . 0)
(A)二氧化碳 (B)氮氣 (C)氖氣 (D)氬氣 (E)氧氣</t>
  </si>
  <si>
    <t>16-17題為題組
海水去鹽淡化，可讓水資源再利用。某實驗室發現咖啡渣可作為水純化的材料。首先將咖啡渣在極高溫下碳化成奈米材料，再混以具油脂特性的無色透明矽烷，均勻地灑在一杯海水的表面上，然後放置在一具有斜度上蓋的透明容器（ 如圖5所示) ， 
圖5展示了一個實驗裝置，中央放置了一個盛有碳化後粉末的容器，該容器的底部外側接觸純水，內側接觸海水。
經在太陽光照射之下， 底部漸漸發現有經過凝結後的純水。研究人員針對四種情況， 分別是（ 甲) 未照光、（ 乙) 照光、（ 丙) 照光並灑上碳化咖啡粉，以及（ 丁)照光並灑上混有矽烷的碳化咖啡粉，且後兩種情況使用同樣重量的咖啡粉。在同樣的時間內，測量水杯重量的減少程度，並將實驗結果繪製成圖6。
圖6中顯示了四條不同條件下的重量變化曲線，對應的重量變化（以 kg/m² 為單位)隨時間（分鐘)的改變如下：
甲（未照光)：
0 分鐘時，重量變化為 0 kg/m²。
60 分鐘時，重量變化接近 -0.2 kg/m²。
乙（照光)：
0 分鐘時，重量變化為 0 kg/m²。
60 分鐘時，重量變化約為 -0.4 kg/m²。
丙（照光並置碳化咖啡粉)：
0 分鐘時，重量變化為 0 kg/m²。
60 分鐘時，重量變化約為 -0.6 kg/m²。
丁（照光並混合矽砂的碳化咖啡粉)：
0 分鐘時，重量變化為 0 kg/m²。
60 分鐘時，重量變化約為 -0.9 kg/m²。</t>
  </si>
  <si>
    <t>16.實驗的結果發現，在水的表面灑上碳化後的咖啡粉，可以增加水的揮發效果，其可能原因為何？
(A)碳化後的咖啡粉變輕， 與水一起揮發
(B)碳化後的咖啡粉變重， 把水擠出容器外
(C)碳化後的咖啡粉易溶於水， 促進水的揮發
(D)碳化後的咖啡粉， 吸光吸熱的效果增加
(E)碳化後的咖啡粉不易吸水， 水就容易揮發</t>
  </si>
  <si>
    <t>17.在水杯中灑上混有油脂特性的矽烷碳化咖啡粉，可使水的揮發效果更佳，下列敘述哪些正確？（應選 2 項)
(A) 油脂特性的矽烷具疏水性質，可使咖啡粉漂浮在水的表面上，不會產生沉澱
(B) 油脂特性的矽烷具親水性質，可與水的互溶性提升
(C) 可扮演界面活性劑的角色，使咖啡粉懸浮在水中
(D) 可扮演凝聚劑的角色，使咖啡粉凝結成塊，沉入水中
(E) 在40～50分鐘間，杯內灑上混有油脂特性矽烷碳化咖啡粉的揮發速率達到 0.02 kg/m²·min</t>
  </si>
  <si>
    <t>18. 有甲、乙、丙及丁四種純物質， 皆不會相互反應， 其熔點、沸點與加水後的情況如下表 2所示。
表2描述了甲、乙、丙及丁四種純物質的熔點、沸點及其在水中的溶解性質：
甲：熔點為16.6°C，沸點為118.1°C。當取1克甲加入10毫升水並搖拌後，生成無色溶液，顯示弱酸性。
乙：熔點為1025°C，沸點為1836°C。加入水中後無化學反應發生，物質呈懸浮狀，並有沉澱物產生。
丙：熔點為-22.9°C，沸點為76.7°C。加入水中後，液體分層，顯示出不互溶的特性。
丁：熔點為776°C，沸點為1420°C。加入水後，完全溶解，並生成無色溶液。
下列有關甲、乙、丙、丁四種純物質的敘述，哪些正確？（應選3項)
(A)乙與丁的混合物可藉由加入水後，而進行後續的分離
(B)丙與水的混合物適合使用蒸發結晶法分離
(C)分離乙與水的混合物的過程可使用濾紙過濾
(D)甲和丙為強電解質
(E)丁可能為離子化合物</t>
  </si>
  <si>
    <t>19. 臺灣目前的核能電廠利用核燃料以發電，全部過程中主要牽涉到以下哪些形式的
能量轉換與反應 應選 3項
(A)質能轉換 (B)聲能轉電能 (C)熱能轉動能
(D)核融合 (E)核分裂</t>
  </si>
  <si>
    <t>20. 下列關於基本交互作用的敘述，哪些正確？（應選 2項)
(A)基本交互作用中，僅有重力的作用範圍可達無窮遠，故為星系形成的主要原因
(B)電子繞著原子核運動，主要是因為重力
(C)單獨的中子可藉由弱力衰變為質子、電子和其他粒子
(D)弱力與強力的作用範圍比原子的尺度還小
(E)質子與中子間有強力，但中子與中子間並沒有強力</t>
  </si>
  <si>
    <t>21. 眼球的主要結構及成像原理，和相機類似，如圖 7所示。
圖7顯示了一個眼球的剖面圖，標示了幾個主要的眼睛結構：
角膜：位於眼球的最前端，負責折射進入眼睛的光線。
瞳孔：位於角膜後方，中央的開口部分，控制進入眼睛的光量。
水晶體：位於瞳孔後方，能調節焦距，使光線準確地聚焦在視網膜上。
視網膜：覆蓋在眼球內部的後壁，是感光細胞所在的地方，負責將光信號轉化為神經信號，傳送至大腦進行視覺處理。
光進入眼球時，會經過「角膜」、「瞳孔」與「水晶體」，「瞳孔」如同相機的光圈，可縮放以控制進光量的多寡 而 「角膜」與「水晶體」如同相機鏡頭中的透鏡。最後成像在「視網膜」，如同相機的感光元件。下列敘述，何者正確
(A)進入眼球的光可在視網膜上成像，主要由於干涉現象
(B)物體成像在視網膜的前方或後方，可配戴凹透鏡或凸透鏡來矯正，主要是利用光的繞射現象
(C)若遠處物體的成像位置在相機的感光元件之前，可改用感光程度更高的元件，使影像由模糊變為清晰
(D)遠方物體在照相機感光元件上形成倒立實像，在眼睛的視網膜上也是形成倒立實像
(E)若成像模糊，照相機是調整鏡頭與感光元件的距離，而眼睛則只靠縮放瞳孔，使成像清晰</t>
  </si>
  <si>
    <t>22-23 題為題組
高能的粒子束或X光束可用於治療惡性腫瘤（癌症)。每單位質量的人體組織所吸收的射束能量稱為吸收劑量。射束通常對準腫瘤照射，癌細胞因正常細胞吸收射束的能量後，DNA會遭到破壞，而癌細胞死亡的機率較正常細胞為高。
圖8顯示的是電子、質子、和兩個能量不同的X光等四種射束之吸收劑量隨進入表皮深度的變化。圖中各射束名稱下，註明該射束中單一粒子或光子入射人體時的能量，其中1.0 MeV約為1.6×10⁻¹³ J。
這張圖顯示了四種射束（X光束與粒子束)的細胞組織吸收劑量隨進入表皮深度的變化情況，X軸表示進入表皮深度（以公分為單位)，Y軸表示細胞組織吸收的劑量。
X光束（20 MeV)：吸收劑量隨深度增加，在約3公分處達到峰值，之後平緩下降。
X光束（4.0 MeV)：在深度達到約2公分時，吸收劑量緩慢減小，隨後急速下降，未顯示出明顯的峰值。
電子束（4.0 MeV)：在表皮附近，吸收劑量達到最大值，隨深度增加後迅速減少，超過3公分後幾乎無吸收。
質子束（150 MeV)：在淺層組織中的吸收劑量較低，但在約12公分處急劇上升，達到明顯峰值，之後迅速下降。</t>
  </si>
  <si>
    <t>22. 關於上述四種射束的敘述， 下列哪些正確？ （ 應選2 項)
(A)質子射束的粒子與射線的粒子相同
(B)質子束的粒子數密度必為電子束粒子數密度的37.5倍
(C)20 MeV之X光的光子頻率為4 MeV之X光的光子頻率的5倍
(D)150 MeV之質子的速率和4 MeV之光子的速率相同
(E)四種射束中， 只有X光束能夠穿透15公分厚的細胞組織</t>
  </si>
  <si>
    <t>23. 若有癌細胞存在於表皮下某處，則依據上面所提供的資訊，下列敘述哪些可以達到「儘量殺除癌細胞、保留正常細胞」的最佳效果？ （ 應選2 項)
(A)癌細胞在表皮下10公分處， 應使用電子束
(B)癌細胞在表皮下10至11公分處， 應使用質子束
(C)癌細胞在表皮下0至2公分處， 應使用4 MeV之X光束
(D)癌細胞在表皮下2至10公分處， 應使用20 MeV之X光束
(E)癌細胞在表皮下3至8公分處， 可以結合電子束及質子束一起使用</t>
  </si>
  <si>
    <t>24-25題為題組
電冰箱的操作原理是利用低溫的冷媒來冷卻冰箱裡的食物，再用壓縮機壓縮吸收熱能後的冷媒，提高其溫度，以利於其後之散熱過程。冷媒經散熱片把熱能釋放到周遭空氣中後，經過降溫、降壓又可以用來冷卻冰箱裡的食物，如此構成冷卻的循環， 而循環過程會消耗電能。</t>
  </si>
  <si>
    <t>24.下列有關電冰箱的敘述， 哪些正確？ （ 應選2 項)
(A)電冰箱是利用電能作功把冰箱內的熱能轉移到冰箱外
(B)電冰箱裡面的壓縮機的功能是把冷媒降溫並增加其壓力
(C)於密閉隔熱室內打開空冰箱的門， 通電並經長時間運轉後， 平均室溫會提高
(D)冷媒冷卻冰箱裡的食物時是處於低溫高壓狀態
(E)冷媒的溫度低於室溫仍然可以將其熱能直接傳給周遭的空氣</t>
  </si>
  <si>
    <t xml:space="preserve">25. 冰箱、冷凍庫的效率可看其性能係數，其定義為：性能係數 =轉移的熱能/輸入的功。若一電冰箱性能係數為2.5，則輸入1.0度電約可轉移多少熱能？（1度電 = 1 kW·h，輸入的功可視為輸入的電能)
(A) 3.6 × 10⁶ J  
(B) 7.2 × 10⁶ J  
(C) 9.0 × 10⁶ J  
(D) 1.1 × 10⁷ J  
(E) 1.4 × 10⁷ J  </t>
  </si>
  <si>
    <t>26-27題為題組
汽車的安全系統判斷車身受到撞擊而急遽減速時，裝在方向盤裡的安全氣囊即會充氣彈出，透過內部氣體的緩衝，配合安全帶的作用，來降低駕駛人受到的衝擊力。
圖9 為一款汽車安全氣囊的充氣壓力與充氣時間的關係圖（ 100kPa大約為1大氣壓)。
這張圖顯示了充氣壓力隨充氣時間變化的趨勢圖。橫軸代表充氣時間（單位為毫秒，ms)，縱軸代表充氣壓力（單位為千帕，kPa)。從圖中可以看到：
在開始時，充氣壓力隨時間迅速上升。
當充氣時間達到約50 ms時，充氣壓力接近飽和壓力，壓力達到約250 kPa。
在50 ms之後，充氣壓力趨於穩定，接近飽和壓力，隨時間變化不再顯著增加。
在駕駛人撞擊到安全氣囊前， 必須要有足夠的時間讓安全氣囊至少充氣達飽和壓力的一半以上， 才能藉由緩衝達到保護駕駛人的效果。依據上述文字與圖9， 回答第26～ 27題。</t>
  </si>
  <si>
    <t>26. 根據圖9， 開始充氣的安全氣囊， 至少約需時多少， 可達保護駕駛人的氣壓？
(A) 10 ms (B) 20 ms (C) 30 ms (D) 40 ms (E) 50 ms</t>
  </si>
  <si>
    <t>27.質量為5 0 k g 的駕駛人在國道開車， 以1 0 8 km/ h（ 即3 0 m/ s) 的速度向東前進。假設該車在發生正面撞擊的瞬間，安全帶與車體支撐立即開始施予駕駛人一個固定的水平力，而方向盤的轉軸也立即收縮，致使方向盤向前水平移動，安全氣囊也開始充氣。若駕駛人接觸到氣囊時， 其速度為5 4 km/ h 向東， 而安全氣囊充氣恰達飽和壓力的一半， 則駕駛人受到的水平定力約為多少？
(A) 150000 N (B) 25000 N (C) 8880 N
(D) 1000 N (E) 250 N</t>
  </si>
  <si>
    <t>28. 圖 10為臺灣地質分區圖，根據圖10中台灣不同地區的地理位置，從西到東的排序如下：
I：澎湖群島（位於台灣西方的離島)
II：西部濱海平原（台灣本島最西邊，靠近海岸)
III：西部麓山帶（位於西部平原的東側)
IV：雪山山脈（位於西部麓山帶的東側)
V：中央山脈（台灣中部，主要山脈之一)
VI：花東縱谷（位於中央山脈與海岸山脈之間)
VII：海岸山脈（靠近台灣東岸)
VIII：島弧（綠島、蘭嶼)（位於台灣東方的離島)
由西至東為 I：澎湖群島、 II：西部濱海平原、 III：西部麓山帶、 IV：雪山山脈、 V：中央山脈、 VI：花東縱谷、 VII：海岸山脈、 VIII：島弧（綠島、蘭嶼)。
下列有關各分區的地質事件 哪些 正確？（應選 2項)
(A)I區的火成岩與VIII區的火成岩種類不同
(B)活動斷層僅分布在IV、V區
(C)在中生代形成的恐龍化石可以在III區發現
(D)V區的變質岩大都比IV區的變質岩的變質度高
(E)VII區蘊藏有石油資源</t>
  </si>
  <si>
    <t>29. 海洋裡有各種不同時間尺度的運動和現象，例如： 甲 潮汐、 乙 聖嬰現象、丙 湧浪、 丁 風浪、 戊 溫鹽環 流 。 這些運動和現象的大致週期，從長至短的順序為何？
(A)甲乙丙戊丁 (B)戊乙甲丙丁 (C)戊甲丙丁乙
(D)甲丙乙戊丁 (E)乙戊甲丙丁</t>
  </si>
  <si>
    <t>30.若 空氣中 水氣含量不變， 下列 哪些方式 最 不可能 發生水氣凝結現象？ 應選 2項
(A)氣流受到地形抬升，沿著迎風坡爬升
(B)暖空氣吹過冷海面
(C)地表輻射冷卻導致空氣溫度改變
(D)空氣在地面高壓區的上空向下沉
(E)空氣塊過山後產生落山風</t>
  </si>
  <si>
    <t>31. 地震預警是利用地震資訊的快速發布，讓地震波尚未到達的地區能即時因應。假設 從地震發生到 市民收到中央氣象署預警通知所需時間為 10秒， P波的速率為每秒 5公里， S波的速率為每秒 3公里。假設震波速率不變，某地震發生後，若臺 北測站測得的 P波比 S波早到 20秒，則 臺 北市民在這地震的 S波到達前，有多少秒可做緊急應變？
(A) 30 (B) 35 (C) 40 (D) 45 (E) 50</t>
  </si>
  <si>
    <t>32. 北半球有一 溫帶氣旋，其地面氣壓與鋒面的分布如圖 11所示 。 
圖11顯示了一個等高線圖，圖中有標示「甲」、「乙」、「丙」、「丁」、「戊」等五個點，並且箭頭指示了北方（N)。
甲：位於圖的右側，靠近較高等高線的部分，可能位於較高的地勢。
乙：位於等高線的中心，應該是整個地形中的最高點或山頂。
丙：位於乙的下方，靠近較低的等高線，顯示其位置較乙低，可能位於斜坡上。
丁：位於圖的左側，靠近較外圍的等高線，表示其地勢較低。
戊：位於圖的下方，也在較低的等高線附近，顯示其地勢較丁更低或在另一側的斜坡上。
下列有關此天氣圖的敘述， 何者 正確？
(A)甲地點大約吹西風
(B)乙地點的溫度最低
(C)丙地點的氣壓最高
(D)丁地點大約吹西北風
(E)乙地點的天氣是陰雨天</t>
  </si>
  <si>
    <t>33. 下列有關臺灣周邊海域潮汐的敘述，哪些正確 應選 3項
(A)西部海岸的潮差由南北兩端向中部增大
(B)基隆與高雄外海的水深較深，受海底地形的影響，其潮差較其他區域小
(C)東部海岸因地形開闊又面向太平洋，故潮差較西部大
(D)滿潮的時間，東部海岸比西部海岸晚約五小時左右
(E)退潮時，海水由臺灣海峽南北端流出</t>
  </si>
  <si>
    <t xml:space="preserve">34. 一個未飽和空氣塊在上升過程中，假設不與環境交換熱量，每上升 1公里，溫度約降低 露點每上升 1公里約降低 2℃。 假設 有五個地點，在高度為 0時，其溫度和露點如下表 。此表格顯示了五個地點（甲、乙、丙、丁、戊)的溫度和露點數據，具體如下：
甲：溫度為18°C，露點為12°C
乙：溫度為22°C，露點為14°C
丙：溫度為26°C，露點為18°C
丁：溫度為30°C，露點為18°C
戊：溫度為34°C，露點為14°C 
若各自的空氣塊上升至圖 12的高度時，圖12顯示了五個地點（甲、乙、丙、丁、戊)的高度（以公里為單位)。從圖中可以觀察到：
甲：高度為0.5公里
乙：高度為1.0公里
丙：高度為1.5公里
丁：高度為2.0公里
戊：高度為2.5公里
哪些地點較可能開始形成雲層的雲底？ 應選 2項(A)甲 (B)乙 (C)丙 (D)丁 (E)戊
</t>
  </si>
  <si>
    <t>35. 環境汙染及全球暖化是全球共同問題，因此各國政府 積極 發展綠能 ，當中風力與太陽光電發電扮演重要角色。下列 哪些 是 臺灣 在開發相關能源時必須考量的因素（應選 2項)
(A)臺灣風場的主要來源是西南氣流
(B)同一風場的風力發電量會有季節性的差異
(C)臺灣位處低緯度，因此日照量不足，不適合發展太陽光電
(D)太陽光電在發電過程不會產生碳排放，但光電板生產過程中仍有碳排放的問題
(E)風力與太陽光電發電互相配合就能不分季節長時間的穩定供電</t>
  </si>
  <si>
    <t>36. 相對於目前海水面高度， ，2萬年前至今的全球海水面變化如圖 13。
圖13顯示了海平面隨時間的變化，具體來看，橫軸代表時間（千年前)，縱軸代表海平面高度（公尺)。從圖中的數據變化可以看到：
5千年前：海平面接近0公尺，幾乎與現在的海平面持平。
10千年前：海平面開始下降，大約在-20公尺左右。
15千年前：海平面下降更快，達到了約-80公尺。
20千年前：海平面達到最低點，接近-120公尺。
造成近 2萬年以來海水面變動最可能的原因為何？
(A)造山作用的影響
(B)人類活動造成的溫室效應
(C)太陽入射量變化造成冰川 體積消融
(D)全球降雨量大增
(E)海底火山噴發</t>
  </si>
  <si>
    <t>37-39題為題組
媽媽去購物商場買烤全雞，聽老闆說這些雞只需要約40天就達到上市的尺寸。近數十年，高產肉雞育種選拔計畫有著重要的突破，在持續的選拔下，以56日齡雞隻為例，可從1957年的905克/隻提升到2005年時的4202克/隻（如圖14所示)。圖14顯示了三個年份（1957年、1978年、2005年)的雞隻外觀對比，從圖中可以觀察到不同年份的雞隻體型變化：
1957年：雞隻體型較小，外觀纖細。
1978年：雞隻體型增大，外觀更加壯碩。
2005年：雞隻的體型進一步增大，明顯比1957年和1978年的雞隻更為巨大，外觀較為肥壯。
此外，為降低飼養成本，育種過程也會參考肉雞的飼料轉化率，即肉雞每單位肉重所需的飼料重量（如圖15)。
1970年：飼料轉化率 2.3
1975年：飼料轉化率 2.2
1980年：飼料轉化率 2.1
1985年：飼料轉化率 2.0
1990年：飼料轉化率 1.9
1995年：飼料轉化率 1.8
2000年：飼料轉化率 1.7
2005年：飼料轉化率 1.6</t>
  </si>
  <si>
    <t>37. 依據肉雞育種的目的及手段， 下列 推論何者 不正確
(A)經過育種後的高產肉雞已和原始雞種相異，屬於不同物種
(B)人擇達成高產肉雞的過程中仍有基因突變或重組之發生
(C)原始雞種族群很可能比高產肉雞含有更多的遺傳變異
(D)降低飼養天數和飼料成本是人擇的雙目標
(E)飼料配方是否改變也應加入探討育種計畫的成效</t>
  </si>
  <si>
    <t>38. 綜合圖 14與 圖 15，高產肉雞育種計畫中，同齡雞隻所呈現出的飼料轉化率顯示
（a)此選育計畫目標是否達成？（1分）
（b)比較並說明1970與2000年代的雞隻生長速率、飼料攝取的變化、及此二者之關聯性為何，以支持你的結論。（3分）</t>
  </si>
  <si>
    <t xml:space="preserve"> (a) 是 (1分)
(b)生長速率提升（或單位時間重量變重 1分）；飼料攝取（量）下降（或飼料轉化率下降）（或飼料轉化率由2.3下降至約 1.9 1分）；
表示肉雞能更有效率將飼料轉換成雞肉（或較少的飼料可轉化成較多的雞肉 1分）</t>
  </si>
  <si>
    <t>選育目標達成：圖14顯示隨著年代進步，雞的體型顯著增大，圖15顯示飼料轉化率降低（更高效），顯示選育達成增產和降低成本的目標。
比較1970與2000年代：
生長速率：2000年代雞隻生長更快，體重增加顯著。
飼料攝取：飼料轉化率降低，意即雞隻增重所需的飼料減少。
關聯性：飼料轉化率的提升支持生長速率的增加，使育種計畫達成增產並降低成本的目標。</t>
  </si>
  <si>
    <t>(a) Yes, the breeding program achieved its goals.
(b) Chickens in the 2000s grew faster and required less feed compared to those in the 1970s, demonstrating improved growth rates and feed efficiency due to selective breeding.</t>
  </si>
  <si>
    <t>(a) 此選育計畫目標是否達成？
是，育種計畫目標達成。高產肉雞體重顯著增加，同時飼料轉化率降低，顯示飼料利用效率提高，符合降低飼料成本和提高產量的目標。
(b) 比較並說明1970與2000年代的雞隻生長速率、飼料攝取的變化、及此二者之關聯性為何，以支持你的結論。
1970年代：
雞隻生長速率：相對較慢，體重增長較緩。
飼料轉化率：2.3，表示每單位肉重需2.3單位飼料。
2000年代：
雞隻生長速率：顯著加快，體重增長迅速。
飼料轉化率：1.7，表示每單位肉重僅需1.7單位飼料。
關聯性：
隨著育種選拔，高產肉雞的生長速率提高，飼料轉化率降低，意味著飼料利用效率更高，飼養成本降低，產量提高。
結論： 育種計畫成功達成目標，通過選拔提高雞隻生長速率並降低飼料轉化率，提升了生產效率和經濟效益。</t>
  </si>
  <si>
    <t>(a) 有達成。 (b) 2000 年代雞隻生長速率較 1970 年代快，達同樣體重所需時間較短；同時飼料轉化率下降，表示每增加單位肉重所需飼料較少，飼料利用效率提升。也就是說，雞長得更快，而且每單位增重耗料更少，故可支持育種目標已達成。</t>
  </si>
  <si>
    <t>(a) 目標達成：是，因為雞隻體型顯著增加且飼料轉化率（FCR）大幅下降。
(b) 數據比較：1970 年代 FCR 約 2.3，2000 年代約 1.7。這顯示 2000 年代的雞隻生長速率遠高於 1970 年代，且每單位增重所需的飼料更少，展現了極高的代謝效率與選育成果。</t>
  </si>
  <si>
    <t>39. 與高產肉雞類似的純種賽馬 選育計畫顯示，自 1949年以前的 50-100年間獲得相當的秒數進展( 以跑快者為勝)，但 1950以後則效果不佳 圖 16 。
圖中顯示了從1850年到2000年時間（秒)隨年份變化的趨勢。橫軸表示年份（西元年)，縱軸表示時間（秒)。圖中的趨勢線顯示隨著時間的推移，所用的時間逐漸縮短。
1850年：時間約為230秒。
1900年：時間下降到約215秒。
1950年：時間接近205秒。
2000年：時間接近190秒。
下列何者可能是 效果 不如預期 的最合理 推測？
(A)賽馬族群大小經歷反覆選育後逐漸變小
(B)純種族群內適當的基因變異已接近選盡
(C)賽馬的選育計畫執行不徹底而無效
(D)跑快的表徵是後天獲得不能被遺傳
(E)還沒找到有潛力可靠的可轉殖基因</t>
  </si>
  <si>
    <t>40-43題為題組
捕蠅草捕蟲的趣事是生物適應的現象之一。捕蠅草生長在養分及礦物質缺乏的溼地，為了生存，它演化出肉食性的特質。它的葉片特化成捕器，是可以吸引、捕抓及消化小型節肢動物的器官。捕器閉合的物理機制源自於葉片細胞的膨脹與收縮。當水分從內層細胞流入外層細胞時，內層細胞收縮、外層細胞膨脹，因而造成葉片彎曲而閉合（ 圖17) 。
圖17展示了一個結構的橫切與縱切圖，標示了幾個關鍵部分，包括：
外層細胞：位於結構的外部，可能起保護或支持作用。
內層細胞：位於內部，可能負責某些功能性活動。
葉片：圖中位於外層和內層細胞之間的結構，形狀呈現出葉片狀。
中肋：位於葉片的中央部分，可能提供支撐作用。
纖毛：位於結構的頂端，呈現細長條狀，可能負責運動或感知功能。
捕蟲葉片的內側有觸毛，可感應獵物的觸動。每次觸動觸毛會產生一個電位。研究顯示，產生第一支電位時，葉片仍會保持張開，並記憶第一次的觸發。若在20秒內發生第二次觸發，葉片才會快速閉合困住獵物。科學家在葉子中加入葉片分別插入電極進行充電，以模擬觸毛被觸發時產生電位的現象，他們發現無論是分段充電，還是連續充電，充電電量都要達到14μC，葉片才會在大約0.5秒內快速閉合。
然而，若將捕蠅草的土壤浸潤在pH值高於4.5的溶液中，就算觸發觸毛產生電位，也無法讓葉子閉合。</t>
  </si>
  <si>
    <t xml:space="preserve">(a)是 
(b)
（一）磁鐵棒以等速穿過環圈甲，當時間在6秒~12秒，磁鐵棒移離環圈甲中心，通過環圈甲的磁力線數量逐漸減少，與磁鐵棒移進時的情況相反。根據冷次定律，環圈甲產生逆時針的（感）應電流，故（感）應電流值為正。 
（二）磁鐵棒移進至完全移離環圈甲是以等速行進，故在9秒時磁鐵棒N極恰脫離環圈甲中心，且6秒~12秒的（感）應電流曲線與0秒~6秒的（感）應電流曲線對稱於「時間6秒、應電流值0」的點，如第(a)小題所示，即0秒~12秒的（感）應電流曲線為點對稱圖形。
</t>
  </si>
  <si>
    <t>40.有關捕蠅草捕器閉合的機制， 下列促使兩側葉片合攏的敘述何者正確？
(A)外層細胞的細胞膜施加於細胞壁的壓力變小， 內層變大
(B)外層細胞的細胞膜施加於細胞壁的壓力變大， 內層變小
(C)內外層細胞的細胞膜施加於細胞壁的壓力同時變小
(D)內外層細胞的細胞膜施加於細胞壁的壓力同時變大
(E)僅電位改變， 細胞膜施加於細胞壁的壓力維持不變</t>
  </si>
  <si>
    <t>41. 捕蠅草有一親緣關係樹上的遠親，稱為豬籠草，它們同稱為食肉植物，表3 為兩者的特性。
表3比較了兩種食肉植物的特徵：捕蠅草（Dionaea muscipula)屬於茅膏菜科（Droseraceae)，分布在北美洲，使用捕蟲葉結構捕蟲，通過消化酶進行消化；豬籠草（Nepenthes spp.)屬於豬籠草科（Nepenthaceae)，分布於熱帶亞洲，使用捕蟲籠結構捕蟲，通過消化酶及細菌作用進行消化
捕蠅草有一親緣關係樹上的遠親，稱為豬籠草，它們同稱為食肉植物，表3 為兩者的特性。依據此資訊判斷，（ a） 食肉植物的捕器是否為同功構造？ （ 1 分）（ b） 判定的原因為何？ （ 3 分）</t>
  </si>
  <si>
    <t>a 是 1分
b.3分捕器均能捕捉昆蟲與均能（用消化酶）消化昆蟲 
兩者構造不同（或兩者屬於不同科）（或兩者捕器不是遺傳自共同祖先或兩者不同地理分布）（或兩者非同源構造 ）</t>
  </si>
  <si>
    <t>(a) 兩者的捕器不是同源構造，因為來自不同植物科屬，屬於 同功構造。
(b) 捕蠅草和豬籠草都演化出肉食性捕蟲構造來適應環境，但來源不同，且有相似功能，因此判斷為同功構造。</t>
  </si>
  <si>
    <t>(a) Yes, the traps are analogous structures.
(b) They evolved independently in different families to serve similar functions.</t>
  </si>
  <si>
    <t>(a) 是，同功構造。
(b) 原因：捕蠅草與豬籠草的捕蟲結構雖形態不同，但皆具有捕捉和消化昆蟲以補充營養的相同功能，因此屬於同功構造。</t>
  </si>
  <si>
    <t>(a) 是，同功構造。 (b) 兩者功能相似，都是捕蟲並消化獵物；但親緣較遠、分屬不同科，且捕器構造不同（捕蠅草為捕蟲葉、豬籠草為捕蟲籠），故屬同功構造。</t>
  </si>
  <si>
    <t>(a) 否
(b) 見右
(a) 捕蠅草與豬籠草的捕蟲器不是同功構造，而是同源構造。
(b) 判斷原因：雖然兩者的外觀與捕蟲方式不同，但根據生物學解剖構造，兩者都是由**葉片（葉子）**特化而來的器官。來源相同、功能相似或不同者稱為同源構造。</t>
  </si>
  <si>
    <t>42. 依據上面所提供的資訊，下列哪些敘述最有可能是正確的？ 應選 2項
(A)捕蠅草利用葉片彎曲時的彈力來記憶初次觸發
(B)每一次觸發焮毛都產生至少14 μC的充電電量
(C)充電電量達14 μC，可讓水分快速地從內層細胞流入外層細胞
(D)水分從外層細胞流入內層細胞，可以讓葉片張開
(E)捕蠅草在pH值大於4.5的環境中，充電電量需高於14 μC才能觸發葉片閉合</t>
  </si>
  <si>
    <r>
      <rPr>
        <sz val="11"/>
        <color theme="1"/>
        <rFont val="PMingLiu"/>
        <family val="1"/>
        <charset val="136"/>
      </rPr>
      <t xml:space="preserve">43. 甲同學看完了以上對捕蠅草的敘述後，提出自己的看法：「焮毛第一次被觸發時，葉子中肋和葉 間會進行第一次充電，充電 電 量小於 14 </t>
    </r>
    <r>
      <rPr>
        <sz val="11"/>
        <color theme="1"/>
        <rFont val="Calibri"/>
        <family val="2"/>
      </rPr>
      <t>μ</t>
    </r>
    <r>
      <rPr>
        <sz val="11"/>
        <color theme="1"/>
        <rFont val="PMingLiu"/>
        <family val="1"/>
        <charset val="136"/>
      </rPr>
      <t xml:space="preserve">C，第二次觸發會進行第二次充電，讓葉子中肋和葉片間的儲存電量達到 14 </t>
    </r>
    <r>
      <rPr>
        <sz val="11"/>
        <color theme="1"/>
        <rFont val="Calibri"/>
        <family val="2"/>
      </rPr>
      <t>μ</t>
    </r>
    <r>
      <rPr>
        <sz val="11"/>
        <color theme="1"/>
        <rFont val="PMingLiu"/>
        <family val="1"/>
        <charset val="136"/>
      </rPr>
      <t xml:space="preserve">C。由於儲存的電量會慢慢散去，所以若沒有在 20秒內進行第二次觸發，則第二次觸發是無法讓總電量達到 14 </t>
    </r>
    <r>
      <rPr>
        <sz val="11"/>
        <color theme="1"/>
        <rFont val="Calibri"/>
        <family val="2"/>
      </rPr>
      <t>μ</t>
    </r>
    <r>
      <rPr>
        <sz val="11"/>
        <color theme="1"/>
        <rFont val="PMingLiu"/>
        <family val="1"/>
        <charset val="136"/>
      </rPr>
      <t>C。」甲同學想證明自己的看法，設計了幾個實驗進行探究。將設計的實驗變因與 預期觀察到的現象 即應變變因與操縱變因間的關係 填入表格的空格中。
探討的問題:第一次觸發焮毛後，葉子中肋和葉片之間的儲存電量隨時間變化的關係、控制變因:培養土的pH值、操縱變因:時間、應變變因:----、甲同學預期觀察到的現象:1.第一次觸發的充電電 量小於 14</t>
    </r>
    <r>
      <rPr>
        <sz val="11"/>
        <color theme="1"/>
        <rFont val="Calibri"/>
        <family val="2"/>
      </rPr>
      <t>μ</t>
    </r>
    <r>
      <rPr>
        <sz val="11"/>
        <color theme="1"/>
        <rFont val="PMingLiu"/>
        <family val="1"/>
        <charset val="136"/>
      </rPr>
      <t xml:space="preserve">C；2.__________。
探討的問題:連續兩次觸發的時間間隔對葉子中肋和葉片之間累積的儲存電量之影響、控制變因:培養土的pH值、操縱變因:----、應變變因:葉子中肋和葉片之間的儲存電量、甲同學預期觀察到的現象:1.連續兩次觸發的時間間隔越大，累積的儲存電量越低；2.__________。( 4分)
</t>
    </r>
  </si>
  <si>
    <t>1.探討的問題:
第一次觸發焮毛後，葉子中肋和葉片之間的儲存電量隨時間變化的關係
連續兩次觸發的時間間隔對葉子中肋和葉片之間累積的儲存電量之影響
2.操縱變因:時間
3.應變變因:葉子中肋和葉片之間的儲存電量
4.甲同學 預期觀察到的現象:
第一次觸發的充電電 量小於 14  μC 
連續兩次觸發的時間間隔越大，累積的儲存電量越低</t>
  </si>
  <si>
    <t>第一個實驗
探討問題：第一次觸發焮毛後，葉子中肋和葉片之間的儲存電量隨時間變化的關係。
應變變因：葉子中肋和葉片之間的儲存電量。
預期觀察到的現象：
第一次觸發的充電電量小於14 μC。
儲存的電量隨時間逐漸減少。
第二個實驗
探討問題：連續兩次觸發的時間間隔對葉子中肋和葉片之間累積的儲存電量之影響。
操縱變因：時間間隔。
預期觀察到的現象：
連續兩次觸發的時間間隔越大，累積的儲存電量越低。
如果間隔超過20秒，電量無法達到14 μC，葉片不會閉合。</t>
  </si>
  <si>
    <t>First Experiment:
Dependent Variable: Stored electrical charge between midrib and leaf blades.
Observations:
First trigger generates less than 14 μC.
Stored charge decreases over time.
Second Experiment:
Independent Variable: Time interval between triggers.
Observations:
Longer intervals lead to lower accumulated charge.
If the interval is too long, the leaf does not close.</t>
  </si>
  <si>
    <t>應變變因： 葉子中肋和葉片之間的儲存電量
預期觀察到的現象： 儲存電量隨時間逐漸降低
連續兩次觸發的時間間隔：
操縱變因： 連續兩次觸發的時間間隔
預期觀察到的現象： 連續兩次觸發的時間間隔越小，累積的儲存電量越高</t>
  </si>
  <si>
    <t>第一格：葉子中肋和葉片之間的儲存電量。第二格：第一次觸發後，儲存電量會隨時間逐漸降低。第三格：連續兩次觸發的時間間隔。第四格：當兩次觸發間隔超過 20 秒時，累積儲存電量無法達到 14 μC，因此葉片不會閉合。</t>
  </si>
  <si>
    <t>實驗設計填空：1. 應變變因：葉子中肋與葉片間的儲存電量。2. 預期現象：儲存電量會隨時間增加而慢慢散失（減少）。3. 操縱變因：連續兩次觸發的時間間隔。4. 預期現象：若間隔超過 20 秒，總電量將無法達到 14 μC，葉片不閉合。</t>
  </si>
  <si>
    <t>44-46題為題組
如圖18所示，一金屬導線製成的線圈迴路固定不動，迴路中有一電阻R 。
圖18展示了一個電路圖，其中包括一個電阻（標示為R)，以及兩個迴路「甲」和「乙」，兩端之間連接有電阻。圖的左側顯示了一個標示為「N」和「S」的磁場方向，箭頭指示磁場從北極（N)向南極（S)移動。
甲和乙：分別為兩個不同的迴路。
R：表示電阻，位於甲乙兩迴路之間。
磁場方向：磁場由「N」端向「S」端方向移動。
迴路左側環圈甲的正上方有一下端為S極的細長磁鐵棒。假設磁鐵棒的磁力線僅穿過環圈甲， 且迴路中金屬導線的電阻可忽略。</t>
  </si>
  <si>
    <t>(a)x = 66、y = 24、z = 48
(b)醣類或碳水化合物</t>
  </si>
  <si>
    <t>44.考慮磁鐵棒以等速度朝環圈甲移動前進，穿過環圈甲，至完全移離環圈甲的整個過程， 下列敘述何者正確？
(A)迴路產生應電流， 其值隨時間增加而持續增大
(B)迴路產生應電流， 其值隨時間增加而持續減小
(C)迴路產生應電流， 其方向恆為順時針方向
(D)迴路產生應電流， 其方向恆為逆時針方向
(E)若迴路對移動磁鐵棒施加磁力， 則其方向恆向上</t>
  </si>
  <si>
    <t>45.磁鐵棒以等速度朝環圈甲前進，當磁鐵棒中心與環圈甲中心之距離為d 時，迴路的應電流量值為I 。在磁鐵棒速度或迴路性質改變下， 而迴路電阻仍為R 、磁鐵棒中心與環圈甲中心之距離仍為d 時， 下列敘述哪些正確？ （ 應選2 項)
(A)若將環圈甲的面積增大， 但磁鐵棒速度不變， 則I 不會改變
(B)若將環圈乙的面積增大， 但磁鐵棒速度不變， 則I 不會改變
(C)若迴路完全不變， 但磁鐵棒以較快速度朝環圈甲前進， 則I 的量值將減小
(D)若迴路完全不變， 但磁鐵棒以較快速度朝環圈甲前進， 則I 的量值將增大
(E)若環圈甲、乙的圈數加倍， 但面積不變、且磁鐵棒速度不變， 則I 不會改變</t>
  </si>
  <si>
    <t>46.磁鐵棒以等速度朝環圈甲前進，在時間為3 秒時磁鐵棒S 極恰接觸環圈甲中心，在時間為6 秒時磁鐵棒中心在環圈甲中心。電流以逆時針方向為正，迴路的應電流在0～ 6 秒隨時間變化的曲線圖如圖1 9 所示。考慮磁鐵棒從開始等速移進至完全移離環圈甲的過程， 回答下列問題。
這張圖顯示了隨時間變化的感應電流曲線，橫軸代表時間（秒)，縱軸代表感應電流。曲線描述了磁鐵移動時，在環圈中感應出的電流變化。
時間 1~3 秒：磁鐵的S極開始靠近環圈甲的中心，感應電流隨著磁鐵的靠近而增強，出現一個負向的電流峰值。
時間 4 秒：此時磁鐵的S極恰接觸到環圈甲的中心，感應電流達到最低點。
時間 5~6 秒：磁鐵的中心位於環圈甲的中心，感應電流開始回升，逐漸恢復至接近零。
時間 6 秒以後：磁鐵遠離環圈甲，感應電流逐漸消失，曲線趨於水平線。
(a)試繪製出迴路在時間6～ 12秒的應電流隨時間變化的曲線圖，並以箭頭與文字註明磁鐵棒N極恰脫離環圈甲中心的時間點。 （ 2分）
(b)說明所繪應電流方向及曲線形狀的理由為何？  （ 2分）</t>
  </si>
  <si>
    <t>(一）磁鐵棒以等速 穿過環圈甲 ，當時間在 6秒 ~12秒，磁鐵棒移離環圈甲中心，通過環圈甲的磁力線數量逐漸減少，與磁鐵棒移進時的情況相反。根據冷次定律，環圈甲產生逆時針的（感）應電流，故（感）應電流值為正。
(二）磁鐵棒移進至完全移離環圈甲是以等速行進，故在9秒時磁鐵棒N極恰脫離環圈甲中心，且6秒~12秒的（感）應電流曲線與0秒~6秒的（感）應電流曲線對稱於「時間6秒、應電流值0」的點，如第(a)小題所示，即0秒~12秒的（感）應電流曲線為點對稱圖形。</t>
  </si>
  <si>
    <t>(a) 6~12秒應電流曲線：感應電流隨磁鐵遠離逐漸減弱，方向相反於靠近時的電流。
(b) 說明電流方向和曲線形狀：
當磁鐵遠離環圈時，磁通量減少，感應電流方向與磁鐵靠近時相反（正向，即逆時針方向），電流量值逐漸減小至零。</t>
  </si>
  <si>
    <t xml:space="preserve">(a) 繪製時間 6～12 秒的應電流隨時間變化曲線：
從時間 6 秒到 12 秒，感應電流將呈現與 0～6 秒類似的曲線，但方向相反。
在時間 9 秒 時，磁鐵棒的 N 極 恰好離開環圈甲的中心，請在圖上以箭頭和文字標註此時間點。
(b) 應電流方向及曲線形狀的理由：
**電流方向：**根據楞次定律，感應電流會產生一個磁場，抵抗磁通量的變化。
6～9 秒：磁鐵棒的 N 極接近並穿過環圈甲，環圈中的磁通量增加，感應電流方向為順時針（與之前的逆時針方向相反）。
9～12 秒：磁鐵棒的 N 極遠離環圈甲，磁通量減少，感應電流方向再次變為逆時針，但幅度較小，逐漸趨近於零。
**曲線形狀：**感應電流的大小與磁通量變化率成正比。由於磁鐵棒以等速度移動，磁通量的變化率在接近環圈中心時最大，因此曲線在時間 6～9 秒達到峰值，之後隨著磁鐵遠離，感應電流逐漸減小。
</t>
  </si>
  <si>
    <t>(a) 迴路在6～12秒的應電流曲線呈現由零增至正向峰值，再回到零的形狀，並在約9秒時標示磁鐵棒N極完全脫離環圈甲中心。
(b) 感應電流方向為逆時針方向，曲線形狀反映了磁通量減少引起的電流增大及後續的減小。</t>
  </si>
  <si>
    <t>(a) 6–12 秒的電流曲線，應為 0–6 秒曲線以 6 秒為中心左右鏡射，且符號相反；在 9 秒 時，磁鐵棒 N 極恰脫離環圈甲中心。 (b) 因磁鐵先進入後離開，穿過環圈甲的磁通量先增後減；依楞次定律，離開時感應電流方向與進入時相反，且等速、位置對稱，所以曲線形狀對稱。</t>
  </si>
  <si>
    <t>(a) 曲線繪製描述：在 6~9 秒間，應電流 I 會由零轉為正值（逆時針），並在約 8 秒時（N 極恰離開環圈中心）達到正向峰值，隨後在 10~12 秒漸漸降回零。
(b) 理由：根據冷次定律，當磁鐵棒中心通過環圈（6 秒後）並開始遠離時，向下穿過環圈的磁通量（由 N 極產生）會減少。為了反抗此變化，迴路會感應產生一個向下的磁場，根據右手螺旋定則，這會產生一個**逆時針方向（正向）**的應電流。</t>
  </si>
  <si>
    <t>47-49題為題組
利用電化學催化方法將二氧化碳轉變為具有經濟價值的含碳化合物是永續發展的方法之一，然二氧化碳還原反應會因反應條件與催化劑不同，而生成多種產物， 表4列出形成不同產物所需電子數的半反應式。
甲醇二氧化碳的還原半反應:CO₂(g) + 6H⁺ + 6e⁻ → CH₃OH(l) + H₂O(l)
乙烯二氧化碳的還原半反應:2CO₂(g) + 12H⁺ + 12e⁻ → C₂H₄(g) + 4H₂O(l)
正丙醇二氧化碳的還原半反應:3CO₂(g) + 18H⁺ + 18e⁻ → C₃H₇OH(l) + 5H₂O(l)</t>
  </si>
  <si>
    <t>47.表4 中的反應物與各種產物的路易斯結構， 哪些具有雙鍵的鍵結？ （ 應選2 項)
(A)二氧化碳 (B)水 (C)甲醇 (D)乙烯 (E)正丙醇</t>
  </si>
  <si>
    <t>48.下列對於表4 中相關的敘述， 哪些正確？ （ 應選3 項)
(A)生成每莫耳甲醇、乙烯與正丙醇產物分別所需質子的莫耳數比為1:2:3
(B)混有二氧化碳的乙烯氣體產物，可以利用通過氫氧化鈉水溶液達成乙烯的分離
(C)生成正丙醇產物不溶於水， 會在反應容器內分層
(D)還原每莫耳二氧化碳分別生成甲醇、乙烯與正丙醇所需消耗的電子莫耳數不同
(E)常溫常壓下， 甲醇與正丙醇皆具有揮發性， 是易燃性的有機物質</t>
  </si>
  <si>
    <t>49.表5 為各種產物的價格（ 元/公斤) 與以每莫耳電子計算所轉換產物的價格（ 元/莫耳電子)。其中，正丙醇價格尚未計算完成，回答下列各問題。（ 原子量C＝12.0、H＝ 1.00、O＝16.0)
這張表格顯示了三種產物的市價及其轉換成產物的價格，具體如下：
產物：甲醇、乙烯、正丙醇。
市價（元/公斤)：甲醇：16.9 元/公斤、乙烯：40.7 元/公斤、正丙醇：45.0 元/公斤。
轉換產物的價格（元/莫耳電子)：甲醇：0.090 元/莫耳電子、乙烯：0.095 元/莫耳電子、丙醇：正未知（待求)。
(a)請列式計算正丙醇轉換產物的價格為何？ （ 2分）
(b)另有一電化學催化系統，只會產生甲醇與正丙醇。已知每產生1莫耳此混合產物需消耗10.8莫耳電子， 此混合產物中， 列式計算甲醇與正丙醇的莫耳數比為何?（ 2分）</t>
  </si>
  <si>
    <t>1.0.15(元/莫耳電子)
2.甲醇與正丙醇的莫耳數比為0.6 : 0.4 = 3 : 2</t>
  </si>
  <si>
    <t>(a) 正丙醇的價格為 0.15 元/莫耳電子。2分
(b) 甲醇與正丙醇的莫耳數比為 1.8 : 3。2分</t>
  </si>
  <si>
    <t>正丙醇轉換產物的價格為 0.15 元/莫耳電子 甲醇與正丙醇的莫耳數比為 3:2</t>
  </si>
  <si>
    <t>(a) 正丙醇轉換產物的價格為0.15元/莫耳電子。
(b) 甲醇與正丙醇的莫耳數比為6:1。</t>
  </si>
  <si>
    <t>(a) 正丙醇轉換產物價格 =0.150 元/莫耳電子。 (b)甲醇：正丙醇 = 3：2。</t>
  </si>
  <si>
    <t>50-53題為題組在寒武紀以前的地層中， 可找到由氧化鐵與二氧化矽細粒反覆堆疊形成的「縞狀（ 帶狀)鐵礦床」， 是重要的鐵礦來源。約24億年前的地層中， 更普遍地出露厚層的縞狀鐵礦床。縞狀鐵礦床形成原因的假設模型，是由亞鐵離子（   Fe ²⁺ )與氧氣作用生成氧化鐵（  Fe₂O₃ 與 Fe₃O₄  )沉澱所致。而2+ Fe 是由海底岩漿噴發所形成， 氧則是由藍綠菌行光合作用所產生。
圖20彙整了一些地球歷史事件，包括化石紀錄、縞狀鐵礦形成時段與相對含量， 以及大氣中氧氣含量相對於現今濃度的變化。
這張圖表顯示了地球上不同生物出現的時間線與氧氣及鐵礦相對含量的變化，橫軸表示距今的時間（以十億年前為單位)，縱軸則表示氧氣和鐵礦的相對含量。
生物出現的時間線：
細菌：最早出現，並持續存在到現在。
真核生物：大約在距今2.0十億年前開始出現，並延續至今。
動物：大約在距今0.5十億年前開始出現，並延續至今。
氧氣相對含量的變化：
在距今3.5十億年前，氧氣的相對含量接近10⁻⁵，幾乎沒有氧氣存在。
在距今2.5十億年前，氧氣相對含量開始快速上升，進入「大氧化事件」。氧氣的相對含量上升到約10⁻²。
在距今2.0十億年前，氧氣含量進一步上升，達到了10⁻¹左右的水平。
在距今1.0十億年前之後，氧氣含量穩定在接近1.0，接近現今地球大氣中的氧氣含量。
鐵礦相對含量的變化：
在距今3.5十億年前，鐵礦的相對含量接近0.6。
在距今2.7~2.5十億年前，鋪狀鐵礦的相對含量達到了高峰，約為1.0。
隨著氧氣的增加，從距今2.5十億年前開始，鐵礦的相對含量開始迅速下降。
到了距今2.0十億年前，鐵礦的相對含量下降到約0.2。
距今1.5十億年前，鐵礦的相對含量接近0.1，顯示出逐漸減少的趨勢。</t>
  </si>
  <si>
    <t>50.下列關於鋪狀鐵礦與相關地球歷史事件的敘述，哪些正確？（應選 3 項)
(A) Fe₂O₃ 是亞鐵離子經還原反應形成的
(B) 在 24～35 億年前，鋪狀鐵礦床形成當時，大氣中氧氣的濃度並未大幅增加，而是在其形成後，才大幅增加
(C) Fe₂O₃ 與 Fe₃O₄ 均不易溶於水
(D) Fe₂O₃ 與 Fe₃O₄ 均屬於分子化合物
(E) 在 19 億年前，鋪狀鐵礦床形成時，推測當時海洋中 Fe²⁺ 的濃度大幅上升</t>
  </si>
  <si>
    <r>
      <rPr>
        <sz val="11"/>
        <color theme="1"/>
        <rFont val="PMingLiu"/>
        <family val="1"/>
        <charset val="136"/>
      </rPr>
      <t>51. 有研究指出，在幾乎無氧的環境下，無氧光自營細菌在光照的情況下，可將亞鐵離子反應產生一些產物，其平衡反應式如下：
2Fe²</t>
    </r>
    <r>
      <rPr>
        <sz val="11"/>
        <color theme="1"/>
        <rFont val="MS Gothic"/>
        <family val="3"/>
        <charset val="128"/>
      </rPr>
      <t>⁺</t>
    </r>
    <r>
      <rPr>
        <sz val="11"/>
        <color theme="1"/>
        <rFont val="新細明體"/>
        <family val="1"/>
        <charset val="136"/>
      </rPr>
      <t xml:space="preserve"> + 6CO </t>
    </r>
    <r>
      <rPr>
        <sz val="11"/>
        <color theme="1"/>
        <rFont val="Times New Roman"/>
        <family val="1"/>
      </rPr>
      <t>₂</t>
    </r>
    <r>
      <rPr>
        <sz val="11"/>
        <color theme="1"/>
        <rFont val="新細明體"/>
        <family val="1"/>
        <charset val="136"/>
      </rPr>
      <t>+ xH</t>
    </r>
    <r>
      <rPr>
        <sz val="11"/>
        <color theme="1"/>
        <rFont val="Times New Roman"/>
        <family val="1"/>
      </rPr>
      <t>₂</t>
    </r>
    <r>
      <rPr>
        <sz val="11"/>
        <color theme="1"/>
        <rFont val="新細明體"/>
        <family val="1"/>
        <charset val="136"/>
      </rPr>
      <t xml:space="preserve">O→(CH </t>
    </r>
    <r>
      <rPr>
        <sz val="11"/>
        <color theme="1"/>
        <rFont val="Times New Roman"/>
        <family val="1"/>
      </rPr>
      <t>₂</t>
    </r>
    <r>
      <rPr>
        <sz val="11"/>
        <color theme="1"/>
        <rFont val="新細明體"/>
        <family val="1"/>
        <charset val="136"/>
      </rPr>
      <t>O)</t>
    </r>
    <r>
      <rPr>
        <sz val="11"/>
        <color theme="1"/>
        <rFont val="MS Gothic"/>
        <family val="3"/>
        <charset val="128"/>
      </rPr>
      <t>₆</t>
    </r>
    <r>
      <rPr>
        <sz val="11"/>
        <color theme="1"/>
        <rFont val="新細明體"/>
        <family val="1"/>
        <charset val="136"/>
      </rPr>
      <t xml:space="preserve"> + yFe(OH)</t>
    </r>
    <r>
      <rPr>
        <sz val="11"/>
        <color theme="1"/>
        <rFont val="Times New Roman"/>
        <family val="1"/>
      </rPr>
      <t>₃</t>
    </r>
    <r>
      <rPr>
        <sz val="11"/>
        <color theme="1"/>
        <rFont val="新細明體"/>
        <family val="1"/>
        <charset val="136"/>
      </rPr>
      <t>+ zH</t>
    </r>
    <r>
      <rPr>
        <sz val="11"/>
        <color theme="1"/>
        <rFont val="MS Gothic"/>
        <family val="3"/>
        <charset val="128"/>
      </rPr>
      <t xml:space="preserve">⁺
</t>
    </r>
    <r>
      <rPr>
        <sz val="11"/>
        <color theme="1"/>
        <rFont val="新細明體"/>
        <family val="1"/>
        <charset val="136"/>
      </rPr>
      <t xml:space="preserve">(a) 寫出 x、y\和 z值（說明求得數值的過程)。（3分）
(b)(CH </t>
    </r>
    <r>
      <rPr>
        <sz val="11"/>
        <color theme="1"/>
        <rFont val="Times New Roman"/>
        <family val="1"/>
      </rPr>
      <t>₂</t>
    </r>
    <r>
      <rPr>
        <sz val="11"/>
        <color theme="1"/>
        <rFont val="新細明體"/>
        <family val="1"/>
        <charset val="136"/>
      </rPr>
      <t>O)</t>
    </r>
    <r>
      <rPr>
        <sz val="11"/>
        <color theme="1"/>
        <rFont val="MS Gothic"/>
        <family val="3"/>
        <charset val="128"/>
      </rPr>
      <t>₆</t>
    </r>
    <r>
      <rPr>
        <sz val="11"/>
        <color theme="1"/>
        <rFont val="新細明體"/>
        <family val="1"/>
        <charset val="136"/>
      </rPr>
      <t xml:space="preserve">為有機化合物，而生活中常見的有機物質有醣類、蛋白質、油脂及核酸等。試問(CH </t>
    </r>
    <r>
      <rPr>
        <sz val="11"/>
        <color theme="1"/>
        <rFont val="Times New Roman"/>
        <family val="1"/>
      </rPr>
      <t>₂</t>
    </r>
    <r>
      <rPr>
        <sz val="11"/>
        <color theme="1"/>
        <rFont val="新細明體"/>
        <family val="1"/>
        <charset val="136"/>
      </rPr>
      <t>O)</t>
    </r>
    <r>
      <rPr>
        <sz val="11"/>
        <color theme="1"/>
        <rFont val="MS Gothic"/>
        <family val="3"/>
        <charset val="128"/>
      </rPr>
      <t>₆</t>
    </r>
    <r>
      <rPr>
        <sz val="11"/>
        <color theme="1"/>
        <rFont val="新細明體"/>
        <family val="1"/>
        <charset val="136"/>
      </rPr>
      <t>可能屬於其中哪一類的化合物？ （ 1分）</t>
    </r>
  </si>
  <si>
    <t>(a）X=66、Y=24、Z=48 （3分）
(b）醣類或碳水化合物（1分）</t>
  </si>
  <si>
    <t>(a) x=6、y=2、z=6。
(b)  屬於醣類，因為它是碳水化合物的基本結構</t>
  </si>
  <si>
    <t>(a)：
𝑥
=
3
x=3、
𝑦
=
2
y=2、
𝑧
=
6
z=6
(b)：
(
CH
2
O
)
6
(CH 
2
​
 O) 
6
​
  属于 糖类 化合物</t>
  </si>
  <si>
    <t>x = 6, y = 2, z = 4  醣類</t>
  </si>
  <si>
    <t xml:space="preserve">(a）X=66、Y=24、Z=48  
(b）醣類或碳水化合物 </t>
  </si>
  <si>
    <t>(a) x=66, y=24, z=48
(b) 醣類</t>
  </si>
  <si>
    <t>52.下列觀察或推論哪些正確？ （ 應選3 項)
(A)縞狀鐵礦大部分出現在24億年前的地層中
(B)亞鐵離子源自岩漿， 因此縞狀鐵礦屬於火成岩類
(C)今日海水中的亞鐵離子濃度較25億年前為低
(D)大氣中的氧氣含量呈現線性增高
(E)細菌可存活在極低氧的環境中</t>
  </si>
  <si>
    <t>53.(a) 依據在地球歷史出現的次序，由早期到晚期排列下列事件：（只須寫出事件代碼)(甲)臭氧層的形成（乙)氧氣開始在大氣中快速累積、含量驟增（丙)生物上陸（丁)縞狀鐵礦床的形成（ 2分）
    (b) 針對（乙)事件，則35～22億年前之間，除了在約23億年前有氧氣量的驟增外，若只考量光合作用的進行，還可推論出地球大氣的組成發生了什麼樣的改變？ （ 1分）而此組成變化可能對全球氣溫造成的影響為何？ （1分）</t>
  </si>
  <si>
    <t xml:space="preserve"> a 丁乙甲丙（ 2分）
b-1 二氧化碳減少（ 1分）
b-2 全球氣溫下降（ 1分）</t>
  </si>
  <si>
    <t>(a) 依地球歷史事件的早晚順序排列：
丁（縞狀鐵礦床的形成）
乙（氧氣在大氣中快速累積）
甲（臭氧層的形成）
丙（生物上陸）
事件順序：丁、乙、甲、丙
(b) 在乙事件（大氣中氧氣快速累積）期間，大氣成分中氧氣含量逐漸增多，這導致甲烷和二氧化碳減少，進一步降低溫室效應，可能使全球氣溫降低。</t>
  </si>
  <si>
    <t>(a) 顺序：丁 → 乙 → 甲 → 丙
(b) 大气中 CO₂ 和 CH₄ 减少，O₂ 增加，导致 气温下降</t>
  </si>
  <si>
    <t>丁、乙、甲、丙  大氣中二氧化碳濃度下降，氧氣濃度增加。 這一組成變化減少了溫室效應，可能導致全球氣溫下降。</t>
  </si>
  <si>
    <t>(a) 丁 → 乙 → 甲 → 丙。 (b) 大氣中的 二氧化碳含量下降；這會使 全球氣溫降低。</t>
  </si>
  <si>
    <t>(a) 演化時序：海洋鐵沉澱（丁）$\rightarrow$大氣氧氣增加（乙）$\rightarrow$臭氧層形成（甲）$\rightarrow$生物上陸（丙）。</t>
  </si>
  <si>
    <t>54-56題為題組
做為實證科學之一，天文學的發展仰賴大量的觀測結果。近百年以來，天文觀測的手段也早就由可見光延伸到電磁波的其他波段，甚至是電磁波以外的觀測手段。這些突破性的觀測成果，更讓科學家們發現宇宙當中前人所未知的領域。</t>
  </si>
  <si>
    <t>54. 上述的重大成果也常獲得諾貝爾（物理)獎的肯定。回顧 20世紀的諾貝爾獎中，因為天文觀測而獲獎者皆來自無線電波的觀測。我們如何解讀這個現象？（應選 2項)
(A)科學家一開始沒有預期到天文現象上有產生其他電磁波的可能性
(B)天文現象上產生的高能量電磁波無法傳遞這麼遠的距離而到達地球
(C)除了可見光之外，無線電波也可以幾乎不受阻礙的穿過大氣層
(D)從太空中觀測，要等到20世紀中期以後進入太空時代才有可能
(E)因為當時尚未有手機、基地台等干擾，透過無線電波可以得到較好的觀測成果</t>
  </si>
  <si>
    <t>55. 科學家們建造各式各樣的望遠鏡來收集電磁波訊號。新一代地面望遠鏡的口徑都愈來愈大， 原 因為何
(A)電磁波所行走的路徑會隨著宇宙膨脹而增加，所以需要大口徑望遠鏡
(B)口徑愈大，受到大氣擾動的影響愈小，可以看得愈清晰
(C)口徑愈大，可以收集到的訊號愈多，可以看到星等數值更大的天體
(D)隨著經濟發展，建造大口徑望遠鏡有助於提升國防產業的技術
(E)遙遠的天體會隨著宇宙膨脹而變大，所以需要大口徑望遠鏡</t>
  </si>
  <si>
    <t>56. 溫室氣體會造成地表的溫度升高，這是因為這些氣體會吸收來自地表的熱輻射；同樣的，這些氣體也 會 造成來自太空中的部分輻射無法 通 過大氣層。 而地球大氣
的組成多元，其他氣體也會影響電磁波能否通過大氣層。
(a) 溫室氣體主要是吸收哪一種波段的電磁波？ （ 1分）不過，溫室氣體主要集中在對流層，若要進行該波段的觀測，可以藉由飛機將望遠鏡攜帶至大氣層中的哪一層？  （ 1分）
(b)說明電磁波中的紫外線無法從地面進行觀測的原因？ （ 2分）</t>
  </si>
  <si>
    <t>a-1 紅外線( 1分）
a-2 平流層 (1分）
b 被大氣中的臭氧吸收（ 2分）</t>
  </si>
  <si>
    <t>(a) 溫室氣體吸收的波段與觀測層：
溫室氣體主要吸收 紅外線 波段的輻射。
若要觀測紅外線，望遠鏡可以置於 平流層 以減少對流層中的紅外線吸收干擾。
(b) 紫外線無法從地面觀測的原因：
紫外線無法穿透大氣層中臭氧層的阻擋，因此地面望遠鏡無法觀測到來自宇宙的紫外線，需要在太空中或大氣層之上進行觀測。</t>
  </si>
  <si>
    <t>(a)
溫室氣體主要吸收紅外線（紅外輻射）。
溫室氣體主要集中在對流層，若要進行紅外線的觀測，可以藉由飛機將望遠鏡攜帶至大氣層中的平流層。
(b)
紫外線無法從地面進行觀測，是因為大氣層中的臭氧層吸收了大部分的紫外線。
臭氧層位於平流層，能有效阻擋來自太空的紫外線，保護地表生物免受紫外線傷害，因此紫外線無法穿透到達地面，無法在地面上進行觀測。</t>
  </si>
  <si>
    <t>(a) 溫室氣體主要吸收紅外線，觀測需攜帶望遠鏡至平流層或以上。
(b) 紫外線被大氣中的臭氧層吸收，無法從地面觀測，需在高空或太空中進行。</t>
  </si>
  <si>
    <t>(a)溫室氣體主要吸收的電磁波波段是：紅外線。若要進行該波段觀測，可用飛機把望遠鏡帶到：平流層。
(b)紫外線無法從地面進行觀測，主要是因為大氣中的臭氧等氣體會吸收紫外線，尤其是平流層臭氧層會阻擋大部分紫外線到達地面。</t>
  </si>
  <si>
    <t>紅外線；平流層；臭氧層吸收</t>
  </si>
  <si>
    <t>Question Type</t>
    <phoneticPr fontId="22" type="noConversion"/>
  </si>
  <si>
    <r>
      <t>43.在 C</t>
    </r>
    <r>
      <rPr>
        <sz val="11"/>
        <color theme="1"/>
        <rFont val="Times New Roman"/>
        <family val="1"/>
      </rPr>
      <t>₂</t>
    </r>
    <r>
      <rPr>
        <sz val="11"/>
        <color theme="1"/>
        <rFont val="新細明體"/>
        <family val="1"/>
        <charset val="136"/>
      </rPr>
      <t>H</t>
    </r>
    <r>
      <rPr>
        <sz val="11"/>
        <color theme="1"/>
        <rFont val="Times New Roman"/>
        <family val="1"/>
      </rPr>
      <t>ₙ</t>
    </r>
    <r>
      <rPr>
        <sz val="11"/>
        <color theme="1"/>
        <rFont val="新細明體"/>
        <family val="1"/>
        <charset val="136"/>
      </rPr>
      <t>NO的一群化合物中，分子量最小的分子，其 n 是下列哪一數值？ 
(A) 1 (B) 3 (C) 5 (D) 7 (E) 9</t>
    </r>
    <phoneticPr fontId="22" type="noConversion"/>
  </si>
  <si>
    <r>
      <t>31.鉛蓄電池（又稱鉛酸電池)是汽機車主要的電源，是以金屬鉛及二氧化鉛作為電極，而以 30% 的硫酸作為電解液。已知鉛蓄電池放電時，其反應如下：Pb（s) + PbO</t>
    </r>
    <r>
      <rPr>
        <sz val="11"/>
        <color theme="1"/>
        <rFont val="Times New Roman"/>
        <family val="1"/>
      </rPr>
      <t>₂</t>
    </r>
    <r>
      <rPr>
        <sz val="11"/>
        <color theme="1"/>
        <rFont val="新細明體"/>
        <family val="1"/>
        <charset val="136"/>
      </rPr>
      <t>（s) + 2H</t>
    </r>
    <r>
      <rPr>
        <sz val="11"/>
        <color theme="1"/>
        <rFont val="Times New Roman"/>
        <family val="1"/>
      </rPr>
      <t>₂</t>
    </r>
    <r>
      <rPr>
        <sz val="11"/>
        <color theme="1"/>
        <rFont val="新細明體"/>
        <family val="1"/>
        <charset val="136"/>
      </rPr>
      <t>SO</t>
    </r>
    <r>
      <rPr>
        <sz val="11"/>
        <color theme="1"/>
        <rFont val="Times New Roman"/>
        <family val="1"/>
      </rPr>
      <t>₄</t>
    </r>
    <r>
      <rPr>
        <sz val="11"/>
        <color theme="1"/>
        <rFont val="新細明體"/>
        <family val="1"/>
        <charset val="136"/>
      </rPr>
      <t>（aq) → 2PbSO</t>
    </r>
    <r>
      <rPr>
        <sz val="11"/>
        <color theme="1"/>
        <rFont val="Times New Roman"/>
        <family val="1"/>
      </rPr>
      <t>₄</t>
    </r>
    <r>
      <rPr>
        <sz val="11"/>
        <color theme="1"/>
        <rFont val="新細明體"/>
        <family val="1"/>
        <charset val="136"/>
      </rPr>
      <t>（s) + 2H</t>
    </r>
    <r>
      <rPr>
        <sz val="11"/>
        <color theme="1"/>
        <rFont val="Times New Roman"/>
        <family val="1"/>
      </rPr>
      <t>₂</t>
    </r>
    <r>
      <rPr>
        <sz val="11"/>
        <color theme="1"/>
        <rFont val="新細明體"/>
        <family val="1"/>
        <charset val="136"/>
      </rPr>
      <t xml:space="preserve">O（l) 下列有關鉛蓄電池的敘述，哪些正確？（應選 3 項)
(A)鉛蓄電池放電時， 陽極之重量會減少
(B)鉛蓄電池放電時， 陰極之重量會增加
(C)隨著鉛蓄電池放電， 硫酸溶液的濃度會降低
(D)鉛蓄電池充電時， 氧化劑和還原劑是同一種物質
(E)鉛蓄電池故障報廢時， 應交由垃圾車送至掩埋場棄置
</t>
    </r>
    <phoneticPr fontId="22" type="noConversion"/>
  </si>
  <si>
    <r>
      <t>13.在某化學實驗室找到一瓶沒有標示的固體藥品，經由實驗檢測發現此固體藥品不導電，可溶於水，且水溶液不導電，也不會使石蕊試紙變色。則下列哪一項可能為此未知藥品？
(A)苯甲酸 (C</t>
    </r>
    <r>
      <rPr>
        <sz val="11"/>
        <color theme="1"/>
        <rFont val="MS Gothic"/>
        <family val="3"/>
        <charset val="128"/>
      </rPr>
      <t>₆</t>
    </r>
    <r>
      <rPr>
        <sz val="11"/>
        <color theme="1"/>
        <rFont val="新細明體"/>
        <family val="1"/>
        <charset val="136"/>
      </rPr>
      <t>H</t>
    </r>
    <r>
      <rPr>
        <sz val="11"/>
        <color theme="1"/>
        <rFont val="MS Gothic"/>
        <family val="3"/>
        <charset val="128"/>
      </rPr>
      <t>₅</t>
    </r>
    <r>
      <rPr>
        <sz val="11"/>
        <color theme="1"/>
        <rFont val="新細明體"/>
        <family val="1"/>
        <charset val="136"/>
      </rPr>
      <t>COOH)
(B)醋酸鈉 (CH</t>
    </r>
    <r>
      <rPr>
        <sz val="11"/>
        <color theme="1"/>
        <rFont val="Times New Roman"/>
        <family val="1"/>
      </rPr>
      <t>₃</t>
    </r>
    <r>
      <rPr>
        <sz val="11"/>
        <color theme="1"/>
        <rFont val="新細明體"/>
        <family val="1"/>
        <charset val="136"/>
      </rPr>
      <t>COONa)
(C)碘化鉀 (KI)
(D)氯化銨 (NH</t>
    </r>
    <r>
      <rPr>
        <sz val="11"/>
        <color theme="1"/>
        <rFont val="Times New Roman"/>
        <family val="1"/>
      </rPr>
      <t>₄</t>
    </r>
    <r>
      <rPr>
        <sz val="11"/>
        <color theme="1"/>
        <rFont val="新細明體"/>
        <family val="1"/>
        <charset val="136"/>
      </rPr>
      <t>Cl)"
E)葡萄糖 (C</t>
    </r>
    <r>
      <rPr>
        <sz val="11"/>
        <color theme="1"/>
        <rFont val="MS Gothic"/>
        <family val="3"/>
        <charset val="128"/>
      </rPr>
      <t>₆</t>
    </r>
    <r>
      <rPr>
        <sz val="11"/>
        <color theme="1"/>
        <rFont val="新細明體"/>
        <family val="1"/>
        <charset val="136"/>
      </rPr>
      <t>H</t>
    </r>
    <r>
      <rPr>
        <sz val="11"/>
        <color theme="1"/>
        <rFont val="Times New Roman"/>
        <family val="1"/>
      </rPr>
      <t>₁₂</t>
    </r>
    <r>
      <rPr>
        <sz val="11"/>
        <color theme="1"/>
        <rFont val="新細明體"/>
        <family val="1"/>
        <charset val="136"/>
      </rPr>
      <t>O</t>
    </r>
    <r>
      <rPr>
        <sz val="11"/>
        <color theme="1"/>
        <rFont val="MS Gothic"/>
        <family val="3"/>
        <charset val="128"/>
      </rPr>
      <t>₆</t>
    </r>
    <r>
      <rPr>
        <sz val="11"/>
        <color theme="1"/>
        <rFont val="新細明體"/>
        <family val="1"/>
        <charset val="136"/>
      </rPr>
      <t xml:space="preserve">) 
</t>
    </r>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</si>
</sst>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12"/>
      <color theme="1"/>
      <name val="PMingLiu"/>
      <family val="1"/>
      <charset val="136"/>
    </font>
    <font>
      <sz val="11"/>
      <color theme="1"/>
      <name val="PMingLiu"/>
      <family val="1"/>
      <charset val="136"/>
    </font>
    <font>
      <sz val="11"/>
      <color theme="1"/>
      <name val="Calibri"/>
      <family val="2"/>
      <scheme val="minor"/>
    </font>
    <font>
      <b/>
      <sz val="11"/>
      <color theme="1"/>
      <name val="PMingLiu"/>
      <family val="1"/>
      <charset val="136"/>
    </font>
    <font>
      <sz val="11"/>
      <color rgb="FF000000"/>
      <name val="PMingLiu"/>
      <family val="1"/>
      <charset val="136"/>
    </font>
    <font>
      <sz val="11"/>
      <color rgb="FF000000"/>
      <name val="Calibri"/>
      <family val="2"/>
    </font>
    <font>
      <sz val="13"/>
      <color theme="1"/>
      <name val="PMingLiu"/>
      <family val="1"/>
      <charset val="136"/>
    </font>
    <font>
      <sz val="11"/>
      <color theme="1"/>
      <name val="Times New Roman"/>
      <family val="1"/>
    </font>
    <font>
      <sz val="13"/>
      <color theme="1"/>
      <name val="MingLiu"/>
      <family val="3"/>
      <charset val="136"/>
    </font>
    <font>
      <sz val="12"/>
      <color rgb="FF9C0006"/>
      <name val="PMingLiu"/>
      <family val="1"/>
      <charset val="136"/>
    </font>
    <font>
      <sz val="11"/>
      <color rgb="FF000000"/>
      <name val="MingLiu"/>
      <family val="3"/>
      <charset val="136"/>
    </font>
    <font>
      <sz val="11"/>
      <color theme="1"/>
      <name val="Arial"/>
      <family val="2"/>
    </font>
    <font>
      <sz val="11"/>
      <color theme="1"/>
      <name val="新細明體"/>
      <family val="1"/>
      <charset val="136"/>
    </font>
    <font>
      <u/>
      <sz val="11"/>
      <color theme="1"/>
      <name val="Arial"/>
      <family val="2"/>
    </font>
    <font>
      <u/>
      <sz val="11"/>
      <color theme="1"/>
      <name val="PMingLiu"/>
      <family val="1"/>
      <charset val="136"/>
    </font>
    <font>
      <sz val="11"/>
      <color theme="1"/>
      <name val="MS Gothic"/>
      <family val="3"/>
      <charset val="128"/>
    </font>
    <font>
      <sz val="11"/>
      <color theme="1"/>
      <name val="Cambria Math"/>
      <family val="1"/>
    </font>
    <font>
      <sz val="11"/>
      <color theme="1"/>
      <name val="微軟正黑體"/>
      <family val="2"/>
      <charset val="136"/>
    </font>
    <font>
      <sz val="11"/>
      <color theme="1"/>
      <name val="Calibri"/>
      <family val="2"/>
    </font>
    <font>
      <i/>
      <sz val="11"/>
      <color theme="1"/>
      <name val="新細明體"/>
      <family val="1"/>
      <charset val="136"/>
    </font>
    <font>
      <vertAlign val="superscript"/>
      <sz val="11"/>
      <color theme="1"/>
      <name val="新細明體"/>
      <family val="1"/>
      <charset val="136"/>
    </font>
    <font>
      <sz val="9"/>
      <name val="Calibri"/>
      <family val="3"/>
      <charset val="136"/>
      <scheme val="minor"/>
    </font>
  </fonts>
  <fills count="14">
    <fill>
      <patternFill patternType="none"/>
    </fill>
    <fill>
      <patternFill patternType="gray125"/>
    </fill>
    <fill>
      <patternFill patternType="solid">
        <fgColor rgb="FFCCC0D9"/>
        <bgColor rgb="FFCCC0D9"/>
      </patternFill>
    </fill>
    <fill>
      <patternFill patternType="solid">
        <fgColor rgb="FFFFFFCC"/>
        <bgColor rgb="FFFFFFCC"/>
      </patternFill>
    </fill>
    <fill>
      <patternFill patternType="solid">
        <fgColor rgb="FFDAEEF3"/>
        <bgColor rgb="FFDAEEF3"/>
      </patternFill>
    </fill>
    <fill>
      <patternFill patternType="solid">
        <fgColor rgb="FFDDD9C3"/>
        <bgColor rgb="FFDDD9C3"/>
      </patternFill>
    </fill>
    <fill>
      <patternFill patternType="solid">
        <fgColor rgb="FFEEECE1"/>
        <bgColor rgb="FFEEECE1"/>
      </patternFill>
    </fill>
    <fill>
      <patternFill patternType="solid">
        <fgColor rgb="FFCAC4A2"/>
        <bgColor rgb="FFCAC4A2"/>
      </patternFill>
    </fill>
    <fill>
      <patternFill patternType="solid">
        <fgColor rgb="FFFFC7CE"/>
        <bgColor rgb="FFFFC7CE"/>
      </patternFill>
    </fill>
    <fill>
      <patternFill patternType="solid">
        <fgColor rgb="FFE5DFEC"/>
        <bgColor rgb="FFE5DFEC"/>
      </patternFill>
    </fill>
    <fill>
      <patternFill patternType="solid">
        <fgColor rgb="FFDBE5F1"/>
        <bgColor rgb="FFDBE5F1"/>
      </patternFill>
    </fill>
    <fill>
      <patternFill patternType="solid">
        <fgColor theme="6" tint="0.79998168889431442"/>
        <bgColor rgb="FFEEECE1"/>
      </patternFill>
    </fill>
    <fill>
      <patternFill patternType="solid">
        <fgColor theme="6" tint="0.39997558519241921"/>
        <bgColor rgb="FFDDD9C3"/>
      </patternFill>
    </fill>
    <fill>
      <patternFill patternType="solid">
        <fgColor theme="6" tint="0.59999389629810485"/>
        <bgColor rgb="FFDDD9C3"/>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style="thin">
        <color rgb="FFA5A5A5"/>
      </left>
      <right style="thin">
        <color rgb="FFA5A5A5"/>
      </right>
      <top style="thin">
        <color rgb="FFA5A5A5"/>
      </top>
      <bottom style="thin">
        <color rgb="FFA5A5A5"/>
      </bottom>
      <diagonal/>
    </border>
    <border>
      <left/>
      <right/>
      <top/>
      <bottom/>
      <diagonal/>
    </border>
    <border>
      <left/>
      <right/>
      <top style="thin">
        <color rgb="FF000000"/>
      </top>
      <bottom/>
      <diagonal/>
    </border>
  </borders>
  <cellStyleXfs count="1">
    <xf numFmtId="0" fontId="0" fillId="0" borderId="0"/>
  </cellStyleXfs>
  <cellXfs count="125">
    <xf numFmtId="0" fontId="0" fillId="0" borderId="0" xfId="0" applyFont="1" applyAlignment="1"/>
    <xf numFmtId="0" fontId="4" fillId="0" borderId="2" xfId="0" applyFont="1" applyBorder="1" applyAlignment="1">
      <alignment horizontal="left" vertical="top" wrapText="1"/>
    </xf>
    <xf numFmtId="0" fontId="4" fillId="0" borderId="2" xfId="0" applyFont="1" applyBorder="1" applyAlignment="1">
      <alignment horizontal="center" vertical="top" wrapText="1"/>
    </xf>
    <xf numFmtId="0" fontId="2" fillId="0" borderId="2" xfId="0" applyFont="1" applyBorder="1" applyAlignment="1">
      <alignment horizontal="center" wrapText="1"/>
    </xf>
    <xf numFmtId="0" fontId="5" fillId="2" borderId="2" xfId="0" applyFont="1" applyFill="1" applyBorder="1" applyAlignment="1">
      <alignment horizontal="center" vertical="center"/>
    </xf>
    <xf numFmtId="0" fontId="5" fillId="3" borderId="2" xfId="0" applyFont="1" applyFill="1" applyBorder="1" applyAlignment="1">
      <alignment horizontal="center" vertical="center"/>
    </xf>
    <xf numFmtId="0" fontId="2" fillId="0" borderId="0" xfId="0" applyFont="1" applyAlignment="1">
      <alignment horizontal="left"/>
    </xf>
    <xf numFmtId="0" fontId="2" fillId="0" borderId="0" xfId="0" applyFont="1"/>
    <xf numFmtId="0" fontId="2" fillId="0" borderId="2" xfId="0" applyFont="1" applyBorder="1" applyAlignment="1">
      <alignment wrapText="1"/>
    </xf>
    <xf numFmtId="0" fontId="5" fillId="0" borderId="2" xfId="0" applyFont="1" applyBorder="1" applyAlignment="1">
      <alignment horizontal="center" vertical="center"/>
    </xf>
    <xf numFmtId="0" fontId="5" fillId="0" borderId="2" xfId="0" applyFont="1" applyBorder="1" applyAlignment="1">
      <alignment horizontal="center"/>
    </xf>
    <xf numFmtId="0" fontId="5" fillId="0" borderId="2" xfId="0" applyFont="1" applyBorder="1" applyAlignment="1">
      <alignment horizontal="center"/>
    </xf>
    <xf numFmtId="0" fontId="5" fillId="0" borderId="2" xfId="0" applyFont="1" applyBorder="1" applyAlignment="1">
      <alignment horizontal="center" vertical="center"/>
    </xf>
    <xf numFmtId="0" fontId="5" fillId="0" borderId="0" xfId="0" applyFont="1" applyAlignment="1">
      <alignment horizontal="left"/>
    </xf>
    <xf numFmtId="0" fontId="3" fillId="0" borderId="0" xfId="0" applyFont="1" applyAlignment="1">
      <alignment horizontal="center"/>
    </xf>
    <xf numFmtId="0" fontId="2" fillId="0" borderId="2" xfId="0" applyFont="1" applyBorder="1" applyAlignment="1">
      <alignment horizontal="center"/>
    </xf>
    <xf numFmtId="0" fontId="2" fillId="0" borderId="2" xfId="0" applyFont="1" applyBorder="1" applyAlignment="1">
      <alignment horizontal="center"/>
    </xf>
    <xf numFmtId="0" fontId="2" fillId="4" borderId="2" xfId="0" applyFont="1" applyFill="1" applyBorder="1" applyAlignment="1">
      <alignment wrapText="1"/>
    </xf>
    <xf numFmtId="0" fontId="2" fillId="4" borderId="2" xfId="0" applyFont="1" applyFill="1" applyBorder="1" applyAlignment="1">
      <alignment horizontal="center" wrapText="1"/>
    </xf>
    <xf numFmtId="0" fontId="5" fillId="4" borderId="2" xfId="0" applyFont="1" applyFill="1" applyBorder="1" applyAlignment="1">
      <alignment horizontal="center" vertical="center"/>
    </xf>
    <xf numFmtId="0" fontId="2" fillId="4" borderId="2" xfId="0" applyFont="1" applyFill="1" applyBorder="1" applyAlignment="1">
      <alignment horizontal="center"/>
    </xf>
    <xf numFmtId="0" fontId="2" fillId="4" borderId="2" xfId="0" applyFont="1" applyFill="1" applyBorder="1" applyAlignment="1">
      <alignment horizontal="center"/>
    </xf>
    <xf numFmtId="0" fontId="5" fillId="5" borderId="2" xfId="0" applyFont="1" applyFill="1" applyBorder="1" applyAlignment="1">
      <alignment horizontal="center"/>
    </xf>
    <xf numFmtId="0" fontId="2" fillId="4" borderId="2" xfId="0" applyFont="1" applyFill="1" applyBorder="1" applyAlignment="1">
      <alignment horizontal="left" wrapText="1"/>
    </xf>
    <xf numFmtId="0" fontId="5" fillId="4" borderId="2" xfId="0" applyFont="1" applyFill="1" applyBorder="1" applyAlignment="1">
      <alignment horizontal="center"/>
    </xf>
    <xf numFmtId="0" fontId="5" fillId="6" borderId="2" xfId="0" applyFont="1" applyFill="1" applyBorder="1" applyAlignment="1">
      <alignment horizontal="center"/>
    </xf>
    <xf numFmtId="0" fontId="5" fillId="7" borderId="2" xfId="0" applyFont="1" applyFill="1" applyBorder="1" applyAlignment="1">
      <alignment horizontal="center"/>
    </xf>
    <xf numFmtId="0" fontId="2" fillId="0" borderId="2" xfId="0" applyFont="1" applyBorder="1" applyAlignment="1">
      <alignment horizontal="center" wrapText="1"/>
    </xf>
    <xf numFmtId="0" fontId="5" fillId="3" borderId="2" xfId="0" applyFont="1" applyFill="1" applyBorder="1" applyAlignment="1">
      <alignment horizontal="center"/>
    </xf>
    <xf numFmtId="0" fontId="2" fillId="0" borderId="0" xfId="0" applyFont="1" applyAlignment="1">
      <alignment wrapText="1"/>
    </xf>
    <xf numFmtId="0" fontId="2" fillId="0" borderId="0" xfId="0" applyFont="1" applyAlignment="1">
      <alignment horizontal="center" wrapText="1"/>
    </xf>
    <xf numFmtId="0" fontId="5" fillId="0" borderId="0" xfId="0" applyFont="1" applyAlignment="1">
      <alignment horizontal="center"/>
    </xf>
    <xf numFmtId="0" fontId="3" fillId="0" borderId="0" xfId="0" applyFont="1" applyAlignment="1">
      <alignment horizontal="center"/>
    </xf>
    <xf numFmtId="0" fontId="4" fillId="0" borderId="2" xfId="0" applyFont="1" applyBorder="1" applyAlignment="1">
      <alignment horizontal="left" vertical="top" wrapText="1"/>
    </xf>
    <xf numFmtId="0" fontId="2" fillId="0" borderId="2" xfId="0" applyFont="1" applyBorder="1" applyAlignment="1">
      <alignment horizontal="left" wrapText="1"/>
    </xf>
    <xf numFmtId="0" fontId="5" fillId="4" borderId="2" xfId="0" applyFont="1" applyFill="1" applyBorder="1" applyAlignment="1">
      <alignment horizontal="center"/>
    </xf>
    <xf numFmtId="0" fontId="2" fillId="4" borderId="2" xfId="0" applyFont="1" applyFill="1" applyBorder="1" applyAlignment="1">
      <alignment horizontal="left" vertical="top" wrapText="1"/>
    </xf>
    <xf numFmtId="0" fontId="2" fillId="0" borderId="2" xfId="0" applyFont="1" applyBorder="1" applyAlignment="1">
      <alignment vertical="top" wrapText="1"/>
    </xf>
    <xf numFmtId="0" fontId="2" fillId="0" borderId="2" xfId="0" applyFont="1" applyBorder="1" applyAlignment="1">
      <alignment horizontal="left" vertical="top" wrapText="1"/>
    </xf>
    <xf numFmtId="0" fontId="5" fillId="4" borderId="2" xfId="0" applyFont="1" applyFill="1" applyBorder="1" applyAlignment="1">
      <alignment horizontal="left" wrapText="1"/>
    </xf>
    <xf numFmtId="0" fontId="5" fillId="4" borderId="2" xfId="0" applyFont="1" applyFill="1" applyBorder="1" applyAlignment="1">
      <alignment horizontal="center" wrapText="1"/>
    </xf>
    <xf numFmtId="0" fontId="2" fillId="0" borderId="2" xfId="0" applyFont="1" applyBorder="1" applyAlignment="1">
      <alignment horizontal="left" vertical="top" wrapText="1"/>
    </xf>
    <xf numFmtId="0" fontId="5" fillId="0" borderId="2" xfId="0" applyFont="1" applyBorder="1" applyAlignment="1">
      <alignment horizontal="left"/>
    </xf>
    <xf numFmtId="0" fontId="2" fillId="0" borderId="0" xfId="0" applyFont="1" applyAlignment="1">
      <alignment horizontal="left" wrapText="1"/>
    </xf>
    <xf numFmtId="0" fontId="6" fillId="0" borderId="0" xfId="0" applyFont="1" applyAlignment="1">
      <alignment horizontal="center"/>
    </xf>
    <xf numFmtId="0" fontId="2" fillId="0" borderId="0" xfId="0" applyFont="1" applyAlignment="1">
      <alignment horizontal="left" vertical="top" wrapText="1"/>
    </xf>
    <xf numFmtId="0" fontId="7" fillId="0" borderId="0" xfId="0" applyFont="1" applyAlignment="1">
      <alignment wrapText="1"/>
    </xf>
    <xf numFmtId="0" fontId="4" fillId="0" borderId="2" xfId="0" applyFont="1" applyBorder="1" applyAlignment="1">
      <alignment horizontal="left" vertical="center" wrapText="1"/>
    </xf>
    <xf numFmtId="0" fontId="2" fillId="3" borderId="2" xfId="0" applyFont="1" applyFill="1" applyBorder="1" applyAlignment="1">
      <alignment horizontal="center" vertical="center"/>
    </xf>
    <xf numFmtId="0" fontId="2" fillId="0" borderId="2" xfId="0" applyFont="1" applyBorder="1" applyAlignment="1">
      <alignment horizontal="left" vertical="center" wrapText="1"/>
    </xf>
    <xf numFmtId="0" fontId="6" fillId="0" borderId="0" xfId="0" applyFont="1" applyAlignment="1">
      <alignment horizontal="left"/>
    </xf>
    <xf numFmtId="0" fontId="2" fillId="4" borderId="2" xfId="0" applyFont="1" applyFill="1" applyBorder="1" applyAlignment="1">
      <alignment horizontal="left" vertical="center" wrapText="1"/>
    </xf>
    <xf numFmtId="0" fontId="2" fillId="0" borderId="2" xfId="0" applyFont="1" applyBorder="1" applyAlignment="1">
      <alignment wrapText="1"/>
    </xf>
    <xf numFmtId="0" fontId="2" fillId="0" borderId="0" xfId="0" applyFont="1" applyAlignment="1">
      <alignment horizontal="left" vertical="center" wrapText="1"/>
    </xf>
    <xf numFmtId="0" fontId="8" fillId="0" borderId="0" xfId="0" applyFont="1" applyAlignment="1">
      <alignment horizontal="left" vertical="center" wrapText="1"/>
    </xf>
    <xf numFmtId="0" fontId="9" fillId="0" borderId="0" xfId="0" applyFont="1" applyAlignment="1">
      <alignment horizontal="left" vertical="center" wrapText="1"/>
    </xf>
    <xf numFmtId="0" fontId="4" fillId="0" borderId="3" xfId="0" applyFont="1" applyBorder="1" applyAlignment="1">
      <alignment horizontal="left" vertical="top" wrapText="1"/>
    </xf>
    <xf numFmtId="0" fontId="4" fillId="0" borderId="3" xfId="0" applyFont="1" applyBorder="1" applyAlignment="1">
      <alignment horizontal="center" vertical="top" wrapText="1"/>
    </xf>
    <xf numFmtId="0" fontId="2" fillId="0" borderId="3" xfId="0" applyFont="1" applyBorder="1" applyAlignment="1">
      <alignment horizontal="center" wrapText="1"/>
    </xf>
    <xf numFmtId="0" fontId="5" fillId="2" borderId="3" xfId="0" applyFont="1" applyFill="1" applyBorder="1" applyAlignment="1">
      <alignment horizontal="center" vertical="center"/>
    </xf>
    <xf numFmtId="0" fontId="5" fillId="3" borderId="3" xfId="0" applyFont="1" applyFill="1" applyBorder="1" applyAlignment="1">
      <alignment horizontal="center" vertical="center"/>
    </xf>
    <xf numFmtId="0" fontId="2" fillId="3" borderId="3" xfId="0" applyFont="1" applyFill="1" applyBorder="1" applyAlignment="1">
      <alignment horizontal="center" vertical="center"/>
    </xf>
    <xf numFmtId="0" fontId="2" fillId="0" borderId="3" xfId="0" applyFont="1" applyBorder="1" applyAlignment="1">
      <alignment wrapText="1"/>
    </xf>
    <xf numFmtId="0" fontId="5" fillId="0" borderId="3" xfId="0" applyFont="1" applyBorder="1" applyAlignment="1">
      <alignment horizontal="center" vertical="center"/>
    </xf>
    <xf numFmtId="0" fontId="5" fillId="0" borderId="3" xfId="0" applyFont="1" applyBorder="1" applyAlignment="1">
      <alignment horizontal="center" vertical="center"/>
    </xf>
    <xf numFmtId="0" fontId="5" fillId="0" borderId="3" xfId="0" applyFont="1" applyBorder="1" applyAlignment="1">
      <alignment horizontal="center"/>
    </xf>
    <xf numFmtId="0" fontId="5" fillId="0" borderId="3" xfId="0" applyFont="1" applyBorder="1" applyAlignment="1">
      <alignment horizontal="center"/>
    </xf>
    <xf numFmtId="0" fontId="2" fillId="0" borderId="3" xfId="0" applyFont="1" applyBorder="1" applyAlignment="1">
      <alignment vertical="top" wrapText="1"/>
    </xf>
    <xf numFmtId="0" fontId="2" fillId="0" borderId="3" xfId="0" applyFont="1" applyBorder="1" applyAlignment="1">
      <alignment horizontal="left" wrapText="1"/>
    </xf>
    <xf numFmtId="0" fontId="2" fillId="4" borderId="3" xfId="0" applyFont="1" applyFill="1" applyBorder="1" applyAlignment="1">
      <alignment horizontal="left" wrapText="1"/>
    </xf>
    <xf numFmtId="0" fontId="2" fillId="4" borderId="3" xfId="0" applyFont="1" applyFill="1" applyBorder="1" applyAlignment="1">
      <alignment horizontal="center" wrapText="1"/>
    </xf>
    <xf numFmtId="0" fontId="5" fillId="4" borderId="3" xfId="0" applyFont="1" applyFill="1" applyBorder="1" applyAlignment="1">
      <alignment horizontal="center"/>
    </xf>
    <xf numFmtId="0" fontId="5" fillId="4" borderId="3" xfId="0" applyFont="1" applyFill="1" applyBorder="1" applyAlignment="1">
      <alignment horizontal="center"/>
    </xf>
    <xf numFmtId="0" fontId="2" fillId="0" borderId="3" xfId="0" applyFont="1" applyBorder="1" applyAlignment="1">
      <alignment wrapText="1"/>
    </xf>
    <xf numFmtId="0" fontId="2" fillId="4" borderId="3" xfId="0" applyFont="1" applyFill="1" applyBorder="1" applyAlignment="1">
      <alignment wrapText="1"/>
    </xf>
    <xf numFmtId="0" fontId="2" fillId="0" borderId="3" xfId="0" applyFont="1" applyBorder="1" applyAlignment="1">
      <alignment horizontal="center" wrapText="1"/>
    </xf>
    <xf numFmtId="0" fontId="5" fillId="4" borderId="2" xfId="0" applyFont="1" applyFill="1" applyBorder="1" applyAlignment="1">
      <alignment horizontal="left"/>
    </xf>
    <xf numFmtId="0" fontId="2" fillId="4" borderId="4" xfId="0" applyFont="1" applyFill="1" applyBorder="1" applyAlignment="1">
      <alignment horizontal="left" vertical="center" wrapText="1"/>
    </xf>
    <xf numFmtId="0" fontId="5" fillId="4"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center" wrapText="1"/>
    </xf>
    <xf numFmtId="0" fontId="5" fillId="0" borderId="0" xfId="0" applyFont="1" applyAlignment="1">
      <alignment horizontal="left" vertical="center" wrapText="1"/>
    </xf>
    <xf numFmtId="0" fontId="2" fillId="3" borderId="2" xfId="0" applyFont="1" applyFill="1" applyBorder="1" applyAlignment="1">
      <alignment horizontal="center"/>
    </xf>
    <xf numFmtId="0" fontId="2" fillId="3" borderId="2" xfId="0" applyFont="1" applyFill="1" applyBorder="1" applyAlignment="1">
      <alignment horizontal="center"/>
    </xf>
    <xf numFmtId="0" fontId="10" fillId="8" borderId="2" xfId="0" applyFont="1" applyFill="1" applyBorder="1" applyAlignment="1">
      <alignment horizontal="center" wrapText="1"/>
    </xf>
    <xf numFmtId="0" fontId="2" fillId="0" borderId="2" xfId="0" applyFont="1" applyBorder="1" applyAlignment="1"/>
    <xf numFmtId="0" fontId="2" fillId="0" borderId="2" xfId="0" applyFont="1" applyBorder="1"/>
    <xf numFmtId="0" fontId="2" fillId="0" borderId="0" xfId="0" applyFont="1" applyAlignment="1">
      <alignment horizontal="left" vertical="center" wrapText="1"/>
    </xf>
    <xf numFmtId="0" fontId="6" fillId="0" borderId="0" xfId="0" applyFont="1" applyAlignment="1">
      <alignment horizontal="center" wrapText="1"/>
    </xf>
    <xf numFmtId="0" fontId="11" fillId="0" borderId="0" xfId="0" applyFont="1" applyAlignment="1">
      <alignment horizontal="center"/>
    </xf>
    <xf numFmtId="0" fontId="4" fillId="0" borderId="1" xfId="0" applyFont="1" applyBorder="1" applyAlignment="1">
      <alignment horizontal="left" vertical="top" wrapText="1"/>
    </xf>
    <xf numFmtId="0" fontId="5" fillId="9" borderId="2" xfId="0" applyFont="1" applyFill="1" applyBorder="1" applyAlignment="1">
      <alignment horizontal="center" vertical="center" wrapText="1"/>
    </xf>
    <xf numFmtId="0" fontId="5" fillId="9" borderId="2" xfId="0" applyFont="1" applyFill="1" applyBorder="1" applyAlignment="1">
      <alignment horizontal="center" vertical="center"/>
    </xf>
    <xf numFmtId="0" fontId="5" fillId="0" borderId="5"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wrapText="1"/>
    </xf>
    <xf numFmtId="0" fontId="2" fillId="4" borderId="4" xfId="0" applyFont="1" applyFill="1" applyBorder="1" applyAlignment="1">
      <alignment wrapText="1"/>
    </xf>
    <xf numFmtId="0" fontId="2" fillId="4" borderId="4" xfId="0" applyFont="1" applyFill="1" applyBorder="1" applyAlignment="1">
      <alignment horizontal="center" wrapText="1"/>
    </xf>
    <xf numFmtId="0" fontId="5" fillId="4" borderId="4" xfId="0" applyFont="1" applyFill="1" applyBorder="1" applyAlignment="1">
      <alignment horizontal="center" vertical="center" wrapText="1"/>
    </xf>
    <xf numFmtId="0" fontId="5" fillId="4" borderId="4" xfId="0" applyFont="1" applyFill="1" applyBorder="1" applyAlignment="1">
      <alignment horizontal="center" vertical="center"/>
    </xf>
    <xf numFmtId="0" fontId="5" fillId="0" borderId="0" xfId="0" applyFont="1" applyAlignment="1">
      <alignment horizontal="center" wrapText="1"/>
    </xf>
    <xf numFmtId="0" fontId="2" fillId="0" borderId="0" xfId="0" applyFont="1" applyAlignment="1">
      <alignment horizontal="center" wrapText="1"/>
    </xf>
    <xf numFmtId="0" fontId="5" fillId="0" borderId="0" xfId="0" applyFont="1" applyAlignment="1">
      <alignment horizontal="center" wrapText="1"/>
    </xf>
    <xf numFmtId="0" fontId="2" fillId="4" borderId="4" xfId="0" applyFont="1" applyFill="1" applyBorder="1" applyAlignment="1">
      <alignment horizontal="left" wrapText="1"/>
    </xf>
    <xf numFmtId="0" fontId="5" fillId="4" borderId="4" xfId="0" applyFont="1" applyFill="1" applyBorder="1" applyAlignment="1">
      <alignment horizontal="center" wrapText="1"/>
    </xf>
    <xf numFmtId="0" fontId="5" fillId="4" borderId="4" xfId="0" applyFont="1" applyFill="1" applyBorder="1" applyAlignment="1">
      <alignment horizontal="center"/>
    </xf>
    <xf numFmtId="0" fontId="5" fillId="4" borderId="4" xfId="0" applyFont="1" applyFill="1" applyBorder="1" applyAlignment="1">
      <alignment horizontal="left"/>
    </xf>
    <xf numFmtId="0" fontId="2" fillId="0" borderId="0" xfId="0" applyFont="1" applyAlignment="1">
      <alignment vertical="top" wrapText="1"/>
    </xf>
    <xf numFmtId="0" fontId="2" fillId="0" borderId="0" xfId="0" applyFont="1" applyAlignment="1">
      <alignment horizontal="left" wrapText="1"/>
    </xf>
    <xf numFmtId="0" fontId="3" fillId="0" borderId="0" xfId="0" applyFont="1" applyAlignment="1"/>
    <xf numFmtId="0" fontId="5" fillId="0" borderId="2" xfId="0" applyFont="1" applyBorder="1" applyAlignment="1">
      <alignment horizontal="center" vertical="center" wrapText="1"/>
    </xf>
    <xf numFmtId="0" fontId="2" fillId="10" borderId="2" xfId="0" applyFont="1" applyFill="1" applyBorder="1" applyAlignment="1">
      <alignment wrapText="1"/>
    </xf>
    <xf numFmtId="0" fontId="2" fillId="10" borderId="2" xfId="0" applyFont="1" applyFill="1" applyBorder="1" applyAlignment="1">
      <alignment horizontal="center" wrapText="1"/>
    </xf>
    <xf numFmtId="0" fontId="5" fillId="10" borderId="2" xfId="0" applyFont="1" applyFill="1" applyBorder="1" applyAlignment="1">
      <alignment horizontal="center" vertical="center" wrapText="1"/>
    </xf>
    <xf numFmtId="0" fontId="5" fillId="10" borderId="2" xfId="0" applyFont="1" applyFill="1" applyBorder="1" applyAlignment="1">
      <alignment horizontal="center" vertical="center"/>
    </xf>
    <xf numFmtId="0" fontId="5" fillId="0" borderId="2" xfId="0" applyFont="1" applyBorder="1" applyAlignment="1">
      <alignment horizontal="center" wrapText="1"/>
    </xf>
    <xf numFmtId="0" fontId="5" fillId="10" borderId="2" xfId="0" applyFont="1" applyFill="1" applyBorder="1" applyAlignment="1">
      <alignment horizontal="center" wrapText="1"/>
    </xf>
    <xf numFmtId="0" fontId="5" fillId="10" borderId="2" xfId="0" applyFont="1" applyFill="1" applyBorder="1" applyAlignment="1">
      <alignment horizontal="center"/>
    </xf>
    <xf numFmtId="0" fontId="2" fillId="10" borderId="2" xfId="0" applyFont="1" applyFill="1" applyBorder="1" applyAlignment="1">
      <alignment horizontal="left" wrapText="1"/>
    </xf>
    <xf numFmtId="0" fontId="1" fillId="0" borderId="2" xfId="0" applyFont="1" applyBorder="1" applyAlignment="1">
      <alignment wrapText="1"/>
    </xf>
    <xf numFmtId="0" fontId="5" fillId="0" borderId="2" xfId="0" applyFont="1" applyFill="1" applyBorder="1" applyAlignment="1">
      <alignment horizontal="center"/>
    </xf>
    <xf numFmtId="0" fontId="2" fillId="0" borderId="2" xfId="0" applyFont="1" applyFill="1" applyBorder="1" applyAlignment="1">
      <alignment horizontal="center"/>
    </xf>
    <xf numFmtId="0" fontId="5" fillId="11" borderId="2" xfId="0" applyFont="1" applyFill="1" applyBorder="1" applyAlignment="1">
      <alignment horizontal="center"/>
    </xf>
    <xf numFmtId="0" fontId="5" fillId="12" borderId="2" xfId="0" applyFont="1" applyFill="1" applyBorder="1" applyAlignment="1">
      <alignment horizontal="center"/>
    </xf>
    <xf numFmtId="0" fontId="5" fillId="13" borderId="2" xfId="0" applyFont="1" applyFill="1" applyBorder="1" applyAlignment="1">
      <alignment horizont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98"/>
  <sheetViews>
    <sheetView tabSelected="1" workbookViewId="0">
      <pane ySplit="1" topLeftCell="A2" activePane="bottomLeft" state="frozen"/>
      <selection pane="bottomLeft"/>
    </sheetView>
  </sheetViews>
  <sheetFormatPr defaultColWidth="14.42578125" defaultRowHeight="15" customHeight="1"/>
  <cols>
    <col min="1" max="1" width="68" customWidth="1"/>
    <col min="2" max="2" width="20.7109375" customWidth="1"/>
    <col min="3" max="3" width="16.42578125" customWidth="1"/>
    <col min="4" max="4" width="12.85546875" customWidth="1"/>
    <col min="5" max="5" width="15.5703125" customWidth="1"/>
    <col min="6" max="6" width="12.7109375" customWidth="1"/>
    <col min="7" max="7" width="22.7109375" customWidth="1"/>
    <col min="8" max="8" width="34.42578125" customWidth="1"/>
    <col min="9" max="9" width="18.85546875" customWidth="1"/>
    <col min="10" max="10" width="21.7109375" customWidth="1"/>
    <col min="11" max="11" width="18.7109375" customWidth="1"/>
    <col min="12" max="12" width="24.42578125" customWidth="1"/>
    <col min="13" max="13" width="37.42578125" customWidth="1"/>
    <col min="14" max="14" width="9.140625" customWidth="1"/>
    <col min="15" max="25" width="8.7109375" customWidth="1"/>
  </cols>
  <sheetData>
    <row r="1" spans="1:25" ht="15.75" customHeight="1">
      <c r="A1" s="1" t="s">
        <v>4</v>
      </c>
      <c r="B1" s="2" t="s">
        <v>926</v>
      </c>
      <c r="C1" s="3" t="s">
        <v>6</v>
      </c>
      <c r="D1" s="4" t="s">
        <v>0</v>
      </c>
      <c r="E1" s="4" t="s">
        <v>1</v>
      </c>
      <c r="F1" s="4" t="s">
        <v>2</v>
      </c>
      <c r="G1" s="4" t="s">
        <v>7</v>
      </c>
      <c r="H1" s="4" t="s">
        <v>3</v>
      </c>
      <c r="I1" s="5" t="s">
        <v>8</v>
      </c>
      <c r="J1" s="5" t="s">
        <v>9</v>
      </c>
      <c r="K1" s="5" t="s">
        <v>10</v>
      </c>
      <c r="L1" s="5" t="s">
        <v>11</v>
      </c>
      <c r="M1" s="5" t="s">
        <v>12</v>
      </c>
      <c r="N1" s="6"/>
      <c r="O1" s="7"/>
      <c r="P1" s="7"/>
      <c r="Q1" s="7"/>
      <c r="R1" s="7"/>
      <c r="S1" s="7"/>
      <c r="T1" s="7"/>
      <c r="U1" s="7"/>
      <c r="V1" s="7"/>
      <c r="W1" s="7"/>
      <c r="X1" s="7"/>
      <c r="Y1" s="7"/>
    </row>
    <row r="2" spans="1:25" ht="15.75" customHeight="1">
      <c r="A2" s="8" t="s">
        <v>13</v>
      </c>
      <c r="B2" s="3"/>
      <c r="C2" s="3" t="s">
        <v>14</v>
      </c>
      <c r="D2" s="9" t="s">
        <v>14</v>
      </c>
      <c r="E2" s="9" t="s">
        <v>14</v>
      </c>
      <c r="F2" s="10" t="s">
        <v>14</v>
      </c>
      <c r="G2" s="11" t="s">
        <v>14</v>
      </c>
      <c r="H2" s="11" t="s">
        <v>14</v>
      </c>
      <c r="I2" s="9">
        <f>_xlfn.LET(
_xlpm.full,2,
_xlpm.ans,UPPER(SUBSTITUTE(SUBSTITUTE(SUBSTITUTE(SUBSTITUTE(SUBSTITUTE(SUBSTITUTE($C2&amp;"","，",""),",",""),"、","")," ",""),"　",""),CHAR(10),"")),
_xlpm.resp,UPPER(SUBSTITUTE(SUBSTITUTE(SUBSTITUTE(SUBSTITUTE(SUBSTITUTE(SUBSTITUTE(D2&amp;"","，",""),",",""),"、","")," ",""),"　",""),CHAR(10),"")),
IF(OR(_xlpm.resp="",LEN(_xlpm.resp)&lt;&gt;1),0,IF(_xlpm.resp=_xlpm.ans,_xlpm.full,0))
)</f>
        <v>2</v>
      </c>
      <c r="J2" s="12">
        <f t="shared" ref="J2:M9" si="0">_xlfn.LET(
_xlpm.full,2,
_xlpm.ans,UPPER(SUBSTITUTE(SUBSTITUTE(SUBSTITUTE(SUBSTITUTE(SUBSTITUTE(SUBSTITUTE($C2&amp;"","，",""),",",""),"、","")," ",""),"　",""),CHAR(10),"")),
_xlpm.resp,UPPER(SUBSTITUTE(SUBSTITUTE(SUBSTITUTE(SUBSTITUTE(SUBSTITUTE(SUBSTITUTE(E2&amp;"","，",""),",",""),"、","")," ",""),"　",""),CHAR(10),"")),
IF(OR(_xlpm.resp="",LEN(_xlpm.resp)&lt;&gt;1),0,IF(_xlpm.resp=_xlpm.ans,_xlpm.full,0))
)</f>
        <v>2</v>
      </c>
      <c r="K2" s="12">
        <f t="shared" si="0"/>
        <v>2</v>
      </c>
      <c r="L2" s="12">
        <f t="shared" si="0"/>
        <v>2</v>
      </c>
      <c r="M2" s="12">
        <f t="shared" si="0"/>
        <v>2</v>
      </c>
      <c r="N2" s="6"/>
      <c r="O2" s="7"/>
      <c r="P2" s="7"/>
      <c r="Q2" s="7"/>
      <c r="R2" s="7"/>
      <c r="S2" s="7"/>
      <c r="T2" s="7"/>
      <c r="U2" s="7"/>
      <c r="V2" s="7"/>
      <c r="W2" s="7"/>
      <c r="X2" s="7"/>
      <c r="Y2" s="7"/>
    </row>
    <row r="3" spans="1:25" ht="15.75" customHeight="1">
      <c r="A3" s="8" t="s">
        <v>15</v>
      </c>
      <c r="B3" s="3" t="s">
        <v>16</v>
      </c>
      <c r="C3" s="3" t="s">
        <v>17</v>
      </c>
      <c r="D3" s="9" t="s">
        <v>17</v>
      </c>
      <c r="E3" s="9" t="s">
        <v>17</v>
      </c>
      <c r="F3" s="9" t="s">
        <v>17</v>
      </c>
      <c r="G3" s="12" t="s">
        <v>17</v>
      </c>
      <c r="H3" s="12" t="s">
        <v>17</v>
      </c>
      <c r="I3" s="12">
        <f t="shared" ref="I3:I9" si="1">_xlfn.LET(
_xlpm.full,2,
_xlpm.ans,UPPER(SUBSTITUTE(SUBSTITUTE(SUBSTITUTE(SUBSTITUTE(SUBSTITUTE(SUBSTITUTE($C3&amp;"","，",""),",",""),"、","")," ",""),"　",""),CHAR(10),"")),
_xlpm.resp,UPPER(SUBSTITUTE(SUBSTITUTE(SUBSTITUTE(SUBSTITUTE(SUBSTITUTE(SUBSTITUTE(D3&amp;"","，",""),",",""),"、","")," ",""),"　",""),CHAR(10),"")),
IF(OR(_xlpm.resp="",LEN(_xlpm.resp)&lt;&gt;1),0,IF(_xlpm.resp=_xlpm.ans,_xlpm.full,0))
)</f>
        <v>2</v>
      </c>
      <c r="J3" s="12">
        <f t="shared" si="0"/>
        <v>2</v>
      </c>
      <c r="K3" s="12">
        <f t="shared" si="0"/>
        <v>2</v>
      </c>
      <c r="L3" s="12">
        <f t="shared" si="0"/>
        <v>2</v>
      </c>
      <c r="M3" s="12">
        <f t="shared" si="0"/>
        <v>2</v>
      </c>
      <c r="N3" s="13"/>
      <c r="O3" s="7"/>
      <c r="P3" s="7"/>
      <c r="Q3" s="7"/>
      <c r="R3" s="7"/>
      <c r="S3" s="7"/>
      <c r="T3" s="7"/>
      <c r="U3" s="7"/>
      <c r="V3" s="7"/>
      <c r="W3" s="7"/>
      <c r="X3" s="7"/>
      <c r="Y3" s="7"/>
    </row>
    <row r="4" spans="1:25" ht="15.75" customHeight="1">
      <c r="A4" s="8" t="s">
        <v>18</v>
      </c>
      <c r="B4" s="3"/>
      <c r="C4" s="3" t="s">
        <v>19</v>
      </c>
      <c r="D4" s="9" t="s">
        <v>19</v>
      </c>
      <c r="E4" s="9" t="s">
        <v>19</v>
      </c>
      <c r="F4" s="9" t="s">
        <v>19</v>
      </c>
      <c r="G4" s="12" t="s">
        <v>19</v>
      </c>
      <c r="H4" s="12" t="s">
        <v>19</v>
      </c>
      <c r="I4" s="12">
        <f t="shared" si="1"/>
        <v>2</v>
      </c>
      <c r="J4" s="12">
        <f t="shared" si="0"/>
        <v>2</v>
      </c>
      <c r="K4" s="12">
        <f t="shared" si="0"/>
        <v>2</v>
      </c>
      <c r="L4" s="12">
        <f t="shared" si="0"/>
        <v>2</v>
      </c>
      <c r="M4" s="12">
        <f t="shared" si="0"/>
        <v>2</v>
      </c>
      <c r="N4" s="13"/>
      <c r="O4" s="7"/>
      <c r="P4" s="7"/>
      <c r="Q4" s="7"/>
      <c r="R4" s="7"/>
      <c r="S4" s="7"/>
      <c r="T4" s="7"/>
      <c r="U4" s="7"/>
      <c r="V4" s="7"/>
      <c r="W4" s="7"/>
      <c r="X4" s="7"/>
      <c r="Y4" s="7"/>
    </row>
    <row r="5" spans="1:25" ht="15.75" customHeight="1">
      <c r="A5" s="8" t="s">
        <v>20</v>
      </c>
      <c r="B5" s="3"/>
      <c r="C5" s="3" t="s">
        <v>21</v>
      </c>
      <c r="D5" s="9" t="s">
        <v>21</v>
      </c>
      <c r="E5" s="9" t="s">
        <v>21</v>
      </c>
      <c r="F5" s="9" t="s">
        <v>22</v>
      </c>
      <c r="G5" s="12" t="s">
        <v>22</v>
      </c>
      <c r="H5" s="12" t="s">
        <v>21</v>
      </c>
      <c r="I5" s="12">
        <f t="shared" si="1"/>
        <v>2</v>
      </c>
      <c r="J5" s="12">
        <f t="shared" si="0"/>
        <v>2</v>
      </c>
      <c r="K5" s="12">
        <f t="shared" si="0"/>
        <v>0</v>
      </c>
      <c r="L5" s="12">
        <f t="shared" si="0"/>
        <v>0</v>
      </c>
      <c r="M5" s="12">
        <f t="shared" si="0"/>
        <v>2</v>
      </c>
      <c r="N5" s="6"/>
      <c r="O5" s="7"/>
      <c r="P5" s="7"/>
      <c r="Q5" s="7"/>
      <c r="R5" s="7"/>
      <c r="S5" s="7"/>
      <c r="T5" s="7"/>
      <c r="U5" s="7"/>
      <c r="V5" s="7"/>
      <c r="W5" s="7"/>
      <c r="X5" s="7"/>
      <c r="Y5" s="7"/>
    </row>
    <row r="6" spans="1:25" ht="15.75" customHeight="1">
      <c r="A6" s="8" t="s">
        <v>23</v>
      </c>
      <c r="B6" s="3"/>
      <c r="C6" s="3" t="s">
        <v>19</v>
      </c>
      <c r="D6" s="9" t="s">
        <v>19</v>
      </c>
      <c r="E6" s="9" t="s">
        <v>19</v>
      </c>
      <c r="F6" s="9" t="s">
        <v>19</v>
      </c>
      <c r="G6" s="12" t="s">
        <v>19</v>
      </c>
      <c r="H6" s="12" t="s">
        <v>19</v>
      </c>
      <c r="I6" s="12">
        <f t="shared" si="1"/>
        <v>2</v>
      </c>
      <c r="J6" s="12">
        <f t="shared" si="0"/>
        <v>2</v>
      </c>
      <c r="K6" s="12">
        <f t="shared" si="0"/>
        <v>2</v>
      </c>
      <c r="L6" s="12">
        <f t="shared" si="0"/>
        <v>2</v>
      </c>
      <c r="M6" s="12">
        <f t="shared" si="0"/>
        <v>2</v>
      </c>
      <c r="N6" s="6"/>
      <c r="O6" s="7"/>
      <c r="P6" s="7"/>
      <c r="Q6" s="7"/>
      <c r="R6" s="7"/>
      <c r="S6" s="7"/>
      <c r="T6" s="7"/>
      <c r="U6" s="7"/>
      <c r="V6" s="7"/>
      <c r="W6" s="7"/>
      <c r="X6" s="7"/>
      <c r="Y6" s="7"/>
    </row>
    <row r="7" spans="1:25" ht="15.75" customHeight="1">
      <c r="A7" s="8" t="s">
        <v>24</v>
      </c>
      <c r="B7" s="3"/>
      <c r="C7" s="3" t="s">
        <v>19</v>
      </c>
      <c r="D7" s="9" t="s">
        <v>19</v>
      </c>
      <c r="E7" s="9" t="s">
        <v>19</v>
      </c>
      <c r="F7" s="9" t="s">
        <v>19</v>
      </c>
      <c r="G7" s="14" t="s">
        <v>14</v>
      </c>
      <c r="H7" s="12" t="s">
        <v>19</v>
      </c>
      <c r="I7" s="12">
        <f t="shared" si="1"/>
        <v>2</v>
      </c>
      <c r="J7" s="12">
        <f t="shared" si="0"/>
        <v>2</v>
      </c>
      <c r="K7" s="12">
        <f t="shared" si="0"/>
        <v>2</v>
      </c>
      <c r="L7" s="12">
        <f t="shared" si="0"/>
        <v>0</v>
      </c>
      <c r="M7" s="12">
        <f t="shared" si="0"/>
        <v>2</v>
      </c>
      <c r="N7" s="6"/>
      <c r="O7" s="7"/>
      <c r="P7" s="7"/>
      <c r="Q7" s="7"/>
      <c r="R7" s="7"/>
      <c r="S7" s="7"/>
      <c r="T7" s="7"/>
      <c r="U7" s="7"/>
      <c r="V7" s="7"/>
      <c r="W7" s="7"/>
      <c r="X7" s="7"/>
      <c r="Y7" s="7"/>
    </row>
    <row r="8" spans="1:25" ht="15.75" customHeight="1">
      <c r="A8" s="8" t="s">
        <v>25</v>
      </c>
      <c r="B8" s="3"/>
      <c r="C8" s="3" t="s">
        <v>21</v>
      </c>
      <c r="D8" s="9" t="s">
        <v>21</v>
      </c>
      <c r="E8" s="9" t="s">
        <v>21</v>
      </c>
      <c r="F8" s="9" t="s">
        <v>21</v>
      </c>
      <c r="G8" s="12" t="s">
        <v>21</v>
      </c>
      <c r="H8" s="12" t="s">
        <v>21</v>
      </c>
      <c r="I8" s="12">
        <f t="shared" si="1"/>
        <v>2</v>
      </c>
      <c r="J8" s="12">
        <f t="shared" si="0"/>
        <v>2</v>
      </c>
      <c r="K8" s="12">
        <f t="shared" si="0"/>
        <v>2</v>
      </c>
      <c r="L8" s="12">
        <f t="shared" si="0"/>
        <v>2</v>
      </c>
      <c r="M8" s="12">
        <f t="shared" si="0"/>
        <v>2</v>
      </c>
      <c r="N8" s="6"/>
      <c r="O8" s="7"/>
      <c r="P8" s="7"/>
      <c r="Q8" s="7"/>
      <c r="R8" s="7"/>
      <c r="S8" s="7"/>
      <c r="T8" s="7"/>
      <c r="U8" s="7"/>
      <c r="V8" s="7"/>
    </row>
    <row r="9" spans="1:25" ht="15.75" customHeight="1">
      <c r="A9" s="8" t="s">
        <v>26</v>
      </c>
      <c r="B9" s="3"/>
      <c r="C9" s="3" t="s">
        <v>19</v>
      </c>
      <c r="D9" s="9" t="s">
        <v>19</v>
      </c>
      <c r="E9" s="9" t="s">
        <v>19</v>
      </c>
      <c r="F9" s="15" t="s">
        <v>19</v>
      </c>
      <c r="G9" s="16" t="s">
        <v>19</v>
      </c>
      <c r="H9" s="16" t="s">
        <v>19</v>
      </c>
      <c r="I9" s="12">
        <f t="shared" si="1"/>
        <v>2</v>
      </c>
      <c r="J9" s="12">
        <f t="shared" si="0"/>
        <v>2</v>
      </c>
      <c r="K9" s="12">
        <f t="shared" si="0"/>
        <v>2</v>
      </c>
      <c r="L9" s="12">
        <f t="shared" si="0"/>
        <v>2</v>
      </c>
      <c r="M9" s="12">
        <f t="shared" si="0"/>
        <v>2</v>
      </c>
      <c r="N9" s="7"/>
      <c r="O9" s="7"/>
      <c r="P9" s="7"/>
      <c r="Q9" s="7"/>
      <c r="R9" s="7"/>
      <c r="S9" s="7"/>
      <c r="T9" s="7"/>
      <c r="U9" s="7"/>
      <c r="V9" s="7"/>
    </row>
    <row r="10" spans="1:25" ht="15.75" customHeight="1">
      <c r="A10" s="17" t="s">
        <v>27</v>
      </c>
      <c r="B10" s="18"/>
      <c r="C10" s="18"/>
      <c r="D10" s="19"/>
      <c r="E10" s="19"/>
      <c r="F10" s="20"/>
      <c r="G10" s="21" t="s">
        <v>28</v>
      </c>
      <c r="H10" s="20"/>
      <c r="I10" s="19"/>
      <c r="J10" s="19"/>
      <c r="K10" s="19"/>
      <c r="L10" s="19"/>
      <c r="M10" s="19"/>
      <c r="N10" s="7"/>
      <c r="O10" s="7"/>
      <c r="P10" s="7"/>
      <c r="Q10" s="7"/>
      <c r="R10" s="7"/>
      <c r="S10" s="7"/>
      <c r="T10" s="7"/>
      <c r="U10" s="7"/>
      <c r="V10" s="7"/>
    </row>
    <row r="11" spans="1:25" ht="15.75" customHeight="1">
      <c r="A11" s="8" t="s">
        <v>29</v>
      </c>
      <c r="B11" s="3" t="s">
        <v>16</v>
      </c>
      <c r="C11" s="3" t="s">
        <v>19</v>
      </c>
      <c r="D11" s="9" t="s">
        <v>19</v>
      </c>
      <c r="E11" s="9" t="s">
        <v>19</v>
      </c>
      <c r="F11" s="15" t="s">
        <v>22</v>
      </c>
      <c r="G11" s="16" t="s">
        <v>19</v>
      </c>
      <c r="H11" s="16" t="s">
        <v>19</v>
      </c>
      <c r="I11" s="12">
        <f t="shared" ref="I11:I25" si="2">_xlfn.LET(
_xlpm.full,2,
_xlpm.ans,UPPER(SUBSTITUTE(SUBSTITUTE(SUBSTITUTE(SUBSTITUTE(SUBSTITUTE(SUBSTITUTE($C11&amp;"","，",""),",",""),"、","")," ",""),"　",""),CHAR(10),"")),
_xlpm.resp,UPPER(SUBSTITUTE(SUBSTITUTE(SUBSTITUTE(SUBSTITUTE(SUBSTITUTE(SUBSTITUTE(D11&amp;"","，",""),",",""),"、","")," ",""),"　",""),CHAR(10),"")),
IF(OR(_xlpm.resp="",LEN(_xlpm.resp)&lt;&gt;1),0,IF(_xlpm.resp=_xlpm.ans,_xlpm.full,0))
)</f>
        <v>2</v>
      </c>
      <c r="J11" s="12">
        <f t="shared" ref="J11:J25" si="3">_xlfn.LET(
_xlpm.full,2,
_xlpm.ans,UPPER(SUBSTITUTE(SUBSTITUTE(SUBSTITUTE(SUBSTITUTE(SUBSTITUTE(SUBSTITUTE($C11&amp;"","，",""),",",""),"、","")," ",""),"　",""),CHAR(10),"")),
_xlpm.resp,UPPER(SUBSTITUTE(SUBSTITUTE(SUBSTITUTE(SUBSTITUTE(SUBSTITUTE(SUBSTITUTE(E11&amp;"","，",""),",",""),"、","")," ",""),"　",""),CHAR(10),"")),
IF(OR(_xlpm.resp="",LEN(_xlpm.resp)&lt;&gt;1),0,IF(_xlpm.resp=_xlpm.ans,_xlpm.full,0))
)</f>
        <v>2</v>
      </c>
      <c r="K11" s="12">
        <f t="shared" ref="K11:K25" si="4">_xlfn.LET(
_xlpm.full,2,
_xlpm.ans,UPPER(SUBSTITUTE(SUBSTITUTE(SUBSTITUTE(SUBSTITUTE(SUBSTITUTE(SUBSTITUTE($C11&amp;"","，",""),",",""),"、","")," ",""),"　",""),CHAR(10),"")),
_xlpm.resp,UPPER(SUBSTITUTE(SUBSTITUTE(SUBSTITUTE(SUBSTITUTE(SUBSTITUTE(SUBSTITUTE(F11&amp;"","，",""),",",""),"、","")," ",""),"　",""),CHAR(10),"")),
IF(OR(_xlpm.resp="",LEN(_xlpm.resp)&lt;&gt;1),0,IF(_xlpm.resp=_xlpm.ans,_xlpm.full,0))
)</f>
        <v>0</v>
      </c>
      <c r="L11" s="12">
        <f t="shared" ref="L11:L25" si="5">_xlfn.LET(
_xlpm.full,2,
_xlpm.ans,UPPER(SUBSTITUTE(SUBSTITUTE(SUBSTITUTE(SUBSTITUTE(SUBSTITUTE(SUBSTITUTE($C11&amp;"","，",""),",",""),"、","")," ",""),"　",""),CHAR(10),"")),
_xlpm.resp,UPPER(SUBSTITUTE(SUBSTITUTE(SUBSTITUTE(SUBSTITUTE(SUBSTITUTE(SUBSTITUTE(G11&amp;"","，",""),",",""),"、","")," ",""),"　",""),CHAR(10),"")),
IF(OR(_xlpm.resp="",LEN(_xlpm.resp)&lt;&gt;1),0,IF(_xlpm.resp=_xlpm.ans,_xlpm.full,0))
)</f>
        <v>2</v>
      </c>
      <c r="M11" s="12">
        <f t="shared" ref="M11:M25" si="6">_xlfn.LET(
_xlpm.full,2,
_xlpm.ans,UPPER(SUBSTITUTE(SUBSTITUTE(SUBSTITUTE(SUBSTITUTE(SUBSTITUTE(SUBSTITUTE($C11&amp;"","，",""),",",""),"、","")," ",""),"　",""),CHAR(10),"")),
_xlpm.resp,UPPER(SUBSTITUTE(SUBSTITUTE(SUBSTITUTE(SUBSTITUTE(SUBSTITUTE(SUBSTITUTE(H11&amp;"","，",""),",",""),"、","")," ",""),"　",""),CHAR(10),"")),
IF(OR(_xlpm.resp="",LEN(_xlpm.resp)&lt;&gt;1),0,IF(_xlpm.resp=_xlpm.ans,_xlpm.full,0))
)</f>
        <v>2</v>
      </c>
      <c r="N11" s="7"/>
      <c r="O11" s="7"/>
      <c r="P11" s="7"/>
      <c r="Q11" s="7"/>
      <c r="R11" s="7"/>
      <c r="S11" s="7"/>
      <c r="T11" s="7"/>
      <c r="U11" s="7"/>
      <c r="V11" s="7"/>
    </row>
    <row r="12" spans="1:25" ht="15.75" customHeight="1">
      <c r="A12" s="8" t="s">
        <v>30</v>
      </c>
      <c r="B12" s="3" t="s">
        <v>16</v>
      </c>
      <c r="C12" s="3" t="s">
        <v>17</v>
      </c>
      <c r="D12" s="9" t="s">
        <v>17</v>
      </c>
      <c r="E12" s="9" t="s">
        <v>17</v>
      </c>
      <c r="F12" s="15" t="s">
        <v>17</v>
      </c>
      <c r="G12" s="16" t="s">
        <v>17</v>
      </c>
      <c r="H12" s="16" t="s">
        <v>17</v>
      </c>
      <c r="I12" s="12">
        <f t="shared" si="2"/>
        <v>2</v>
      </c>
      <c r="J12" s="12">
        <f t="shared" si="3"/>
        <v>2</v>
      </c>
      <c r="K12" s="12">
        <f t="shared" si="4"/>
        <v>2</v>
      </c>
      <c r="L12" s="12">
        <f t="shared" si="5"/>
        <v>2</v>
      </c>
      <c r="M12" s="12">
        <f t="shared" si="6"/>
        <v>2</v>
      </c>
      <c r="N12" s="7"/>
      <c r="O12" s="7"/>
      <c r="P12" s="7"/>
      <c r="Q12" s="7"/>
      <c r="R12" s="7"/>
      <c r="S12" s="7"/>
      <c r="T12" s="7"/>
      <c r="U12" s="7"/>
      <c r="V12" s="7"/>
    </row>
    <row r="13" spans="1:25" ht="15.75" customHeight="1">
      <c r="A13" s="8" t="s">
        <v>31</v>
      </c>
      <c r="B13" s="3" t="s">
        <v>16</v>
      </c>
      <c r="C13" s="3" t="s">
        <v>22</v>
      </c>
      <c r="D13" s="9" t="s">
        <v>22</v>
      </c>
      <c r="E13" s="9" t="s">
        <v>22</v>
      </c>
      <c r="F13" s="15" t="s">
        <v>22</v>
      </c>
      <c r="G13" s="16" t="s">
        <v>22</v>
      </c>
      <c r="H13" s="16" t="s">
        <v>22</v>
      </c>
      <c r="I13" s="12">
        <f t="shared" si="2"/>
        <v>2</v>
      </c>
      <c r="J13" s="12">
        <f t="shared" si="3"/>
        <v>2</v>
      </c>
      <c r="K13" s="12">
        <f t="shared" si="4"/>
        <v>2</v>
      </c>
      <c r="L13" s="12">
        <f t="shared" si="5"/>
        <v>2</v>
      </c>
      <c r="M13" s="12">
        <f t="shared" si="6"/>
        <v>2</v>
      </c>
      <c r="N13" s="7"/>
      <c r="O13" s="7"/>
      <c r="P13" s="7"/>
      <c r="Q13" s="7"/>
      <c r="R13" s="7"/>
      <c r="S13" s="7"/>
      <c r="T13" s="7"/>
      <c r="U13" s="7"/>
      <c r="V13" s="7"/>
    </row>
    <row r="14" spans="1:25" ht="15.75" customHeight="1">
      <c r="A14" s="8" t="s">
        <v>32</v>
      </c>
      <c r="B14" s="3"/>
      <c r="C14" s="3" t="s">
        <v>22</v>
      </c>
      <c r="D14" s="9" t="s">
        <v>22</v>
      </c>
      <c r="E14" s="9" t="s">
        <v>22</v>
      </c>
      <c r="F14" s="15" t="s">
        <v>22</v>
      </c>
      <c r="G14" s="16" t="s">
        <v>19</v>
      </c>
      <c r="H14" s="16" t="s">
        <v>22</v>
      </c>
      <c r="I14" s="12">
        <f t="shared" si="2"/>
        <v>2</v>
      </c>
      <c r="J14" s="12">
        <f t="shared" si="3"/>
        <v>2</v>
      </c>
      <c r="K14" s="12">
        <f t="shared" si="4"/>
        <v>2</v>
      </c>
      <c r="L14" s="12">
        <f t="shared" si="5"/>
        <v>0</v>
      </c>
      <c r="M14" s="12">
        <f t="shared" si="6"/>
        <v>2</v>
      </c>
      <c r="N14" s="7"/>
      <c r="O14" s="7"/>
      <c r="P14" s="7"/>
      <c r="Q14" s="7"/>
      <c r="R14" s="7"/>
      <c r="S14" s="7"/>
      <c r="T14" s="7"/>
      <c r="U14" s="7"/>
      <c r="V14" s="7"/>
    </row>
    <row r="15" spans="1:25" ht="15.75" customHeight="1">
      <c r="A15" s="8" t="s">
        <v>33</v>
      </c>
      <c r="B15" s="3" t="s">
        <v>34</v>
      </c>
      <c r="C15" s="3" t="s">
        <v>22</v>
      </c>
      <c r="D15" s="9" t="s">
        <v>22</v>
      </c>
      <c r="E15" s="9" t="s">
        <v>22</v>
      </c>
      <c r="F15" s="15" t="s">
        <v>22</v>
      </c>
      <c r="G15" s="16" t="s">
        <v>22</v>
      </c>
      <c r="H15" s="16" t="s">
        <v>22</v>
      </c>
      <c r="I15" s="12">
        <f t="shared" si="2"/>
        <v>2</v>
      </c>
      <c r="J15" s="12">
        <f t="shared" si="3"/>
        <v>2</v>
      </c>
      <c r="K15" s="12">
        <f t="shared" si="4"/>
        <v>2</v>
      </c>
      <c r="L15" s="12">
        <f t="shared" si="5"/>
        <v>2</v>
      </c>
      <c r="M15" s="12">
        <f t="shared" si="6"/>
        <v>2</v>
      </c>
      <c r="N15" s="7"/>
      <c r="O15" s="7"/>
      <c r="P15" s="7"/>
      <c r="Q15" s="7"/>
      <c r="R15" s="7"/>
      <c r="S15" s="7"/>
      <c r="T15" s="7"/>
      <c r="U15" s="7"/>
      <c r="V15" s="7"/>
    </row>
    <row r="16" spans="1:25" ht="15.75" customHeight="1">
      <c r="A16" s="8" t="s">
        <v>35</v>
      </c>
      <c r="B16" s="3"/>
      <c r="C16" s="3" t="s">
        <v>19</v>
      </c>
      <c r="D16" s="9" t="s">
        <v>19</v>
      </c>
      <c r="E16" s="9" t="s">
        <v>19</v>
      </c>
      <c r="F16" s="15" t="s">
        <v>19</v>
      </c>
      <c r="G16" s="16" t="s">
        <v>19</v>
      </c>
      <c r="H16" s="16" t="s">
        <v>19</v>
      </c>
      <c r="I16" s="12">
        <f t="shared" si="2"/>
        <v>2</v>
      </c>
      <c r="J16" s="12">
        <f t="shared" si="3"/>
        <v>2</v>
      </c>
      <c r="K16" s="12">
        <f t="shared" si="4"/>
        <v>2</v>
      </c>
      <c r="L16" s="12">
        <f t="shared" si="5"/>
        <v>2</v>
      </c>
      <c r="M16" s="12">
        <f t="shared" si="6"/>
        <v>2</v>
      </c>
      <c r="N16" s="7"/>
      <c r="O16" s="7"/>
      <c r="P16" s="7"/>
      <c r="Q16" s="7"/>
      <c r="R16" s="7"/>
      <c r="S16" s="7"/>
      <c r="T16" s="7"/>
      <c r="U16" s="7"/>
      <c r="V16" s="7"/>
    </row>
    <row r="17" spans="1:25" ht="15.75" customHeight="1">
      <c r="A17" s="8" t="s">
        <v>36</v>
      </c>
      <c r="B17" s="3"/>
      <c r="C17" s="3" t="s">
        <v>17</v>
      </c>
      <c r="D17" s="10" t="s">
        <v>17</v>
      </c>
      <c r="E17" s="10" t="s">
        <v>17</v>
      </c>
      <c r="F17" s="15" t="s">
        <v>19</v>
      </c>
      <c r="G17" s="16" t="s">
        <v>17</v>
      </c>
      <c r="H17" s="16" t="s">
        <v>17</v>
      </c>
      <c r="I17" s="12">
        <f t="shared" si="2"/>
        <v>2</v>
      </c>
      <c r="J17" s="12">
        <f t="shared" si="3"/>
        <v>2</v>
      </c>
      <c r="K17" s="12">
        <f t="shared" si="4"/>
        <v>0</v>
      </c>
      <c r="L17" s="12">
        <f t="shared" si="5"/>
        <v>2</v>
      </c>
      <c r="M17" s="12">
        <f t="shared" si="6"/>
        <v>2</v>
      </c>
      <c r="N17" s="7"/>
      <c r="O17" s="7"/>
      <c r="P17" s="7"/>
      <c r="Q17" s="7"/>
      <c r="R17" s="7"/>
      <c r="S17" s="7"/>
      <c r="T17" s="7"/>
      <c r="U17" s="7"/>
      <c r="V17" s="7"/>
    </row>
    <row r="18" spans="1:25" ht="15.75" customHeight="1">
      <c r="A18" s="8" t="s">
        <v>37</v>
      </c>
      <c r="B18" s="3"/>
      <c r="C18" s="3" t="s">
        <v>19</v>
      </c>
      <c r="D18" s="10" t="s">
        <v>19</v>
      </c>
      <c r="E18" s="10" t="s">
        <v>19</v>
      </c>
      <c r="F18" s="15" t="s">
        <v>19</v>
      </c>
      <c r="G18" s="16" t="s">
        <v>19</v>
      </c>
      <c r="H18" s="16" t="s">
        <v>19</v>
      </c>
      <c r="I18" s="12">
        <f t="shared" si="2"/>
        <v>2</v>
      </c>
      <c r="J18" s="12">
        <f t="shared" si="3"/>
        <v>2</v>
      </c>
      <c r="K18" s="12">
        <f t="shared" si="4"/>
        <v>2</v>
      </c>
      <c r="L18" s="12">
        <f t="shared" si="5"/>
        <v>2</v>
      </c>
      <c r="M18" s="12">
        <f t="shared" si="6"/>
        <v>2</v>
      </c>
      <c r="N18" s="7"/>
      <c r="O18" s="7"/>
      <c r="P18" s="7"/>
      <c r="Q18" s="7"/>
      <c r="R18" s="7"/>
      <c r="S18" s="7"/>
      <c r="T18" s="7"/>
      <c r="U18" s="7"/>
      <c r="V18" s="7"/>
      <c r="W18" s="7"/>
      <c r="X18" s="7"/>
      <c r="Y18" s="7"/>
    </row>
    <row r="19" spans="1:25" ht="15.75" customHeight="1">
      <c r="A19" s="8" t="s">
        <v>38</v>
      </c>
      <c r="B19" s="3"/>
      <c r="C19" s="3" t="s">
        <v>14</v>
      </c>
      <c r="D19" s="10" t="s">
        <v>14</v>
      </c>
      <c r="E19" s="10" t="s">
        <v>14</v>
      </c>
      <c r="F19" s="10" t="s">
        <v>14</v>
      </c>
      <c r="G19" s="11" t="s">
        <v>14</v>
      </c>
      <c r="H19" s="11" t="s">
        <v>14</v>
      </c>
      <c r="I19" s="12">
        <f t="shared" si="2"/>
        <v>2</v>
      </c>
      <c r="J19" s="12">
        <f t="shared" si="3"/>
        <v>2</v>
      </c>
      <c r="K19" s="12">
        <f t="shared" si="4"/>
        <v>2</v>
      </c>
      <c r="L19" s="12">
        <f t="shared" si="5"/>
        <v>2</v>
      </c>
      <c r="M19" s="12">
        <f t="shared" si="6"/>
        <v>2</v>
      </c>
      <c r="N19" s="6"/>
      <c r="O19" s="7"/>
      <c r="P19" s="7"/>
      <c r="Q19" s="7"/>
      <c r="R19" s="7"/>
      <c r="S19" s="7"/>
      <c r="T19" s="7"/>
      <c r="U19" s="7"/>
      <c r="V19" s="7"/>
      <c r="W19" s="7"/>
      <c r="X19" s="7"/>
      <c r="Y19" s="7"/>
    </row>
    <row r="20" spans="1:25" ht="15.75" customHeight="1">
      <c r="A20" s="8" t="s">
        <v>39</v>
      </c>
      <c r="B20" s="3"/>
      <c r="C20" s="3" t="s">
        <v>19</v>
      </c>
      <c r="D20" s="10" t="s">
        <v>14</v>
      </c>
      <c r="E20" s="10" t="s">
        <v>19</v>
      </c>
      <c r="F20" s="10" t="s">
        <v>19</v>
      </c>
      <c r="G20" s="11" t="s">
        <v>19</v>
      </c>
      <c r="H20" s="11" t="s">
        <v>19</v>
      </c>
      <c r="I20" s="12">
        <f t="shared" si="2"/>
        <v>0</v>
      </c>
      <c r="J20" s="12">
        <f t="shared" si="3"/>
        <v>2</v>
      </c>
      <c r="K20" s="12">
        <f t="shared" si="4"/>
        <v>2</v>
      </c>
      <c r="L20" s="12">
        <f t="shared" si="5"/>
        <v>2</v>
      </c>
      <c r="M20" s="12">
        <f t="shared" si="6"/>
        <v>2</v>
      </c>
      <c r="N20" s="6"/>
      <c r="O20" s="7"/>
      <c r="P20" s="7"/>
      <c r="Q20" s="7"/>
      <c r="R20" s="7"/>
      <c r="S20" s="7"/>
      <c r="T20" s="7"/>
      <c r="U20" s="7"/>
      <c r="V20" s="7"/>
      <c r="W20" s="7"/>
      <c r="X20" s="7"/>
      <c r="Y20" s="7"/>
    </row>
    <row r="21" spans="1:25" ht="15.75" customHeight="1">
      <c r="A21" s="8" t="s">
        <v>40</v>
      </c>
      <c r="B21" s="3"/>
      <c r="C21" s="3" t="s">
        <v>19</v>
      </c>
      <c r="D21" s="10" t="s">
        <v>19</v>
      </c>
      <c r="E21" s="10" t="s">
        <v>19</v>
      </c>
      <c r="F21" s="10" t="s">
        <v>19</v>
      </c>
      <c r="G21" s="11" t="s">
        <v>19</v>
      </c>
      <c r="H21" s="11" t="s">
        <v>19</v>
      </c>
      <c r="I21" s="12">
        <f t="shared" si="2"/>
        <v>2</v>
      </c>
      <c r="J21" s="12">
        <f t="shared" si="3"/>
        <v>2</v>
      </c>
      <c r="K21" s="12">
        <f t="shared" si="4"/>
        <v>2</v>
      </c>
      <c r="L21" s="12">
        <f t="shared" si="5"/>
        <v>2</v>
      </c>
      <c r="M21" s="12">
        <f t="shared" si="6"/>
        <v>2</v>
      </c>
      <c r="N21" s="6"/>
      <c r="O21" s="7"/>
      <c r="P21" s="7"/>
      <c r="Q21" s="7"/>
      <c r="R21" s="7"/>
      <c r="S21" s="7"/>
      <c r="T21" s="7"/>
      <c r="U21" s="7"/>
      <c r="V21" s="7"/>
      <c r="W21" s="7"/>
      <c r="X21" s="7"/>
      <c r="Y21" s="7"/>
    </row>
    <row r="22" spans="1:25" ht="15.75" customHeight="1">
      <c r="A22" s="8" t="s">
        <v>41</v>
      </c>
      <c r="B22" s="3" t="s">
        <v>16</v>
      </c>
      <c r="C22" s="3" t="s">
        <v>22</v>
      </c>
      <c r="D22" s="10" t="s">
        <v>19</v>
      </c>
      <c r="E22" s="10" t="s">
        <v>22</v>
      </c>
      <c r="F22" s="10" t="s">
        <v>19</v>
      </c>
      <c r="G22" s="11" t="s">
        <v>22</v>
      </c>
      <c r="H22" s="11" t="s">
        <v>22</v>
      </c>
      <c r="I22" s="12">
        <f t="shared" si="2"/>
        <v>0</v>
      </c>
      <c r="J22" s="12">
        <f t="shared" si="3"/>
        <v>2</v>
      </c>
      <c r="K22" s="12">
        <f t="shared" si="4"/>
        <v>0</v>
      </c>
      <c r="L22" s="12">
        <f t="shared" si="5"/>
        <v>2</v>
      </c>
      <c r="M22" s="12">
        <f t="shared" si="6"/>
        <v>2</v>
      </c>
      <c r="N22" s="6"/>
      <c r="O22" s="7"/>
      <c r="P22" s="7"/>
      <c r="Q22" s="7"/>
      <c r="R22" s="7"/>
      <c r="S22" s="7"/>
      <c r="T22" s="7"/>
      <c r="U22" s="7"/>
      <c r="V22" s="7"/>
      <c r="W22" s="7"/>
      <c r="X22" s="7"/>
      <c r="Y22" s="7"/>
    </row>
    <row r="23" spans="1:25" ht="15.75" customHeight="1">
      <c r="A23" s="8" t="s">
        <v>42</v>
      </c>
      <c r="B23" s="3"/>
      <c r="C23" s="3" t="s">
        <v>17</v>
      </c>
      <c r="D23" s="10" t="s">
        <v>14</v>
      </c>
      <c r="E23" s="10" t="s">
        <v>14</v>
      </c>
      <c r="F23" s="10" t="s">
        <v>14</v>
      </c>
      <c r="G23" s="10" t="s">
        <v>14</v>
      </c>
      <c r="H23" s="11" t="s">
        <v>17</v>
      </c>
      <c r="I23" s="12">
        <f t="shared" si="2"/>
        <v>0</v>
      </c>
      <c r="J23" s="12">
        <f t="shared" si="3"/>
        <v>0</v>
      </c>
      <c r="K23" s="12">
        <f t="shared" si="4"/>
        <v>0</v>
      </c>
      <c r="L23" s="12">
        <f t="shared" si="5"/>
        <v>0</v>
      </c>
      <c r="M23" s="12">
        <f t="shared" si="6"/>
        <v>2</v>
      </c>
      <c r="N23" s="13"/>
      <c r="O23" s="7"/>
      <c r="P23" s="7"/>
      <c r="Q23" s="7"/>
      <c r="R23" s="7"/>
      <c r="S23" s="7"/>
      <c r="T23" s="7"/>
      <c r="U23" s="7"/>
      <c r="V23" s="7"/>
      <c r="W23" s="7"/>
      <c r="X23" s="7"/>
      <c r="Y23" s="7"/>
    </row>
    <row r="24" spans="1:25" ht="15.75" customHeight="1">
      <c r="A24" s="8" t="s">
        <v>43</v>
      </c>
      <c r="B24" s="3" t="s">
        <v>16</v>
      </c>
      <c r="C24" s="3" t="s">
        <v>19</v>
      </c>
      <c r="D24" s="10" t="s">
        <v>19</v>
      </c>
      <c r="E24" s="10" t="s">
        <v>19</v>
      </c>
      <c r="F24" s="10" t="s">
        <v>19</v>
      </c>
      <c r="G24" s="10" t="s">
        <v>19</v>
      </c>
      <c r="H24" s="11" t="s">
        <v>19</v>
      </c>
      <c r="I24" s="12">
        <f t="shared" si="2"/>
        <v>2</v>
      </c>
      <c r="J24" s="12">
        <f t="shared" si="3"/>
        <v>2</v>
      </c>
      <c r="K24" s="12">
        <f t="shared" si="4"/>
        <v>2</v>
      </c>
      <c r="L24" s="12">
        <f t="shared" si="5"/>
        <v>2</v>
      </c>
      <c r="M24" s="12">
        <f t="shared" si="6"/>
        <v>2</v>
      </c>
      <c r="N24" s="13"/>
      <c r="O24" s="7"/>
      <c r="P24" s="7"/>
      <c r="Q24" s="7"/>
      <c r="R24" s="7"/>
      <c r="S24" s="7"/>
      <c r="T24" s="7"/>
      <c r="U24" s="7"/>
      <c r="V24" s="7"/>
      <c r="W24" s="7"/>
      <c r="X24" s="7"/>
      <c r="Y24" s="7"/>
    </row>
    <row r="25" spans="1:25" ht="15.75" customHeight="1">
      <c r="A25" s="8" t="s">
        <v>44</v>
      </c>
      <c r="B25" s="3" t="s">
        <v>34</v>
      </c>
      <c r="C25" s="3" t="s">
        <v>17</v>
      </c>
      <c r="D25" s="10" t="s">
        <v>22</v>
      </c>
      <c r="E25" s="10" t="s">
        <v>14</v>
      </c>
      <c r="F25" s="10" t="s">
        <v>22</v>
      </c>
      <c r="G25" s="10" t="s">
        <v>22</v>
      </c>
      <c r="H25" s="11" t="s">
        <v>21</v>
      </c>
      <c r="I25" s="12">
        <f t="shared" si="2"/>
        <v>0</v>
      </c>
      <c r="J25" s="12">
        <f t="shared" si="3"/>
        <v>0</v>
      </c>
      <c r="K25" s="12">
        <f t="shared" si="4"/>
        <v>0</v>
      </c>
      <c r="L25" s="12">
        <f t="shared" si="5"/>
        <v>0</v>
      </c>
      <c r="M25" s="12">
        <f t="shared" si="6"/>
        <v>0</v>
      </c>
      <c r="N25" s="13"/>
      <c r="O25" s="7"/>
      <c r="P25" s="7"/>
      <c r="Q25" s="7"/>
      <c r="R25" s="7"/>
      <c r="S25" s="7"/>
      <c r="T25" s="7"/>
      <c r="U25" s="7"/>
      <c r="V25" s="7"/>
      <c r="W25" s="7"/>
      <c r="X25" s="7"/>
      <c r="Y25" s="7"/>
    </row>
    <row r="26" spans="1:25" ht="15.75" customHeight="1">
      <c r="A26" s="8" t="s">
        <v>45</v>
      </c>
      <c r="B26" s="3"/>
      <c r="C26" s="3" t="s">
        <v>46</v>
      </c>
      <c r="D26" s="10" t="s">
        <v>46</v>
      </c>
      <c r="E26" s="10" t="s">
        <v>46</v>
      </c>
      <c r="F26" s="10" t="s">
        <v>46</v>
      </c>
      <c r="G26" s="10" t="s">
        <v>46</v>
      </c>
      <c r="H26" s="11" t="s">
        <v>46</v>
      </c>
      <c r="I26" s="22">
        <f>_xlfn.LET(
_xlpm.full,2,
_xlpm.ans0,$C26&amp;"",
_xlpm.resp0,D26&amp;"",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J26" s="22">
        <f t="shared" ref="J26:M38" si="7">_xlfn.LET(
_xlpm.full,2,
_xlpm.ans0,$C26&amp;"",
_xlpm.resp0,E26&amp;"",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K26" s="22">
        <f t="shared" si="7"/>
        <v>2</v>
      </c>
      <c r="L26" s="22">
        <f t="shared" si="7"/>
        <v>2</v>
      </c>
      <c r="M26" s="22">
        <f t="shared" si="7"/>
        <v>2</v>
      </c>
      <c r="N26" s="13"/>
      <c r="O26" s="7"/>
      <c r="P26" s="7"/>
      <c r="Q26" s="7"/>
      <c r="R26" s="7"/>
      <c r="S26" s="7"/>
      <c r="T26" s="7"/>
      <c r="U26" s="7"/>
      <c r="V26" s="7"/>
      <c r="W26" s="7"/>
      <c r="X26" s="7"/>
      <c r="Y26" s="7"/>
    </row>
    <row r="27" spans="1:25" ht="15.75" customHeight="1">
      <c r="A27" s="8" t="s">
        <v>47</v>
      </c>
      <c r="B27" s="3" t="s">
        <v>34</v>
      </c>
      <c r="C27" s="3" t="s">
        <v>48</v>
      </c>
      <c r="D27" s="10" t="s">
        <v>48</v>
      </c>
      <c r="E27" s="10" t="s">
        <v>19</v>
      </c>
      <c r="F27" s="10" t="s">
        <v>19</v>
      </c>
      <c r="G27" s="11" t="s">
        <v>48</v>
      </c>
      <c r="H27" s="11" t="s">
        <v>48</v>
      </c>
      <c r="I27" s="22">
        <f t="shared" ref="I27:I38" si="8">_xlfn.LET(
_xlpm.full,2,
_xlpm.ans0,$C27&amp;"",
_xlpm.resp0,D27&amp;"",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J27" s="22">
        <f t="shared" si="7"/>
        <v>1.2</v>
      </c>
      <c r="K27" s="22">
        <f t="shared" si="7"/>
        <v>1.2</v>
      </c>
      <c r="L27" s="22">
        <f t="shared" si="7"/>
        <v>2</v>
      </c>
      <c r="M27" s="22">
        <f t="shared" si="7"/>
        <v>2</v>
      </c>
      <c r="N27" s="13"/>
      <c r="O27" s="7"/>
      <c r="P27" s="7"/>
      <c r="Q27" s="7"/>
      <c r="R27" s="7"/>
      <c r="S27" s="7"/>
      <c r="T27" s="7"/>
      <c r="U27" s="7"/>
      <c r="V27" s="7"/>
      <c r="W27" s="7"/>
      <c r="X27" s="7"/>
      <c r="Y27" s="7"/>
    </row>
    <row r="28" spans="1:25" ht="15.75" customHeight="1">
      <c r="A28" s="8" t="s">
        <v>49</v>
      </c>
      <c r="B28" s="3"/>
      <c r="C28" s="3" t="s">
        <v>50</v>
      </c>
      <c r="D28" s="10" t="s">
        <v>50</v>
      </c>
      <c r="E28" s="10" t="s">
        <v>50</v>
      </c>
      <c r="F28" s="10" t="s">
        <v>50</v>
      </c>
      <c r="G28" s="11" t="s">
        <v>50</v>
      </c>
      <c r="H28" s="11" t="s">
        <v>50</v>
      </c>
      <c r="I28" s="22">
        <f t="shared" si="8"/>
        <v>2</v>
      </c>
      <c r="J28" s="22">
        <f t="shared" si="7"/>
        <v>2</v>
      </c>
      <c r="K28" s="22">
        <f t="shared" si="7"/>
        <v>2</v>
      </c>
      <c r="L28" s="22">
        <f t="shared" si="7"/>
        <v>2</v>
      </c>
      <c r="M28" s="22">
        <f t="shared" si="7"/>
        <v>2</v>
      </c>
      <c r="N28" s="13"/>
      <c r="O28" s="7"/>
      <c r="P28" s="7"/>
      <c r="Q28" s="7"/>
      <c r="R28" s="7"/>
      <c r="S28" s="7"/>
      <c r="T28" s="7"/>
      <c r="U28" s="7"/>
      <c r="V28" s="7"/>
      <c r="W28" s="7"/>
      <c r="X28" s="7"/>
      <c r="Y28" s="7"/>
    </row>
    <row r="29" spans="1:25" ht="15.75" customHeight="1">
      <c r="A29" s="8" t="s">
        <v>51</v>
      </c>
      <c r="B29" s="3" t="s">
        <v>16</v>
      </c>
      <c r="C29" s="3" t="s">
        <v>52</v>
      </c>
      <c r="D29" s="10" t="s">
        <v>53</v>
      </c>
      <c r="E29" s="10" t="s">
        <v>53</v>
      </c>
      <c r="F29" s="10" t="s">
        <v>54</v>
      </c>
      <c r="G29" s="11" t="s">
        <v>55</v>
      </c>
      <c r="H29" s="11" t="s">
        <v>53</v>
      </c>
      <c r="I29" s="22">
        <f t="shared" si="8"/>
        <v>0.4</v>
      </c>
      <c r="J29" s="22">
        <f t="shared" si="7"/>
        <v>0.4</v>
      </c>
      <c r="K29" s="22">
        <f t="shared" si="7"/>
        <v>0.4</v>
      </c>
      <c r="L29" s="22">
        <f t="shared" si="7"/>
        <v>0</v>
      </c>
      <c r="M29" s="22">
        <f t="shared" si="7"/>
        <v>0.4</v>
      </c>
      <c r="N29" s="13"/>
      <c r="O29" s="7"/>
      <c r="P29" s="7"/>
      <c r="Q29" s="7"/>
      <c r="R29" s="7"/>
      <c r="S29" s="7"/>
      <c r="T29" s="7"/>
      <c r="U29" s="7"/>
      <c r="V29" s="7"/>
      <c r="W29" s="7"/>
      <c r="X29" s="7"/>
      <c r="Y29" s="7"/>
    </row>
    <row r="30" spans="1:25" ht="15.75" customHeight="1">
      <c r="A30" s="8" t="s">
        <v>56</v>
      </c>
      <c r="B30" s="3"/>
      <c r="C30" s="3" t="s">
        <v>57</v>
      </c>
      <c r="D30" s="10" t="s">
        <v>58</v>
      </c>
      <c r="E30" s="10" t="s">
        <v>57</v>
      </c>
      <c r="F30" s="10" t="s">
        <v>57</v>
      </c>
      <c r="G30" s="11" t="s">
        <v>19</v>
      </c>
      <c r="H30" s="11" t="s">
        <v>57</v>
      </c>
      <c r="I30" s="22">
        <f t="shared" si="8"/>
        <v>0.4</v>
      </c>
      <c r="J30" s="22">
        <f t="shared" si="7"/>
        <v>2</v>
      </c>
      <c r="K30" s="22">
        <f t="shared" si="7"/>
        <v>2</v>
      </c>
      <c r="L30" s="22">
        <f t="shared" si="7"/>
        <v>1.2</v>
      </c>
      <c r="M30" s="22">
        <f t="shared" si="7"/>
        <v>2</v>
      </c>
      <c r="N30" s="13"/>
      <c r="O30" s="7"/>
      <c r="P30" s="7"/>
      <c r="Q30" s="7"/>
      <c r="R30" s="7"/>
      <c r="S30" s="7"/>
      <c r="T30" s="7"/>
      <c r="U30" s="7"/>
      <c r="V30" s="7"/>
      <c r="W30" s="7"/>
      <c r="X30" s="7"/>
      <c r="Y30" s="7"/>
    </row>
    <row r="31" spans="1:25" ht="15.75" customHeight="1">
      <c r="A31" s="8" t="s">
        <v>59</v>
      </c>
      <c r="B31" s="3"/>
      <c r="C31" s="3" t="s">
        <v>60</v>
      </c>
      <c r="D31" s="10" t="s">
        <v>60</v>
      </c>
      <c r="E31" s="10" t="s">
        <v>60</v>
      </c>
      <c r="F31" s="10" t="s">
        <v>60</v>
      </c>
      <c r="G31" s="11" t="s">
        <v>60</v>
      </c>
      <c r="H31" s="11" t="s">
        <v>60</v>
      </c>
      <c r="I31" s="22">
        <f t="shared" si="8"/>
        <v>2</v>
      </c>
      <c r="J31" s="22">
        <f t="shared" si="7"/>
        <v>2</v>
      </c>
      <c r="K31" s="22">
        <f t="shared" si="7"/>
        <v>2</v>
      </c>
      <c r="L31" s="22">
        <f t="shared" si="7"/>
        <v>2</v>
      </c>
      <c r="M31" s="22">
        <f t="shared" si="7"/>
        <v>2</v>
      </c>
      <c r="N31" s="13"/>
      <c r="O31" s="7"/>
      <c r="P31" s="7"/>
      <c r="Q31" s="7"/>
      <c r="R31" s="7"/>
      <c r="S31" s="7"/>
      <c r="T31" s="7"/>
      <c r="U31" s="7"/>
      <c r="V31" s="7"/>
      <c r="W31" s="7"/>
      <c r="X31" s="7"/>
      <c r="Y31" s="7"/>
    </row>
    <row r="32" spans="1:25" ht="15.75" customHeight="1">
      <c r="A32" s="8" t="s">
        <v>61</v>
      </c>
      <c r="B32" s="3" t="s">
        <v>16</v>
      </c>
      <c r="C32" s="3" t="s">
        <v>54</v>
      </c>
      <c r="D32" s="10" t="s">
        <v>54</v>
      </c>
      <c r="E32" s="10" t="s">
        <v>54</v>
      </c>
      <c r="F32" s="10" t="s">
        <v>54</v>
      </c>
      <c r="G32" s="11" t="s">
        <v>54</v>
      </c>
      <c r="H32" s="11" t="s">
        <v>54</v>
      </c>
      <c r="I32" s="22">
        <f t="shared" si="8"/>
        <v>2</v>
      </c>
      <c r="J32" s="22">
        <f t="shared" si="7"/>
        <v>2</v>
      </c>
      <c r="K32" s="22">
        <f t="shared" si="7"/>
        <v>2</v>
      </c>
      <c r="L32" s="22">
        <f t="shared" si="7"/>
        <v>2</v>
      </c>
      <c r="M32" s="22">
        <f t="shared" si="7"/>
        <v>2</v>
      </c>
      <c r="N32" s="13"/>
      <c r="O32" s="7"/>
      <c r="P32" s="7"/>
      <c r="Q32" s="7"/>
      <c r="R32" s="7"/>
      <c r="S32" s="7"/>
      <c r="T32" s="7"/>
      <c r="U32" s="7"/>
      <c r="V32" s="7"/>
      <c r="W32" s="7"/>
      <c r="X32" s="7"/>
      <c r="Y32" s="7"/>
    </row>
    <row r="33" spans="1:25" ht="15.75" customHeight="1">
      <c r="A33" s="8" t="s">
        <v>62</v>
      </c>
      <c r="B33" s="3"/>
      <c r="C33" s="3" t="s">
        <v>57</v>
      </c>
      <c r="D33" s="10" t="s">
        <v>57</v>
      </c>
      <c r="E33" s="10" t="s">
        <v>57</v>
      </c>
      <c r="F33" s="10" t="s">
        <v>57</v>
      </c>
      <c r="G33" s="11" t="s">
        <v>57</v>
      </c>
      <c r="H33" s="11" t="s">
        <v>57</v>
      </c>
      <c r="I33" s="22">
        <f t="shared" si="8"/>
        <v>2</v>
      </c>
      <c r="J33" s="22">
        <f t="shared" si="7"/>
        <v>2</v>
      </c>
      <c r="K33" s="22">
        <f t="shared" si="7"/>
        <v>2</v>
      </c>
      <c r="L33" s="22">
        <f t="shared" si="7"/>
        <v>2</v>
      </c>
      <c r="M33" s="22">
        <f t="shared" si="7"/>
        <v>2</v>
      </c>
      <c r="N33" s="13"/>
      <c r="O33" s="7"/>
      <c r="P33" s="7"/>
      <c r="Q33" s="7"/>
      <c r="R33" s="7"/>
      <c r="S33" s="7"/>
      <c r="T33" s="7"/>
      <c r="U33" s="7"/>
      <c r="V33" s="7"/>
      <c r="W33" s="7"/>
      <c r="X33" s="7"/>
      <c r="Y33" s="7"/>
    </row>
    <row r="34" spans="1:25" ht="15.75" customHeight="1">
      <c r="A34" s="8" t="s">
        <v>63</v>
      </c>
      <c r="B34" s="3"/>
      <c r="C34" s="3" t="s">
        <v>64</v>
      </c>
      <c r="D34" s="10" t="s">
        <v>64</v>
      </c>
      <c r="E34" s="10" t="s">
        <v>64</v>
      </c>
      <c r="F34" s="10" t="s">
        <v>64</v>
      </c>
      <c r="G34" s="11" t="s">
        <v>64</v>
      </c>
      <c r="H34" s="11" t="s">
        <v>64</v>
      </c>
      <c r="I34" s="22">
        <f t="shared" si="8"/>
        <v>2</v>
      </c>
      <c r="J34" s="22">
        <f t="shared" si="7"/>
        <v>2</v>
      </c>
      <c r="K34" s="22">
        <f t="shared" si="7"/>
        <v>2</v>
      </c>
      <c r="L34" s="22">
        <f t="shared" si="7"/>
        <v>2</v>
      </c>
      <c r="M34" s="22">
        <f t="shared" si="7"/>
        <v>2</v>
      </c>
      <c r="N34" s="13"/>
      <c r="O34" s="7"/>
      <c r="P34" s="7"/>
      <c r="Q34" s="7"/>
      <c r="R34" s="7"/>
      <c r="S34" s="7"/>
      <c r="T34" s="7"/>
      <c r="U34" s="7"/>
      <c r="V34" s="7"/>
      <c r="W34" s="7"/>
      <c r="X34" s="7"/>
      <c r="Y34" s="7"/>
    </row>
    <row r="35" spans="1:25" ht="15.75" customHeight="1">
      <c r="A35" s="8" t="s">
        <v>65</v>
      </c>
      <c r="B35" s="3"/>
      <c r="C35" s="3" t="s">
        <v>53</v>
      </c>
      <c r="D35" s="10" t="s">
        <v>53</v>
      </c>
      <c r="E35" s="10" t="s">
        <v>53</v>
      </c>
      <c r="F35" s="10" t="s">
        <v>53</v>
      </c>
      <c r="G35" s="11" t="s">
        <v>53</v>
      </c>
      <c r="H35" s="11" t="s">
        <v>53</v>
      </c>
      <c r="I35" s="22">
        <f t="shared" si="8"/>
        <v>2</v>
      </c>
      <c r="J35" s="22">
        <f t="shared" si="7"/>
        <v>2</v>
      </c>
      <c r="K35" s="22">
        <f t="shared" si="7"/>
        <v>2</v>
      </c>
      <c r="L35" s="22">
        <f t="shared" si="7"/>
        <v>2</v>
      </c>
      <c r="M35" s="22">
        <f t="shared" si="7"/>
        <v>2</v>
      </c>
      <c r="N35" s="13"/>
      <c r="O35" s="7"/>
      <c r="P35" s="7"/>
      <c r="Q35" s="7"/>
      <c r="R35" s="7"/>
      <c r="S35" s="7"/>
      <c r="T35" s="7"/>
      <c r="U35" s="7"/>
      <c r="V35" s="7"/>
      <c r="W35" s="7"/>
      <c r="X35" s="7"/>
      <c r="Y35" s="7"/>
    </row>
    <row r="36" spans="1:25" ht="15.75" customHeight="1">
      <c r="A36" s="8" t="s">
        <v>66</v>
      </c>
      <c r="B36" s="3"/>
      <c r="C36" s="3" t="s">
        <v>60</v>
      </c>
      <c r="D36" s="10" t="s">
        <v>60</v>
      </c>
      <c r="E36" s="10" t="s">
        <v>60</v>
      </c>
      <c r="F36" s="10" t="s">
        <v>60</v>
      </c>
      <c r="G36" s="11" t="s">
        <v>60</v>
      </c>
      <c r="H36" s="11" t="s">
        <v>60</v>
      </c>
      <c r="I36" s="22">
        <f t="shared" si="8"/>
        <v>2</v>
      </c>
      <c r="J36" s="22">
        <f t="shared" si="7"/>
        <v>2</v>
      </c>
      <c r="K36" s="22">
        <f t="shared" si="7"/>
        <v>2</v>
      </c>
      <c r="L36" s="22">
        <f t="shared" si="7"/>
        <v>2</v>
      </c>
      <c r="M36" s="22">
        <f t="shared" si="7"/>
        <v>2</v>
      </c>
      <c r="N36" s="13"/>
      <c r="O36" s="7"/>
      <c r="P36" s="7"/>
      <c r="Q36" s="7"/>
      <c r="R36" s="7"/>
      <c r="S36" s="7"/>
      <c r="T36" s="7"/>
      <c r="U36" s="7"/>
      <c r="V36" s="7"/>
      <c r="W36" s="7"/>
      <c r="X36" s="7"/>
      <c r="Y36" s="7"/>
    </row>
    <row r="37" spans="1:25" ht="15.75" customHeight="1">
      <c r="A37" s="8" t="s">
        <v>67</v>
      </c>
      <c r="B37" s="3"/>
      <c r="C37" s="3" t="s">
        <v>57</v>
      </c>
      <c r="D37" s="10" t="s">
        <v>57</v>
      </c>
      <c r="E37" s="10" t="s">
        <v>57</v>
      </c>
      <c r="F37" s="10" t="s">
        <v>57</v>
      </c>
      <c r="G37" s="11" t="s">
        <v>57</v>
      </c>
      <c r="H37" s="11" t="s">
        <v>57</v>
      </c>
      <c r="I37" s="22">
        <f t="shared" si="8"/>
        <v>2</v>
      </c>
      <c r="J37" s="22">
        <f t="shared" si="7"/>
        <v>2</v>
      </c>
      <c r="K37" s="22">
        <f t="shared" si="7"/>
        <v>2</v>
      </c>
      <c r="L37" s="22">
        <f t="shared" si="7"/>
        <v>2</v>
      </c>
      <c r="M37" s="22">
        <f t="shared" si="7"/>
        <v>2</v>
      </c>
      <c r="N37" s="13"/>
      <c r="O37" s="7"/>
      <c r="P37" s="7"/>
      <c r="Q37" s="7"/>
      <c r="R37" s="7"/>
      <c r="S37" s="7"/>
      <c r="T37" s="7"/>
      <c r="U37" s="7"/>
      <c r="V37" s="7"/>
      <c r="W37" s="7"/>
      <c r="X37" s="7"/>
      <c r="Y37" s="7"/>
    </row>
    <row r="38" spans="1:25" ht="15.75" customHeight="1">
      <c r="A38" s="8" t="s">
        <v>68</v>
      </c>
      <c r="B38" s="3"/>
      <c r="C38" s="3" t="s">
        <v>69</v>
      </c>
      <c r="D38" s="10" t="s">
        <v>69</v>
      </c>
      <c r="E38" s="10" t="s">
        <v>69</v>
      </c>
      <c r="F38" s="10" t="s">
        <v>48</v>
      </c>
      <c r="G38" s="11" t="s">
        <v>69</v>
      </c>
      <c r="H38" s="11" t="s">
        <v>69</v>
      </c>
      <c r="I38" s="22">
        <f t="shared" si="8"/>
        <v>2</v>
      </c>
      <c r="J38" s="22">
        <f t="shared" si="7"/>
        <v>2</v>
      </c>
      <c r="K38" s="22">
        <f t="shared" si="7"/>
        <v>1.2</v>
      </c>
      <c r="L38" s="22">
        <f t="shared" si="7"/>
        <v>2</v>
      </c>
      <c r="M38" s="22">
        <f t="shared" si="7"/>
        <v>2</v>
      </c>
      <c r="N38" s="13"/>
      <c r="O38" s="7"/>
      <c r="P38" s="7"/>
      <c r="Q38" s="7"/>
      <c r="R38" s="7"/>
      <c r="S38" s="7"/>
      <c r="T38" s="7"/>
      <c r="U38" s="7"/>
      <c r="V38" s="7"/>
      <c r="W38" s="7"/>
      <c r="X38" s="7"/>
      <c r="Y38" s="7"/>
    </row>
    <row r="39" spans="1:25" ht="15.75" customHeight="1">
      <c r="A39" s="23" t="s">
        <v>70</v>
      </c>
      <c r="B39" s="18"/>
      <c r="C39" s="18"/>
      <c r="D39" s="24"/>
      <c r="E39" s="24"/>
      <c r="F39" s="24"/>
      <c r="G39" s="24"/>
      <c r="H39" s="24"/>
      <c r="I39" s="24"/>
      <c r="J39" s="24"/>
      <c r="K39" s="24"/>
      <c r="L39" s="24"/>
      <c r="M39" s="24"/>
      <c r="N39" s="13"/>
      <c r="O39" s="7"/>
      <c r="P39" s="7"/>
      <c r="Q39" s="7"/>
      <c r="R39" s="7"/>
      <c r="S39" s="7"/>
      <c r="T39" s="7"/>
      <c r="U39" s="7"/>
      <c r="V39" s="7"/>
      <c r="W39" s="7"/>
      <c r="X39" s="7"/>
      <c r="Y39" s="7"/>
    </row>
    <row r="40" spans="1:25" ht="15.75" customHeight="1">
      <c r="A40" s="8" t="s">
        <v>71</v>
      </c>
      <c r="B40" s="3"/>
      <c r="C40" s="3" t="s">
        <v>72</v>
      </c>
      <c r="D40" s="10" t="s">
        <v>72</v>
      </c>
      <c r="E40" s="10" t="s">
        <v>72</v>
      </c>
      <c r="F40" s="10" t="s">
        <v>72</v>
      </c>
      <c r="G40" s="11" t="s">
        <v>72</v>
      </c>
      <c r="H40" s="11" t="s">
        <v>72</v>
      </c>
      <c r="I40" s="25">
        <f>_xlfn.LET(
_xlpm.full,2,
_xlpm.ans0,$C40&amp;"",
_xlpm.resp0,D40&amp;"",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0" s="25">
        <f t="shared" ref="J40:M43" si="9">_xlfn.LET(
_xlpm.full,2,
_xlpm.ans0,$C40&amp;"",
_xlpm.resp0,E40&amp;"",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40" s="25">
        <f t="shared" si="9"/>
        <v>2</v>
      </c>
      <c r="L40" s="25">
        <f t="shared" si="9"/>
        <v>2</v>
      </c>
      <c r="M40" s="25">
        <f t="shared" si="9"/>
        <v>2</v>
      </c>
      <c r="N40" s="13"/>
      <c r="O40" s="7"/>
      <c r="P40" s="7"/>
      <c r="Q40" s="7"/>
      <c r="R40" s="7"/>
      <c r="S40" s="7"/>
      <c r="T40" s="7"/>
      <c r="U40" s="7"/>
      <c r="V40" s="7"/>
      <c r="W40" s="7"/>
      <c r="X40" s="7"/>
      <c r="Y40" s="7"/>
    </row>
    <row r="41" spans="1:25" ht="15.75" customHeight="1">
      <c r="A41" s="8" t="s">
        <v>73</v>
      </c>
      <c r="B41" s="3"/>
      <c r="C41" s="3" t="s">
        <v>14</v>
      </c>
      <c r="D41" s="10" t="s">
        <v>14</v>
      </c>
      <c r="E41" s="10" t="s">
        <v>14</v>
      </c>
      <c r="F41" s="10" t="s">
        <v>21</v>
      </c>
      <c r="G41" s="11" t="s">
        <v>14</v>
      </c>
      <c r="H41" s="11" t="s">
        <v>14</v>
      </c>
      <c r="I41" s="25">
        <f t="shared" ref="I41:I43" si="10">_xlfn.LET(
_xlpm.full,2,
_xlpm.ans0,$C41&amp;"",
_xlpm.resp0,D41&amp;"",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1" s="25">
        <f t="shared" si="9"/>
        <v>2</v>
      </c>
      <c r="K41" s="25">
        <f t="shared" si="9"/>
        <v>0</v>
      </c>
      <c r="L41" s="25">
        <f t="shared" si="9"/>
        <v>2</v>
      </c>
      <c r="M41" s="25">
        <f t="shared" si="9"/>
        <v>2</v>
      </c>
      <c r="N41" s="13"/>
      <c r="O41" s="7"/>
      <c r="P41" s="7"/>
      <c r="Q41" s="7"/>
      <c r="R41" s="7"/>
      <c r="S41" s="7"/>
      <c r="T41" s="7"/>
      <c r="U41" s="7"/>
      <c r="V41" s="7"/>
      <c r="W41" s="7"/>
      <c r="X41" s="7"/>
      <c r="Y41" s="7"/>
    </row>
    <row r="42" spans="1:25" ht="15.75" customHeight="1">
      <c r="A42" s="8" t="s">
        <v>74</v>
      </c>
      <c r="B42" s="3"/>
      <c r="C42" s="3" t="s">
        <v>54</v>
      </c>
      <c r="D42" s="10" t="s">
        <v>54</v>
      </c>
      <c r="E42" s="10" t="s">
        <v>58</v>
      </c>
      <c r="F42" s="10" t="s">
        <v>58</v>
      </c>
      <c r="G42" s="11" t="s">
        <v>54</v>
      </c>
      <c r="H42" s="11" t="s">
        <v>72</v>
      </c>
      <c r="I42" s="25">
        <f t="shared" si="10"/>
        <v>2</v>
      </c>
      <c r="J42" s="25">
        <f t="shared" si="9"/>
        <v>0.4</v>
      </c>
      <c r="K42" s="25">
        <f t="shared" si="9"/>
        <v>0.4</v>
      </c>
      <c r="L42" s="25">
        <f t="shared" si="9"/>
        <v>2</v>
      </c>
      <c r="M42" s="25">
        <f t="shared" si="9"/>
        <v>0</v>
      </c>
      <c r="N42" s="13"/>
      <c r="O42" s="7"/>
      <c r="P42" s="7"/>
      <c r="Q42" s="7"/>
      <c r="R42" s="7"/>
      <c r="S42" s="7"/>
      <c r="T42" s="7"/>
      <c r="U42" s="7"/>
      <c r="V42" s="7"/>
      <c r="W42" s="7"/>
      <c r="X42" s="7"/>
      <c r="Y42" s="7"/>
    </row>
    <row r="43" spans="1:25" ht="15.75" customHeight="1">
      <c r="A43" s="8" t="s">
        <v>75</v>
      </c>
      <c r="B43" s="3"/>
      <c r="C43" s="3" t="s">
        <v>60</v>
      </c>
      <c r="D43" s="10" t="s">
        <v>60</v>
      </c>
      <c r="E43" s="10" t="s">
        <v>60</v>
      </c>
      <c r="F43" s="10" t="s">
        <v>60</v>
      </c>
      <c r="G43" s="11" t="s">
        <v>60</v>
      </c>
      <c r="H43" s="11" t="s">
        <v>60</v>
      </c>
      <c r="I43" s="25">
        <f t="shared" si="10"/>
        <v>2</v>
      </c>
      <c r="J43" s="25">
        <f t="shared" si="9"/>
        <v>2</v>
      </c>
      <c r="K43" s="25">
        <f t="shared" si="9"/>
        <v>2</v>
      </c>
      <c r="L43" s="25">
        <f t="shared" si="9"/>
        <v>2</v>
      </c>
      <c r="M43" s="25">
        <f t="shared" si="9"/>
        <v>2</v>
      </c>
      <c r="N43" s="13"/>
      <c r="O43" s="7"/>
      <c r="P43" s="7"/>
      <c r="Q43" s="7"/>
      <c r="R43" s="7"/>
      <c r="S43" s="7"/>
      <c r="T43" s="7"/>
      <c r="U43" s="7"/>
      <c r="V43" s="7"/>
      <c r="W43" s="7"/>
      <c r="X43" s="7"/>
      <c r="Y43" s="7"/>
    </row>
    <row r="44" spans="1:25" ht="15.75" customHeight="1">
      <c r="A44" s="23" t="s">
        <v>76</v>
      </c>
      <c r="B44" s="18"/>
      <c r="C44" s="18"/>
      <c r="D44" s="24"/>
      <c r="E44" s="24"/>
      <c r="F44" s="24"/>
      <c r="G44" s="24"/>
      <c r="H44" s="24"/>
      <c r="I44" s="24"/>
      <c r="J44" s="24"/>
      <c r="K44" s="24"/>
      <c r="L44" s="24"/>
      <c r="M44" s="24"/>
      <c r="N44" s="13"/>
      <c r="O44" s="7"/>
      <c r="P44" s="7"/>
      <c r="Q44" s="7"/>
      <c r="R44" s="7"/>
      <c r="S44" s="7"/>
      <c r="T44" s="7"/>
      <c r="U44" s="7"/>
      <c r="V44" s="7"/>
      <c r="W44" s="7"/>
      <c r="X44" s="7"/>
      <c r="Y44" s="7"/>
    </row>
    <row r="45" spans="1:25" ht="15.75" customHeight="1">
      <c r="A45" s="8" t="s">
        <v>77</v>
      </c>
      <c r="B45" s="3" t="s">
        <v>78</v>
      </c>
      <c r="C45" s="3" t="s">
        <v>14</v>
      </c>
      <c r="D45" s="10" t="s">
        <v>14</v>
      </c>
      <c r="E45" s="10" t="s">
        <v>14</v>
      </c>
      <c r="F45" s="10" t="s">
        <v>14</v>
      </c>
      <c r="G45" s="11" t="s">
        <v>14</v>
      </c>
      <c r="H45" s="11" t="s">
        <v>14</v>
      </c>
      <c r="I45" s="26">
        <f t="shared" ref="I45" si="11">_xlfn.LET(
_xlpm.full,2,
_xlpm.ans0,$C45&amp;"",
_xlpm.resp0,D45&amp;"",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5" s="26">
        <f t="shared" ref="J45" si="12">_xlfn.LET(
_xlpm.full,2,
_xlpm.ans0,$C45&amp;"",
_xlpm.resp0,E45&amp;"",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45" s="26">
        <f t="shared" ref="K45" si="13">_xlfn.LET(
_xlpm.full,2,
_xlpm.ans0,$C45&amp;"",
_xlpm.resp0,F45&amp;"",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45" s="26">
        <f t="shared" ref="L45" si="14">_xlfn.LET(
_xlpm.full,2,
_xlpm.ans0,$C45&amp;"",
_xlpm.resp0,G45&amp;"",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45" s="26">
        <f t="shared" ref="M45" si="15">_xlfn.LET(
_xlpm.full,2,
_xlpm.ans0,$C45&amp;"",
_xlpm.resp0,H45&amp;"",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45" s="13"/>
      <c r="O45" s="7"/>
      <c r="P45" s="7"/>
      <c r="Q45" s="7"/>
      <c r="R45" s="7"/>
      <c r="S45" s="7"/>
      <c r="T45" s="7"/>
      <c r="U45" s="7"/>
      <c r="V45" s="7"/>
      <c r="W45" s="7"/>
      <c r="X45" s="7"/>
      <c r="Y45" s="7"/>
    </row>
    <row r="46" spans="1:25" ht="15.75" customHeight="1">
      <c r="A46" s="8" t="s">
        <v>79</v>
      </c>
      <c r="B46" s="3" t="s">
        <v>78</v>
      </c>
      <c r="C46" s="3" t="s">
        <v>22</v>
      </c>
      <c r="D46" s="10" t="s">
        <v>22</v>
      </c>
      <c r="E46" s="10" t="s">
        <v>22</v>
      </c>
      <c r="F46" s="10" t="s">
        <v>22</v>
      </c>
      <c r="G46" s="11" t="s">
        <v>22</v>
      </c>
      <c r="H46" s="11" t="s">
        <v>22</v>
      </c>
      <c r="I46" s="26">
        <f t="shared" ref="I46:I47" si="16">_xlfn.LET(
_xlpm.full,2,
_xlpm.ans0,$C46&amp;"",
_xlpm.resp0,D46&amp;"",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6" s="26">
        <f t="shared" ref="J46:M47" si="17">_xlfn.LET(
_xlpm.full,2,
_xlpm.ans0,$C46&amp;"",
_xlpm.resp0,E46&amp;"",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46" s="26">
        <f t="shared" si="17"/>
        <v>2</v>
      </c>
      <c r="L46" s="26">
        <f t="shared" si="17"/>
        <v>2</v>
      </c>
      <c r="M46" s="26">
        <f t="shared" si="17"/>
        <v>2</v>
      </c>
      <c r="N46" s="13"/>
      <c r="O46" s="7"/>
      <c r="P46" s="7"/>
      <c r="Q46" s="7"/>
      <c r="R46" s="7"/>
      <c r="S46" s="7"/>
      <c r="T46" s="7"/>
      <c r="U46" s="7"/>
      <c r="V46" s="7"/>
      <c r="W46" s="7"/>
      <c r="X46" s="7"/>
      <c r="Y46" s="7"/>
    </row>
    <row r="47" spans="1:25" ht="15.75" customHeight="1">
      <c r="A47" s="8" t="s">
        <v>80</v>
      </c>
      <c r="B47" s="3" t="s">
        <v>78</v>
      </c>
      <c r="C47" s="3" t="s">
        <v>17</v>
      </c>
      <c r="D47" s="10" t="s">
        <v>17</v>
      </c>
      <c r="E47" s="10" t="s">
        <v>17</v>
      </c>
      <c r="F47" s="10" t="s">
        <v>17</v>
      </c>
      <c r="G47" s="11" t="s">
        <v>17</v>
      </c>
      <c r="H47" s="11" t="s">
        <v>17</v>
      </c>
      <c r="I47" s="26">
        <f t="shared" si="16"/>
        <v>2</v>
      </c>
      <c r="J47" s="26">
        <f t="shared" si="17"/>
        <v>2</v>
      </c>
      <c r="K47" s="26">
        <f t="shared" si="17"/>
        <v>2</v>
      </c>
      <c r="L47" s="26">
        <f t="shared" si="17"/>
        <v>2</v>
      </c>
      <c r="M47" s="26">
        <f t="shared" si="17"/>
        <v>2</v>
      </c>
      <c r="N47" s="13"/>
      <c r="O47" s="7"/>
      <c r="P47" s="7"/>
      <c r="Q47" s="7"/>
      <c r="R47" s="7"/>
      <c r="S47" s="7"/>
      <c r="T47" s="7"/>
      <c r="U47" s="7"/>
      <c r="V47" s="7"/>
      <c r="W47" s="7"/>
      <c r="X47" s="7"/>
      <c r="Y47" s="7"/>
    </row>
    <row r="48" spans="1:25" ht="15.75" customHeight="1">
      <c r="A48" s="17" t="s">
        <v>81</v>
      </c>
      <c r="B48" s="18"/>
      <c r="C48" s="18"/>
      <c r="D48" s="24"/>
      <c r="E48" s="24"/>
      <c r="F48" s="24"/>
      <c r="G48" s="24"/>
      <c r="H48" s="24"/>
      <c r="I48" s="24"/>
      <c r="J48" s="24"/>
      <c r="K48" s="24"/>
      <c r="L48" s="24"/>
      <c r="M48" s="24"/>
      <c r="N48" s="13"/>
      <c r="O48" s="7"/>
      <c r="P48" s="7"/>
      <c r="Q48" s="7"/>
      <c r="R48" s="7"/>
      <c r="S48" s="7"/>
      <c r="T48" s="7"/>
      <c r="U48" s="7"/>
      <c r="V48" s="7"/>
      <c r="W48" s="7"/>
      <c r="X48" s="7"/>
      <c r="Y48" s="7"/>
    </row>
    <row r="49" spans="1:25" ht="15.75" customHeight="1">
      <c r="A49" s="8" t="s">
        <v>82</v>
      </c>
      <c r="B49" s="3"/>
      <c r="C49" s="3" t="s">
        <v>19</v>
      </c>
      <c r="D49" s="10" t="s">
        <v>19</v>
      </c>
      <c r="E49" s="10" t="s">
        <v>19</v>
      </c>
      <c r="F49" s="10" t="s">
        <v>19</v>
      </c>
      <c r="G49" s="11" t="s">
        <v>19</v>
      </c>
      <c r="H49" s="11" t="s">
        <v>19</v>
      </c>
      <c r="I49" s="26">
        <f t="shared" ref="I49:I57" si="18">_xlfn.LET(
_xlpm.full,2,
_xlpm.ans0,$C49&amp;"",
_xlpm.resp0,D49&amp;"",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9" s="26">
        <f t="shared" ref="J49:J57" si="19">_xlfn.LET(
_xlpm.full,2,
_xlpm.ans0,$C49&amp;"",
_xlpm.resp0,E49&amp;"",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49" s="26">
        <f t="shared" ref="K49:K57" si="20">_xlfn.LET(
_xlpm.full,2,
_xlpm.ans0,$C49&amp;"",
_xlpm.resp0,F49&amp;"",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49" s="26">
        <f t="shared" ref="L49:L57" si="21">_xlfn.LET(
_xlpm.full,2,
_xlpm.ans0,$C49&amp;"",
_xlpm.resp0,G49&amp;"",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49" s="26">
        <f t="shared" ref="M49:M57" si="22">_xlfn.LET(
_xlpm.full,2,
_xlpm.ans0,$C49&amp;"",
_xlpm.resp0,H49&amp;"",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49" s="13"/>
      <c r="O49" s="7"/>
      <c r="P49" s="7"/>
      <c r="Q49" s="7"/>
      <c r="R49" s="7"/>
      <c r="S49" s="7"/>
      <c r="T49" s="7"/>
      <c r="U49" s="7"/>
      <c r="V49" s="7"/>
      <c r="W49" s="7"/>
      <c r="X49" s="7"/>
      <c r="Y49" s="7"/>
    </row>
    <row r="50" spans="1:25" ht="15.75" customHeight="1">
      <c r="A50" s="8" t="s">
        <v>83</v>
      </c>
      <c r="B50" s="3"/>
      <c r="C50" s="3" t="s">
        <v>19</v>
      </c>
      <c r="D50" s="10" t="s">
        <v>19</v>
      </c>
      <c r="E50" s="10" t="s">
        <v>22</v>
      </c>
      <c r="F50" s="10" t="s">
        <v>19</v>
      </c>
      <c r="G50" s="11" t="s">
        <v>19</v>
      </c>
      <c r="H50" s="11" t="s">
        <v>19</v>
      </c>
      <c r="I50" s="26">
        <f t="shared" si="18"/>
        <v>2</v>
      </c>
      <c r="J50" s="26">
        <f t="shared" si="19"/>
        <v>0</v>
      </c>
      <c r="K50" s="26">
        <f t="shared" si="20"/>
        <v>2</v>
      </c>
      <c r="L50" s="26">
        <f t="shared" si="21"/>
        <v>2</v>
      </c>
      <c r="M50" s="26">
        <f t="shared" si="22"/>
        <v>2</v>
      </c>
      <c r="N50" s="13"/>
      <c r="O50" s="7"/>
      <c r="P50" s="7"/>
      <c r="Q50" s="7"/>
      <c r="R50" s="7"/>
      <c r="S50" s="7"/>
      <c r="T50" s="7"/>
      <c r="U50" s="7"/>
      <c r="V50" s="7"/>
      <c r="W50" s="7"/>
      <c r="X50" s="7"/>
      <c r="Y50" s="7"/>
    </row>
    <row r="51" spans="1:25" ht="15.75" customHeight="1">
      <c r="A51" s="8" t="s">
        <v>84</v>
      </c>
      <c r="B51" s="3"/>
      <c r="C51" s="3" t="s">
        <v>17</v>
      </c>
      <c r="D51" s="10" t="s">
        <v>17</v>
      </c>
      <c r="E51" s="10" t="s">
        <v>17</v>
      </c>
      <c r="F51" s="10" t="s">
        <v>17</v>
      </c>
      <c r="G51" s="11" t="s">
        <v>19</v>
      </c>
      <c r="H51" s="11" t="s">
        <v>17</v>
      </c>
      <c r="I51" s="26">
        <f t="shared" si="18"/>
        <v>2</v>
      </c>
      <c r="J51" s="26">
        <f t="shared" si="19"/>
        <v>2</v>
      </c>
      <c r="K51" s="26">
        <f t="shared" si="20"/>
        <v>2</v>
      </c>
      <c r="L51" s="26">
        <f t="shared" si="21"/>
        <v>0</v>
      </c>
      <c r="M51" s="26">
        <f t="shared" si="22"/>
        <v>2</v>
      </c>
      <c r="N51" s="13"/>
      <c r="O51" s="7"/>
      <c r="P51" s="7"/>
      <c r="Q51" s="7"/>
      <c r="R51" s="7"/>
      <c r="S51" s="7"/>
      <c r="T51" s="7"/>
      <c r="U51" s="7"/>
      <c r="V51" s="7"/>
      <c r="W51" s="7"/>
      <c r="X51" s="7"/>
      <c r="Y51" s="7"/>
    </row>
    <row r="52" spans="1:25" ht="15.75" customHeight="1">
      <c r="A52" s="8" t="s">
        <v>85</v>
      </c>
      <c r="B52" s="3"/>
      <c r="C52" s="3" t="s">
        <v>17</v>
      </c>
      <c r="D52" s="10" t="s">
        <v>21</v>
      </c>
      <c r="E52" s="10" t="s">
        <v>17</v>
      </c>
      <c r="F52" s="10" t="s">
        <v>64</v>
      </c>
      <c r="G52" s="11" t="s">
        <v>21</v>
      </c>
      <c r="H52" s="11" t="s">
        <v>21</v>
      </c>
      <c r="I52" s="26">
        <f t="shared" si="18"/>
        <v>0</v>
      </c>
      <c r="J52" s="26">
        <f t="shared" si="19"/>
        <v>2</v>
      </c>
      <c r="K52" s="26">
        <f t="shared" si="20"/>
        <v>0</v>
      </c>
      <c r="L52" s="26">
        <f t="shared" si="21"/>
        <v>0</v>
      </c>
      <c r="M52" s="26">
        <f t="shared" si="22"/>
        <v>0</v>
      </c>
      <c r="N52" s="13"/>
      <c r="O52" s="7"/>
      <c r="P52" s="7"/>
      <c r="Q52" s="7"/>
      <c r="R52" s="7"/>
      <c r="S52" s="7"/>
      <c r="T52" s="7"/>
      <c r="U52" s="7"/>
      <c r="V52" s="7"/>
      <c r="W52" s="7"/>
      <c r="X52" s="7"/>
      <c r="Y52" s="7"/>
    </row>
    <row r="53" spans="1:25" ht="15.75" customHeight="1">
      <c r="A53" s="8" t="s">
        <v>86</v>
      </c>
      <c r="B53" s="3"/>
      <c r="C53" s="3" t="s">
        <v>21</v>
      </c>
      <c r="D53" s="10" t="s">
        <v>17</v>
      </c>
      <c r="E53" s="10" t="s">
        <v>21</v>
      </c>
      <c r="F53" s="10" t="s">
        <v>17</v>
      </c>
      <c r="G53" s="11" t="s">
        <v>17</v>
      </c>
      <c r="H53" s="11" t="s">
        <v>17</v>
      </c>
      <c r="I53" s="26">
        <f t="shared" si="18"/>
        <v>0</v>
      </c>
      <c r="J53" s="26">
        <f t="shared" si="19"/>
        <v>2</v>
      </c>
      <c r="K53" s="26">
        <f t="shared" si="20"/>
        <v>0</v>
      </c>
      <c r="L53" s="26">
        <f t="shared" si="21"/>
        <v>0</v>
      </c>
      <c r="M53" s="26">
        <f t="shared" si="22"/>
        <v>0</v>
      </c>
      <c r="N53" s="13"/>
      <c r="O53" s="7"/>
      <c r="P53" s="7"/>
      <c r="Q53" s="7"/>
      <c r="R53" s="7"/>
      <c r="S53" s="7"/>
      <c r="T53" s="7"/>
      <c r="U53" s="7"/>
      <c r="V53" s="7"/>
      <c r="W53" s="7"/>
      <c r="X53" s="7"/>
      <c r="Y53" s="7"/>
    </row>
    <row r="54" spans="1:25" ht="15.75" customHeight="1">
      <c r="A54" s="8" t="s">
        <v>87</v>
      </c>
      <c r="B54" s="3"/>
      <c r="C54" s="3" t="s">
        <v>17</v>
      </c>
      <c r="D54" s="10" t="s">
        <v>88</v>
      </c>
      <c r="E54" s="10" t="s">
        <v>17</v>
      </c>
      <c r="F54" s="10" t="s">
        <v>88</v>
      </c>
      <c r="G54" s="11" t="s">
        <v>88</v>
      </c>
      <c r="H54" s="11" t="s">
        <v>88</v>
      </c>
      <c r="I54" s="26">
        <f t="shared" si="18"/>
        <v>0</v>
      </c>
      <c r="J54" s="26">
        <f t="shared" si="19"/>
        <v>2</v>
      </c>
      <c r="K54" s="26">
        <f t="shared" si="20"/>
        <v>0</v>
      </c>
      <c r="L54" s="26">
        <f t="shared" si="21"/>
        <v>0</v>
      </c>
      <c r="M54" s="26">
        <f t="shared" si="22"/>
        <v>0</v>
      </c>
      <c r="N54" s="13"/>
      <c r="O54" s="7"/>
      <c r="P54" s="7"/>
      <c r="Q54" s="7"/>
      <c r="R54" s="7"/>
      <c r="S54" s="7"/>
      <c r="T54" s="7"/>
      <c r="U54" s="7"/>
      <c r="V54" s="7"/>
      <c r="W54" s="7"/>
      <c r="X54" s="7"/>
      <c r="Y54" s="7"/>
    </row>
    <row r="55" spans="1:25" ht="15.75" customHeight="1">
      <c r="A55" s="8" t="s">
        <v>89</v>
      </c>
      <c r="B55" s="3"/>
      <c r="C55" s="3" t="s">
        <v>88</v>
      </c>
      <c r="D55" s="10" t="s">
        <v>50</v>
      </c>
      <c r="E55" s="10" t="s">
        <v>88</v>
      </c>
      <c r="F55" s="10" t="s">
        <v>64</v>
      </c>
      <c r="G55" s="11" t="s">
        <v>64</v>
      </c>
      <c r="H55" s="11" t="s">
        <v>64</v>
      </c>
      <c r="I55" s="26">
        <f t="shared" si="18"/>
        <v>0</v>
      </c>
      <c r="J55" s="26">
        <f t="shared" si="19"/>
        <v>2</v>
      </c>
      <c r="K55" s="26">
        <f t="shared" si="20"/>
        <v>1.2</v>
      </c>
      <c r="L55" s="26">
        <f t="shared" si="21"/>
        <v>1.2</v>
      </c>
      <c r="M55" s="26">
        <f t="shared" si="22"/>
        <v>1.2</v>
      </c>
      <c r="N55" s="13"/>
      <c r="O55" s="7"/>
      <c r="P55" s="7"/>
      <c r="Q55" s="7"/>
      <c r="R55" s="7"/>
      <c r="S55" s="7"/>
      <c r="T55" s="7"/>
      <c r="U55" s="7"/>
      <c r="V55" s="7"/>
      <c r="W55" s="7"/>
      <c r="X55" s="7"/>
      <c r="Y55" s="7"/>
    </row>
    <row r="56" spans="1:25" ht="15.75" customHeight="1">
      <c r="A56" s="8" t="s">
        <v>90</v>
      </c>
      <c r="B56" s="3"/>
      <c r="C56" s="3" t="s">
        <v>64</v>
      </c>
      <c r="D56" s="10" t="s">
        <v>14</v>
      </c>
      <c r="E56" s="10" t="s">
        <v>14</v>
      </c>
      <c r="F56" s="10" t="s">
        <v>14</v>
      </c>
      <c r="G56" s="11" t="s">
        <v>14</v>
      </c>
      <c r="H56" s="14" t="s">
        <v>14</v>
      </c>
      <c r="I56" s="26">
        <f t="shared" si="18"/>
        <v>0.4</v>
      </c>
      <c r="J56" s="26">
        <f t="shared" si="19"/>
        <v>0.4</v>
      </c>
      <c r="K56" s="26">
        <f t="shared" si="20"/>
        <v>0.4</v>
      </c>
      <c r="L56" s="26">
        <f t="shared" si="21"/>
        <v>0.4</v>
      </c>
      <c r="M56" s="26">
        <f t="shared" si="22"/>
        <v>0.4</v>
      </c>
      <c r="N56" s="13"/>
      <c r="O56" s="7"/>
      <c r="P56" s="7"/>
      <c r="Q56" s="7"/>
      <c r="R56" s="7"/>
      <c r="S56" s="7"/>
      <c r="T56" s="7"/>
      <c r="U56" s="7"/>
      <c r="V56" s="7"/>
      <c r="W56" s="7"/>
      <c r="X56" s="7"/>
      <c r="Y56" s="7"/>
    </row>
    <row r="57" spans="1:25" ht="15.75" customHeight="1">
      <c r="A57" s="8" t="s">
        <v>91</v>
      </c>
      <c r="B57" s="3"/>
      <c r="C57" s="3" t="s">
        <v>22</v>
      </c>
      <c r="D57" s="10" t="s">
        <v>22</v>
      </c>
      <c r="E57" s="10" t="s">
        <v>22</v>
      </c>
      <c r="F57" s="10" t="s">
        <v>22</v>
      </c>
      <c r="G57" s="11" t="s">
        <v>21</v>
      </c>
      <c r="H57" s="11" t="s">
        <v>22</v>
      </c>
      <c r="I57" s="26">
        <f t="shared" si="18"/>
        <v>2</v>
      </c>
      <c r="J57" s="26">
        <f t="shared" si="19"/>
        <v>2</v>
      </c>
      <c r="K57" s="26">
        <f t="shared" si="20"/>
        <v>2</v>
      </c>
      <c r="L57" s="26">
        <f t="shared" si="21"/>
        <v>0</v>
      </c>
      <c r="M57" s="26">
        <f t="shared" si="22"/>
        <v>2</v>
      </c>
      <c r="N57" s="13"/>
      <c r="O57" s="7"/>
      <c r="P57" s="7"/>
      <c r="Q57" s="7"/>
      <c r="R57" s="7"/>
      <c r="S57" s="7"/>
      <c r="T57" s="7"/>
      <c r="U57" s="7"/>
      <c r="V57" s="7"/>
      <c r="W57" s="7"/>
      <c r="X57" s="7"/>
      <c r="Y57" s="7"/>
    </row>
    <row r="58" spans="1:25" ht="15.75" customHeight="1">
      <c r="A58" s="17" t="s">
        <v>92</v>
      </c>
      <c r="B58" s="18"/>
      <c r="C58" s="18"/>
      <c r="D58" s="24"/>
      <c r="E58" s="24"/>
      <c r="F58" s="24"/>
      <c r="G58" s="24"/>
      <c r="H58" s="24"/>
      <c r="I58" s="24"/>
      <c r="J58" s="24"/>
      <c r="K58" s="24"/>
      <c r="L58" s="24"/>
      <c r="M58" s="24"/>
      <c r="N58" s="13"/>
      <c r="O58" s="7"/>
      <c r="P58" s="7"/>
      <c r="Q58" s="7"/>
      <c r="R58" s="7"/>
      <c r="S58" s="7"/>
      <c r="T58" s="7"/>
      <c r="U58" s="7"/>
      <c r="V58" s="7"/>
      <c r="W58" s="7"/>
      <c r="X58" s="7"/>
      <c r="Y58" s="7"/>
    </row>
    <row r="59" spans="1:25" ht="15.75" customHeight="1">
      <c r="A59" s="8" t="s">
        <v>93</v>
      </c>
      <c r="B59" s="3" t="s">
        <v>16</v>
      </c>
      <c r="C59" s="3" t="s">
        <v>94</v>
      </c>
      <c r="D59" s="10" t="s">
        <v>72</v>
      </c>
      <c r="E59" s="10" t="s">
        <v>64</v>
      </c>
      <c r="F59" s="10" t="s">
        <v>64</v>
      </c>
      <c r="G59" s="11" t="s">
        <v>95</v>
      </c>
      <c r="H59" s="11" t="s">
        <v>96</v>
      </c>
      <c r="I59" s="26">
        <f t="shared" ref="I59:I67" si="23">_xlfn.LET(
_xlpm.full,2,
_xlpm.ans0,$C59&amp;"",
_xlpm.resp0,D59&amp;"",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59" s="26">
        <f t="shared" ref="J59:J67" si="24">_xlfn.LET(
_xlpm.full,2,
_xlpm.ans0,$C59&amp;"",
_xlpm.resp0,E59&amp;"",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K59" s="26">
        <f t="shared" ref="K59:K67" si="25">_xlfn.LET(
_xlpm.full,2,
_xlpm.ans0,$C59&amp;"",
_xlpm.resp0,F59&amp;"",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L59" s="26">
        <f t="shared" ref="L59:L67" si="26">_xlfn.LET(
_xlpm.full,2,
_xlpm.ans0,$C59&amp;"",
_xlpm.resp0,G59&amp;"",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M59" s="26">
        <f t="shared" ref="M59:M67" si="27">_xlfn.LET(
_xlpm.full,2,
_xlpm.ans0,$C59&amp;"",
_xlpm.resp0,H59&amp;"",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N59" s="13"/>
      <c r="O59" s="7"/>
      <c r="P59" s="7"/>
      <c r="Q59" s="7"/>
      <c r="R59" s="7"/>
      <c r="S59" s="7"/>
      <c r="T59" s="7"/>
      <c r="U59" s="7"/>
      <c r="V59" s="7"/>
      <c r="W59" s="7"/>
      <c r="X59" s="7"/>
      <c r="Y59" s="7"/>
    </row>
    <row r="60" spans="1:25" ht="15.75" customHeight="1">
      <c r="A60" s="8" t="s">
        <v>97</v>
      </c>
      <c r="B60" s="3" t="s">
        <v>16</v>
      </c>
      <c r="C60" s="3" t="s">
        <v>22</v>
      </c>
      <c r="D60" s="10" t="s">
        <v>14</v>
      </c>
      <c r="E60" s="10" t="s">
        <v>14</v>
      </c>
      <c r="F60" s="10" t="s">
        <v>21</v>
      </c>
      <c r="G60" s="11" t="s">
        <v>17</v>
      </c>
      <c r="H60" s="11" t="s">
        <v>19</v>
      </c>
      <c r="I60" s="26">
        <f t="shared" si="23"/>
        <v>0</v>
      </c>
      <c r="J60" s="26">
        <f t="shared" si="24"/>
        <v>0</v>
      </c>
      <c r="K60" s="26">
        <f t="shared" si="25"/>
        <v>0</v>
      </c>
      <c r="L60" s="26">
        <f t="shared" si="26"/>
        <v>0</v>
      </c>
      <c r="M60" s="26">
        <f t="shared" si="27"/>
        <v>0</v>
      </c>
      <c r="N60" s="13"/>
      <c r="O60" s="7"/>
      <c r="P60" s="7"/>
      <c r="Q60" s="7"/>
      <c r="R60" s="7"/>
      <c r="S60" s="7"/>
      <c r="T60" s="7"/>
      <c r="U60" s="7"/>
      <c r="V60" s="7"/>
      <c r="W60" s="7"/>
      <c r="X60" s="7"/>
      <c r="Y60" s="7"/>
    </row>
    <row r="61" spans="1:25" ht="15.75" customHeight="1">
      <c r="A61" s="8" t="s">
        <v>98</v>
      </c>
      <c r="B61" s="3"/>
      <c r="C61" s="3" t="s">
        <v>46</v>
      </c>
      <c r="D61" s="10" t="s">
        <v>46</v>
      </c>
      <c r="E61" s="10" t="s">
        <v>46</v>
      </c>
      <c r="F61" s="10" t="s">
        <v>46</v>
      </c>
      <c r="G61" s="11" t="s">
        <v>46</v>
      </c>
      <c r="H61" s="11" t="s">
        <v>46</v>
      </c>
      <c r="I61" s="26">
        <f t="shared" si="23"/>
        <v>2</v>
      </c>
      <c r="J61" s="26">
        <f t="shared" si="24"/>
        <v>2</v>
      </c>
      <c r="K61" s="26">
        <f t="shared" si="25"/>
        <v>2</v>
      </c>
      <c r="L61" s="26">
        <f t="shared" si="26"/>
        <v>2</v>
      </c>
      <c r="M61" s="26">
        <f t="shared" si="27"/>
        <v>2</v>
      </c>
      <c r="N61" s="13"/>
      <c r="O61" s="7"/>
      <c r="P61" s="7"/>
      <c r="Q61" s="7"/>
      <c r="R61" s="7"/>
      <c r="S61" s="7"/>
      <c r="T61" s="7"/>
      <c r="U61" s="7"/>
      <c r="V61" s="7"/>
      <c r="W61" s="7"/>
      <c r="X61" s="7"/>
      <c r="Y61" s="7"/>
    </row>
    <row r="62" spans="1:25" ht="15.75" customHeight="1">
      <c r="A62" s="8" t="s">
        <v>99</v>
      </c>
      <c r="B62" s="3"/>
      <c r="C62" s="3" t="s">
        <v>64</v>
      </c>
      <c r="D62" s="10" t="s">
        <v>64</v>
      </c>
      <c r="E62" s="10" t="s">
        <v>64</v>
      </c>
      <c r="F62" s="10" t="s">
        <v>64</v>
      </c>
      <c r="G62" s="11" t="s">
        <v>64</v>
      </c>
      <c r="H62" s="11" t="s">
        <v>64</v>
      </c>
      <c r="I62" s="26">
        <f t="shared" si="23"/>
        <v>2</v>
      </c>
      <c r="J62" s="26">
        <f t="shared" si="24"/>
        <v>2</v>
      </c>
      <c r="K62" s="26">
        <f t="shared" si="25"/>
        <v>2</v>
      </c>
      <c r="L62" s="26">
        <f t="shared" si="26"/>
        <v>2</v>
      </c>
      <c r="M62" s="26">
        <f t="shared" si="27"/>
        <v>2</v>
      </c>
      <c r="N62" s="13"/>
      <c r="O62" s="7"/>
      <c r="P62" s="7"/>
      <c r="Q62" s="7"/>
      <c r="R62" s="7"/>
      <c r="S62" s="7"/>
      <c r="T62" s="7"/>
      <c r="U62" s="7"/>
      <c r="V62" s="7"/>
      <c r="W62" s="7"/>
      <c r="X62" s="7"/>
      <c r="Y62" s="7"/>
    </row>
    <row r="63" spans="1:25" ht="15.75" customHeight="1">
      <c r="A63" s="8" t="s">
        <v>100</v>
      </c>
      <c r="B63" s="3" t="s">
        <v>16</v>
      </c>
      <c r="C63" s="3" t="s">
        <v>69</v>
      </c>
      <c r="D63" s="10" t="s">
        <v>69</v>
      </c>
      <c r="E63" s="10" t="s">
        <v>69</v>
      </c>
      <c r="F63" s="10" t="s">
        <v>48</v>
      </c>
      <c r="G63" s="11" t="s">
        <v>69</v>
      </c>
      <c r="H63" s="11" t="s">
        <v>69</v>
      </c>
      <c r="I63" s="26">
        <f t="shared" si="23"/>
        <v>2</v>
      </c>
      <c r="J63" s="26">
        <f t="shared" si="24"/>
        <v>2</v>
      </c>
      <c r="K63" s="26">
        <f t="shared" si="25"/>
        <v>1.2</v>
      </c>
      <c r="L63" s="26">
        <f t="shared" si="26"/>
        <v>2</v>
      </c>
      <c r="M63" s="26">
        <f t="shared" si="27"/>
        <v>2</v>
      </c>
      <c r="N63" s="13"/>
      <c r="O63" s="7"/>
      <c r="P63" s="7"/>
      <c r="Q63" s="7"/>
      <c r="R63" s="7"/>
      <c r="S63" s="7"/>
      <c r="T63" s="7"/>
      <c r="U63" s="7"/>
      <c r="V63" s="7"/>
      <c r="W63" s="7"/>
      <c r="X63" s="7"/>
      <c r="Y63" s="7"/>
    </row>
    <row r="64" spans="1:25" ht="15.75" customHeight="1">
      <c r="A64" s="8" t="s">
        <v>101</v>
      </c>
      <c r="B64" s="3"/>
      <c r="C64" s="3" t="s">
        <v>14</v>
      </c>
      <c r="D64" s="10" t="s">
        <v>14</v>
      </c>
      <c r="E64" s="10" t="s">
        <v>102</v>
      </c>
      <c r="F64" s="10" t="s">
        <v>14</v>
      </c>
      <c r="G64" s="11" t="s">
        <v>14</v>
      </c>
      <c r="H64" s="11" t="s">
        <v>14</v>
      </c>
      <c r="I64" s="26">
        <f t="shared" si="23"/>
        <v>2</v>
      </c>
      <c r="J64" s="26">
        <f t="shared" si="24"/>
        <v>0</v>
      </c>
      <c r="K64" s="26">
        <f t="shared" si="25"/>
        <v>2</v>
      </c>
      <c r="L64" s="26">
        <f t="shared" si="26"/>
        <v>2</v>
      </c>
      <c r="M64" s="26">
        <f t="shared" si="27"/>
        <v>2</v>
      </c>
      <c r="N64" s="13"/>
      <c r="O64" s="7"/>
      <c r="P64" s="7"/>
      <c r="Q64" s="7"/>
      <c r="R64" s="7"/>
      <c r="S64" s="7"/>
      <c r="T64" s="7"/>
      <c r="U64" s="7"/>
      <c r="V64" s="7"/>
      <c r="W64" s="7"/>
      <c r="X64" s="7"/>
      <c r="Y64" s="7"/>
    </row>
    <row r="65" spans="1:25" ht="15.75" customHeight="1">
      <c r="A65" s="8" t="s">
        <v>103</v>
      </c>
      <c r="B65" s="3"/>
      <c r="C65" s="3" t="s">
        <v>104</v>
      </c>
      <c r="D65" s="10" t="s">
        <v>96</v>
      </c>
      <c r="E65" s="10" t="s">
        <v>104</v>
      </c>
      <c r="F65" s="10" t="s">
        <v>104</v>
      </c>
      <c r="G65" s="11" t="s">
        <v>104</v>
      </c>
      <c r="H65" s="11" t="s">
        <v>104</v>
      </c>
      <c r="I65" s="26">
        <f t="shared" si="23"/>
        <v>0.4</v>
      </c>
      <c r="J65" s="26">
        <f t="shared" si="24"/>
        <v>2</v>
      </c>
      <c r="K65" s="26">
        <f t="shared" si="25"/>
        <v>2</v>
      </c>
      <c r="L65" s="26">
        <f t="shared" si="26"/>
        <v>2</v>
      </c>
      <c r="M65" s="26">
        <f t="shared" si="27"/>
        <v>2</v>
      </c>
      <c r="N65" s="13"/>
      <c r="O65" s="7"/>
      <c r="P65" s="7"/>
      <c r="Q65" s="7"/>
      <c r="R65" s="7"/>
      <c r="S65" s="7"/>
      <c r="T65" s="7"/>
      <c r="U65" s="7"/>
      <c r="V65" s="7"/>
      <c r="W65" s="7"/>
      <c r="X65" s="7"/>
      <c r="Y65" s="7"/>
    </row>
    <row r="66" spans="1:25" ht="15.75" customHeight="1">
      <c r="A66" s="8" t="s">
        <v>105</v>
      </c>
      <c r="B66" s="3"/>
      <c r="C66" s="3" t="s">
        <v>19</v>
      </c>
      <c r="D66" s="3" t="s">
        <v>21</v>
      </c>
      <c r="E66" s="3" t="s">
        <v>19</v>
      </c>
      <c r="F66" s="3" t="s">
        <v>57</v>
      </c>
      <c r="G66" s="27" t="s">
        <v>19</v>
      </c>
      <c r="H66" s="27" t="s">
        <v>19</v>
      </c>
      <c r="I66" s="26">
        <f t="shared" si="23"/>
        <v>0</v>
      </c>
      <c r="J66" s="26">
        <f t="shared" si="24"/>
        <v>2</v>
      </c>
      <c r="K66" s="26">
        <f t="shared" si="25"/>
        <v>0</v>
      </c>
      <c r="L66" s="26">
        <f t="shared" si="26"/>
        <v>2</v>
      </c>
      <c r="M66" s="26">
        <f t="shared" si="27"/>
        <v>2</v>
      </c>
      <c r="N66" s="13"/>
      <c r="O66" s="7"/>
      <c r="P66" s="7"/>
      <c r="Q66" s="7"/>
      <c r="R66" s="7"/>
      <c r="S66" s="7"/>
      <c r="T66" s="7"/>
      <c r="U66" s="7"/>
      <c r="V66" s="7"/>
      <c r="W66" s="7"/>
      <c r="X66" s="7"/>
      <c r="Y66" s="7"/>
    </row>
    <row r="67" spans="1:25" ht="15.75" customHeight="1">
      <c r="A67" s="8" t="s">
        <v>106</v>
      </c>
      <c r="B67" s="3"/>
      <c r="C67" s="3" t="s">
        <v>50</v>
      </c>
      <c r="D67" s="10" t="s">
        <v>50</v>
      </c>
      <c r="E67" s="10" t="s">
        <v>50</v>
      </c>
      <c r="F67" s="10" t="s">
        <v>64</v>
      </c>
      <c r="G67" s="11" t="s">
        <v>50</v>
      </c>
      <c r="H67" s="11" t="s">
        <v>50</v>
      </c>
      <c r="I67" s="26">
        <f t="shared" si="23"/>
        <v>2</v>
      </c>
      <c r="J67" s="26">
        <f t="shared" si="24"/>
        <v>2</v>
      </c>
      <c r="K67" s="26">
        <f t="shared" si="25"/>
        <v>0.4</v>
      </c>
      <c r="L67" s="26">
        <f t="shared" si="26"/>
        <v>2</v>
      </c>
      <c r="M67" s="26">
        <f t="shared" si="27"/>
        <v>2</v>
      </c>
      <c r="N67" s="13"/>
      <c r="O67" s="7"/>
      <c r="P67" s="7"/>
      <c r="Q67" s="7"/>
      <c r="R67" s="7"/>
      <c r="S67" s="7"/>
      <c r="T67" s="7"/>
      <c r="U67" s="7"/>
      <c r="V67" s="7"/>
      <c r="W67" s="7"/>
      <c r="X67" s="7"/>
      <c r="Y67" s="7"/>
    </row>
    <row r="68" spans="1:25" ht="15.75" customHeight="1">
      <c r="A68" s="17" t="s">
        <v>107</v>
      </c>
      <c r="B68" s="18"/>
      <c r="C68" s="18"/>
      <c r="D68" s="24"/>
      <c r="E68" s="24"/>
      <c r="F68" s="24"/>
      <c r="G68" s="24"/>
      <c r="H68" s="24"/>
      <c r="I68" s="24"/>
      <c r="J68" s="24"/>
      <c r="K68" s="24"/>
      <c r="L68" s="24"/>
      <c r="M68" s="24"/>
      <c r="N68" s="13"/>
      <c r="O68" s="7"/>
      <c r="P68" s="7"/>
      <c r="Q68" s="7"/>
      <c r="R68" s="7"/>
      <c r="S68" s="7"/>
      <c r="T68" s="7"/>
      <c r="U68" s="7"/>
      <c r="V68" s="7"/>
      <c r="W68" s="7"/>
      <c r="X68" s="7"/>
      <c r="Y68" s="7"/>
    </row>
    <row r="69" spans="1:25" ht="15.75" customHeight="1">
      <c r="A69" s="8" t="s">
        <v>108</v>
      </c>
      <c r="B69" s="3" t="s">
        <v>16</v>
      </c>
      <c r="C69" s="3" t="s">
        <v>17</v>
      </c>
      <c r="D69" s="10" t="s">
        <v>17</v>
      </c>
      <c r="E69" s="10" t="s">
        <v>17</v>
      </c>
      <c r="F69" s="10" t="s">
        <v>17</v>
      </c>
      <c r="G69" s="11" t="s">
        <v>17</v>
      </c>
      <c r="H69" s="11" t="s">
        <v>17</v>
      </c>
      <c r="I69" s="26">
        <f t="shared" ref="I69:I75" si="28">_xlfn.LET(
_xlpm.full,2,
_xlpm.ans0,$C69&amp;"",
_xlpm.resp0,D69&amp;"",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69" s="26">
        <f t="shared" ref="J69:J75" si="29">_xlfn.LET(
_xlpm.full,2,
_xlpm.ans0,$C69&amp;"",
_xlpm.resp0,E69&amp;"",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69" s="26">
        <f t="shared" ref="K69:K75" si="30">_xlfn.LET(
_xlpm.full,2,
_xlpm.ans0,$C69&amp;"",
_xlpm.resp0,F69&amp;"",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69" s="26">
        <f t="shared" ref="L69:L75" si="31">_xlfn.LET(
_xlpm.full,2,
_xlpm.ans0,$C69&amp;"",
_xlpm.resp0,G69&amp;"",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69" s="26">
        <f t="shared" ref="M69:M75" si="32">_xlfn.LET(
_xlpm.full,2,
_xlpm.ans0,$C69&amp;"",
_xlpm.resp0,H69&amp;"",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69" s="13"/>
      <c r="O69" s="7"/>
      <c r="P69" s="7"/>
      <c r="Q69" s="7"/>
      <c r="R69" s="7"/>
      <c r="S69" s="7"/>
      <c r="T69" s="7"/>
      <c r="U69" s="7"/>
      <c r="V69" s="7"/>
      <c r="W69" s="7"/>
      <c r="X69" s="7"/>
      <c r="Y69" s="7"/>
    </row>
    <row r="70" spans="1:25" ht="15.75" customHeight="1">
      <c r="A70" s="8" t="s">
        <v>109</v>
      </c>
      <c r="B70" s="3" t="s">
        <v>16</v>
      </c>
      <c r="C70" s="3" t="s">
        <v>22</v>
      </c>
      <c r="D70" s="10" t="s">
        <v>22</v>
      </c>
      <c r="E70" s="10" t="s">
        <v>22</v>
      </c>
      <c r="F70" s="10" t="s">
        <v>22</v>
      </c>
      <c r="G70" s="11" t="s">
        <v>22</v>
      </c>
      <c r="H70" s="11" t="s">
        <v>22</v>
      </c>
      <c r="I70" s="26">
        <f t="shared" si="28"/>
        <v>2</v>
      </c>
      <c r="J70" s="26">
        <f t="shared" si="29"/>
        <v>2</v>
      </c>
      <c r="K70" s="26">
        <f t="shared" si="30"/>
        <v>2</v>
      </c>
      <c r="L70" s="26">
        <f t="shared" si="31"/>
        <v>2</v>
      </c>
      <c r="M70" s="26">
        <f t="shared" si="32"/>
        <v>2</v>
      </c>
      <c r="N70" s="13"/>
      <c r="O70" s="7"/>
      <c r="P70" s="7"/>
      <c r="Q70" s="7"/>
      <c r="R70" s="7"/>
      <c r="S70" s="7"/>
      <c r="T70" s="7"/>
      <c r="U70" s="7"/>
      <c r="V70" s="7"/>
      <c r="W70" s="7"/>
      <c r="X70" s="7"/>
      <c r="Y70" s="7"/>
    </row>
    <row r="71" spans="1:25" ht="15.75" customHeight="1">
      <c r="A71" s="8" t="s">
        <v>110</v>
      </c>
      <c r="B71" s="3" t="s">
        <v>16</v>
      </c>
      <c r="C71" s="3" t="s">
        <v>14</v>
      </c>
      <c r="D71" s="10" t="s">
        <v>19</v>
      </c>
      <c r="E71" s="10" t="s">
        <v>19</v>
      </c>
      <c r="F71" s="10" t="s">
        <v>55</v>
      </c>
      <c r="G71" s="11" t="s">
        <v>22</v>
      </c>
      <c r="H71" s="11" t="s">
        <v>22</v>
      </c>
      <c r="I71" s="26">
        <f t="shared" si="28"/>
        <v>0</v>
      </c>
      <c r="J71" s="26">
        <f t="shared" si="29"/>
        <v>0</v>
      </c>
      <c r="K71" s="26">
        <f t="shared" si="30"/>
        <v>0</v>
      </c>
      <c r="L71" s="26">
        <f t="shared" si="31"/>
        <v>0</v>
      </c>
      <c r="M71" s="26">
        <f t="shared" si="32"/>
        <v>0</v>
      </c>
      <c r="N71" s="13"/>
      <c r="O71" s="7"/>
      <c r="P71" s="7"/>
      <c r="Q71" s="7"/>
      <c r="R71" s="7"/>
      <c r="S71" s="7"/>
      <c r="T71" s="7"/>
      <c r="U71" s="7"/>
      <c r="V71" s="7"/>
      <c r="W71" s="7"/>
      <c r="X71" s="7"/>
      <c r="Y71" s="7"/>
    </row>
    <row r="72" spans="1:25" ht="15.75" customHeight="1">
      <c r="A72" s="8" t="s">
        <v>111</v>
      </c>
      <c r="B72" s="3"/>
      <c r="C72" s="3" t="s">
        <v>53</v>
      </c>
      <c r="D72" s="10" t="s">
        <v>53</v>
      </c>
      <c r="E72" s="10" t="s">
        <v>53</v>
      </c>
      <c r="F72" s="10" t="s">
        <v>53</v>
      </c>
      <c r="G72" s="11" t="s">
        <v>53</v>
      </c>
      <c r="H72" s="11" t="s">
        <v>53</v>
      </c>
      <c r="I72" s="26">
        <f t="shared" si="28"/>
        <v>2</v>
      </c>
      <c r="J72" s="26">
        <f t="shared" si="29"/>
        <v>2</v>
      </c>
      <c r="K72" s="26">
        <f t="shared" si="30"/>
        <v>2</v>
      </c>
      <c r="L72" s="26">
        <f t="shared" si="31"/>
        <v>2</v>
      </c>
      <c r="M72" s="26">
        <f t="shared" si="32"/>
        <v>2</v>
      </c>
      <c r="N72" s="13"/>
      <c r="O72" s="7"/>
      <c r="P72" s="7"/>
      <c r="Q72" s="7"/>
      <c r="R72" s="7"/>
      <c r="S72" s="7"/>
      <c r="T72" s="7"/>
      <c r="U72" s="7"/>
      <c r="V72" s="7"/>
      <c r="W72" s="7"/>
      <c r="X72" s="7"/>
      <c r="Y72" s="7"/>
    </row>
    <row r="73" spans="1:25" ht="15.75" customHeight="1">
      <c r="A73" s="8" t="s">
        <v>112</v>
      </c>
      <c r="B73" s="3" t="s">
        <v>16</v>
      </c>
      <c r="C73" s="3" t="s">
        <v>14</v>
      </c>
      <c r="D73" s="10" t="s">
        <v>14</v>
      </c>
      <c r="E73" s="10" t="s">
        <v>14</v>
      </c>
      <c r="F73" s="10" t="s">
        <v>14</v>
      </c>
      <c r="G73" s="11" t="s">
        <v>14</v>
      </c>
      <c r="H73" s="11" t="s">
        <v>14</v>
      </c>
      <c r="I73" s="26">
        <f t="shared" si="28"/>
        <v>2</v>
      </c>
      <c r="J73" s="26">
        <f t="shared" si="29"/>
        <v>2</v>
      </c>
      <c r="K73" s="26">
        <f t="shared" si="30"/>
        <v>2</v>
      </c>
      <c r="L73" s="26">
        <f t="shared" si="31"/>
        <v>2</v>
      </c>
      <c r="M73" s="26">
        <f t="shared" si="32"/>
        <v>2</v>
      </c>
      <c r="N73" s="13"/>
      <c r="O73" s="7"/>
      <c r="P73" s="7"/>
      <c r="Q73" s="7"/>
      <c r="R73" s="7"/>
      <c r="S73" s="7"/>
      <c r="T73" s="7"/>
      <c r="U73" s="7"/>
      <c r="V73" s="7"/>
      <c r="W73" s="7"/>
      <c r="X73" s="7"/>
      <c r="Y73" s="7"/>
    </row>
    <row r="74" spans="1:25" ht="15.75" customHeight="1">
      <c r="A74" s="8" t="s">
        <v>113</v>
      </c>
      <c r="B74" s="3"/>
      <c r="C74" s="3" t="s">
        <v>58</v>
      </c>
      <c r="D74" s="10" t="s">
        <v>58</v>
      </c>
      <c r="E74" s="10" t="s">
        <v>58</v>
      </c>
      <c r="F74" s="10" t="s">
        <v>58</v>
      </c>
      <c r="G74" s="11" t="s">
        <v>58</v>
      </c>
      <c r="H74" s="11" t="s">
        <v>58</v>
      </c>
      <c r="I74" s="26">
        <f t="shared" si="28"/>
        <v>2</v>
      </c>
      <c r="J74" s="26">
        <f t="shared" si="29"/>
        <v>2</v>
      </c>
      <c r="K74" s="26">
        <f t="shared" si="30"/>
        <v>2</v>
      </c>
      <c r="L74" s="26">
        <f t="shared" si="31"/>
        <v>2</v>
      </c>
      <c r="M74" s="26">
        <f t="shared" si="32"/>
        <v>2</v>
      </c>
      <c r="N74" s="13"/>
      <c r="O74" s="7"/>
      <c r="P74" s="7"/>
      <c r="Q74" s="7"/>
      <c r="R74" s="7"/>
      <c r="S74" s="7"/>
      <c r="T74" s="7"/>
      <c r="U74" s="7"/>
      <c r="V74" s="7"/>
      <c r="W74" s="7"/>
      <c r="X74" s="7"/>
      <c r="Y74" s="7"/>
    </row>
    <row r="75" spans="1:25" ht="15.75" customHeight="1">
      <c r="A75" s="8" t="s">
        <v>114</v>
      </c>
      <c r="B75" s="3" t="s">
        <v>16</v>
      </c>
      <c r="C75" s="3" t="s">
        <v>115</v>
      </c>
      <c r="D75" s="10" t="s">
        <v>115</v>
      </c>
      <c r="E75" s="10" t="s">
        <v>115</v>
      </c>
      <c r="F75" s="10" t="s">
        <v>115</v>
      </c>
      <c r="G75" s="11" t="s">
        <v>115</v>
      </c>
      <c r="H75" s="11" t="s">
        <v>115</v>
      </c>
      <c r="I75" s="26">
        <f t="shared" si="28"/>
        <v>2</v>
      </c>
      <c r="J75" s="26">
        <f t="shared" si="29"/>
        <v>2</v>
      </c>
      <c r="K75" s="26">
        <f t="shared" si="30"/>
        <v>2</v>
      </c>
      <c r="L75" s="26">
        <f t="shared" si="31"/>
        <v>2</v>
      </c>
      <c r="M75" s="26">
        <f t="shared" si="32"/>
        <v>2</v>
      </c>
      <c r="N75" s="13"/>
      <c r="O75" s="7"/>
      <c r="P75" s="7"/>
      <c r="Q75" s="7"/>
      <c r="R75" s="7"/>
      <c r="S75" s="7"/>
      <c r="T75" s="7"/>
      <c r="U75" s="7"/>
      <c r="V75" s="7"/>
      <c r="W75" s="7"/>
      <c r="X75" s="7"/>
      <c r="Y75" s="7"/>
    </row>
    <row r="76" spans="1:25" ht="15.75" customHeight="1">
      <c r="A76" s="29"/>
      <c r="B76" s="30"/>
      <c r="C76" s="30"/>
      <c r="D76" s="31"/>
      <c r="E76" s="31"/>
      <c r="F76" s="31"/>
      <c r="G76" s="31"/>
      <c r="H76" s="31"/>
      <c r="I76" s="31"/>
      <c r="J76" s="31"/>
      <c r="K76" s="31"/>
      <c r="L76" s="31"/>
      <c r="M76" s="31"/>
      <c r="N76" s="13"/>
      <c r="O76" s="7"/>
      <c r="P76" s="7"/>
      <c r="Q76" s="7"/>
      <c r="R76" s="7"/>
      <c r="S76" s="7"/>
      <c r="T76" s="7"/>
      <c r="U76" s="7"/>
      <c r="V76" s="7"/>
      <c r="W76" s="7"/>
      <c r="X76" s="7"/>
      <c r="Y76" s="7"/>
    </row>
    <row r="77" spans="1:25" ht="15.75" customHeight="1">
      <c r="A77" s="29"/>
      <c r="B77" s="30"/>
      <c r="C77" s="30"/>
      <c r="D77" s="31"/>
      <c r="E77" s="31"/>
      <c r="F77" s="31"/>
      <c r="G77" s="31"/>
      <c r="H77" s="31"/>
      <c r="I77" s="31"/>
      <c r="J77" s="31"/>
      <c r="K77" s="31"/>
      <c r="L77" s="31"/>
      <c r="M77" s="31"/>
      <c r="N77" s="13"/>
      <c r="O77" s="7"/>
      <c r="P77" s="7"/>
      <c r="Q77" s="7"/>
      <c r="R77" s="7"/>
      <c r="S77" s="7"/>
      <c r="T77" s="7"/>
      <c r="U77" s="7"/>
      <c r="V77" s="7"/>
      <c r="W77" s="7"/>
      <c r="X77" s="7"/>
      <c r="Y77" s="7"/>
    </row>
    <row r="78" spans="1:25" ht="15.75" customHeight="1">
      <c r="A78" s="29"/>
      <c r="B78" s="30"/>
      <c r="C78" s="30"/>
      <c r="D78" s="31"/>
      <c r="E78" s="31"/>
      <c r="F78" s="31"/>
      <c r="G78" s="31"/>
      <c r="H78" s="31"/>
      <c r="I78" s="31"/>
      <c r="J78" s="31"/>
      <c r="K78" s="31"/>
      <c r="L78" s="31"/>
      <c r="M78" s="31"/>
      <c r="N78" s="13"/>
      <c r="O78" s="7"/>
      <c r="P78" s="7"/>
      <c r="Q78" s="7"/>
      <c r="R78" s="7"/>
      <c r="S78" s="7"/>
      <c r="T78" s="7"/>
      <c r="U78" s="7"/>
      <c r="V78" s="7"/>
      <c r="W78" s="7"/>
      <c r="X78" s="7"/>
      <c r="Y78" s="7"/>
    </row>
    <row r="79" spans="1:25" ht="15.75" customHeight="1">
      <c r="A79" s="29"/>
      <c r="B79" s="30"/>
      <c r="C79" s="30"/>
      <c r="D79" s="31"/>
      <c r="E79" s="31"/>
      <c r="F79" s="31"/>
      <c r="G79" s="31"/>
      <c r="H79" s="31"/>
      <c r="I79" s="31"/>
      <c r="J79" s="31"/>
      <c r="K79" s="31"/>
      <c r="L79" s="31"/>
      <c r="M79" s="31"/>
      <c r="N79" s="13"/>
      <c r="O79" s="7"/>
      <c r="P79" s="7"/>
      <c r="Q79" s="7"/>
      <c r="R79" s="7"/>
      <c r="S79" s="7"/>
      <c r="T79" s="7"/>
      <c r="U79" s="7"/>
      <c r="V79" s="7"/>
      <c r="W79" s="7"/>
      <c r="X79" s="7"/>
      <c r="Y79" s="7"/>
    </row>
    <row r="80" spans="1:25" ht="15.75" customHeight="1">
      <c r="A80" s="29"/>
      <c r="B80" s="30"/>
      <c r="C80" s="30"/>
      <c r="D80" s="31"/>
      <c r="E80" s="31"/>
      <c r="F80" s="31"/>
      <c r="G80" s="31"/>
      <c r="H80" s="31"/>
      <c r="I80" s="31"/>
      <c r="J80" s="31"/>
      <c r="K80" s="31"/>
      <c r="L80" s="31"/>
      <c r="M80" s="31"/>
      <c r="N80" s="13"/>
      <c r="O80" s="7"/>
      <c r="P80" s="7"/>
      <c r="Q80" s="7"/>
      <c r="R80" s="7"/>
      <c r="S80" s="7"/>
      <c r="T80" s="7"/>
      <c r="U80" s="7"/>
      <c r="V80" s="7"/>
      <c r="W80" s="7"/>
      <c r="X80" s="7"/>
      <c r="Y80" s="7"/>
    </row>
    <row r="81" spans="1:25" ht="15.75" customHeight="1">
      <c r="A81" s="29"/>
      <c r="B81" s="30"/>
      <c r="C81" s="30"/>
      <c r="D81" s="31"/>
      <c r="E81" s="31"/>
      <c r="F81" s="31"/>
      <c r="G81" s="31"/>
      <c r="H81" s="31"/>
      <c r="I81" s="31"/>
      <c r="J81" s="31"/>
      <c r="K81" s="31"/>
      <c r="L81" s="31"/>
      <c r="M81" s="31"/>
      <c r="N81" s="13"/>
      <c r="O81" s="7"/>
      <c r="P81" s="7"/>
      <c r="Q81" s="7"/>
      <c r="R81" s="7"/>
      <c r="S81" s="7"/>
      <c r="T81" s="7"/>
      <c r="U81" s="7"/>
      <c r="V81" s="7"/>
      <c r="W81" s="7"/>
      <c r="X81" s="7"/>
      <c r="Y81" s="7"/>
    </row>
    <row r="82" spans="1:25" ht="15.75" customHeight="1">
      <c r="A82" s="29"/>
      <c r="B82" s="30"/>
      <c r="C82" s="30"/>
      <c r="D82" s="31"/>
      <c r="E82" s="31"/>
      <c r="F82" s="31"/>
      <c r="G82" s="31"/>
      <c r="H82" s="31"/>
      <c r="I82" s="31"/>
      <c r="J82" s="31"/>
      <c r="K82" s="31"/>
      <c r="L82" s="31"/>
      <c r="M82" s="31"/>
      <c r="N82" s="13"/>
      <c r="O82" s="7"/>
      <c r="P82" s="7"/>
      <c r="Q82" s="7"/>
      <c r="R82" s="7"/>
      <c r="S82" s="7"/>
      <c r="T82" s="7"/>
      <c r="U82" s="7"/>
      <c r="V82" s="7"/>
      <c r="W82" s="7"/>
      <c r="X82" s="7"/>
      <c r="Y82" s="7"/>
    </row>
    <row r="83" spans="1:25" ht="15.75" customHeight="1">
      <c r="A83" s="29"/>
      <c r="B83" s="30"/>
      <c r="C83" s="30"/>
      <c r="D83" s="31"/>
      <c r="E83" s="31"/>
      <c r="F83" s="31"/>
      <c r="G83" s="31"/>
      <c r="H83" s="31"/>
      <c r="I83" s="31"/>
      <c r="J83" s="31"/>
      <c r="K83" s="31"/>
      <c r="L83" s="31"/>
      <c r="M83" s="31"/>
      <c r="N83" s="13"/>
      <c r="O83" s="7"/>
      <c r="P83" s="7"/>
      <c r="Q83" s="7"/>
      <c r="R83" s="7"/>
      <c r="S83" s="7"/>
      <c r="T83" s="7"/>
      <c r="U83" s="7"/>
      <c r="V83" s="7"/>
      <c r="W83" s="7"/>
      <c r="X83" s="7"/>
      <c r="Y83" s="7"/>
    </row>
    <row r="84" spans="1:25" ht="15.75" customHeight="1">
      <c r="A84" s="29"/>
      <c r="B84" s="30"/>
      <c r="C84" s="30"/>
      <c r="D84" s="31"/>
      <c r="E84" s="31"/>
      <c r="F84" s="31"/>
      <c r="G84" s="31"/>
      <c r="H84" s="31"/>
      <c r="I84" s="31"/>
      <c r="J84" s="31"/>
      <c r="K84" s="31"/>
      <c r="L84" s="31"/>
      <c r="M84" s="31"/>
      <c r="N84" s="13"/>
      <c r="O84" s="7"/>
      <c r="P84" s="7"/>
      <c r="Q84" s="7"/>
      <c r="R84" s="7"/>
      <c r="S84" s="7"/>
      <c r="T84" s="7"/>
      <c r="U84" s="7"/>
      <c r="V84" s="7"/>
      <c r="W84" s="7"/>
      <c r="X84" s="7"/>
      <c r="Y84" s="7"/>
    </row>
    <row r="85" spans="1:25" ht="15.75" customHeight="1">
      <c r="A85" s="29"/>
      <c r="B85" s="30"/>
      <c r="C85" s="30"/>
      <c r="D85" s="31"/>
      <c r="E85" s="31"/>
      <c r="F85" s="31"/>
      <c r="G85" s="31"/>
      <c r="H85" s="31"/>
      <c r="I85" s="31"/>
      <c r="J85" s="31"/>
      <c r="K85" s="31"/>
      <c r="L85" s="31"/>
      <c r="M85" s="31"/>
      <c r="N85" s="13"/>
      <c r="O85" s="7"/>
      <c r="P85" s="7"/>
      <c r="Q85" s="7"/>
      <c r="R85" s="7"/>
      <c r="S85" s="7"/>
      <c r="T85" s="7"/>
      <c r="U85" s="7"/>
      <c r="V85" s="7"/>
      <c r="W85" s="7"/>
      <c r="X85" s="7"/>
      <c r="Y85" s="7"/>
    </row>
    <row r="86" spans="1:25" ht="15.75" customHeight="1">
      <c r="A86" s="29"/>
      <c r="B86" s="30"/>
      <c r="C86" s="30"/>
      <c r="D86" s="31"/>
      <c r="E86" s="31"/>
      <c r="F86" s="31"/>
      <c r="G86" s="31"/>
      <c r="H86" s="31"/>
      <c r="I86" s="31"/>
      <c r="J86" s="31"/>
      <c r="K86" s="31"/>
      <c r="L86" s="31"/>
      <c r="M86" s="31"/>
      <c r="N86" s="13"/>
      <c r="O86" s="7"/>
      <c r="P86" s="7"/>
      <c r="Q86" s="7"/>
      <c r="R86" s="7"/>
      <c r="S86" s="7"/>
      <c r="T86" s="7"/>
      <c r="U86" s="7"/>
      <c r="V86" s="7"/>
      <c r="W86" s="7"/>
      <c r="X86" s="7"/>
      <c r="Y86" s="7"/>
    </row>
    <row r="87" spans="1:25" ht="15.75" customHeight="1">
      <c r="A87" s="29"/>
      <c r="B87" s="30"/>
      <c r="C87" s="30"/>
      <c r="D87" s="31"/>
      <c r="E87" s="31"/>
      <c r="F87" s="31"/>
      <c r="G87" s="31"/>
      <c r="H87" s="31"/>
      <c r="I87" s="31"/>
      <c r="J87" s="31"/>
      <c r="K87" s="31"/>
      <c r="L87" s="31"/>
      <c r="M87" s="31"/>
      <c r="N87" s="13"/>
      <c r="O87" s="7"/>
      <c r="P87" s="7"/>
      <c r="Q87" s="7"/>
      <c r="R87" s="7"/>
      <c r="S87" s="7"/>
      <c r="T87" s="7"/>
      <c r="U87" s="7"/>
      <c r="V87" s="7"/>
      <c r="W87" s="7"/>
      <c r="X87" s="7"/>
      <c r="Y87" s="7"/>
    </row>
    <row r="88" spans="1:25" ht="15.75" customHeight="1">
      <c r="A88" s="29"/>
      <c r="B88" s="30"/>
      <c r="C88" s="30"/>
      <c r="D88" s="31"/>
      <c r="E88" s="31"/>
      <c r="F88" s="31"/>
      <c r="G88" s="31"/>
      <c r="H88" s="31"/>
      <c r="I88" s="31"/>
      <c r="J88" s="31"/>
      <c r="K88" s="31"/>
      <c r="L88" s="31"/>
      <c r="M88" s="31"/>
      <c r="N88" s="13"/>
      <c r="O88" s="7"/>
      <c r="P88" s="7"/>
      <c r="Q88" s="7"/>
      <c r="R88" s="7"/>
      <c r="S88" s="7"/>
      <c r="T88" s="7"/>
      <c r="U88" s="7"/>
      <c r="V88" s="7"/>
      <c r="W88" s="7"/>
      <c r="X88" s="7"/>
      <c r="Y88" s="7"/>
    </row>
    <row r="89" spans="1:25" ht="15.75" customHeight="1">
      <c r="A89" s="29"/>
      <c r="B89" s="30"/>
      <c r="C89" s="30"/>
      <c r="D89" s="31"/>
      <c r="E89" s="31"/>
      <c r="F89" s="31"/>
      <c r="G89" s="31"/>
      <c r="H89" s="31"/>
      <c r="I89" s="31"/>
      <c r="J89" s="31"/>
      <c r="K89" s="31"/>
      <c r="L89" s="31"/>
      <c r="M89" s="31"/>
      <c r="N89" s="13"/>
      <c r="O89" s="7"/>
      <c r="P89" s="7"/>
      <c r="Q89" s="7"/>
      <c r="R89" s="7"/>
      <c r="S89" s="7"/>
      <c r="T89" s="7"/>
      <c r="U89" s="7"/>
      <c r="V89" s="7"/>
      <c r="W89" s="7"/>
      <c r="X89" s="7"/>
      <c r="Y89" s="7"/>
    </row>
    <row r="90" spans="1:25" ht="15.75" customHeight="1">
      <c r="A90" s="29"/>
      <c r="B90" s="30"/>
      <c r="C90" s="30"/>
      <c r="D90" s="31"/>
      <c r="E90" s="31"/>
      <c r="F90" s="31"/>
      <c r="G90" s="31"/>
      <c r="H90" s="31"/>
      <c r="I90" s="31"/>
      <c r="J90" s="31"/>
      <c r="K90" s="31"/>
      <c r="L90" s="31"/>
      <c r="M90" s="31"/>
      <c r="N90" s="13"/>
      <c r="O90" s="7"/>
      <c r="P90" s="7"/>
      <c r="Q90" s="7"/>
      <c r="R90" s="7"/>
      <c r="S90" s="7"/>
      <c r="T90" s="7"/>
      <c r="U90" s="7"/>
      <c r="V90" s="7"/>
      <c r="W90" s="7"/>
      <c r="X90" s="7"/>
      <c r="Y90" s="7"/>
    </row>
    <row r="91" spans="1:25" ht="15.75" customHeight="1">
      <c r="A91" s="29"/>
      <c r="B91" s="30"/>
      <c r="C91" s="30"/>
      <c r="D91" s="31"/>
      <c r="E91" s="31"/>
      <c r="F91" s="31"/>
      <c r="G91" s="31"/>
      <c r="H91" s="31"/>
      <c r="I91" s="31"/>
      <c r="J91" s="31"/>
      <c r="K91" s="31"/>
      <c r="L91" s="31"/>
      <c r="M91" s="31"/>
      <c r="N91" s="13"/>
      <c r="O91" s="7"/>
      <c r="P91" s="7"/>
      <c r="Q91" s="7"/>
      <c r="R91" s="7"/>
      <c r="S91" s="7"/>
      <c r="T91" s="7"/>
      <c r="U91" s="7"/>
      <c r="V91" s="7"/>
      <c r="W91" s="7"/>
      <c r="X91" s="7"/>
      <c r="Y91" s="7"/>
    </row>
    <row r="92" spans="1:25" ht="15.75" customHeight="1">
      <c r="A92" s="29"/>
      <c r="B92" s="30"/>
      <c r="C92" s="30"/>
      <c r="D92" s="31"/>
      <c r="E92" s="31"/>
      <c r="F92" s="31"/>
      <c r="G92" s="31"/>
      <c r="H92" s="31"/>
      <c r="I92" s="31"/>
      <c r="J92" s="31"/>
      <c r="K92" s="31"/>
      <c r="L92" s="31"/>
      <c r="M92" s="31"/>
      <c r="N92" s="13"/>
      <c r="O92" s="7"/>
      <c r="P92" s="7"/>
      <c r="Q92" s="7"/>
      <c r="R92" s="7"/>
      <c r="S92" s="7"/>
      <c r="T92" s="7"/>
      <c r="U92" s="7"/>
      <c r="V92" s="7"/>
      <c r="W92" s="7"/>
      <c r="X92" s="7"/>
      <c r="Y92" s="7"/>
    </row>
    <row r="93" spans="1:25" ht="15.75" customHeight="1">
      <c r="A93" s="29"/>
      <c r="B93" s="30"/>
      <c r="C93" s="30"/>
      <c r="D93" s="31"/>
      <c r="E93" s="31"/>
      <c r="F93" s="31"/>
      <c r="G93" s="31"/>
      <c r="H93" s="31"/>
      <c r="I93" s="31"/>
      <c r="J93" s="31"/>
      <c r="K93" s="31"/>
      <c r="L93" s="31"/>
      <c r="M93" s="31"/>
      <c r="N93" s="13"/>
      <c r="O93" s="7"/>
      <c r="P93" s="7"/>
      <c r="Q93" s="7"/>
      <c r="R93" s="7"/>
      <c r="S93" s="7"/>
      <c r="T93" s="7"/>
      <c r="U93" s="7"/>
      <c r="V93" s="7"/>
      <c r="W93" s="7"/>
      <c r="X93" s="7"/>
      <c r="Y93" s="7"/>
    </row>
    <row r="94" spans="1:25" ht="15.75" customHeight="1">
      <c r="A94" s="29"/>
      <c r="B94" s="30"/>
      <c r="C94" s="30"/>
      <c r="D94" s="31"/>
      <c r="E94" s="31"/>
      <c r="F94" s="31"/>
      <c r="G94" s="31"/>
      <c r="H94" s="31"/>
      <c r="I94" s="31"/>
      <c r="J94" s="31"/>
      <c r="K94" s="31"/>
      <c r="L94" s="31"/>
      <c r="M94" s="31"/>
      <c r="N94" s="13"/>
      <c r="O94" s="7"/>
      <c r="P94" s="7"/>
      <c r="Q94" s="7"/>
      <c r="R94" s="7"/>
      <c r="S94" s="7"/>
      <c r="T94" s="7"/>
      <c r="U94" s="7"/>
      <c r="V94" s="7"/>
      <c r="W94" s="7"/>
      <c r="X94" s="7"/>
      <c r="Y94" s="7"/>
    </row>
    <row r="95" spans="1:25" ht="15.75" customHeight="1">
      <c r="A95" s="29"/>
      <c r="B95" s="30"/>
      <c r="C95" s="30"/>
      <c r="D95" s="31"/>
      <c r="E95" s="31"/>
      <c r="F95" s="31"/>
      <c r="G95" s="31"/>
      <c r="H95" s="31"/>
      <c r="I95" s="31"/>
      <c r="J95" s="31"/>
      <c r="K95" s="31"/>
      <c r="L95" s="31"/>
      <c r="M95" s="31"/>
      <c r="N95" s="13"/>
      <c r="O95" s="7"/>
      <c r="P95" s="7"/>
      <c r="Q95" s="7"/>
      <c r="R95" s="7"/>
      <c r="S95" s="7"/>
      <c r="T95" s="7"/>
      <c r="U95" s="7"/>
      <c r="V95" s="7"/>
      <c r="W95" s="7"/>
      <c r="X95" s="7"/>
      <c r="Y95" s="7"/>
    </row>
    <row r="96" spans="1:25" ht="15.75" customHeight="1">
      <c r="A96" s="29"/>
      <c r="B96" s="30"/>
      <c r="C96" s="30"/>
      <c r="D96" s="31"/>
      <c r="E96" s="31"/>
      <c r="F96" s="31"/>
      <c r="G96" s="31"/>
      <c r="H96" s="31"/>
      <c r="I96" s="31"/>
      <c r="J96" s="31"/>
      <c r="K96" s="31"/>
      <c r="L96" s="31"/>
      <c r="M96" s="31"/>
      <c r="N96" s="13"/>
      <c r="O96" s="7"/>
      <c r="P96" s="7"/>
      <c r="Q96" s="7"/>
      <c r="R96" s="7"/>
      <c r="S96" s="7"/>
      <c r="T96" s="7"/>
      <c r="U96" s="7"/>
      <c r="V96" s="7"/>
      <c r="W96" s="7"/>
      <c r="X96" s="7"/>
      <c r="Y96" s="7"/>
    </row>
    <row r="97" spans="1:25" ht="15.75" customHeight="1">
      <c r="A97" s="29"/>
      <c r="B97" s="30"/>
      <c r="C97" s="30"/>
      <c r="D97" s="31"/>
      <c r="E97" s="31"/>
      <c r="F97" s="31"/>
      <c r="G97" s="31"/>
      <c r="H97" s="31"/>
      <c r="I97" s="31"/>
      <c r="J97" s="31"/>
      <c r="K97" s="31"/>
      <c r="L97" s="31"/>
      <c r="M97" s="31"/>
      <c r="N97" s="13"/>
      <c r="O97" s="7"/>
      <c r="P97" s="7"/>
      <c r="Q97" s="7"/>
      <c r="R97" s="7"/>
      <c r="S97" s="7"/>
      <c r="T97" s="7"/>
      <c r="U97" s="7"/>
      <c r="V97" s="7"/>
      <c r="W97" s="7"/>
      <c r="X97" s="7"/>
      <c r="Y97" s="7"/>
    </row>
    <row r="98" spans="1:25" ht="15.75" customHeight="1">
      <c r="A98" s="29"/>
      <c r="B98" s="30"/>
      <c r="C98" s="30"/>
      <c r="D98" s="31"/>
      <c r="E98" s="31"/>
      <c r="F98" s="31"/>
      <c r="G98" s="31"/>
      <c r="H98" s="31"/>
      <c r="I98" s="31"/>
      <c r="J98" s="31"/>
      <c r="K98" s="31"/>
      <c r="L98" s="31"/>
      <c r="M98" s="31"/>
      <c r="N98" s="13"/>
      <c r="O98" s="7"/>
      <c r="P98" s="7"/>
      <c r="Q98" s="7"/>
      <c r="R98" s="7"/>
      <c r="S98" s="7"/>
      <c r="T98" s="7"/>
      <c r="U98" s="7"/>
      <c r="V98" s="7"/>
      <c r="W98" s="7"/>
      <c r="X98" s="7"/>
      <c r="Y98" s="7"/>
    </row>
    <row r="99" spans="1:25" ht="15.75" customHeight="1">
      <c r="A99" s="29"/>
      <c r="B99" s="30"/>
      <c r="C99" s="30"/>
      <c r="D99" s="31"/>
      <c r="E99" s="31"/>
      <c r="F99" s="31"/>
      <c r="G99" s="31"/>
      <c r="H99" s="31"/>
      <c r="I99" s="31"/>
      <c r="J99" s="31"/>
      <c r="K99" s="31"/>
      <c r="L99" s="31"/>
      <c r="M99" s="31"/>
      <c r="N99" s="13"/>
      <c r="O99" s="7"/>
      <c r="P99" s="7"/>
      <c r="Q99" s="7"/>
      <c r="R99" s="7"/>
      <c r="S99" s="7"/>
      <c r="T99" s="7"/>
      <c r="U99" s="7"/>
      <c r="V99" s="7"/>
      <c r="W99" s="7"/>
      <c r="X99" s="7"/>
      <c r="Y99" s="7"/>
    </row>
    <row r="100" spans="1:25" ht="15.75" customHeight="1">
      <c r="A100" s="29"/>
      <c r="B100" s="30"/>
      <c r="C100" s="30"/>
      <c r="D100" s="31"/>
      <c r="E100" s="31"/>
      <c r="F100" s="31"/>
      <c r="G100" s="31"/>
      <c r="H100" s="31"/>
      <c r="I100" s="31"/>
      <c r="J100" s="31"/>
      <c r="K100" s="31"/>
      <c r="L100" s="31"/>
      <c r="M100" s="31"/>
      <c r="N100" s="13"/>
      <c r="O100" s="7"/>
      <c r="P100" s="7"/>
      <c r="Q100" s="7"/>
      <c r="R100" s="7"/>
      <c r="S100" s="7"/>
      <c r="T100" s="7"/>
      <c r="U100" s="7"/>
      <c r="V100" s="7"/>
      <c r="W100" s="7"/>
      <c r="X100" s="7"/>
      <c r="Y100" s="7"/>
    </row>
    <row r="101" spans="1:25" ht="15.75" customHeight="1">
      <c r="A101" s="29"/>
      <c r="B101" s="30"/>
      <c r="C101" s="30"/>
      <c r="D101" s="31"/>
      <c r="E101" s="31"/>
      <c r="F101" s="31"/>
      <c r="G101" s="31"/>
      <c r="H101" s="31"/>
      <c r="I101" s="31"/>
      <c r="J101" s="31"/>
      <c r="K101" s="31"/>
      <c r="L101" s="31"/>
      <c r="M101" s="31"/>
      <c r="N101" s="13"/>
      <c r="O101" s="7"/>
      <c r="P101" s="7"/>
      <c r="Q101" s="7"/>
      <c r="R101" s="7"/>
      <c r="S101" s="7"/>
      <c r="T101" s="7"/>
      <c r="U101" s="7"/>
      <c r="V101" s="7"/>
      <c r="W101" s="7"/>
      <c r="X101" s="7"/>
      <c r="Y101" s="7"/>
    </row>
    <row r="102" spans="1:25" ht="15.75" customHeight="1">
      <c r="A102" s="29"/>
      <c r="B102" s="30"/>
      <c r="C102" s="30"/>
      <c r="D102" s="31"/>
      <c r="E102" s="31"/>
      <c r="F102" s="31"/>
      <c r="G102" s="31"/>
      <c r="H102" s="31"/>
      <c r="I102" s="31"/>
      <c r="J102" s="31"/>
      <c r="K102" s="31"/>
      <c r="L102" s="31"/>
      <c r="M102" s="31"/>
      <c r="N102" s="13"/>
      <c r="O102" s="7"/>
      <c r="P102" s="7"/>
      <c r="Q102" s="7"/>
      <c r="R102" s="7"/>
      <c r="S102" s="7"/>
      <c r="T102" s="7"/>
      <c r="U102" s="7"/>
      <c r="V102" s="7"/>
      <c r="W102" s="7"/>
      <c r="X102" s="7"/>
      <c r="Y102" s="7"/>
    </row>
    <row r="103" spans="1:25" ht="15.75" customHeight="1">
      <c r="A103" s="29"/>
      <c r="B103" s="30"/>
      <c r="C103" s="30"/>
      <c r="D103" s="31"/>
      <c r="E103" s="31"/>
      <c r="F103" s="31"/>
      <c r="G103" s="31"/>
      <c r="H103" s="31"/>
      <c r="I103" s="31"/>
      <c r="J103" s="31"/>
      <c r="K103" s="31"/>
      <c r="L103" s="31"/>
      <c r="M103" s="31"/>
      <c r="N103" s="13"/>
      <c r="O103" s="7"/>
      <c r="P103" s="7"/>
      <c r="Q103" s="7"/>
      <c r="R103" s="7"/>
      <c r="S103" s="7"/>
      <c r="T103" s="7"/>
      <c r="U103" s="7"/>
      <c r="V103" s="7"/>
      <c r="W103" s="7"/>
      <c r="X103" s="7"/>
      <c r="Y103" s="7"/>
    </row>
    <row r="104" spans="1:25" ht="15.75" customHeight="1">
      <c r="A104" s="29"/>
      <c r="B104" s="30"/>
      <c r="C104" s="30"/>
      <c r="D104" s="31"/>
      <c r="E104" s="31"/>
      <c r="F104" s="31"/>
      <c r="G104" s="31"/>
      <c r="H104" s="31"/>
      <c r="I104" s="31"/>
      <c r="J104" s="31"/>
      <c r="K104" s="31"/>
      <c r="L104" s="31"/>
      <c r="M104" s="31"/>
      <c r="N104" s="13"/>
      <c r="O104" s="7"/>
      <c r="P104" s="7"/>
      <c r="Q104" s="7"/>
      <c r="R104" s="7"/>
      <c r="S104" s="7"/>
      <c r="T104" s="7"/>
      <c r="U104" s="7"/>
      <c r="V104" s="7"/>
      <c r="W104" s="7"/>
      <c r="X104" s="7"/>
      <c r="Y104" s="7"/>
    </row>
    <row r="105" spans="1:25" ht="15.75" customHeight="1">
      <c r="A105" s="29"/>
      <c r="B105" s="30"/>
      <c r="C105" s="30"/>
      <c r="D105" s="31"/>
      <c r="E105" s="31"/>
      <c r="F105" s="31"/>
      <c r="G105" s="31"/>
      <c r="H105" s="31"/>
      <c r="I105" s="31"/>
      <c r="J105" s="31"/>
      <c r="K105" s="31"/>
      <c r="L105" s="31"/>
      <c r="M105" s="31"/>
      <c r="N105" s="13"/>
      <c r="O105" s="7"/>
      <c r="P105" s="7"/>
      <c r="Q105" s="7"/>
      <c r="R105" s="7"/>
      <c r="S105" s="7"/>
      <c r="T105" s="7"/>
      <c r="U105" s="7"/>
      <c r="V105" s="7"/>
      <c r="W105" s="7"/>
      <c r="X105" s="7"/>
      <c r="Y105" s="7"/>
    </row>
    <row r="106" spans="1:25" ht="15.75" customHeight="1">
      <c r="A106" s="29"/>
      <c r="B106" s="30"/>
      <c r="C106" s="30"/>
      <c r="D106" s="31"/>
      <c r="E106" s="31"/>
      <c r="F106" s="31"/>
      <c r="G106" s="31"/>
      <c r="H106" s="31"/>
      <c r="I106" s="31"/>
      <c r="J106" s="31"/>
      <c r="K106" s="31"/>
      <c r="L106" s="31"/>
      <c r="M106" s="31"/>
      <c r="N106" s="13"/>
      <c r="O106" s="7"/>
      <c r="P106" s="7"/>
      <c r="Q106" s="7"/>
      <c r="R106" s="7"/>
      <c r="S106" s="7"/>
      <c r="T106" s="7"/>
      <c r="U106" s="7"/>
      <c r="V106" s="7"/>
      <c r="W106" s="7"/>
      <c r="X106" s="7"/>
      <c r="Y106" s="7"/>
    </row>
    <row r="107" spans="1:25" ht="15.75" customHeight="1">
      <c r="A107" s="29"/>
      <c r="B107" s="30"/>
      <c r="C107" s="30"/>
      <c r="D107" s="31"/>
      <c r="E107" s="31"/>
      <c r="F107" s="31"/>
      <c r="G107" s="31"/>
      <c r="H107" s="31"/>
      <c r="I107" s="31"/>
      <c r="J107" s="31"/>
      <c r="K107" s="31"/>
      <c r="L107" s="31"/>
      <c r="M107" s="31"/>
      <c r="N107" s="13"/>
      <c r="O107" s="7"/>
      <c r="P107" s="7"/>
      <c r="Q107" s="7"/>
      <c r="R107" s="7"/>
      <c r="S107" s="7"/>
      <c r="T107" s="7"/>
      <c r="U107" s="7"/>
      <c r="V107" s="7"/>
      <c r="W107" s="7"/>
      <c r="X107" s="7"/>
      <c r="Y107" s="7"/>
    </row>
    <row r="108" spans="1:25" ht="15.75" customHeight="1">
      <c r="A108" s="29"/>
      <c r="B108" s="30"/>
      <c r="C108" s="30"/>
      <c r="D108" s="31"/>
      <c r="E108" s="31"/>
      <c r="F108" s="31"/>
      <c r="G108" s="31"/>
      <c r="H108" s="31"/>
      <c r="I108" s="31"/>
      <c r="J108" s="31"/>
      <c r="K108" s="31"/>
      <c r="L108" s="31"/>
      <c r="M108" s="31"/>
      <c r="N108" s="13"/>
      <c r="O108" s="7"/>
      <c r="P108" s="7"/>
      <c r="Q108" s="7"/>
      <c r="R108" s="7"/>
      <c r="S108" s="7"/>
      <c r="T108" s="7"/>
      <c r="U108" s="7"/>
      <c r="V108" s="7"/>
      <c r="W108" s="7"/>
      <c r="X108" s="7"/>
      <c r="Y108" s="7"/>
    </row>
    <row r="109" spans="1:25" ht="15.75" customHeight="1">
      <c r="A109" s="29"/>
      <c r="B109" s="30"/>
      <c r="C109" s="30"/>
      <c r="D109" s="31"/>
      <c r="E109" s="31"/>
      <c r="F109" s="31"/>
      <c r="G109" s="31"/>
      <c r="H109" s="31"/>
      <c r="I109" s="31"/>
      <c r="J109" s="31"/>
      <c r="K109" s="31"/>
      <c r="L109" s="31"/>
      <c r="M109" s="31"/>
      <c r="N109" s="13"/>
      <c r="O109" s="7"/>
      <c r="P109" s="7"/>
      <c r="Q109" s="7"/>
      <c r="R109" s="7"/>
      <c r="S109" s="7"/>
      <c r="T109" s="7"/>
      <c r="U109" s="7"/>
      <c r="V109" s="7"/>
      <c r="W109" s="7"/>
      <c r="X109" s="7"/>
      <c r="Y109" s="7"/>
    </row>
    <row r="110" spans="1:25" ht="15.75" customHeight="1">
      <c r="A110" s="29"/>
      <c r="B110" s="30"/>
      <c r="C110" s="30"/>
      <c r="D110" s="31"/>
      <c r="E110" s="31"/>
      <c r="F110" s="31"/>
      <c r="G110" s="31"/>
      <c r="H110" s="31"/>
      <c r="I110" s="31"/>
      <c r="J110" s="31"/>
      <c r="K110" s="31"/>
      <c r="L110" s="31"/>
      <c r="M110" s="31"/>
      <c r="N110" s="13"/>
      <c r="O110" s="7"/>
      <c r="P110" s="7"/>
      <c r="Q110" s="7"/>
      <c r="R110" s="7"/>
      <c r="S110" s="7"/>
      <c r="T110" s="7"/>
      <c r="U110" s="7"/>
      <c r="V110" s="7"/>
      <c r="W110" s="7"/>
      <c r="X110" s="7"/>
      <c r="Y110" s="7"/>
    </row>
    <row r="111" spans="1:25" ht="15.75" customHeight="1">
      <c r="A111" s="29"/>
      <c r="B111" s="30"/>
      <c r="C111" s="30"/>
      <c r="D111" s="31"/>
      <c r="E111" s="31"/>
      <c r="F111" s="31"/>
      <c r="G111" s="31"/>
      <c r="H111" s="31"/>
      <c r="I111" s="31"/>
      <c r="J111" s="31"/>
      <c r="K111" s="31"/>
      <c r="L111" s="31"/>
      <c r="M111" s="31"/>
      <c r="N111" s="13"/>
      <c r="O111" s="7"/>
      <c r="P111" s="7"/>
      <c r="Q111" s="7"/>
      <c r="R111" s="7"/>
      <c r="S111" s="7"/>
      <c r="T111" s="7"/>
      <c r="U111" s="7"/>
      <c r="V111" s="7"/>
      <c r="W111" s="7"/>
      <c r="X111" s="7"/>
      <c r="Y111" s="7"/>
    </row>
    <row r="112" spans="1:25" ht="15.75" customHeight="1">
      <c r="A112" s="29"/>
      <c r="B112" s="30"/>
      <c r="C112" s="30"/>
      <c r="D112" s="31"/>
      <c r="E112" s="31"/>
      <c r="F112" s="31"/>
      <c r="G112" s="31"/>
      <c r="H112" s="31"/>
      <c r="I112" s="31"/>
      <c r="J112" s="31"/>
      <c r="K112" s="31"/>
      <c r="L112" s="31"/>
      <c r="M112" s="31"/>
      <c r="N112" s="13"/>
      <c r="O112" s="7"/>
      <c r="P112" s="7"/>
      <c r="Q112" s="7"/>
      <c r="R112" s="7"/>
      <c r="S112" s="7"/>
      <c r="T112" s="7"/>
      <c r="U112" s="7"/>
      <c r="V112" s="7"/>
      <c r="W112" s="7"/>
      <c r="X112" s="7"/>
      <c r="Y112" s="7"/>
    </row>
    <row r="113" spans="1:25" ht="15.75" customHeight="1">
      <c r="A113" s="29"/>
      <c r="B113" s="30"/>
      <c r="C113" s="30"/>
      <c r="D113" s="31"/>
      <c r="E113" s="31"/>
      <c r="F113" s="31"/>
      <c r="G113" s="31"/>
      <c r="H113" s="31"/>
      <c r="I113" s="31"/>
      <c r="J113" s="31"/>
      <c r="K113" s="31"/>
      <c r="L113" s="31"/>
      <c r="M113" s="31"/>
      <c r="N113" s="13"/>
      <c r="O113" s="7"/>
      <c r="P113" s="7"/>
      <c r="Q113" s="7"/>
      <c r="R113" s="7"/>
      <c r="S113" s="7"/>
      <c r="T113" s="7"/>
      <c r="U113" s="7"/>
      <c r="V113" s="7"/>
      <c r="W113" s="7"/>
      <c r="X113" s="7"/>
      <c r="Y113" s="7"/>
    </row>
    <row r="114" spans="1:25" ht="15.75" customHeight="1">
      <c r="A114" s="29"/>
      <c r="B114" s="30"/>
      <c r="C114" s="30"/>
      <c r="D114" s="31"/>
      <c r="E114" s="31"/>
      <c r="F114" s="31"/>
      <c r="G114" s="31"/>
      <c r="H114" s="31"/>
      <c r="I114" s="31"/>
      <c r="J114" s="31"/>
      <c r="K114" s="31"/>
      <c r="L114" s="31"/>
      <c r="M114" s="31"/>
      <c r="N114" s="13"/>
      <c r="O114" s="7"/>
      <c r="P114" s="7"/>
      <c r="Q114" s="7"/>
      <c r="R114" s="7"/>
      <c r="S114" s="7"/>
      <c r="T114" s="7"/>
      <c r="U114" s="7"/>
      <c r="V114" s="7"/>
      <c r="W114" s="7"/>
      <c r="X114" s="7"/>
      <c r="Y114" s="7"/>
    </row>
    <row r="115" spans="1:25" ht="15.75" customHeight="1">
      <c r="A115" s="29"/>
      <c r="B115" s="30"/>
      <c r="C115" s="30"/>
      <c r="D115" s="31"/>
      <c r="E115" s="31"/>
      <c r="F115" s="31"/>
      <c r="G115" s="31"/>
      <c r="H115" s="31"/>
      <c r="I115" s="31"/>
      <c r="J115" s="31"/>
      <c r="K115" s="31"/>
      <c r="L115" s="31"/>
      <c r="M115" s="31"/>
      <c r="N115" s="13"/>
      <c r="O115" s="7"/>
      <c r="P115" s="7"/>
      <c r="Q115" s="7"/>
      <c r="R115" s="7"/>
      <c r="S115" s="7"/>
      <c r="T115" s="7"/>
      <c r="U115" s="7"/>
      <c r="V115" s="7"/>
      <c r="W115" s="7"/>
      <c r="X115" s="7"/>
      <c r="Y115" s="7"/>
    </row>
    <row r="116" spans="1:25" ht="15.75" customHeight="1">
      <c r="A116" s="29"/>
      <c r="B116" s="30"/>
      <c r="C116" s="30"/>
      <c r="D116" s="31"/>
      <c r="E116" s="31"/>
      <c r="F116" s="31"/>
      <c r="G116" s="31"/>
      <c r="H116" s="31"/>
      <c r="I116" s="31"/>
      <c r="J116" s="31"/>
      <c r="K116" s="31"/>
      <c r="L116" s="31"/>
      <c r="M116" s="31"/>
      <c r="N116" s="13"/>
      <c r="O116" s="7"/>
      <c r="P116" s="7"/>
      <c r="Q116" s="7"/>
      <c r="R116" s="7"/>
      <c r="S116" s="7"/>
      <c r="T116" s="7"/>
      <c r="U116" s="7"/>
      <c r="V116" s="7"/>
      <c r="W116" s="7"/>
      <c r="X116" s="7"/>
      <c r="Y116" s="7"/>
    </row>
    <row r="117" spans="1:25" ht="15.75" customHeight="1">
      <c r="A117" s="29"/>
      <c r="B117" s="30"/>
      <c r="C117" s="30"/>
      <c r="D117" s="31"/>
      <c r="E117" s="31"/>
      <c r="F117" s="31"/>
      <c r="G117" s="31"/>
      <c r="H117" s="31"/>
      <c r="I117" s="31"/>
      <c r="J117" s="31"/>
      <c r="K117" s="31"/>
      <c r="L117" s="31"/>
      <c r="M117" s="31"/>
      <c r="N117" s="13"/>
      <c r="O117" s="7"/>
      <c r="P117" s="7"/>
      <c r="Q117" s="7"/>
      <c r="R117" s="7"/>
      <c r="S117" s="7"/>
      <c r="T117" s="7"/>
      <c r="U117" s="7"/>
      <c r="V117" s="7"/>
      <c r="W117" s="7"/>
      <c r="X117" s="7"/>
      <c r="Y117" s="7"/>
    </row>
    <row r="118" spans="1:25" ht="15.75" customHeight="1">
      <c r="A118" s="29"/>
      <c r="B118" s="30"/>
      <c r="C118" s="30"/>
      <c r="D118" s="31"/>
      <c r="E118" s="31"/>
      <c r="F118" s="31"/>
      <c r="G118" s="31"/>
      <c r="H118" s="31"/>
      <c r="I118" s="31"/>
      <c r="J118" s="31"/>
      <c r="K118" s="31"/>
      <c r="L118" s="31"/>
      <c r="M118" s="31"/>
      <c r="N118" s="13"/>
      <c r="O118" s="7"/>
      <c r="P118" s="7"/>
      <c r="Q118" s="7"/>
      <c r="R118" s="7"/>
      <c r="S118" s="7"/>
      <c r="T118" s="7"/>
      <c r="U118" s="7"/>
      <c r="V118" s="7"/>
      <c r="W118" s="7"/>
      <c r="X118" s="7"/>
      <c r="Y118" s="7"/>
    </row>
    <row r="119" spans="1:25" ht="15.75" customHeight="1">
      <c r="A119" s="29"/>
      <c r="B119" s="30"/>
      <c r="C119" s="30"/>
      <c r="D119" s="31"/>
      <c r="E119" s="31"/>
      <c r="F119" s="31"/>
      <c r="G119" s="31"/>
      <c r="H119" s="31"/>
      <c r="I119" s="31"/>
      <c r="J119" s="31"/>
      <c r="K119" s="31"/>
      <c r="L119" s="31"/>
      <c r="M119" s="31"/>
      <c r="N119" s="13"/>
      <c r="O119" s="7"/>
      <c r="P119" s="7"/>
      <c r="Q119" s="7"/>
      <c r="R119" s="7"/>
      <c r="S119" s="7"/>
      <c r="T119" s="7"/>
      <c r="U119" s="7"/>
      <c r="V119" s="7"/>
      <c r="W119" s="7"/>
      <c r="X119" s="7"/>
      <c r="Y119" s="7"/>
    </row>
    <row r="120" spans="1:25" ht="15.75" customHeight="1">
      <c r="A120" s="29"/>
      <c r="B120" s="30"/>
      <c r="C120" s="30"/>
      <c r="D120" s="31"/>
      <c r="E120" s="31"/>
      <c r="F120" s="31"/>
      <c r="G120" s="31"/>
      <c r="H120" s="31"/>
      <c r="I120" s="31"/>
      <c r="J120" s="31"/>
      <c r="K120" s="31"/>
      <c r="L120" s="31"/>
      <c r="M120" s="31"/>
      <c r="N120" s="13"/>
      <c r="O120" s="7"/>
      <c r="P120" s="7"/>
      <c r="Q120" s="7"/>
      <c r="R120" s="7"/>
      <c r="S120" s="7"/>
      <c r="T120" s="7"/>
      <c r="U120" s="7"/>
      <c r="V120" s="7"/>
      <c r="W120" s="7"/>
      <c r="X120" s="7"/>
      <c r="Y120" s="7"/>
    </row>
    <row r="121" spans="1:25" ht="15.75" customHeight="1">
      <c r="A121" s="29"/>
      <c r="B121" s="30"/>
      <c r="C121" s="30"/>
      <c r="D121" s="31"/>
      <c r="E121" s="31"/>
      <c r="F121" s="31"/>
      <c r="G121" s="31"/>
      <c r="H121" s="31"/>
      <c r="I121" s="31"/>
      <c r="J121" s="31"/>
      <c r="K121" s="31"/>
      <c r="L121" s="31"/>
      <c r="M121" s="31"/>
      <c r="N121" s="13"/>
      <c r="O121" s="7"/>
      <c r="P121" s="7"/>
      <c r="Q121" s="7"/>
      <c r="R121" s="7"/>
      <c r="S121" s="7"/>
      <c r="T121" s="7"/>
      <c r="U121" s="7"/>
      <c r="V121" s="7"/>
      <c r="W121" s="7"/>
      <c r="X121" s="7"/>
      <c r="Y121" s="7"/>
    </row>
    <row r="122" spans="1:25" ht="15.75" customHeight="1">
      <c r="A122" s="29"/>
      <c r="B122" s="30"/>
      <c r="C122" s="30"/>
      <c r="D122" s="31"/>
      <c r="E122" s="31"/>
      <c r="F122" s="31"/>
      <c r="G122" s="31"/>
      <c r="H122" s="31"/>
      <c r="I122" s="31"/>
      <c r="J122" s="31"/>
      <c r="K122" s="31"/>
      <c r="L122" s="31"/>
      <c r="M122" s="31"/>
      <c r="N122" s="13"/>
      <c r="O122" s="7"/>
      <c r="P122" s="7"/>
      <c r="Q122" s="7"/>
      <c r="R122" s="7"/>
      <c r="S122" s="7"/>
      <c r="T122" s="7"/>
      <c r="U122" s="7"/>
      <c r="V122" s="7"/>
      <c r="W122" s="7"/>
      <c r="X122" s="7"/>
      <c r="Y122" s="7"/>
    </row>
    <row r="123" spans="1:25" ht="15.75" customHeight="1">
      <c r="A123" s="29"/>
      <c r="B123" s="30"/>
      <c r="C123" s="30"/>
      <c r="D123" s="31"/>
      <c r="E123" s="31"/>
      <c r="F123" s="31"/>
      <c r="G123" s="31"/>
      <c r="H123" s="31"/>
      <c r="I123" s="31"/>
      <c r="J123" s="31"/>
      <c r="K123" s="31"/>
      <c r="L123" s="31"/>
      <c r="M123" s="31"/>
      <c r="N123" s="13"/>
      <c r="O123" s="7"/>
      <c r="P123" s="7"/>
      <c r="Q123" s="7"/>
      <c r="R123" s="7"/>
      <c r="S123" s="7"/>
      <c r="T123" s="7"/>
      <c r="U123" s="7"/>
      <c r="V123" s="7"/>
      <c r="W123" s="7"/>
      <c r="X123" s="7"/>
      <c r="Y123" s="7"/>
    </row>
    <row r="124" spans="1:25" ht="15.75" customHeight="1">
      <c r="A124" s="29"/>
      <c r="B124" s="30"/>
      <c r="C124" s="30"/>
      <c r="D124" s="31"/>
      <c r="E124" s="31"/>
      <c r="F124" s="31"/>
      <c r="G124" s="31"/>
      <c r="H124" s="31"/>
      <c r="I124" s="31"/>
      <c r="J124" s="31"/>
      <c r="K124" s="31"/>
      <c r="L124" s="31"/>
      <c r="M124" s="31"/>
      <c r="N124" s="13"/>
      <c r="O124" s="7"/>
      <c r="P124" s="7"/>
      <c r="Q124" s="7"/>
      <c r="R124" s="7"/>
      <c r="S124" s="7"/>
      <c r="T124" s="7"/>
      <c r="U124" s="7"/>
      <c r="V124" s="7"/>
      <c r="W124" s="7"/>
      <c r="X124" s="7"/>
      <c r="Y124" s="7"/>
    </row>
    <row r="125" spans="1:25" ht="15.75" customHeight="1">
      <c r="A125" s="29"/>
      <c r="B125" s="30"/>
      <c r="C125" s="30"/>
      <c r="D125" s="31"/>
      <c r="E125" s="31"/>
      <c r="F125" s="31"/>
      <c r="G125" s="31"/>
      <c r="H125" s="31"/>
      <c r="I125" s="31"/>
      <c r="J125" s="31"/>
      <c r="K125" s="31"/>
      <c r="L125" s="31"/>
      <c r="M125" s="31"/>
      <c r="N125" s="13"/>
      <c r="O125" s="7"/>
      <c r="P125" s="7"/>
      <c r="Q125" s="7"/>
      <c r="R125" s="7"/>
      <c r="S125" s="7"/>
      <c r="T125" s="7"/>
      <c r="U125" s="7"/>
      <c r="V125" s="7"/>
      <c r="W125" s="7"/>
      <c r="X125" s="7"/>
      <c r="Y125" s="7"/>
    </row>
    <row r="126" spans="1:25" ht="15.75" customHeight="1">
      <c r="A126" s="29"/>
      <c r="B126" s="30"/>
      <c r="C126" s="30"/>
      <c r="D126" s="31"/>
      <c r="E126" s="31"/>
      <c r="F126" s="31"/>
      <c r="G126" s="31"/>
      <c r="H126" s="31"/>
      <c r="I126" s="31"/>
      <c r="J126" s="31"/>
      <c r="K126" s="31"/>
      <c r="L126" s="31"/>
      <c r="M126" s="31"/>
      <c r="N126" s="13"/>
      <c r="O126" s="7"/>
      <c r="P126" s="7"/>
      <c r="Q126" s="7"/>
      <c r="R126" s="7"/>
      <c r="S126" s="7"/>
      <c r="T126" s="7"/>
      <c r="U126" s="7"/>
      <c r="V126" s="7"/>
      <c r="W126" s="7"/>
      <c r="X126" s="7"/>
      <c r="Y126" s="7"/>
    </row>
    <row r="127" spans="1:25" ht="15.75" customHeight="1">
      <c r="A127" s="29"/>
      <c r="B127" s="30"/>
      <c r="C127" s="30"/>
      <c r="D127" s="31"/>
      <c r="E127" s="31"/>
      <c r="F127" s="31"/>
      <c r="G127" s="31"/>
      <c r="H127" s="31"/>
      <c r="I127" s="31"/>
      <c r="J127" s="31"/>
      <c r="K127" s="31"/>
      <c r="L127" s="31"/>
      <c r="M127" s="31"/>
      <c r="N127" s="13"/>
      <c r="O127" s="7"/>
      <c r="P127" s="7"/>
      <c r="Q127" s="7"/>
      <c r="R127" s="7"/>
      <c r="S127" s="7"/>
      <c r="T127" s="7"/>
      <c r="U127" s="7"/>
      <c r="V127" s="7"/>
      <c r="W127" s="7"/>
      <c r="X127" s="7"/>
      <c r="Y127" s="7"/>
    </row>
    <row r="128" spans="1:25" ht="15.75" customHeight="1">
      <c r="A128" s="29"/>
      <c r="B128" s="30"/>
      <c r="C128" s="30"/>
      <c r="D128" s="31"/>
      <c r="E128" s="31"/>
      <c r="F128" s="31"/>
      <c r="G128" s="31"/>
      <c r="H128" s="31"/>
      <c r="I128" s="31"/>
      <c r="J128" s="31"/>
      <c r="K128" s="31"/>
      <c r="L128" s="31"/>
      <c r="M128" s="31"/>
      <c r="N128" s="13"/>
      <c r="O128" s="7"/>
      <c r="P128" s="7"/>
      <c r="Q128" s="7"/>
      <c r="R128" s="7"/>
      <c r="S128" s="7"/>
      <c r="T128" s="7"/>
      <c r="U128" s="7"/>
      <c r="V128" s="7"/>
      <c r="W128" s="7"/>
      <c r="X128" s="7"/>
      <c r="Y128" s="7"/>
    </row>
    <row r="129" spans="1:25" ht="15.75" customHeight="1">
      <c r="A129" s="29"/>
      <c r="B129" s="30"/>
      <c r="C129" s="30"/>
      <c r="D129" s="31"/>
      <c r="E129" s="31"/>
      <c r="F129" s="31"/>
      <c r="G129" s="31"/>
      <c r="H129" s="31"/>
      <c r="I129" s="31"/>
      <c r="J129" s="31"/>
      <c r="K129" s="31"/>
      <c r="L129" s="31"/>
      <c r="M129" s="31"/>
      <c r="N129" s="13"/>
      <c r="O129" s="7"/>
      <c r="P129" s="7"/>
      <c r="Q129" s="7"/>
      <c r="R129" s="7"/>
      <c r="S129" s="7"/>
      <c r="T129" s="7"/>
      <c r="U129" s="7"/>
      <c r="V129" s="7"/>
      <c r="W129" s="7"/>
      <c r="X129" s="7"/>
      <c r="Y129" s="7"/>
    </row>
    <row r="130" spans="1:25" ht="15.75" customHeight="1">
      <c r="A130" s="29"/>
      <c r="B130" s="30"/>
      <c r="C130" s="30"/>
      <c r="D130" s="31"/>
      <c r="E130" s="31"/>
      <c r="F130" s="31"/>
      <c r="G130" s="31"/>
      <c r="H130" s="31"/>
      <c r="I130" s="31"/>
      <c r="J130" s="31"/>
      <c r="K130" s="31"/>
      <c r="L130" s="31"/>
      <c r="M130" s="31"/>
      <c r="N130" s="13"/>
      <c r="O130" s="7"/>
      <c r="P130" s="7"/>
      <c r="Q130" s="7"/>
      <c r="R130" s="7"/>
      <c r="S130" s="7"/>
      <c r="T130" s="7"/>
      <c r="U130" s="7"/>
      <c r="V130" s="7"/>
      <c r="W130" s="7"/>
      <c r="X130" s="7"/>
      <c r="Y130" s="7"/>
    </row>
    <row r="131" spans="1:25" ht="15.75" customHeight="1">
      <c r="A131" s="29"/>
      <c r="B131" s="30"/>
      <c r="C131" s="30"/>
      <c r="D131" s="31"/>
      <c r="E131" s="31"/>
      <c r="F131" s="31"/>
      <c r="G131" s="31"/>
      <c r="H131" s="31"/>
      <c r="I131" s="31"/>
      <c r="J131" s="31"/>
      <c r="K131" s="31"/>
      <c r="L131" s="31"/>
      <c r="M131" s="31"/>
      <c r="N131" s="13"/>
      <c r="O131" s="7"/>
      <c r="P131" s="7"/>
      <c r="Q131" s="7"/>
      <c r="R131" s="7"/>
      <c r="S131" s="7"/>
      <c r="T131" s="7"/>
      <c r="U131" s="7"/>
      <c r="V131" s="7"/>
      <c r="W131" s="7"/>
      <c r="X131" s="7"/>
      <c r="Y131" s="7"/>
    </row>
    <row r="132" spans="1:25" ht="15.75" customHeight="1">
      <c r="A132" s="29"/>
      <c r="B132" s="30"/>
      <c r="C132" s="30"/>
      <c r="D132" s="31"/>
      <c r="E132" s="31"/>
      <c r="F132" s="31"/>
      <c r="G132" s="31"/>
      <c r="H132" s="31"/>
      <c r="I132" s="31"/>
      <c r="J132" s="31"/>
      <c r="K132" s="31"/>
      <c r="L132" s="31"/>
      <c r="M132" s="31"/>
      <c r="N132" s="13"/>
      <c r="O132" s="7"/>
      <c r="P132" s="7"/>
      <c r="Q132" s="7"/>
      <c r="R132" s="7"/>
      <c r="S132" s="7"/>
      <c r="T132" s="7"/>
      <c r="U132" s="7"/>
      <c r="V132" s="7"/>
      <c r="W132" s="7"/>
      <c r="X132" s="7"/>
      <c r="Y132" s="7"/>
    </row>
    <row r="133" spans="1:25" ht="15.75" customHeight="1">
      <c r="A133" s="29"/>
      <c r="B133" s="30"/>
      <c r="C133" s="30"/>
      <c r="D133" s="31"/>
      <c r="E133" s="31"/>
      <c r="F133" s="31"/>
      <c r="G133" s="31"/>
      <c r="H133" s="31"/>
      <c r="I133" s="31"/>
      <c r="J133" s="31"/>
      <c r="K133" s="31"/>
      <c r="L133" s="31"/>
      <c r="M133" s="31"/>
      <c r="N133" s="13"/>
      <c r="O133" s="7"/>
      <c r="P133" s="7"/>
      <c r="Q133" s="7"/>
      <c r="R133" s="7"/>
      <c r="S133" s="7"/>
      <c r="T133" s="7"/>
      <c r="U133" s="7"/>
      <c r="V133" s="7"/>
      <c r="W133" s="7"/>
      <c r="X133" s="7"/>
      <c r="Y133" s="7"/>
    </row>
    <row r="134" spans="1:25" ht="15.75" customHeight="1">
      <c r="A134" s="29"/>
      <c r="B134" s="30"/>
      <c r="C134" s="30"/>
      <c r="D134" s="31"/>
      <c r="E134" s="31"/>
      <c r="F134" s="31"/>
      <c r="G134" s="31"/>
      <c r="H134" s="31"/>
      <c r="I134" s="31"/>
      <c r="J134" s="31"/>
      <c r="K134" s="31"/>
      <c r="L134" s="31"/>
      <c r="M134" s="31"/>
      <c r="N134" s="13"/>
      <c r="O134" s="7"/>
      <c r="P134" s="7"/>
      <c r="Q134" s="7"/>
      <c r="R134" s="7"/>
      <c r="S134" s="7"/>
      <c r="T134" s="7"/>
      <c r="U134" s="7"/>
      <c r="V134" s="7"/>
      <c r="W134" s="7"/>
      <c r="X134" s="7"/>
      <c r="Y134" s="7"/>
    </row>
    <row r="135" spans="1:25" ht="15.75" customHeight="1">
      <c r="A135" s="29"/>
      <c r="B135" s="30"/>
      <c r="C135" s="30"/>
      <c r="D135" s="31"/>
      <c r="E135" s="31"/>
      <c r="F135" s="31"/>
      <c r="G135" s="31"/>
      <c r="H135" s="31"/>
      <c r="I135" s="31"/>
      <c r="J135" s="31"/>
      <c r="K135" s="31"/>
      <c r="L135" s="31"/>
      <c r="M135" s="31"/>
      <c r="N135" s="13"/>
      <c r="O135" s="7"/>
      <c r="P135" s="7"/>
      <c r="Q135" s="7"/>
      <c r="R135" s="7"/>
      <c r="S135" s="7"/>
      <c r="T135" s="7"/>
      <c r="U135" s="7"/>
      <c r="V135" s="7"/>
      <c r="W135" s="7"/>
      <c r="X135" s="7"/>
      <c r="Y135" s="7"/>
    </row>
    <row r="136" spans="1:25" ht="15.75" customHeight="1">
      <c r="A136" s="29"/>
      <c r="B136" s="30"/>
      <c r="C136" s="30"/>
      <c r="D136" s="31"/>
      <c r="E136" s="31"/>
      <c r="F136" s="31"/>
      <c r="G136" s="31"/>
      <c r="H136" s="31"/>
      <c r="I136" s="31"/>
      <c r="J136" s="31"/>
      <c r="K136" s="31"/>
      <c r="L136" s="31"/>
      <c r="M136" s="31"/>
      <c r="N136" s="13"/>
      <c r="O136" s="7"/>
      <c r="P136" s="7"/>
      <c r="Q136" s="7"/>
      <c r="R136" s="7"/>
      <c r="S136" s="7"/>
      <c r="T136" s="7"/>
      <c r="U136" s="7"/>
      <c r="V136" s="7"/>
      <c r="W136" s="7"/>
      <c r="X136" s="7"/>
      <c r="Y136" s="7"/>
    </row>
    <row r="137" spans="1:25" ht="15.75" customHeight="1">
      <c r="A137" s="29"/>
      <c r="B137" s="30"/>
      <c r="C137" s="30"/>
      <c r="D137" s="31"/>
      <c r="E137" s="31"/>
      <c r="F137" s="31"/>
      <c r="G137" s="31"/>
      <c r="H137" s="31"/>
      <c r="I137" s="31"/>
      <c r="J137" s="31"/>
      <c r="K137" s="31"/>
      <c r="L137" s="31"/>
      <c r="M137" s="31"/>
      <c r="N137" s="13"/>
      <c r="O137" s="7"/>
      <c r="P137" s="7"/>
      <c r="Q137" s="7"/>
      <c r="R137" s="7"/>
      <c r="S137" s="7"/>
      <c r="T137" s="7"/>
      <c r="U137" s="7"/>
      <c r="V137" s="7"/>
      <c r="W137" s="7"/>
      <c r="X137" s="7"/>
      <c r="Y137" s="7"/>
    </row>
    <row r="138" spans="1:25" ht="15.75" customHeight="1">
      <c r="A138" s="29"/>
      <c r="B138" s="30"/>
      <c r="C138" s="30"/>
      <c r="D138" s="31"/>
      <c r="E138" s="31"/>
      <c r="F138" s="31"/>
      <c r="G138" s="31"/>
      <c r="H138" s="31"/>
      <c r="I138" s="31"/>
      <c r="J138" s="31"/>
      <c r="K138" s="31"/>
      <c r="L138" s="31"/>
      <c r="M138" s="31"/>
      <c r="N138" s="13"/>
      <c r="O138" s="7"/>
      <c r="P138" s="7"/>
      <c r="Q138" s="7"/>
      <c r="R138" s="7"/>
      <c r="S138" s="7"/>
      <c r="T138" s="7"/>
      <c r="U138" s="7"/>
      <c r="V138" s="7"/>
      <c r="W138" s="7"/>
      <c r="X138" s="7"/>
      <c r="Y138" s="7"/>
    </row>
    <row r="139" spans="1:25" ht="15.75" customHeight="1">
      <c r="A139" s="29"/>
      <c r="B139" s="30"/>
      <c r="C139" s="30"/>
      <c r="D139" s="31"/>
      <c r="E139" s="31"/>
      <c r="F139" s="31"/>
      <c r="G139" s="31"/>
      <c r="H139" s="31"/>
      <c r="I139" s="31"/>
      <c r="J139" s="31"/>
      <c r="K139" s="31"/>
      <c r="L139" s="31"/>
      <c r="M139" s="31"/>
      <c r="N139" s="13"/>
      <c r="O139" s="7"/>
      <c r="P139" s="7"/>
      <c r="Q139" s="7"/>
      <c r="R139" s="7"/>
      <c r="S139" s="7"/>
      <c r="T139" s="7"/>
      <c r="U139" s="7"/>
      <c r="V139" s="7"/>
      <c r="W139" s="7"/>
      <c r="X139" s="7"/>
      <c r="Y139" s="7"/>
    </row>
    <row r="140" spans="1:25" ht="15.75" customHeight="1">
      <c r="A140" s="29"/>
      <c r="B140" s="30"/>
      <c r="C140" s="30"/>
      <c r="D140" s="31"/>
      <c r="E140" s="31"/>
      <c r="F140" s="31"/>
      <c r="G140" s="31"/>
      <c r="H140" s="31"/>
      <c r="I140" s="31"/>
      <c r="J140" s="31"/>
      <c r="K140" s="31"/>
      <c r="L140" s="31"/>
      <c r="M140" s="31"/>
      <c r="N140" s="13"/>
      <c r="O140" s="7"/>
      <c r="P140" s="7"/>
      <c r="Q140" s="7"/>
      <c r="R140" s="7"/>
      <c r="S140" s="7"/>
      <c r="T140" s="7"/>
      <c r="U140" s="7"/>
      <c r="V140" s="7"/>
      <c r="W140" s="7"/>
      <c r="X140" s="7"/>
      <c r="Y140" s="7"/>
    </row>
    <row r="141" spans="1:25" ht="15.75" customHeight="1">
      <c r="A141" s="29"/>
      <c r="B141" s="30"/>
      <c r="C141" s="30"/>
      <c r="D141" s="31"/>
      <c r="E141" s="31"/>
      <c r="F141" s="31"/>
      <c r="G141" s="31"/>
      <c r="H141" s="31"/>
      <c r="I141" s="31"/>
      <c r="J141" s="31"/>
      <c r="K141" s="31"/>
      <c r="L141" s="31"/>
      <c r="M141" s="31"/>
      <c r="N141" s="13"/>
      <c r="O141" s="7"/>
      <c r="P141" s="7"/>
      <c r="Q141" s="7"/>
      <c r="R141" s="7"/>
      <c r="S141" s="7"/>
      <c r="T141" s="7"/>
      <c r="U141" s="7"/>
      <c r="V141" s="7"/>
      <c r="W141" s="7"/>
      <c r="X141" s="7"/>
      <c r="Y141" s="7"/>
    </row>
    <row r="142" spans="1:25" ht="15.75" customHeight="1">
      <c r="A142" s="29"/>
      <c r="B142" s="30"/>
      <c r="C142" s="30"/>
      <c r="D142" s="31"/>
      <c r="E142" s="31"/>
      <c r="F142" s="31"/>
      <c r="G142" s="31"/>
      <c r="H142" s="31"/>
      <c r="I142" s="31"/>
      <c r="J142" s="31"/>
      <c r="K142" s="31"/>
      <c r="L142" s="31"/>
      <c r="M142" s="31"/>
      <c r="N142" s="13"/>
      <c r="O142" s="7"/>
      <c r="P142" s="7"/>
      <c r="Q142" s="7"/>
      <c r="R142" s="7"/>
      <c r="S142" s="7"/>
      <c r="T142" s="7"/>
      <c r="U142" s="7"/>
      <c r="V142" s="7"/>
      <c r="W142" s="7"/>
      <c r="X142" s="7"/>
      <c r="Y142" s="7"/>
    </row>
    <row r="143" spans="1:25" ht="15.75" customHeight="1">
      <c r="A143" s="29"/>
      <c r="B143" s="30"/>
      <c r="C143" s="30"/>
      <c r="D143" s="31"/>
      <c r="E143" s="31"/>
      <c r="F143" s="31"/>
      <c r="G143" s="31"/>
      <c r="H143" s="31"/>
      <c r="I143" s="31"/>
      <c r="J143" s="31"/>
      <c r="K143" s="31"/>
      <c r="L143" s="31"/>
      <c r="M143" s="31"/>
      <c r="N143" s="13"/>
      <c r="O143" s="7"/>
      <c r="P143" s="7"/>
      <c r="Q143" s="7"/>
      <c r="R143" s="7"/>
      <c r="S143" s="7"/>
      <c r="T143" s="7"/>
      <c r="U143" s="7"/>
      <c r="V143" s="7"/>
      <c r="W143" s="7"/>
      <c r="X143" s="7"/>
      <c r="Y143" s="7"/>
    </row>
    <row r="144" spans="1:25" ht="15.75" customHeight="1">
      <c r="A144" s="29"/>
      <c r="B144" s="30"/>
      <c r="C144" s="30"/>
      <c r="D144" s="31"/>
      <c r="E144" s="31"/>
      <c r="F144" s="31"/>
      <c r="G144" s="31"/>
      <c r="H144" s="31"/>
      <c r="I144" s="31"/>
      <c r="J144" s="31"/>
      <c r="K144" s="31"/>
      <c r="L144" s="31"/>
      <c r="M144" s="31"/>
      <c r="N144" s="13"/>
      <c r="O144" s="7"/>
      <c r="P144" s="7"/>
      <c r="Q144" s="7"/>
      <c r="R144" s="7"/>
      <c r="S144" s="7"/>
      <c r="T144" s="7"/>
      <c r="U144" s="7"/>
      <c r="V144" s="7"/>
      <c r="W144" s="7"/>
      <c r="X144" s="7"/>
      <c r="Y144" s="7"/>
    </row>
    <row r="145" spans="1:25" ht="15.75" customHeight="1">
      <c r="A145" s="29"/>
      <c r="B145" s="30"/>
      <c r="C145" s="30"/>
      <c r="D145" s="31"/>
      <c r="E145" s="31"/>
      <c r="F145" s="31"/>
      <c r="G145" s="31"/>
      <c r="H145" s="31"/>
      <c r="I145" s="31"/>
      <c r="J145" s="31"/>
      <c r="K145" s="31"/>
      <c r="L145" s="31"/>
      <c r="M145" s="31"/>
      <c r="N145" s="13"/>
      <c r="O145" s="7"/>
      <c r="P145" s="7"/>
      <c r="Q145" s="7"/>
      <c r="R145" s="7"/>
      <c r="S145" s="7"/>
      <c r="T145" s="7"/>
      <c r="U145" s="7"/>
      <c r="V145" s="7"/>
      <c r="W145" s="7"/>
      <c r="X145" s="7"/>
      <c r="Y145" s="7"/>
    </row>
    <row r="146" spans="1:25" ht="15.75" customHeight="1">
      <c r="A146" s="29"/>
      <c r="B146" s="30"/>
      <c r="C146" s="30"/>
      <c r="D146" s="31"/>
      <c r="E146" s="31"/>
      <c r="F146" s="31"/>
      <c r="G146" s="31"/>
      <c r="H146" s="31"/>
      <c r="I146" s="31"/>
      <c r="J146" s="31"/>
      <c r="K146" s="31"/>
      <c r="L146" s="31"/>
      <c r="M146" s="31"/>
      <c r="N146" s="13"/>
      <c r="O146" s="7"/>
      <c r="P146" s="7"/>
      <c r="Q146" s="7"/>
      <c r="R146" s="7"/>
      <c r="S146" s="7"/>
      <c r="T146" s="7"/>
      <c r="U146" s="7"/>
      <c r="V146" s="7"/>
      <c r="W146" s="7"/>
      <c r="X146" s="7"/>
      <c r="Y146" s="7"/>
    </row>
    <row r="147" spans="1:25" ht="15.75" customHeight="1">
      <c r="A147" s="29"/>
      <c r="B147" s="30"/>
      <c r="C147" s="30"/>
      <c r="D147" s="31"/>
      <c r="E147" s="31"/>
      <c r="F147" s="31"/>
      <c r="G147" s="31"/>
      <c r="H147" s="31"/>
      <c r="I147" s="31"/>
      <c r="J147" s="31"/>
      <c r="K147" s="31"/>
      <c r="L147" s="31"/>
      <c r="M147" s="31"/>
      <c r="N147" s="13"/>
      <c r="O147" s="7"/>
      <c r="P147" s="7"/>
      <c r="Q147" s="7"/>
      <c r="R147" s="7"/>
      <c r="S147" s="7"/>
      <c r="T147" s="7"/>
      <c r="U147" s="7"/>
      <c r="V147" s="7"/>
      <c r="W147" s="7"/>
      <c r="X147" s="7"/>
      <c r="Y147" s="7"/>
    </row>
    <row r="148" spans="1:25" ht="15.75" customHeight="1">
      <c r="A148" s="29"/>
      <c r="B148" s="30"/>
      <c r="C148" s="30"/>
      <c r="D148" s="31"/>
      <c r="E148" s="31"/>
      <c r="F148" s="31"/>
      <c r="G148" s="31"/>
      <c r="H148" s="31"/>
      <c r="I148" s="31"/>
      <c r="J148" s="31"/>
      <c r="K148" s="31"/>
      <c r="L148" s="31"/>
      <c r="M148" s="31"/>
      <c r="N148" s="13"/>
      <c r="O148" s="7"/>
      <c r="P148" s="7"/>
      <c r="Q148" s="7"/>
      <c r="R148" s="7"/>
      <c r="S148" s="7"/>
      <c r="T148" s="7"/>
      <c r="U148" s="7"/>
      <c r="V148" s="7"/>
      <c r="W148" s="7"/>
      <c r="X148" s="7"/>
      <c r="Y148" s="7"/>
    </row>
    <row r="149" spans="1:25" ht="15.75" customHeight="1">
      <c r="A149" s="29"/>
      <c r="B149" s="30"/>
      <c r="C149" s="30"/>
      <c r="D149" s="31"/>
      <c r="E149" s="31"/>
      <c r="F149" s="31"/>
      <c r="G149" s="31"/>
      <c r="H149" s="31"/>
      <c r="I149" s="31"/>
      <c r="J149" s="31"/>
      <c r="K149" s="31"/>
      <c r="L149" s="31"/>
      <c r="M149" s="31"/>
      <c r="N149" s="13"/>
      <c r="O149" s="7"/>
      <c r="P149" s="7"/>
      <c r="Q149" s="7"/>
      <c r="R149" s="7"/>
      <c r="S149" s="7"/>
      <c r="T149" s="7"/>
      <c r="U149" s="7"/>
      <c r="V149" s="7"/>
      <c r="W149" s="7"/>
      <c r="X149" s="7"/>
      <c r="Y149" s="7"/>
    </row>
    <row r="150" spans="1:25" ht="15.75" customHeight="1">
      <c r="A150" s="29"/>
      <c r="B150" s="30"/>
      <c r="C150" s="30"/>
      <c r="D150" s="31"/>
      <c r="E150" s="31"/>
      <c r="F150" s="31"/>
      <c r="G150" s="31"/>
      <c r="H150" s="31"/>
      <c r="I150" s="31"/>
      <c r="J150" s="31"/>
      <c r="K150" s="31"/>
      <c r="L150" s="31"/>
      <c r="M150" s="31"/>
      <c r="N150" s="13"/>
      <c r="O150" s="7"/>
      <c r="P150" s="7"/>
      <c r="Q150" s="7"/>
      <c r="R150" s="7"/>
      <c r="S150" s="7"/>
      <c r="T150" s="7"/>
      <c r="U150" s="7"/>
      <c r="V150" s="7"/>
      <c r="W150" s="7"/>
      <c r="X150" s="7"/>
      <c r="Y150" s="7"/>
    </row>
    <row r="151" spans="1:25" ht="15.75" customHeight="1">
      <c r="A151" s="29"/>
      <c r="B151" s="30"/>
      <c r="C151" s="30"/>
      <c r="D151" s="31"/>
      <c r="E151" s="31"/>
      <c r="F151" s="31"/>
      <c r="G151" s="31"/>
      <c r="H151" s="31"/>
      <c r="I151" s="31"/>
      <c r="J151" s="31"/>
      <c r="K151" s="31"/>
      <c r="L151" s="31"/>
      <c r="M151" s="31"/>
      <c r="N151" s="13"/>
      <c r="O151" s="7"/>
      <c r="P151" s="7"/>
      <c r="Q151" s="7"/>
      <c r="R151" s="7"/>
      <c r="S151" s="7"/>
      <c r="T151" s="7"/>
      <c r="U151" s="7"/>
      <c r="V151" s="7"/>
      <c r="W151" s="7"/>
      <c r="X151" s="7"/>
      <c r="Y151" s="7"/>
    </row>
    <row r="152" spans="1:25" ht="15.75" customHeight="1">
      <c r="A152" s="29"/>
      <c r="B152" s="30"/>
      <c r="C152" s="30"/>
      <c r="D152" s="31"/>
      <c r="E152" s="31"/>
      <c r="F152" s="31"/>
      <c r="G152" s="31"/>
      <c r="H152" s="31"/>
      <c r="I152" s="31"/>
      <c r="J152" s="31"/>
      <c r="K152" s="31"/>
      <c r="L152" s="31"/>
      <c r="M152" s="31"/>
      <c r="N152" s="13"/>
      <c r="O152" s="7"/>
      <c r="P152" s="7"/>
      <c r="Q152" s="7"/>
      <c r="R152" s="7"/>
      <c r="S152" s="7"/>
      <c r="T152" s="7"/>
      <c r="U152" s="7"/>
      <c r="V152" s="7"/>
      <c r="W152" s="7"/>
      <c r="X152" s="7"/>
      <c r="Y152" s="7"/>
    </row>
    <row r="153" spans="1:25" ht="15.75" customHeight="1">
      <c r="A153" s="29"/>
      <c r="B153" s="30"/>
      <c r="C153" s="30"/>
      <c r="D153" s="31"/>
      <c r="E153" s="31"/>
      <c r="F153" s="31"/>
      <c r="G153" s="31"/>
      <c r="H153" s="31"/>
      <c r="I153" s="31"/>
      <c r="J153" s="31"/>
      <c r="K153" s="31"/>
      <c r="L153" s="31"/>
      <c r="M153" s="31"/>
      <c r="N153" s="13"/>
      <c r="O153" s="7"/>
      <c r="P153" s="7"/>
      <c r="Q153" s="7"/>
      <c r="R153" s="7"/>
      <c r="S153" s="7"/>
      <c r="T153" s="7"/>
      <c r="U153" s="7"/>
      <c r="V153" s="7"/>
      <c r="W153" s="7"/>
      <c r="X153" s="7"/>
      <c r="Y153" s="7"/>
    </row>
    <row r="154" spans="1:25" ht="15.75" customHeight="1">
      <c r="A154" s="29"/>
      <c r="B154" s="30"/>
      <c r="C154" s="30"/>
      <c r="D154" s="31"/>
      <c r="E154" s="31"/>
      <c r="F154" s="31"/>
      <c r="G154" s="31"/>
      <c r="H154" s="31"/>
      <c r="I154" s="31"/>
      <c r="J154" s="31"/>
      <c r="K154" s="31"/>
      <c r="L154" s="31"/>
      <c r="M154" s="31"/>
      <c r="N154" s="13"/>
      <c r="O154" s="7"/>
      <c r="P154" s="7"/>
      <c r="Q154" s="7"/>
      <c r="R154" s="7"/>
      <c r="S154" s="7"/>
      <c r="T154" s="7"/>
      <c r="U154" s="7"/>
      <c r="V154" s="7"/>
      <c r="W154" s="7"/>
      <c r="X154" s="7"/>
      <c r="Y154" s="7"/>
    </row>
    <row r="155" spans="1:25" ht="15.75" customHeight="1">
      <c r="A155" s="29"/>
      <c r="B155" s="30"/>
      <c r="C155" s="30"/>
      <c r="D155" s="31"/>
      <c r="E155" s="31"/>
      <c r="F155" s="31"/>
      <c r="G155" s="31"/>
      <c r="H155" s="31"/>
      <c r="I155" s="31"/>
      <c r="J155" s="31"/>
      <c r="K155" s="31"/>
      <c r="L155" s="31"/>
      <c r="M155" s="31"/>
      <c r="N155" s="13"/>
      <c r="O155" s="7"/>
      <c r="P155" s="7"/>
      <c r="Q155" s="7"/>
      <c r="R155" s="7"/>
      <c r="S155" s="7"/>
      <c r="T155" s="7"/>
      <c r="U155" s="7"/>
      <c r="V155" s="7"/>
      <c r="W155" s="7"/>
      <c r="X155" s="7"/>
      <c r="Y155" s="7"/>
    </row>
    <row r="156" spans="1:25" ht="15.75" customHeight="1">
      <c r="A156" s="29"/>
      <c r="B156" s="30"/>
      <c r="C156" s="30"/>
      <c r="D156" s="31"/>
      <c r="E156" s="31"/>
      <c r="F156" s="31"/>
      <c r="G156" s="31"/>
      <c r="H156" s="31"/>
      <c r="I156" s="31"/>
      <c r="J156" s="31"/>
      <c r="K156" s="31"/>
      <c r="L156" s="31"/>
      <c r="M156" s="31"/>
      <c r="N156" s="13"/>
      <c r="O156" s="7"/>
      <c r="P156" s="7"/>
      <c r="Q156" s="7"/>
      <c r="R156" s="7"/>
      <c r="S156" s="7"/>
      <c r="T156" s="7"/>
      <c r="U156" s="7"/>
      <c r="V156" s="7"/>
      <c r="W156" s="7"/>
      <c r="X156" s="7"/>
      <c r="Y156" s="7"/>
    </row>
    <row r="157" spans="1:25" ht="15.75" customHeight="1">
      <c r="A157" s="29"/>
      <c r="B157" s="30"/>
      <c r="C157" s="30"/>
      <c r="D157" s="31"/>
      <c r="E157" s="31"/>
      <c r="F157" s="31"/>
      <c r="G157" s="31"/>
      <c r="H157" s="31"/>
      <c r="I157" s="31"/>
      <c r="J157" s="31"/>
      <c r="K157" s="31"/>
      <c r="L157" s="31"/>
      <c r="M157" s="31"/>
      <c r="N157" s="13"/>
      <c r="O157" s="7"/>
      <c r="P157" s="7"/>
      <c r="Q157" s="7"/>
      <c r="R157" s="7"/>
      <c r="S157" s="7"/>
      <c r="T157" s="7"/>
      <c r="U157" s="7"/>
      <c r="V157" s="7"/>
      <c r="W157" s="7"/>
      <c r="X157" s="7"/>
      <c r="Y157" s="7"/>
    </row>
    <row r="158" spans="1:25" ht="15.75" customHeight="1">
      <c r="A158" s="29"/>
      <c r="B158" s="30"/>
      <c r="C158" s="30"/>
      <c r="D158" s="31"/>
      <c r="E158" s="31"/>
      <c r="F158" s="31"/>
      <c r="G158" s="31"/>
      <c r="H158" s="31"/>
      <c r="I158" s="31"/>
      <c r="J158" s="31"/>
      <c r="K158" s="31"/>
      <c r="L158" s="31"/>
      <c r="M158" s="31"/>
      <c r="N158" s="13"/>
      <c r="O158" s="7"/>
      <c r="P158" s="7"/>
      <c r="Q158" s="7"/>
      <c r="R158" s="7"/>
      <c r="S158" s="7"/>
      <c r="T158" s="7"/>
      <c r="U158" s="7"/>
      <c r="V158" s="7"/>
      <c r="W158" s="7"/>
      <c r="X158" s="7"/>
      <c r="Y158" s="7"/>
    </row>
    <row r="159" spans="1:25" ht="15.75" customHeight="1">
      <c r="A159" s="29"/>
      <c r="B159" s="30"/>
      <c r="C159" s="30"/>
      <c r="D159" s="31"/>
      <c r="E159" s="31"/>
      <c r="F159" s="31"/>
      <c r="G159" s="31"/>
      <c r="H159" s="31"/>
      <c r="I159" s="31"/>
      <c r="J159" s="31"/>
      <c r="K159" s="31"/>
      <c r="L159" s="31"/>
      <c r="M159" s="31"/>
      <c r="N159" s="13"/>
      <c r="O159" s="7"/>
      <c r="P159" s="7"/>
      <c r="Q159" s="7"/>
      <c r="R159" s="7"/>
      <c r="S159" s="7"/>
      <c r="T159" s="7"/>
      <c r="U159" s="7"/>
      <c r="V159" s="7"/>
      <c r="W159" s="7"/>
      <c r="X159" s="7"/>
      <c r="Y159" s="7"/>
    </row>
    <row r="160" spans="1:25" ht="15.75" customHeight="1">
      <c r="A160" s="29"/>
      <c r="B160" s="30"/>
      <c r="C160" s="30"/>
      <c r="D160" s="31"/>
      <c r="E160" s="31"/>
      <c r="F160" s="31"/>
      <c r="G160" s="31"/>
      <c r="H160" s="31"/>
      <c r="I160" s="31"/>
      <c r="J160" s="31"/>
      <c r="K160" s="31"/>
      <c r="L160" s="31"/>
      <c r="M160" s="31"/>
      <c r="N160" s="13"/>
      <c r="O160" s="7"/>
      <c r="P160" s="7"/>
      <c r="Q160" s="7"/>
      <c r="R160" s="7"/>
      <c r="S160" s="7"/>
      <c r="T160" s="7"/>
      <c r="U160" s="7"/>
      <c r="V160" s="7"/>
      <c r="W160" s="7"/>
      <c r="X160" s="7"/>
      <c r="Y160" s="7"/>
    </row>
    <row r="161" spans="1:25" ht="15.75" customHeight="1">
      <c r="A161" s="29"/>
      <c r="B161" s="30"/>
      <c r="C161" s="30"/>
      <c r="D161" s="31"/>
      <c r="E161" s="31"/>
      <c r="F161" s="31"/>
      <c r="G161" s="31"/>
      <c r="H161" s="31"/>
      <c r="I161" s="31"/>
      <c r="J161" s="31"/>
      <c r="K161" s="31"/>
      <c r="L161" s="31"/>
      <c r="M161" s="31"/>
      <c r="N161" s="13"/>
      <c r="O161" s="7"/>
      <c r="P161" s="7"/>
      <c r="Q161" s="7"/>
      <c r="R161" s="7"/>
      <c r="S161" s="7"/>
      <c r="T161" s="7"/>
      <c r="U161" s="7"/>
      <c r="V161" s="7"/>
      <c r="W161" s="7"/>
      <c r="X161" s="7"/>
      <c r="Y161" s="7"/>
    </row>
    <row r="162" spans="1:25" ht="15.75" customHeight="1">
      <c r="A162" s="29"/>
      <c r="B162" s="30"/>
      <c r="C162" s="30"/>
      <c r="D162" s="31"/>
      <c r="E162" s="31"/>
      <c r="F162" s="31"/>
      <c r="G162" s="31"/>
      <c r="H162" s="31"/>
      <c r="I162" s="31"/>
      <c r="J162" s="31"/>
      <c r="K162" s="31"/>
      <c r="L162" s="31"/>
      <c r="M162" s="31"/>
      <c r="N162" s="13"/>
      <c r="O162" s="7"/>
      <c r="P162" s="7"/>
      <c r="Q162" s="7"/>
      <c r="R162" s="7"/>
      <c r="S162" s="7"/>
      <c r="T162" s="7"/>
      <c r="U162" s="7"/>
      <c r="V162" s="7"/>
      <c r="W162" s="7"/>
      <c r="X162" s="7"/>
      <c r="Y162" s="7"/>
    </row>
    <row r="163" spans="1:25" ht="15.75" customHeight="1">
      <c r="A163" s="29"/>
      <c r="B163" s="30"/>
      <c r="C163" s="30"/>
      <c r="D163" s="31"/>
      <c r="E163" s="31"/>
      <c r="F163" s="31"/>
      <c r="G163" s="31"/>
      <c r="H163" s="31"/>
      <c r="I163" s="31"/>
      <c r="J163" s="31"/>
      <c r="K163" s="31"/>
      <c r="L163" s="31"/>
      <c r="M163" s="31"/>
      <c r="N163" s="13"/>
      <c r="O163" s="7"/>
      <c r="P163" s="7"/>
      <c r="Q163" s="7"/>
      <c r="R163" s="7"/>
      <c r="S163" s="7"/>
      <c r="T163" s="7"/>
      <c r="U163" s="7"/>
      <c r="V163" s="7"/>
      <c r="W163" s="7"/>
      <c r="X163" s="7"/>
      <c r="Y163" s="7"/>
    </row>
    <row r="164" spans="1:25" ht="15.75" customHeight="1">
      <c r="A164" s="29"/>
      <c r="B164" s="30"/>
      <c r="C164" s="30"/>
      <c r="D164" s="31"/>
      <c r="E164" s="31"/>
      <c r="F164" s="31"/>
      <c r="G164" s="31"/>
      <c r="H164" s="31"/>
      <c r="I164" s="31"/>
      <c r="J164" s="31"/>
      <c r="K164" s="31"/>
      <c r="L164" s="31"/>
      <c r="M164" s="31"/>
      <c r="N164" s="13"/>
      <c r="O164" s="7"/>
      <c r="P164" s="7"/>
      <c r="Q164" s="7"/>
      <c r="R164" s="7"/>
      <c r="S164" s="7"/>
      <c r="T164" s="7"/>
      <c r="U164" s="7"/>
      <c r="V164" s="7"/>
      <c r="W164" s="7"/>
      <c r="X164" s="7"/>
      <c r="Y164" s="7"/>
    </row>
    <row r="165" spans="1:25" ht="15.75" customHeight="1">
      <c r="A165" s="29"/>
      <c r="B165" s="30"/>
      <c r="C165" s="30"/>
      <c r="D165" s="31"/>
      <c r="E165" s="31"/>
      <c r="F165" s="31"/>
      <c r="G165" s="31"/>
      <c r="H165" s="31"/>
      <c r="I165" s="31"/>
      <c r="J165" s="31"/>
      <c r="K165" s="31"/>
      <c r="L165" s="31"/>
      <c r="M165" s="31"/>
      <c r="N165" s="13"/>
      <c r="O165" s="7"/>
      <c r="P165" s="7"/>
      <c r="Q165" s="7"/>
      <c r="R165" s="7"/>
      <c r="S165" s="7"/>
      <c r="T165" s="7"/>
      <c r="U165" s="7"/>
      <c r="V165" s="7"/>
      <c r="W165" s="7"/>
      <c r="X165" s="7"/>
      <c r="Y165" s="7"/>
    </row>
    <row r="166" spans="1:25" ht="15.75" customHeight="1">
      <c r="A166" s="29"/>
      <c r="B166" s="30"/>
      <c r="C166" s="30"/>
      <c r="D166" s="31"/>
      <c r="E166" s="31"/>
      <c r="F166" s="31"/>
      <c r="G166" s="31"/>
      <c r="H166" s="31"/>
      <c r="I166" s="31"/>
      <c r="J166" s="31"/>
      <c r="K166" s="31"/>
      <c r="L166" s="31"/>
      <c r="M166" s="31"/>
      <c r="N166" s="13"/>
      <c r="O166" s="7"/>
      <c r="P166" s="7"/>
      <c r="Q166" s="7"/>
      <c r="R166" s="7"/>
      <c r="S166" s="7"/>
      <c r="T166" s="7"/>
      <c r="U166" s="7"/>
      <c r="V166" s="7"/>
      <c r="W166" s="7"/>
      <c r="X166" s="7"/>
      <c r="Y166" s="7"/>
    </row>
    <row r="167" spans="1:25" ht="15.75" customHeight="1">
      <c r="A167" s="29"/>
      <c r="B167" s="30"/>
      <c r="C167" s="30"/>
      <c r="D167" s="31"/>
      <c r="E167" s="31"/>
      <c r="F167" s="31"/>
      <c r="G167" s="31"/>
      <c r="H167" s="31"/>
      <c r="I167" s="31"/>
      <c r="J167" s="31"/>
      <c r="K167" s="31"/>
      <c r="L167" s="31"/>
      <c r="M167" s="31"/>
      <c r="N167" s="13"/>
      <c r="O167" s="7"/>
      <c r="P167" s="7"/>
      <c r="Q167" s="7"/>
      <c r="R167" s="7"/>
      <c r="S167" s="7"/>
      <c r="T167" s="7"/>
      <c r="U167" s="7"/>
      <c r="V167" s="7"/>
      <c r="W167" s="7"/>
      <c r="X167" s="7"/>
      <c r="Y167" s="7"/>
    </row>
    <row r="168" spans="1:25" ht="15.75" customHeight="1">
      <c r="A168" s="29"/>
      <c r="B168" s="30"/>
      <c r="C168" s="30"/>
      <c r="D168" s="31"/>
      <c r="E168" s="31"/>
      <c r="F168" s="31"/>
      <c r="G168" s="31"/>
      <c r="H168" s="31"/>
      <c r="I168" s="31"/>
      <c r="J168" s="31"/>
      <c r="K168" s="31"/>
      <c r="L168" s="31"/>
      <c r="M168" s="31"/>
      <c r="N168" s="13"/>
      <c r="O168" s="7"/>
      <c r="P168" s="7"/>
      <c r="Q168" s="7"/>
      <c r="R168" s="7"/>
      <c r="S168" s="7"/>
      <c r="T168" s="7"/>
      <c r="U168" s="7"/>
      <c r="V168" s="7"/>
      <c r="W168" s="7"/>
      <c r="X168" s="7"/>
      <c r="Y168" s="7"/>
    </row>
    <row r="169" spans="1:25" ht="15.75" customHeight="1">
      <c r="A169" s="29"/>
      <c r="B169" s="30"/>
      <c r="C169" s="30"/>
      <c r="D169" s="31"/>
      <c r="E169" s="31"/>
      <c r="F169" s="31"/>
      <c r="G169" s="31"/>
      <c r="H169" s="31"/>
      <c r="I169" s="31"/>
      <c r="J169" s="31"/>
      <c r="K169" s="31"/>
      <c r="L169" s="31"/>
      <c r="M169" s="31"/>
      <c r="N169" s="13"/>
      <c r="O169" s="7"/>
      <c r="P169" s="7"/>
      <c r="Q169" s="7"/>
      <c r="R169" s="7"/>
      <c r="S169" s="7"/>
      <c r="T169" s="7"/>
      <c r="U169" s="7"/>
      <c r="V169" s="7"/>
      <c r="W169" s="7"/>
      <c r="X169" s="7"/>
      <c r="Y169" s="7"/>
    </row>
    <row r="170" spans="1:25" ht="15.75" customHeight="1">
      <c r="A170" s="29"/>
      <c r="B170" s="30"/>
      <c r="C170" s="30"/>
      <c r="D170" s="31"/>
      <c r="E170" s="31"/>
      <c r="F170" s="31"/>
      <c r="G170" s="31"/>
      <c r="H170" s="31"/>
      <c r="I170" s="31"/>
      <c r="J170" s="31"/>
      <c r="K170" s="31"/>
      <c r="L170" s="31"/>
      <c r="M170" s="31"/>
      <c r="N170" s="13"/>
      <c r="O170" s="7"/>
      <c r="P170" s="7"/>
      <c r="Q170" s="7"/>
      <c r="R170" s="7"/>
      <c r="S170" s="7"/>
      <c r="T170" s="7"/>
      <c r="U170" s="7"/>
      <c r="V170" s="7"/>
      <c r="W170" s="7"/>
      <c r="X170" s="7"/>
      <c r="Y170" s="7"/>
    </row>
    <row r="171" spans="1:25" ht="15.75" customHeight="1">
      <c r="A171" s="29"/>
      <c r="B171" s="30"/>
      <c r="C171" s="30"/>
      <c r="D171" s="31"/>
      <c r="E171" s="31"/>
      <c r="F171" s="31"/>
      <c r="G171" s="31"/>
      <c r="H171" s="31"/>
      <c r="I171" s="31"/>
      <c r="J171" s="31"/>
      <c r="K171" s="31"/>
      <c r="L171" s="31"/>
      <c r="M171" s="31"/>
      <c r="N171" s="13"/>
      <c r="O171" s="7"/>
      <c r="P171" s="7"/>
      <c r="Q171" s="7"/>
      <c r="R171" s="7"/>
      <c r="S171" s="7"/>
      <c r="T171" s="7"/>
      <c r="U171" s="7"/>
      <c r="V171" s="7"/>
      <c r="W171" s="7"/>
      <c r="X171" s="7"/>
      <c r="Y171" s="7"/>
    </row>
    <row r="172" spans="1:25" ht="15.75" customHeight="1">
      <c r="A172" s="29"/>
      <c r="B172" s="30"/>
      <c r="C172" s="30"/>
      <c r="D172" s="31"/>
      <c r="E172" s="31"/>
      <c r="F172" s="31"/>
      <c r="G172" s="31"/>
      <c r="H172" s="31"/>
      <c r="I172" s="31"/>
      <c r="J172" s="31"/>
      <c r="K172" s="31"/>
      <c r="L172" s="31"/>
      <c r="M172" s="31"/>
      <c r="N172" s="13"/>
      <c r="O172" s="7"/>
      <c r="P172" s="7"/>
      <c r="Q172" s="7"/>
      <c r="R172" s="7"/>
      <c r="S172" s="7"/>
      <c r="T172" s="7"/>
      <c r="U172" s="7"/>
      <c r="V172" s="7"/>
      <c r="W172" s="7"/>
      <c r="X172" s="7"/>
      <c r="Y172" s="7"/>
    </row>
    <row r="173" spans="1:25" ht="15.75" customHeight="1">
      <c r="A173" s="29"/>
      <c r="B173" s="30"/>
      <c r="C173" s="30"/>
      <c r="D173" s="31"/>
      <c r="E173" s="31"/>
      <c r="F173" s="31"/>
      <c r="G173" s="31"/>
      <c r="H173" s="31"/>
      <c r="I173" s="31"/>
      <c r="J173" s="31"/>
      <c r="K173" s="31"/>
      <c r="L173" s="31"/>
      <c r="M173" s="31"/>
      <c r="N173" s="13"/>
      <c r="O173" s="7"/>
      <c r="P173" s="7"/>
      <c r="Q173" s="7"/>
      <c r="R173" s="7"/>
      <c r="S173" s="7"/>
      <c r="T173" s="7"/>
      <c r="U173" s="7"/>
      <c r="V173" s="7"/>
      <c r="W173" s="7"/>
      <c r="X173" s="7"/>
      <c r="Y173" s="7"/>
    </row>
    <row r="174" spans="1:25" ht="15.75" customHeight="1">
      <c r="A174" s="29"/>
      <c r="B174" s="30"/>
      <c r="C174" s="30"/>
      <c r="D174" s="31"/>
      <c r="E174" s="31"/>
      <c r="F174" s="31"/>
      <c r="G174" s="31"/>
      <c r="H174" s="31"/>
      <c r="I174" s="31"/>
      <c r="J174" s="31"/>
      <c r="K174" s="31"/>
      <c r="L174" s="31"/>
      <c r="M174" s="31"/>
      <c r="N174" s="13"/>
      <c r="O174" s="7"/>
      <c r="P174" s="7"/>
      <c r="Q174" s="7"/>
      <c r="R174" s="7"/>
      <c r="S174" s="7"/>
      <c r="T174" s="7"/>
      <c r="U174" s="7"/>
      <c r="V174" s="7"/>
      <c r="W174" s="7"/>
      <c r="X174" s="7"/>
      <c r="Y174" s="7"/>
    </row>
    <row r="175" spans="1:25" ht="15.75" customHeight="1">
      <c r="A175" s="29"/>
      <c r="B175" s="30"/>
      <c r="C175" s="30"/>
      <c r="D175" s="31"/>
      <c r="E175" s="31"/>
      <c r="F175" s="31"/>
      <c r="G175" s="31"/>
      <c r="H175" s="31"/>
      <c r="I175" s="31"/>
      <c r="J175" s="31"/>
      <c r="K175" s="31"/>
      <c r="L175" s="31"/>
      <c r="M175" s="31"/>
      <c r="N175" s="13"/>
      <c r="O175" s="7"/>
      <c r="P175" s="7"/>
      <c r="Q175" s="7"/>
      <c r="R175" s="7"/>
      <c r="S175" s="7"/>
      <c r="T175" s="7"/>
      <c r="U175" s="7"/>
      <c r="V175" s="7"/>
      <c r="W175" s="7"/>
      <c r="X175" s="7"/>
      <c r="Y175" s="7"/>
    </row>
    <row r="176" spans="1:25" ht="15.75" customHeight="1">
      <c r="A176" s="29"/>
      <c r="B176" s="30"/>
      <c r="C176" s="30"/>
      <c r="D176" s="31"/>
      <c r="E176" s="31"/>
      <c r="F176" s="31"/>
      <c r="G176" s="31"/>
      <c r="H176" s="31"/>
      <c r="I176" s="31"/>
      <c r="J176" s="31"/>
      <c r="K176" s="31"/>
      <c r="L176" s="31"/>
      <c r="M176" s="31"/>
      <c r="N176" s="13"/>
      <c r="O176" s="7"/>
      <c r="P176" s="7"/>
      <c r="Q176" s="7"/>
      <c r="R176" s="7"/>
      <c r="S176" s="7"/>
      <c r="T176" s="7"/>
      <c r="U176" s="7"/>
      <c r="V176" s="7"/>
      <c r="W176" s="7"/>
      <c r="X176" s="7"/>
      <c r="Y176" s="7"/>
    </row>
    <row r="177" spans="1:25" ht="15.75" customHeight="1">
      <c r="A177" s="29"/>
      <c r="B177" s="30"/>
      <c r="C177" s="30"/>
      <c r="D177" s="31"/>
      <c r="E177" s="31"/>
      <c r="F177" s="31"/>
      <c r="G177" s="31"/>
      <c r="H177" s="31"/>
      <c r="I177" s="31"/>
      <c r="J177" s="31"/>
      <c r="K177" s="31"/>
      <c r="L177" s="31"/>
      <c r="M177" s="31"/>
      <c r="N177" s="13"/>
      <c r="O177" s="7"/>
      <c r="P177" s="7"/>
      <c r="Q177" s="7"/>
      <c r="R177" s="7"/>
      <c r="S177" s="7"/>
      <c r="T177" s="7"/>
      <c r="U177" s="7"/>
      <c r="V177" s="7"/>
      <c r="W177" s="7"/>
      <c r="X177" s="7"/>
      <c r="Y177" s="7"/>
    </row>
    <row r="178" spans="1:25" ht="15.75" customHeight="1">
      <c r="A178" s="29"/>
      <c r="B178" s="30"/>
      <c r="C178" s="30"/>
      <c r="D178" s="31"/>
      <c r="E178" s="31"/>
      <c r="F178" s="31"/>
      <c r="G178" s="31"/>
      <c r="H178" s="31"/>
      <c r="I178" s="31"/>
      <c r="J178" s="31"/>
      <c r="K178" s="31"/>
      <c r="L178" s="31"/>
      <c r="M178" s="31"/>
      <c r="N178" s="13"/>
      <c r="O178" s="7"/>
      <c r="P178" s="7"/>
      <c r="Q178" s="7"/>
      <c r="R178" s="7"/>
      <c r="S178" s="7"/>
      <c r="T178" s="7"/>
      <c r="U178" s="7"/>
      <c r="V178" s="7"/>
      <c r="W178" s="7"/>
      <c r="X178" s="7"/>
      <c r="Y178" s="7"/>
    </row>
    <row r="179" spans="1:25" ht="15.75" customHeight="1">
      <c r="A179" s="29"/>
      <c r="B179" s="30"/>
      <c r="C179" s="30"/>
      <c r="D179" s="31"/>
      <c r="E179" s="31"/>
      <c r="F179" s="31"/>
      <c r="G179" s="31"/>
      <c r="H179" s="31"/>
      <c r="I179" s="31"/>
      <c r="J179" s="31"/>
      <c r="K179" s="31"/>
      <c r="L179" s="31"/>
      <c r="M179" s="31"/>
      <c r="N179" s="13"/>
      <c r="O179" s="7"/>
      <c r="P179" s="7"/>
      <c r="Q179" s="7"/>
      <c r="R179" s="7"/>
      <c r="S179" s="7"/>
      <c r="T179" s="7"/>
      <c r="U179" s="7"/>
      <c r="V179" s="7"/>
      <c r="W179" s="7"/>
      <c r="X179" s="7"/>
      <c r="Y179" s="7"/>
    </row>
    <row r="180" spans="1:25" ht="15.75" customHeight="1">
      <c r="A180" s="29"/>
      <c r="B180" s="30"/>
      <c r="C180" s="30"/>
      <c r="D180" s="31"/>
      <c r="E180" s="31"/>
      <c r="F180" s="31"/>
      <c r="G180" s="31"/>
      <c r="H180" s="31"/>
      <c r="I180" s="31"/>
      <c r="J180" s="31"/>
      <c r="K180" s="31"/>
      <c r="L180" s="31"/>
      <c r="M180" s="31"/>
      <c r="N180" s="13"/>
      <c r="O180" s="7"/>
      <c r="P180" s="7"/>
      <c r="Q180" s="7"/>
      <c r="R180" s="7"/>
      <c r="S180" s="7"/>
      <c r="T180" s="7"/>
      <c r="U180" s="7"/>
      <c r="V180" s="7"/>
      <c r="W180" s="7"/>
      <c r="X180" s="7"/>
      <c r="Y180" s="7"/>
    </row>
    <row r="181" spans="1:25" ht="15.75" customHeight="1">
      <c r="A181" s="29"/>
      <c r="B181" s="30"/>
      <c r="C181" s="30"/>
      <c r="D181" s="31"/>
      <c r="E181" s="31"/>
      <c r="F181" s="31"/>
      <c r="G181" s="31"/>
      <c r="H181" s="31"/>
      <c r="I181" s="31"/>
      <c r="J181" s="31"/>
      <c r="K181" s="31"/>
      <c r="L181" s="31"/>
      <c r="M181" s="31"/>
      <c r="N181" s="13"/>
      <c r="O181" s="7"/>
      <c r="P181" s="7"/>
      <c r="Q181" s="7"/>
      <c r="R181" s="7"/>
      <c r="S181" s="7"/>
      <c r="T181" s="7"/>
      <c r="U181" s="7"/>
      <c r="V181" s="7"/>
      <c r="W181" s="7"/>
      <c r="X181" s="7"/>
      <c r="Y181" s="7"/>
    </row>
    <row r="182" spans="1:25" ht="15.75" customHeight="1">
      <c r="A182" s="29"/>
      <c r="B182" s="30"/>
      <c r="C182" s="30"/>
      <c r="D182" s="31"/>
      <c r="E182" s="31"/>
      <c r="F182" s="31"/>
      <c r="G182" s="31"/>
      <c r="H182" s="31"/>
      <c r="I182" s="31"/>
      <c r="J182" s="31"/>
      <c r="K182" s="31"/>
      <c r="L182" s="31"/>
      <c r="M182" s="31"/>
      <c r="N182" s="13"/>
      <c r="O182" s="7"/>
      <c r="P182" s="7"/>
      <c r="Q182" s="7"/>
      <c r="R182" s="7"/>
      <c r="S182" s="7"/>
      <c r="T182" s="7"/>
      <c r="U182" s="7"/>
      <c r="V182" s="7"/>
      <c r="W182" s="7"/>
      <c r="X182" s="7"/>
      <c r="Y182" s="7"/>
    </row>
    <row r="183" spans="1:25" ht="15.75" customHeight="1">
      <c r="A183" s="29"/>
      <c r="B183" s="30"/>
      <c r="C183" s="30"/>
      <c r="D183" s="31"/>
      <c r="E183" s="31"/>
      <c r="F183" s="31"/>
      <c r="G183" s="31"/>
      <c r="H183" s="31"/>
      <c r="I183" s="31"/>
      <c r="J183" s="31"/>
      <c r="K183" s="31"/>
      <c r="L183" s="31"/>
      <c r="M183" s="31"/>
      <c r="N183" s="13"/>
      <c r="O183" s="7"/>
      <c r="P183" s="7"/>
      <c r="Q183" s="7"/>
      <c r="R183" s="7"/>
      <c r="S183" s="7"/>
      <c r="T183" s="7"/>
      <c r="U183" s="7"/>
      <c r="V183" s="7"/>
      <c r="W183" s="7"/>
      <c r="X183" s="7"/>
      <c r="Y183" s="7"/>
    </row>
    <row r="184" spans="1:25" ht="15.75" customHeight="1">
      <c r="A184" s="29"/>
      <c r="B184" s="30"/>
      <c r="C184" s="30"/>
      <c r="D184" s="31"/>
      <c r="E184" s="31"/>
      <c r="F184" s="31"/>
      <c r="G184" s="31"/>
      <c r="H184" s="31"/>
      <c r="I184" s="31"/>
      <c r="J184" s="31"/>
      <c r="K184" s="31"/>
      <c r="L184" s="31"/>
      <c r="M184" s="31"/>
      <c r="N184" s="13"/>
      <c r="O184" s="7"/>
      <c r="P184" s="7"/>
      <c r="Q184" s="7"/>
      <c r="R184" s="7"/>
      <c r="S184" s="7"/>
      <c r="T184" s="7"/>
      <c r="U184" s="7"/>
      <c r="V184" s="7"/>
      <c r="W184" s="7"/>
      <c r="X184" s="7"/>
      <c r="Y184" s="7"/>
    </row>
    <row r="185" spans="1:25" ht="15.75" customHeight="1">
      <c r="A185" s="29"/>
      <c r="B185" s="30"/>
      <c r="C185" s="30"/>
      <c r="D185" s="31"/>
      <c r="E185" s="31"/>
      <c r="F185" s="31"/>
      <c r="G185" s="31"/>
      <c r="H185" s="31"/>
      <c r="I185" s="31"/>
      <c r="J185" s="31"/>
      <c r="K185" s="31"/>
      <c r="L185" s="31"/>
      <c r="M185" s="31"/>
      <c r="N185" s="13"/>
      <c r="O185" s="7"/>
      <c r="P185" s="7"/>
      <c r="Q185" s="7"/>
      <c r="R185" s="7"/>
      <c r="S185" s="7"/>
      <c r="T185" s="7"/>
      <c r="U185" s="7"/>
      <c r="V185" s="7"/>
      <c r="W185" s="7"/>
      <c r="X185" s="7"/>
      <c r="Y185" s="7"/>
    </row>
    <row r="186" spans="1:25" ht="15.75" customHeight="1">
      <c r="A186" s="29"/>
      <c r="B186" s="30"/>
      <c r="C186" s="30"/>
      <c r="D186" s="31"/>
      <c r="E186" s="31"/>
      <c r="F186" s="31"/>
      <c r="G186" s="31"/>
      <c r="H186" s="31"/>
      <c r="I186" s="31"/>
      <c r="J186" s="31"/>
      <c r="K186" s="31"/>
      <c r="L186" s="31"/>
      <c r="M186" s="31"/>
      <c r="N186" s="13"/>
      <c r="O186" s="7"/>
      <c r="P186" s="7"/>
      <c r="Q186" s="7"/>
      <c r="R186" s="7"/>
      <c r="S186" s="7"/>
      <c r="T186" s="7"/>
      <c r="U186" s="7"/>
      <c r="V186" s="7"/>
      <c r="W186" s="7"/>
      <c r="X186" s="7"/>
      <c r="Y186" s="7"/>
    </row>
    <row r="187" spans="1:25" ht="15.75" customHeight="1">
      <c r="A187" s="29"/>
      <c r="B187" s="30"/>
      <c r="C187" s="30"/>
      <c r="D187" s="31"/>
      <c r="E187" s="31"/>
      <c r="F187" s="31"/>
      <c r="G187" s="31"/>
      <c r="H187" s="31"/>
      <c r="I187" s="31"/>
      <c r="J187" s="31"/>
      <c r="K187" s="31"/>
      <c r="L187" s="31"/>
      <c r="M187" s="31"/>
      <c r="N187" s="13"/>
      <c r="O187" s="7"/>
      <c r="P187" s="7"/>
      <c r="Q187" s="7"/>
      <c r="R187" s="7"/>
      <c r="S187" s="7"/>
      <c r="T187" s="7"/>
      <c r="U187" s="7"/>
      <c r="V187" s="7"/>
      <c r="W187" s="7"/>
      <c r="X187" s="7"/>
      <c r="Y187" s="7"/>
    </row>
    <row r="188" spans="1:25" ht="15.75" customHeight="1">
      <c r="A188" s="29"/>
      <c r="B188" s="30"/>
      <c r="C188" s="30"/>
      <c r="D188" s="31"/>
      <c r="E188" s="31"/>
      <c r="F188" s="31"/>
      <c r="G188" s="31"/>
      <c r="H188" s="31"/>
      <c r="I188" s="31"/>
      <c r="J188" s="31"/>
      <c r="K188" s="31"/>
      <c r="L188" s="31"/>
      <c r="M188" s="31"/>
      <c r="N188" s="13"/>
      <c r="O188" s="7"/>
      <c r="P188" s="7"/>
      <c r="Q188" s="7"/>
      <c r="R188" s="7"/>
      <c r="S188" s="7"/>
      <c r="T188" s="7"/>
      <c r="U188" s="7"/>
      <c r="V188" s="7"/>
      <c r="W188" s="7"/>
      <c r="X188" s="7"/>
      <c r="Y188" s="7"/>
    </row>
    <row r="189" spans="1:25" ht="15.75" customHeight="1">
      <c r="A189" s="29"/>
      <c r="B189" s="30"/>
      <c r="C189" s="30"/>
      <c r="D189" s="31"/>
      <c r="E189" s="31"/>
      <c r="F189" s="31"/>
      <c r="G189" s="31"/>
      <c r="H189" s="31"/>
      <c r="I189" s="31"/>
      <c r="J189" s="31"/>
      <c r="K189" s="31"/>
      <c r="L189" s="31"/>
      <c r="M189" s="31"/>
      <c r="N189" s="13"/>
      <c r="O189" s="7"/>
      <c r="P189" s="7"/>
      <c r="Q189" s="7"/>
      <c r="R189" s="7"/>
      <c r="S189" s="7"/>
      <c r="T189" s="7"/>
      <c r="U189" s="7"/>
      <c r="V189" s="7"/>
      <c r="W189" s="7"/>
      <c r="X189" s="7"/>
      <c r="Y189" s="7"/>
    </row>
    <row r="190" spans="1:25" ht="15.75" customHeight="1">
      <c r="A190" s="29"/>
      <c r="B190" s="30"/>
      <c r="C190" s="30"/>
      <c r="D190" s="31"/>
      <c r="E190" s="31"/>
      <c r="F190" s="31"/>
      <c r="G190" s="31"/>
      <c r="H190" s="31"/>
      <c r="I190" s="31"/>
      <c r="J190" s="31"/>
      <c r="K190" s="31"/>
      <c r="L190" s="31"/>
      <c r="M190" s="31"/>
      <c r="N190" s="13"/>
      <c r="O190" s="7"/>
      <c r="P190" s="7"/>
      <c r="Q190" s="7"/>
      <c r="R190" s="7"/>
      <c r="S190" s="7"/>
      <c r="T190" s="7"/>
      <c r="U190" s="7"/>
      <c r="V190" s="7"/>
      <c r="W190" s="7"/>
      <c r="X190" s="7"/>
      <c r="Y190" s="7"/>
    </row>
    <row r="191" spans="1:25" ht="15.75" customHeight="1">
      <c r="A191" s="29"/>
      <c r="B191" s="30"/>
      <c r="C191" s="30"/>
      <c r="D191" s="31"/>
      <c r="E191" s="31"/>
      <c r="F191" s="31"/>
      <c r="G191" s="31"/>
      <c r="H191" s="31"/>
      <c r="I191" s="31"/>
      <c r="J191" s="31"/>
      <c r="K191" s="31"/>
      <c r="L191" s="31"/>
      <c r="M191" s="31"/>
      <c r="N191" s="13"/>
      <c r="O191" s="7"/>
      <c r="P191" s="7"/>
      <c r="Q191" s="7"/>
      <c r="R191" s="7"/>
      <c r="S191" s="7"/>
      <c r="T191" s="7"/>
      <c r="U191" s="7"/>
      <c r="V191" s="7"/>
      <c r="W191" s="7"/>
      <c r="X191" s="7"/>
      <c r="Y191" s="7"/>
    </row>
    <row r="192" spans="1:25" ht="15.75" customHeight="1">
      <c r="A192" s="29"/>
      <c r="B192" s="30"/>
      <c r="C192" s="30"/>
      <c r="D192" s="31"/>
      <c r="E192" s="31"/>
      <c r="F192" s="31"/>
      <c r="G192" s="31"/>
      <c r="H192" s="31"/>
      <c r="I192" s="31"/>
      <c r="J192" s="31"/>
      <c r="K192" s="31"/>
      <c r="L192" s="31"/>
      <c r="M192" s="31"/>
      <c r="N192" s="13"/>
      <c r="O192" s="7"/>
      <c r="P192" s="7"/>
      <c r="Q192" s="7"/>
      <c r="R192" s="7"/>
      <c r="S192" s="7"/>
      <c r="T192" s="7"/>
      <c r="U192" s="7"/>
      <c r="V192" s="7"/>
      <c r="W192" s="7"/>
      <c r="X192" s="7"/>
      <c r="Y192" s="7"/>
    </row>
    <row r="193" spans="1:25" ht="15.75" customHeight="1">
      <c r="A193" s="29"/>
      <c r="B193" s="30"/>
      <c r="C193" s="30"/>
      <c r="D193" s="31"/>
      <c r="E193" s="31"/>
      <c r="F193" s="31"/>
      <c r="G193" s="31"/>
      <c r="H193" s="31"/>
      <c r="I193" s="31"/>
      <c r="J193" s="31"/>
      <c r="K193" s="31"/>
      <c r="L193" s="31"/>
      <c r="M193" s="31"/>
      <c r="N193" s="13"/>
      <c r="O193" s="7"/>
      <c r="P193" s="7"/>
      <c r="Q193" s="7"/>
      <c r="R193" s="7"/>
      <c r="S193" s="7"/>
      <c r="T193" s="7"/>
      <c r="U193" s="7"/>
      <c r="V193" s="7"/>
      <c r="W193" s="7"/>
      <c r="X193" s="7"/>
      <c r="Y193" s="7"/>
    </row>
    <row r="194" spans="1:25" ht="15.75" customHeight="1">
      <c r="A194" s="29"/>
      <c r="B194" s="30"/>
      <c r="C194" s="30"/>
      <c r="D194" s="31"/>
      <c r="E194" s="31"/>
      <c r="F194" s="31"/>
      <c r="G194" s="31"/>
      <c r="H194" s="31"/>
      <c r="I194" s="31"/>
      <c r="J194" s="31"/>
      <c r="K194" s="31"/>
      <c r="L194" s="31"/>
      <c r="M194" s="31"/>
      <c r="N194" s="13"/>
      <c r="O194" s="7"/>
      <c r="P194" s="7"/>
      <c r="Q194" s="7"/>
      <c r="R194" s="7"/>
      <c r="S194" s="7"/>
      <c r="T194" s="7"/>
      <c r="U194" s="7"/>
      <c r="V194" s="7"/>
      <c r="W194" s="7"/>
      <c r="X194" s="7"/>
      <c r="Y194" s="7"/>
    </row>
    <row r="195" spans="1:25" ht="15.75" customHeight="1">
      <c r="A195" s="29"/>
      <c r="B195" s="30"/>
      <c r="C195" s="30"/>
      <c r="D195" s="31"/>
      <c r="E195" s="31"/>
      <c r="F195" s="31"/>
      <c r="G195" s="31"/>
      <c r="H195" s="31"/>
      <c r="I195" s="31"/>
      <c r="J195" s="31"/>
      <c r="K195" s="31"/>
      <c r="L195" s="31"/>
      <c r="M195" s="31"/>
      <c r="N195" s="13"/>
      <c r="O195" s="7"/>
      <c r="P195" s="7"/>
      <c r="Q195" s="7"/>
      <c r="R195" s="7"/>
      <c r="S195" s="7"/>
      <c r="T195" s="7"/>
      <c r="U195" s="7"/>
      <c r="V195" s="7"/>
      <c r="W195" s="7"/>
      <c r="X195" s="7"/>
      <c r="Y195" s="7"/>
    </row>
    <row r="196" spans="1:25" ht="15.75" customHeight="1">
      <c r="A196" s="29"/>
      <c r="B196" s="30"/>
      <c r="C196" s="30"/>
      <c r="D196" s="31"/>
      <c r="E196" s="31"/>
      <c r="F196" s="31"/>
      <c r="G196" s="31"/>
      <c r="H196" s="31"/>
      <c r="I196" s="31"/>
      <c r="J196" s="31"/>
      <c r="K196" s="31"/>
      <c r="L196" s="31"/>
      <c r="M196" s="31"/>
      <c r="N196" s="13"/>
      <c r="O196" s="7"/>
      <c r="P196" s="7"/>
      <c r="Q196" s="7"/>
      <c r="R196" s="7"/>
      <c r="S196" s="7"/>
      <c r="T196" s="7"/>
      <c r="U196" s="7"/>
      <c r="V196" s="7"/>
      <c r="W196" s="7"/>
      <c r="X196" s="7"/>
      <c r="Y196" s="7"/>
    </row>
    <row r="197" spans="1:25" ht="15.75" customHeight="1">
      <c r="A197" s="29"/>
      <c r="B197" s="30"/>
      <c r="C197" s="30"/>
      <c r="D197" s="31"/>
      <c r="E197" s="31"/>
      <c r="F197" s="31"/>
      <c r="G197" s="31"/>
      <c r="H197" s="31"/>
      <c r="I197" s="31"/>
      <c r="J197" s="31"/>
      <c r="K197" s="31"/>
      <c r="L197" s="31"/>
      <c r="M197" s="31"/>
      <c r="N197" s="13"/>
      <c r="O197" s="7"/>
      <c r="P197" s="7"/>
      <c r="Q197" s="7"/>
      <c r="R197" s="7"/>
      <c r="S197" s="7"/>
      <c r="T197" s="7"/>
      <c r="U197" s="7"/>
      <c r="V197" s="7"/>
      <c r="W197" s="7"/>
      <c r="X197" s="7"/>
      <c r="Y197" s="7"/>
    </row>
    <row r="198" spans="1:25" ht="15.75" customHeight="1">
      <c r="A198" s="29"/>
      <c r="B198" s="30"/>
      <c r="C198" s="30"/>
      <c r="D198" s="31"/>
      <c r="E198" s="31"/>
      <c r="F198" s="31"/>
      <c r="G198" s="31"/>
      <c r="H198" s="31"/>
      <c r="I198" s="31"/>
      <c r="J198" s="31"/>
      <c r="K198" s="31"/>
      <c r="L198" s="31"/>
      <c r="M198" s="31"/>
      <c r="N198" s="13"/>
      <c r="O198" s="7"/>
      <c r="P198" s="7"/>
      <c r="Q198" s="7"/>
      <c r="R198" s="7"/>
      <c r="S198" s="7"/>
      <c r="T198" s="7"/>
      <c r="U198" s="7"/>
      <c r="V198" s="7"/>
      <c r="W198" s="7"/>
      <c r="X198" s="7"/>
      <c r="Y198" s="7"/>
    </row>
    <row r="199" spans="1:25" ht="15.75" customHeight="1">
      <c r="A199" s="29"/>
      <c r="B199" s="30"/>
      <c r="C199" s="30"/>
      <c r="D199" s="31"/>
      <c r="E199" s="31"/>
      <c r="F199" s="31"/>
      <c r="G199" s="31"/>
      <c r="H199" s="31"/>
      <c r="I199" s="31"/>
      <c r="J199" s="31"/>
      <c r="K199" s="31"/>
      <c r="L199" s="31"/>
      <c r="M199" s="31"/>
      <c r="N199" s="13"/>
      <c r="O199" s="7"/>
      <c r="P199" s="7"/>
      <c r="Q199" s="7"/>
      <c r="R199" s="7"/>
      <c r="S199" s="7"/>
      <c r="T199" s="7"/>
      <c r="U199" s="7"/>
      <c r="V199" s="7"/>
      <c r="W199" s="7"/>
      <c r="X199" s="7"/>
      <c r="Y199" s="7"/>
    </row>
    <row r="200" spans="1:25" ht="15.75" customHeight="1">
      <c r="A200" s="29"/>
      <c r="B200" s="30"/>
      <c r="C200" s="30"/>
      <c r="D200" s="31"/>
      <c r="E200" s="31"/>
      <c r="F200" s="31"/>
      <c r="G200" s="31"/>
      <c r="H200" s="31"/>
      <c r="I200" s="31"/>
      <c r="J200" s="31"/>
      <c r="K200" s="31"/>
      <c r="L200" s="31"/>
      <c r="M200" s="31"/>
      <c r="N200" s="13"/>
      <c r="O200" s="7"/>
      <c r="P200" s="7"/>
      <c r="Q200" s="7"/>
      <c r="R200" s="7"/>
      <c r="S200" s="7"/>
      <c r="T200" s="7"/>
      <c r="U200" s="7"/>
      <c r="V200" s="7"/>
      <c r="W200" s="7"/>
      <c r="X200" s="7"/>
      <c r="Y200" s="7"/>
    </row>
    <row r="201" spans="1:25" ht="15.75" customHeight="1">
      <c r="A201" s="29"/>
      <c r="B201" s="30"/>
      <c r="C201" s="30"/>
      <c r="D201" s="31"/>
      <c r="E201" s="31"/>
      <c r="F201" s="31"/>
      <c r="G201" s="31"/>
      <c r="H201" s="31"/>
      <c r="I201" s="31"/>
      <c r="J201" s="31"/>
      <c r="K201" s="31"/>
      <c r="L201" s="31"/>
      <c r="M201" s="31"/>
      <c r="N201" s="13"/>
      <c r="O201" s="7"/>
      <c r="P201" s="7"/>
      <c r="Q201" s="7"/>
      <c r="R201" s="7"/>
      <c r="S201" s="7"/>
      <c r="T201" s="7"/>
      <c r="U201" s="7"/>
      <c r="V201" s="7"/>
      <c r="W201" s="7"/>
      <c r="X201" s="7"/>
      <c r="Y201" s="7"/>
    </row>
    <row r="202" spans="1:25" ht="15.75" customHeight="1">
      <c r="A202" s="29"/>
      <c r="B202" s="30"/>
      <c r="C202" s="30"/>
      <c r="D202" s="31"/>
      <c r="E202" s="31"/>
      <c r="F202" s="31"/>
      <c r="G202" s="31"/>
      <c r="H202" s="31"/>
      <c r="I202" s="31"/>
      <c r="J202" s="31"/>
      <c r="K202" s="31"/>
      <c r="L202" s="31"/>
      <c r="M202" s="31"/>
      <c r="N202" s="13"/>
      <c r="O202" s="7"/>
      <c r="P202" s="7"/>
      <c r="Q202" s="7"/>
      <c r="R202" s="7"/>
      <c r="S202" s="7"/>
      <c r="T202" s="7"/>
      <c r="U202" s="7"/>
      <c r="V202" s="7"/>
      <c r="W202" s="7"/>
      <c r="X202" s="7"/>
      <c r="Y202" s="7"/>
    </row>
    <row r="203" spans="1:25" ht="15.75" customHeight="1">
      <c r="A203" s="29"/>
      <c r="B203" s="30"/>
      <c r="C203" s="30"/>
      <c r="D203" s="31"/>
      <c r="E203" s="31"/>
      <c r="F203" s="31"/>
      <c r="G203" s="31"/>
      <c r="H203" s="31"/>
      <c r="I203" s="31"/>
      <c r="J203" s="31"/>
      <c r="K203" s="31"/>
      <c r="L203" s="31"/>
      <c r="M203" s="31"/>
      <c r="N203" s="13"/>
      <c r="O203" s="7"/>
      <c r="P203" s="7"/>
      <c r="Q203" s="7"/>
      <c r="R203" s="7"/>
      <c r="S203" s="7"/>
      <c r="T203" s="7"/>
      <c r="U203" s="7"/>
      <c r="V203" s="7"/>
      <c r="W203" s="7"/>
      <c r="X203" s="7"/>
      <c r="Y203" s="7"/>
    </row>
    <row r="204" spans="1:25" ht="15.75" customHeight="1">
      <c r="A204" s="29"/>
      <c r="B204" s="30"/>
      <c r="C204" s="30"/>
      <c r="D204" s="31"/>
      <c r="E204" s="31"/>
      <c r="F204" s="31"/>
      <c r="G204" s="31"/>
      <c r="H204" s="31"/>
      <c r="I204" s="31"/>
      <c r="J204" s="31"/>
      <c r="K204" s="31"/>
      <c r="L204" s="31"/>
      <c r="M204" s="31"/>
      <c r="N204" s="13"/>
      <c r="O204" s="7"/>
      <c r="P204" s="7"/>
      <c r="Q204" s="7"/>
      <c r="R204" s="7"/>
      <c r="S204" s="7"/>
      <c r="T204" s="7"/>
      <c r="U204" s="7"/>
      <c r="V204" s="7"/>
      <c r="W204" s="7"/>
      <c r="X204" s="7"/>
      <c r="Y204" s="7"/>
    </row>
    <row r="205" spans="1:25" ht="15.75" customHeight="1">
      <c r="A205" s="29"/>
      <c r="B205" s="30"/>
      <c r="C205" s="30"/>
      <c r="D205" s="31"/>
      <c r="E205" s="31"/>
      <c r="F205" s="31"/>
      <c r="G205" s="31"/>
      <c r="H205" s="31"/>
      <c r="I205" s="31"/>
      <c r="J205" s="31"/>
      <c r="K205" s="31"/>
      <c r="L205" s="31"/>
      <c r="M205" s="31"/>
      <c r="N205" s="13"/>
      <c r="O205" s="7"/>
      <c r="P205" s="7"/>
      <c r="Q205" s="7"/>
      <c r="R205" s="7"/>
      <c r="S205" s="7"/>
      <c r="T205" s="7"/>
      <c r="U205" s="7"/>
      <c r="V205" s="7"/>
      <c r="W205" s="7"/>
      <c r="X205" s="7"/>
      <c r="Y205" s="7"/>
    </row>
    <row r="206" spans="1:25" ht="15.75" customHeight="1">
      <c r="A206" s="29"/>
      <c r="B206" s="30"/>
      <c r="C206" s="30"/>
      <c r="D206" s="31"/>
      <c r="E206" s="31"/>
      <c r="F206" s="31"/>
      <c r="G206" s="31"/>
      <c r="H206" s="31"/>
      <c r="I206" s="31"/>
      <c r="J206" s="31"/>
      <c r="K206" s="31"/>
      <c r="L206" s="31"/>
      <c r="M206" s="31"/>
      <c r="N206" s="13"/>
      <c r="O206" s="7"/>
      <c r="P206" s="7"/>
      <c r="Q206" s="7"/>
      <c r="R206" s="7"/>
      <c r="S206" s="7"/>
      <c r="T206" s="7"/>
      <c r="U206" s="7"/>
      <c r="V206" s="7"/>
      <c r="W206" s="7"/>
      <c r="X206" s="7"/>
      <c r="Y206" s="7"/>
    </row>
    <row r="207" spans="1:25" ht="15.75" customHeight="1">
      <c r="A207" s="29"/>
      <c r="B207" s="30"/>
      <c r="C207" s="30"/>
      <c r="D207" s="31"/>
      <c r="E207" s="31"/>
      <c r="F207" s="31"/>
      <c r="G207" s="31"/>
      <c r="H207" s="31"/>
      <c r="I207" s="31"/>
      <c r="J207" s="31"/>
      <c r="K207" s="31"/>
      <c r="L207" s="31"/>
      <c r="M207" s="31"/>
      <c r="N207" s="13"/>
      <c r="O207" s="7"/>
      <c r="P207" s="7"/>
      <c r="Q207" s="7"/>
      <c r="R207" s="7"/>
      <c r="S207" s="7"/>
      <c r="T207" s="7"/>
      <c r="U207" s="7"/>
      <c r="V207" s="7"/>
      <c r="W207" s="7"/>
      <c r="X207" s="7"/>
      <c r="Y207" s="7"/>
    </row>
    <row r="208" spans="1:25" ht="15.75" customHeight="1">
      <c r="A208" s="29"/>
      <c r="B208" s="30"/>
      <c r="C208" s="30"/>
      <c r="D208" s="31"/>
      <c r="E208" s="31"/>
      <c r="F208" s="31"/>
      <c r="G208" s="31"/>
      <c r="H208" s="31"/>
      <c r="I208" s="31"/>
      <c r="J208" s="31"/>
      <c r="K208" s="31"/>
      <c r="L208" s="31"/>
      <c r="M208" s="31"/>
      <c r="N208" s="13"/>
      <c r="O208" s="7"/>
      <c r="P208" s="7"/>
      <c r="Q208" s="7"/>
      <c r="R208" s="7"/>
      <c r="S208" s="7"/>
      <c r="T208" s="7"/>
      <c r="U208" s="7"/>
      <c r="V208" s="7"/>
      <c r="W208" s="7"/>
      <c r="X208" s="7"/>
      <c r="Y208" s="7"/>
    </row>
    <row r="209" spans="1:25" ht="15.75" customHeight="1">
      <c r="A209" s="29"/>
      <c r="B209" s="30"/>
      <c r="C209" s="30"/>
      <c r="D209" s="31"/>
      <c r="E209" s="31"/>
      <c r="F209" s="31"/>
      <c r="G209" s="31"/>
      <c r="H209" s="31"/>
      <c r="I209" s="31"/>
      <c r="J209" s="31"/>
      <c r="K209" s="31"/>
      <c r="L209" s="31"/>
      <c r="M209" s="31"/>
      <c r="N209" s="13"/>
      <c r="O209" s="7"/>
      <c r="P209" s="7"/>
      <c r="Q209" s="7"/>
      <c r="R209" s="7"/>
      <c r="S209" s="7"/>
      <c r="T209" s="7"/>
      <c r="U209" s="7"/>
      <c r="V209" s="7"/>
      <c r="W209" s="7"/>
      <c r="X209" s="7"/>
      <c r="Y209" s="7"/>
    </row>
    <row r="210" spans="1:25" ht="15.75" customHeight="1">
      <c r="A210" s="29"/>
      <c r="B210" s="30"/>
      <c r="C210" s="30"/>
      <c r="D210" s="31"/>
      <c r="E210" s="31"/>
      <c r="F210" s="31"/>
      <c r="G210" s="31"/>
      <c r="H210" s="31"/>
      <c r="I210" s="31"/>
      <c r="J210" s="31"/>
      <c r="K210" s="31"/>
      <c r="L210" s="31"/>
      <c r="M210" s="31"/>
      <c r="N210" s="13"/>
      <c r="O210" s="7"/>
      <c r="P210" s="7"/>
      <c r="Q210" s="7"/>
      <c r="R210" s="7"/>
      <c r="S210" s="7"/>
      <c r="T210" s="7"/>
      <c r="U210" s="7"/>
      <c r="V210" s="7"/>
      <c r="W210" s="7"/>
      <c r="X210" s="7"/>
      <c r="Y210" s="7"/>
    </row>
    <row r="211" spans="1:25" ht="15.75" customHeight="1">
      <c r="A211" s="29"/>
      <c r="B211" s="30"/>
      <c r="C211" s="30"/>
      <c r="D211" s="31"/>
      <c r="E211" s="31"/>
      <c r="F211" s="31"/>
      <c r="G211" s="31"/>
      <c r="H211" s="31"/>
      <c r="I211" s="31"/>
      <c r="J211" s="31"/>
      <c r="K211" s="31"/>
      <c r="L211" s="31"/>
      <c r="M211" s="31"/>
      <c r="N211" s="13"/>
      <c r="O211" s="7"/>
      <c r="P211" s="7"/>
      <c r="Q211" s="7"/>
      <c r="R211" s="7"/>
      <c r="S211" s="7"/>
      <c r="T211" s="7"/>
      <c r="U211" s="7"/>
      <c r="V211" s="7"/>
      <c r="W211" s="7"/>
      <c r="X211" s="7"/>
      <c r="Y211" s="7"/>
    </row>
    <row r="212" spans="1:25" ht="15.75" customHeight="1">
      <c r="A212" s="29"/>
      <c r="B212" s="30"/>
      <c r="C212" s="30"/>
      <c r="D212" s="31"/>
      <c r="E212" s="31"/>
      <c r="F212" s="31"/>
      <c r="G212" s="31"/>
      <c r="H212" s="31"/>
      <c r="I212" s="31"/>
      <c r="J212" s="31"/>
      <c r="K212" s="31"/>
      <c r="L212" s="31"/>
      <c r="M212" s="31"/>
      <c r="N212" s="13"/>
      <c r="O212" s="7"/>
      <c r="P212" s="7"/>
      <c r="Q212" s="7"/>
      <c r="R212" s="7"/>
      <c r="S212" s="7"/>
      <c r="T212" s="7"/>
      <c r="U212" s="7"/>
      <c r="V212" s="7"/>
      <c r="W212" s="7"/>
      <c r="X212" s="7"/>
      <c r="Y212" s="7"/>
    </row>
    <row r="213" spans="1:25" ht="15.75" customHeight="1">
      <c r="A213" s="29"/>
      <c r="B213" s="30"/>
      <c r="C213" s="30"/>
      <c r="D213" s="31"/>
      <c r="E213" s="31"/>
      <c r="F213" s="31"/>
      <c r="G213" s="31"/>
      <c r="H213" s="31"/>
      <c r="I213" s="31"/>
      <c r="J213" s="31"/>
      <c r="K213" s="31"/>
      <c r="L213" s="31"/>
      <c r="M213" s="31"/>
      <c r="N213" s="13"/>
      <c r="O213" s="7"/>
      <c r="P213" s="7"/>
      <c r="Q213" s="7"/>
      <c r="R213" s="7"/>
      <c r="S213" s="7"/>
      <c r="T213" s="7"/>
      <c r="U213" s="7"/>
      <c r="V213" s="7"/>
      <c r="W213" s="7"/>
      <c r="X213" s="7"/>
      <c r="Y213" s="7"/>
    </row>
    <row r="214" spans="1:25" ht="15.75" customHeight="1">
      <c r="A214" s="29"/>
      <c r="B214" s="30"/>
      <c r="C214" s="30"/>
      <c r="D214" s="31"/>
      <c r="E214" s="31"/>
      <c r="F214" s="31"/>
      <c r="G214" s="31"/>
      <c r="H214" s="31"/>
      <c r="I214" s="31"/>
      <c r="J214" s="31"/>
      <c r="K214" s="31"/>
      <c r="L214" s="31"/>
      <c r="M214" s="31"/>
      <c r="N214" s="13"/>
      <c r="O214" s="7"/>
      <c r="P214" s="7"/>
      <c r="Q214" s="7"/>
      <c r="R214" s="7"/>
      <c r="S214" s="7"/>
      <c r="T214" s="7"/>
      <c r="U214" s="7"/>
      <c r="V214" s="7"/>
      <c r="W214" s="7"/>
      <c r="X214" s="7"/>
      <c r="Y214" s="7"/>
    </row>
    <row r="215" spans="1:25" ht="15.75" customHeight="1">
      <c r="A215" s="29"/>
      <c r="B215" s="30"/>
      <c r="C215" s="30"/>
      <c r="D215" s="31"/>
      <c r="E215" s="31"/>
      <c r="F215" s="31"/>
      <c r="G215" s="31"/>
      <c r="H215" s="31"/>
      <c r="I215" s="31"/>
      <c r="J215" s="31"/>
      <c r="K215" s="31"/>
      <c r="L215" s="31"/>
      <c r="M215" s="31"/>
      <c r="N215" s="13"/>
      <c r="O215" s="7"/>
      <c r="P215" s="7"/>
      <c r="Q215" s="7"/>
      <c r="R215" s="7"/>
      <c r="S215" s="7"/>
      <c r="T215" s="7"/>
      <c r="U215" s="7"/>
      <c r="V215" s="7"/>
      <c r="W215" s="7"/>
      <c r="X215" s="7"/>
      <c r="Y215" s="7"/>
    </row>
    <row r="216" spans="1:25" ht="15.75" customHeight="1">
      <c r="A216" s="29"/>
      <c r="B216" s="30"/>
      <c r="C216" s="30"/>
      <c r="D216" s="31"/>
      <c r="E216" s="31"/>
      <c r="F216" s="31"/>
      <c r="G216" s="31"/>
      <c r="H216" s="31"/>
      <c r="I216" s="31"/>
      <c r="J216" s="31"/>
      <c r="K216" s="31"/>
      <c r="L216" s="31"/>
      <c r="M216" s="31"/>
      <c r="N216" s="13"/>
      <c r="O216" s="7"/>
      <c r="P216" s="7"/>
      <c r="Q216" s="7"/>
      <c r="R216" s="7"/>
      <c r="S216" s="7"/>
      <c r="T216" s="7"/>
      <c r="U216" s="7"/>
      <c r="V216" s="7"/>
      <c r="W216" s="7"/>
      <c r="X216" s="7"/>
      <c r="Y216" s="7"/>
    </row>
    <row r="217" spans="1:25" ht="15.75" customHeight="1">
      <c r="A217" s="29"/>
      <c r="B217" s="30"/>
      <c r="C217" s="30"/>
      <c r="D217" s="31"/>
      <c r="E217" s="31"/>
      <c r="F217" s="31"/>
      <c r="G217" s="31"/>
      <c r="H217" s="31"/>
      <c r="I217" s="31"/>
      <c r="J217" s="31"/>
      <c r="K217" s="31"/>
      <c r="L217" s="31"/>
      <c r="M217" s="31"/>
      <c r="N217" s="13"/>
      <c r="O217" s="7"/>
      <c r="P217" s="7"/>
      <c r="Q217" s="7"/>
      <c r="R217" s="7"/>
      <c r="S217" s="7"/>
      <c r="T217" s="7"/>
      <c r="U217" s="7"/>
      <c r="V217" s="7"/>
      <c r="W217" s="7"/>
      <c r="X217" s="7"/>
      <c r="Y217" s="7"/>
    </row>
    <row r="218" spans="1:25" ht="15.75" customHeight="1">
      <c r="A218" s="29"/>
      <c r="B218" s="30"/>
      <c r="C218" s="30"/>
      <c r="D218" s="31"/>
      <c r="E218" s="31"/>
      <c r="F218" s="31"/>
      <c r="G218" s="31"/>
      <c r="H218" s="31"/>
      <c r="I218" s="31"/>
      <c r="J218" s="31"/>
      <c r="K218" s="31"/>
      <c r="L218" s="31"/>
      <c r="M218" s="31"/>
      <c r="N218" s="13"/>
      <c r="O218" s="7"/>
      <c r="P218" s="7"/>
      <c r="Q218" s="7"/>
      <c r="R218" s="7"/>
      <c r="S218" s="7"/>
      <c r="T218" s="7"/>
      <c r="U218" s="7"/>
      <c r="V218" s="7"/>
      <c r="W218" s="7"/>
      <c r="X218" s="7"/>
      <c r="Y218" s="7"/>
    </row>
    <row r="219" spans="1:25" ht="15.75" customHeight="1">
      <c r="A219" s="29"/>
      <c r="B219" s="30"/>
      <c r="C219" s="30"/>
      <c r="D219" s="31"/>
      <c r="E219" s="31"/>
      <c r="F219" s="31"/>
      <c r="G219" s="31"/>
      <c r="H219" s="31"/>
      <c r="I219" s="31"/>
      <c r="J219" s="31"/>
      <c r="K219" s="31"/>
      <c r="L219" s="31"/>
      <c r="M219" s="31"/>
      <c r="N219" s="13"/>
      <c r="O219" s="7"/>
      <c r="P219" s="7"/>
      <c r="Q219" s="7"/>
      <c r="R219" s="7"/>
      <c r="S219" s="7"/>
      <c r="T219" s="7"/>
      <c r="U219" s="7"/>
      <c r="V219" s="7"/>
      <c r="W219" s="7"/>
      <c r="X219" s="7"/>
      <c r="Y219" s="7"/>
    </row>
    <row r="220" spans="1:25" ht="15.75" customHeight="1">
      <c r="A220" s="29"/>
      <c r="B220" s="30"/>
      <c r="C220" s="30"/>
      <c r="D220" s="31"/>
      <c r="E220" s="31"/>
      <c r="F220" s="31"/>
      <c r="G220" s="31"/>
      <c r="H220" s="31"/>
      <c r="I220" s="31"/>
      <c r="J220" s="31"/>
      <c r="K220" s="31"/>
      <c r="L220" s="31"/>
      <c r="M220" s="31"/>
      <c r="N220" s="13"/>
      <c r="O220" s="7"/>
      <c r="P220" s="7"/>
      <c r="Q220" s="7"/>
      <c r="R220" s="7"/>
      <c r="S220" s="7"/>
      <c r="T220" s="7"/>
      <c r="U220" s="7"/>
      <c r="V220" s="7"/>
      <c r="W220" s="7"/>
      <c r="X220" s="7"/>
      <c r="Y220" s="7"/>
    </row>
    <row r="221" spans="1:25" ht="15.75" customHeight="1">
      <c r="A221" s="29"/>
      <c r="B221" s="30"/>
      <c r="C221" s="30"/>
      <c r="D221" s="31"/>
      <c r="E221" s="31"/>
      <c r="F221" s="31"/>
      <c r="G221" s="31"/>
      <c r="H221" s="31"/>
      <c r="I221" s="31"/>
      <c r="J221" s="31"/>
      <c r="K221" s="31"/>
      <c r="L221" s="31"/>
      <c r="M221" s="31"/>
      <c r="N221" s="13"/>
      <c r="O221" s="7"/>
      <c r="P221" s="7"/>
      <c r="Q221" s="7"/>
      <c r="R221" s="7"/>
      <c r="S221" s="7"/>
      <c r="T221" s="7"/>
      <c r="U221" s="7"/>
      <c r="V221" s="7"/>
      <c r="W221" s="7"/>
      <c r="X221" s="7"/>
      <c r="Y221" s="7"/>
    </row>
    <row r="222" spans="1:25" ht="15.75" customHeight="1">
      <c r="A222" s="29"/>
      <c r="B222" s="30"/>
      <c r="C222" s="30"/>
      <c r="D222" s="31"/>
      <c r="E222" s="31"/>
      <c r="F222" s="31"/>
      <c r="G222" s="31"/>
      <c r="H222" s="31"/>
      <c r="I222" s="31"/>
      <c r="J222" s="31"/>
      <c r="K222" s="31"/>
      <c r="L222" s="31"/>
      <c r="M222" s="31"/>
      <c r="N222" s="13"/>
      <c r="O222" s="7"/>
      <c r="P222" s="7"/>
      <c r="Q222" s="7"/>
      <c r="R222" s="7"/>
      <c r="S222" s="7"/>
      <c r="T222" s="7"/>
      <c r="U222" s="7"/>
      <c r="V222" s="7"/>
      <c r="W222" s="7"/>
      <c r="X222" s="7"/>
      <c r="Y222" s="7"/>
    </row>
    <row r="223" spans="1:25" ht="15.75" customHeight="1">
      <c r="A223" s="29"/>
      <c r="B223" s="30"/>
      <c r="C223" s="30"/>
      <c r="D223" s="31"/>
      <c r="E223" s="31"/>
      <c r="F223" s="31"/>
      <c r="G223" s="31"/>
      <c r="H223" s="31"/>
      <c r="I223" s="31"/>
      <c r="J223" s="31"/>
      <c r="K223" s="31"/>
      <c r="L223" s="31"/>
      <c r="M223" s="31"/>
      <c r="N223" s="13"/>
      <c r="O223" s="7"/>
      <c r="P223" s="7"/>
      <c r="Q223" s="7"/>
      <c r="R223" s="7"/>
      <c r="S223" s="7"/>
      <c r="T223" s="7"/>
      <c r="U223" s="7"/>
      <c r="V223" s="7"/>
      <c r="W223" s="7"/>
      <c r="X223" s="7"/>
      <c r="Y223" s="7"/>
    </row>
    <row r="224" spans="1:25" ht="15.75" customHeight="1">
      <c r="A224" s="29"/>
      <c r="B224" s="30"/>
      <c r="C224" s="30"/>
      <c r="D224" s="31"/>
      <c r="E224" s="31"/>
      <c r="F224" s="31"/>
      <c r="G224" s="31"/>
      <c r="H224" s="31"/>
      <c r="I224" s="31"/>
      <c r="J224" s="31"/>
      <c r="K224" s="31"/>
      <c r="L224" s="31"/>
      <c r="M224" s="31"/>
      <c r="N224" s="13"/>
      <c r="O224" s="7"/>
      <c r="P224" s="7"/>
      <c r="Q224" s="7"/>
      <c r="R224" s="7"/>
      <c r="S224" s="7"/>
      <c r="T224" s="7"/>
      <c r="U224" s="7"/>
      <c r="V224" s="7"/>
      <c r="W224" s="7"/>
      <c r="X224" s="7"/>
      <c r="Y224" s="7"/>
    </row>
    <row r="225" spans="1:25" ht="15.75" customHeight="1">
      <c r="A225" s="29"/>
      <c r="B225" s="30"/>
      <c r="C225" s="30"/>
      <c r="D225" s="31"/>
      <c r="E225" s="31"/>
      <c r="F225" s="31"/>
      <c r="G225" s="31"/>
      <c r="H225" s="31"/>
      <c r="I225" s="31"/>
      <c r="J225" s="31"/>
      <c r="K225" s="31"/>
      <c r="L225" s="31"/>
      <c r="M225" s="31"/>
      <c r="N225" s="13"/>
      <c r="O225" s="7"/>
      <c r="P225" s="7"/>
      <c r="Q225" s="7"/>
      <c r="R225" s="7"/>
      <c r="S225" s="7"/>
      <c r="T225" s="7"/>
      <c r="U225" s="7"/>
      <c r="V225" s="7"/>
      <c r="W225" s="7"/>
      <c r="X225" s="7"/>
      <c r="Y225" s="7"/>
    </row>
    <row r="226" spans="1:25" ht="15.75" customHeight="1">
      <c r="A226" s="29"/>
      <c r="B226" s="30"/>
      <c r="C226" s="30"/>
      <c r="D226" s="31"/>
      <c r="E226" s="31"/>
      <c r="F226" s="31"/>
      <c r="G226" s="31"/>
      <c r="H226" s="31"/>
      <c r="I226" s="31"/>
      <c r="J226" s="31"/>
      <c r="K226" s="31"/>
      <c r="L226" s="31"/>
      <c r="M226" s="31"/>
      <c r="N226" s="13"/>
      <c r="O226" s="7"/>
      <c r="P226" s="7"/>
      <c r="Q226" s="7"/>
      <c r="R226" s="7"/>
      <c r="S226" s="7"/>
      <c r="T226" s="7"/>
      <c r="U226" s="7"/>
      <c r="V226" s="7"/>
      <c r="W226" s="7"/>
      <c r="X226" s="7"/>
      <c r="Y226" s="7"/>
    </row>
    <row r="227" spans="1:25" ht="15.75" customHeight="1">
      <c r="A227" s="29"/>
      <c r="B227" s="30"/>
      <c r="C227" s="30"/>
      <c r="D227" s="31"/>
      <c r="E227" s="31"/>
      <c r="F227" s="31"/>
      <c r="G227" s="31"/>
      <c r="H227" s="31"/>
      <c r="I227" s="31"/>
      <c r="J227" s="31"/>
      <c r="K227" s="31"/>
      <c r="L227" s="31"/>
      <c r="M227" s="31"/>
      <c r="N227" s="13"/>
      <c r="O227" s="7"/>
      <c r="P227" s="7"/>
      <c r="Q227" s="7"/>
      <c r="R227" s="7"/>
      <c r="S227" s="7"/>
      <c r="T227" s="7"/>
      <c r="U227" s="7"/>
      <c r="V227" s="7"/>
      <c r="W227" s="7"/>
      <c r="X227" s="7"/>
      <c r="Y227" s="7"/>
    </row>
    <row r="228" spans="1:25" ht="15.75" customHeight="1">
      <c r="A228" s="29"/>
      <c r="B228" s="30"/>
      <c r="C228" s="30"/>
      <c r="D228" s="31"/>
      <c r="E228" s="31"/>
      <c r="F228" s="31"/>
      <c r="G228" s="31"/>
      <c r="H228" s="31"/>
      <c r="I228" s="31"/>
      <c r="J228" s="31"/>
      <c r="K228" s="31"/>
      <c r="L228" s="31"/>
      <c r="M228" s="31"/>
      <c r="N228" s="13"/>
      <c r="O228" s="7"/>
      <c r="P228" s="7"/>
      <c r="Q228" s="7"/>
      <c r="R228" s="7"/>
      <c r="S228" s="7"/>
      <c r="T228" s="7"/>
      <c r="U228" s="7"/>
      <c r="V228" s="7"/>
      <c r="W228" s="7"/>
      <c r="X228" s="7"/>
      <c r="Y228" s="7"/>
    </row>
    <row r="229" spans="1:25" ht="15.75" customHeight="1">
      <c r="A229" s="29"/>
      <c r="B229" s="30"/>
      <c r="C229" s="30"/>
      <c r="D229" s="31"/>
      <c r="E229" s="31"/>
      <c r="F229" s="31"/>
      <c r="G229" s="31"/>
      <c r="H229" s="31"/>
      <c r="I229" s="31"/>
      <c r="J229" s="31"/>
      <c r="K229" s="31"/>
      <c r="L229" s="31"/>
      <c r="M229" s="31"/>
      <c r="N229" s="13"/>
      <c r="O229" s="7"/>
      <c r="P229" s="7"/>
      <c r="Q229" s="7"/>
      <c r="R229" s="7"/>
      <c r="S229" s="7"/>
      <c r="T229" s="7"/>
      <c r="U229" s="7"/>
      <c r="V229" s="7"/>
      <c r="W229" s="7"/>
      <c r="X229" s="7"/>
      <c r="Y229" s="7"/>
    </row>
    <row r="230" spans="1:25" ht="15.75" customHeight="1">
      <c r="A230" s="29"/>
      <c r="B230" s="30"/>
      <c r="C230" s="30"/>
      <c r="D230" s="31"/>
      <c r="E230" s="31"/>
      <c r="F230" s="31"/>
      <c r="G230" s="31"/>
      <c r="H230" s="31"/>
      <c r="I230" s="31"/>
      <c r="J230" s="31"/>
      <c r="K230" s="31"/>
      <c r="L230" s="31"/>
      <c r="M230" s="31"/>
      <c r="N230" s="13"/>
      <c r="O230" s="7"/>
      <c r="P230" s="7"/>
      <c r="Q230" s="7"/>
      <c r="R230" s="7"/>
      <c r="S230" s="7"/>
      <c r="T230" s="7"/>
      <c r="U230" s="7"/>
      <c r="V230" s="7"/>
      <c r="W230" s="7"/>
      <c r="X230" s="7"/>
      <c r="Y230" s="7"/>
    </row>
    <row r="231" spans="1:25" ht="15.75" customHeight="1">
      <c r="A231" s="29"/>
      <c r="B231" s="30"/>
      <c r="C231" s="30"/>
      <c r="D231" s="31"/>
      <c r="E231" s="31"/>
      <c r="F231" s="31"/>
      <c r="G231" s="31"/>
      <c r="H231" s="31"/>
      <c r="I231" s="31"/>
      <c r="J231" s="31"/>
      <c r="K231" s="31"/>
      <c r="L231" s="31"/>
      <c r="M231" s="31"/>
      <c r="N231" s="13"/>
      <c r="O231" s="7"/>
      <c r="P231" s="7"/>
      <c r="Q231" s="7"/>
      <c r="R231" s="7"/>
      <c r="S231" s="7"/>
      <c r="T231" s="7"/>
      <c r="U231" s="7"/>
      <c r="V231" s="7"/>
      <c r="W231" s="7"/>
      <c r="X231" s="7"/>
      <c r="Y231" s="7"/>
    </row>
    <row r="232" spans="1:25" ht="15.75" customHeight="1">
      <c r="A232" s="29"/>
      <c r="B232" s="30"/>
      <c r="C232" s="30"/>
      <c r="D232" s="31"/>
      <c r="E232" s="31"/>
      <c r="F232" s="31"/>
      <c r="G232" s="31"/>
      <c r="H232" s="31"/>
      <c r="I232" s="31"/>
      <c r="J232" s="31"/>
      <c r="K232" s="31"/>
      <c r="L232" s="31"/>
      <c r="M232" s="31"/>
      <c r="N232" s="13"/>
      <c r="O232" s="7"/>
      <c r="P232" s="7"/>
      <c r="Q232" s="7"/>
      <c r="R232" s="7"/>
      <c r="S232" s="7"/>
      <c r="T232" s="7"/>
      <c r="U232" s="7"/>
      <c r="V232" s="7"/>
      <c r="W232" s="7"/>
      <c r="X232" s="7"/>
      <c r="Y232" s="7"/>
    </row>
    <row r="233" spans="1:25" ht="15.75" customHeight="1">
      <c r="A233" s="29"/>
      <c r="B233" s="30"/>
      <c r="C233" s="30"/>
      <c r="D233" s="31"/>
      <c r="E233" s="31"/>
      <c r="F233" s="31"/>
      <c r="G233" s="31"/>
      <c r="H233" s="31"/>
      <c r="I233" s="31"/>
      <c r="J233" s="31"/>
      <c r="K233" s="31"/>
      <c r="L233" s="31"/>
      <c r="M233" s="31"/>
      <c r="N233" s="13"/>
      <c r="O233" s="7"/>
      <c r="P233" s="7"/>
      <c r="Q233" s="7"/>
      <c r="R233" s="7"/>
      <c r="S233" s="7"/>
      <c r="T233" s="7"/>
      <c r="U233" s="7"/>
      <c r="V233" s="7"/>
      <c r="W233" s="7"/>
      <c r="X233" s="7"/>
      <c r="Y233" s="7"/>
    </row>
    <row r="234" spans="1:25" ht="15.75" customHeight="1">
      <c r="A234" s="29"/>
      <c r="B234" s="30"/>
      <c r="C234" s="30"/>
      <c r="D234" s="31"/>
      <c r="E234" s="31"/>
      <c r="F234" s="31"/>
      <c r="G234" s="31"/>
      <c r="H234" s="31"/>
      <c r="I234" s="31"/>
      <c r="J234" s="31"/>
      <c r="K234" s="31"/>
      <c r="L234" s="31"/>
      <c r="M234" s="31"/>
      <c r="N234" s="13"/>
      <c r="O234" s="7"/>
      <c r="P234" s="7"/>
      <c r="Q234" s="7"/>
      <c r="R234" s="7"/>
      <c r="S234" s="7"/>
      <c r="T234" s="7"/>
      <c r="U234" s="7"/>
      <c r="V234" s="7"/>
      <c r="W234" s="7"/>
      <c r="X234" s="7"/>
      <c r="Y234" s="7"/>
    </row>
    <row r="235" spans="1:25" ht="15.75" customHeight="1">
      <c r="A235" s="29"/>
      <c r="B235" s="30"/>
      <c r="C235" s="30"/>
      <c r="D235" s="31"/>
      <c r="E235" s="31"/>
      <c r="F235" s="31"/>
      <c r="G235" s="31"/>
      <c r="H235" s="31"/>
      <c r="I235" s="31"/>
      <c r="J235" s="31"/>
      <c r="K235" s="31"/>
      <c r="L235" s="31"/>
      <c r="M235" s="31"/>
      <c r="N235" s="13"/>
      <c r="O235" s="7"/>
      <c r="P235" s="7"/>
      <c r="Q235" s="7"/>
      <c r="R235" s="7"/>
      <c r="S235" s="7"/>
      <c r="T235" s="7"/>
      <c r="U235" s="7"/>
      <c r="V235" s="7"/>
      <c r="W235" s="7"/>
      <c r="X235" s="7"/>
      <c r="Y235" s="7"/>
    </row>
    <row r="236" spans="1:25" ht="15.75" customHeight="1">
      <c r="A236" s="29"/>
      <c r="B236" s="30"/>
      <c r="C236" s="30"/>
      <c r="D236" s="31"/>
      <c r="E236" s="31"/>
      <c r="F236" s="31"/>
      <c r="G236" s="31"/>
      <c r="H236" s="31"/>
      <c r="I236" s="31"/>
      <c r="J236" s="31"/>
      <c r="K236" s="31"/>
      <c r="L236" s="31"/>
      <c r="M236" s="31"/>
      <c r="N236" s="13"/>
      <c r="O236" s="7"/>
      <c r="P236" s="7"/>
      <c r="Q236" s="7"/>
      <c r="R236" s="7"/>
      <c r="S236" s="7"/>
      <c r="T236" s="7"/>
      <c r="U236" s="7"/>
      <c r="V236" s="7"/>
      <c r="W236" s="7"/>
      <c r="X236" s="7"/>
      <c r="Y236" s="7"/>
    </row>
    <row r="237" spans="1:25" ht="15.75" customHeight="1">
      <c r="A237" s="29"/>
      <c r="B237" s="30"/>
      <c r="C237" s="30"/>
      <c r="D237" s="31"/>
      <c r="E237" s="31"/>
      <c r="F237" s="31"/>
      <c r="G237" s="31"/>
      <c r="H237" s="31"/>
      <c r="I237" s="31"/>
      <c r="J237" s="31"/>
      <c r="K237" s="31"/>
      <c r="L237" s="31"/>
      <c r="M237" s="31"/>
      <c r="N237" s="13"/>
      <c r="O237" s="7"/>
      <c r="P237" s="7"/>
      <c r="Q237" s="7"/>
      <c r="R237" s="7"/>
      <c r="S237" s="7"/>
      <c r="T237" s="7"/>
      <c r="U237" s="7"/>
      <c r="V237" s="7"/>
      <c r="W237" s="7"/>
      <c r="X237" s="7"/>
      <c r="Y237" s="7"/>
    </row>
    <row r="238" spans="1:25" ht="15.75" customHeight="1">
      <c r="A238" s="29"/>
      <c r="B238" s="30"/>
      <c r="C238" s="30"/>
      <c r="D238" s="31"/>
      <c r="E238" s="31"/>
      <c r="F238" s="31"/>
      <c r="G238" s="31"/>
      <c r="H238" s="31"/>
      <c r="I238" s="31"/>
      <c r="J238" s="31"/>
      <c r="K238" s="31"/>
      <c r="L238" s="31"/>
      <c r="M238" s="31"/>
      <c r="N238" s="13"/>
      <c r="O238" s="7"/>
      <c r="P238" s="7"/>
      <c r="Q238" s="7"/>
      <c r="R238" s="7"/>
      <c r="S238" s="7"/>
      <c r="T238" s="7"/>
      <c r="U238" s="7"/>
      <c r="V238" s="7"/>
      <c r="W238" s="7"/>
      <c r="X238" s="7"/>
      <c r="Y238" s="7"/>
    </row>
    <row r="239" spans="1:25" ht="15.75" customHeight="1">
      <c r="A239" s="29"/>
      <c r="B239" s="30"/>
      <c r="C239" s="30"/>
      <c r="D239" s="31"/>
      <c r="E239" s="31"/>
      <c r="F239" s="31"/>
      <c r="G239" s="31"/>
      <c r="H239" s="31"/>
      <c r="I239" s="31"/>
      <c r="J239" s="31"/>
      <c r="K239" s="31"/>
      <c r="L239" s="31"/>
      <c r="M239" s="31"/>
      <c r="N239" s="13"/>
      <c r="O239" s="7"/>
      <c r="P239" s="7"/>
      <c r="Q239" s="7"/>
      <c r="R239" s="7"/>
      <c r="S239" s="7"/>
      <c r="T239" s="7"/>
      <c r="U239" s="7"/>
      <c r="V239" s="7"/>
      <c r="W239" s="7"/>
      <c r="X239" s="7"/>
      <c r="Y239" s="7"/>
    </row>
    <row r="240" spans="1:25" ht="15.75" customHeight="1">
      <c r="A240" s="29"/>
      <c r="B240" s="30"/>
      <c r="C240" s="30"/>
      <c r="D240" s="31"/>
      <c r="E240" s="31"/>
      <c r="F240" s="31"/>
      <c r="G240" s="31"/>
      <c r="H240" s="31"/>
      <c r="I240" s="31"/>
      <c r="J240" s="31"/>
      <c r="K240" s="31"/>
      <c r="L240" s="31"/>
      <c r="M240" s="31"/>
      <c r="N240" s="13"/>
      <c r="O240" s="7"/>
      <c r="P240" s="7"/>
      <c r="Q240" s="7"/>
      <c r="R240" s="7"/>
      <c r="S240" s="7"/>
      <c r="T240" s="7"/>
      <c r="U240" s="7"/>
      <c r="V240" s="7"/>
      <c r="W240" s="7"/>
      <c r="X240" s="7"/>
      <c r="Y240" s="7"/>
    </row>
    <row r="241" spans="1:25" ht="15.75" customHeight="1">
      <c r="A241" s="29"/>
      <c r="B241" s="30"/>
      <c r="C241" s="30"/>
      <c r="D241" s="31"/>
      <c r="E241" s="31"/>
      <c r="F241" s="31"/>
      <c r="G241" s="31"/>
      <c r="H241" s="31"/>
      <c r="I241" s="31"/>
      <c r="J241" s="31"/>
      <c r="K241" s="31"/>
      <c r="L241" s="31"/>
      <c r="M241" s="31"/>
      <c r="N241" s="13"/>
      <c r="O241" s="7"/>
      <c r="P241" s="7"/>
      <c r="Q241" s="7"/>
      <c r="R241" s="7"/>
      <c r="S241" s="7"/>
      <c r="T241" s="7"/>
      <c r="U241" s="7"/>
      <c r="V241" s="7"/>
      <c r="W241" s="7"/>
      <c r="X241" s="7"/>
      <c r="Y241" s="7"/>
    </row>
    <row r="242" spans="1:25" ht="15.75" customHeight="1">
      <c r="A242" s="29"/>
      <c r="B242" s="30"/>
      <c r="C242" s="30"/>
      <c r="D242" s="31"/>
      <c r="E242" s="31"/>
      <c r="F242" s="31"/>
      <c r="G242" s="31"/>
      <c r="H242" s="31"/>
      <c r="I242" s="31"/>
      <c r="J242" s="31"/>
      <c r="K242" s="31"/>
      <c r="L242" s="31"/>
      <c r="M242" s="31"/>
      <c r="N242" s="13"/>
      <c r="O242" s="7"/>
      <c r="P242" s="7"/>
      <c r="Q242" s="7"/>
      <c r="R242" s="7"/>
      <c r="S242" s="7"/>
      <c r="T242" s="7"/>
      <c r="U242" s="7"/>
      <c r="V242" s="7"/>
      <c r="W242" s="7"/>
      <c r="X242" s="7"/>
      <c r="Y242" s="7"/>
    </row>
    <row r="243" spans="1:25" ht="15.75" customHeight="1">
      <c r="A243" s="29"/>
      <c r="B243" s="30"/>
      <c r="C243" s="30"/>
      <c r="D243" s="31"/>
      <c r="E243" s="31"/>
      <c r="F243" s="31"/>
      <c r="G243" s="31"/>
      <c r="H243" s="31"/>
      <c r="I243" s="31"/>
      <c r="J243" s="31"/>
      <c r="K243" s="31"/>
      <c r="L243" s="31"/>
      <c r="M243" s="31"/>
      <c r="N243" s="13"/>
      <c r="O243" s="7"/>
      <c r="P243" s="7"/>
      <c r="Q243" s="7"/>
      <c r="R243" s="7"/>
      <c r="S243" s="7"/>
      <c r="T243" s="7"/>
      <c r="U243" s="7"/>
      <c r="V243" s="7"/>
      <c r="W243" s="7"/>
      <c r="X243" s="7"/>
      <c r="Y243" s="7"/>
    </row>
    <row r="244" spans="1:25" ht="15.75" customHeight="1">
      <c r="A244" s="29"/>
      <c r="B244" s="30"/>
      <c r="C244" s="30"/>
      <c r="D244" s="31"/>
      <c r="E244" s="31"/>
      <c r="F244" s="31"/>
      <c r="G244" s="31"/>
      <c r="H244" s="31"/>
      <c r="I244" s="31"/>
      <c r="J244" s="31"/>
      <c r="K244" s="31"/>
      <c r="L244" s="31"/>
      <c r="M244" s="31"/>
      <c r="N244" s="13"/>
      <c r="O244" s="7"/>
      <c r="P244" s="7"/>
      <c r="Q244" s="7"/>
      <c r="R244" s="7"/>
      <c r="S244" s="7"/>
      <c r="T244" s="7"/>
      <c r="U244" s="7"/>
      <c r="V244" s="7"/>
      <c r="W244" s="7"/>
      <c r="X244" s="7"/>
      <c r="Y244" s="7"/>
    </row>
    <row r="245" spans="1:25" ht="15.75" customHeight="1">
      <c r="A245" s="29"/>
      <c r="B245" s="30"/>
      <c r="C245" s="30"/>
      <c r="D245" s="31"/>
      <c r="E245" s="31"/>
      <c r="F245" s="31"/>
      <c r="G245" s="31"/>
      <c r="H245" s="31"/>
      <c r="I245" s="31"/>
      <c r="J245" s="31"/>
      <c r="K245" s="31"/>
      <c r="L245" s="31"/>
      <c r="M245" s="31"/>
      <c r="N245" s="13"/>
      <c r="O245" s="7"/>
      <c r="P245" s="7"/>
      <c r="Q245" s="7"/>
      <c r="R245" s="7"/>
      <c r="S245" s="7"/>
      <c r="T245" s="7"/>
      <c r="U245" s="7"/>
      <c r="V245" s="7"/>
      <c r="W245" s="7"/>
      <c r="X245" s="7"/>
      <c r="Y245" s="7"/>
    </row>
    <row r="246" spans="1:25" ht="15.75" customHeight="1">
      <c r="A246" s="29"/>
      <c r="B246" s="30"/>
      <c r="C246" s="30"/>
      <c r="D246" s="31"/>
      <c r="E246" s="31"/>
      <c r="F246" s="31"/>
      <c r="G246" s="31"/>
      <c r="H246" s="31"/>
      <c r="I246" s="31"/>
      <c r="J246" s="31"/>
      <c r="K246" s="31"/>
      <c r="L246" s="31"/>
      <c r="M246" s="31"/>
      <c r="N246" s="13"/>
      <c r="O246" s="7"/>
      <c r="P246" s="7"/>
      <c r="Q246" s="7"/>
      <c r="R246" s="7"/>
      <c r="S246" s="7"/>
      <c r="T246" s="7"/>
      <c r="U246" s="7"/>
      <c r="V246" s="7"/>
      <c r="W246" s="7"/>
      <c r="X246" s="7"/>
      <c r="Y246" s="7"/>
    </row>
    <row r="247" spans="1:25" ht="15.75" customHeight="1">
      <c r="A247" s="29"/>
      <c r="B247" s="30"/>
      <c r="C247" s="30"/>
      <c r="D247" s="31"/>
      <c r="E247" s="31"/>
      <c r="F247" s="31"/>
      <c r="G247" s="31"/>
      <c r="H247" s="31"/>
      <c r="I247" s="31"/>
      <c r="J247" s="31"/>
      <c r="K247" s="31"/>
      <c r="L247" s="31"/>
      <c r="M247" s="31"/>
      <c r="N247" s="13"/>
      <c r="O247" s="7"/>
      <c r="P247" s="7"/>
      <c r="Q247" s="7"/>
      <c r="R247" s="7"/>
      <c r="S247" s="7"/>
      <c r="T247" s="7"/>
      <c r="U247" s="7"/>
      <c r="V247" s="7"/>
      <c r="W247" s="7"/>
      <c r="X247" s="7"/>
      <c r="Y247" s="7"/>
    </row>
    <row r="248" spans="1:25" ht="15.75" customHeight="1">
      <c r="A248" s="29"/>
      <c r="B248" s="30"/>
      <c r="C248" s="30"/>
      <c r="D248" s="31"/>
      <c r="E248" s="31"/>
      <c r="F248" s="31"/>
      <c r="G248" s="31"/>
      <c r="H248" s="31"/>
      <c r="I248" s="31"/>
      <c r="J248" s="31"/>
      <c r="K248" s="31"/>
      <c r="L248" s="31"/>
      <c r="M248" s="31"/>
      <c r="N248" s="13"/>
      <c r="O248" s="7"/>
      <c r="P248" s="7"/>
      <c r="Q248" s="7"/>
      <c r="R248" s="7"/>
      <c r="S248" s="7"/>
      <c r="T248" s="7"/>
      <c r="U248" s="7"/>
      <c r="V248" s="7"/>
      <c r="W248" s="7"/>
      <c r="X248" s="7"/>
      <c r="Y248" s="7"/>
    </row>
    <row r="249" spans="1:25" ht="15.75" customHeight="1">
      <c r="A249" s="29"/>
      <c r="B249" s="30"/>
      <c r="C249" s="30"/>
      <c r="D249" s="31"/>
      <c r="E249" s="31"/>
      <c r="F249" s="31"/>
      <c r="G249" s="31"/>
      <c r="H249" s="31"/>
      <c r="I249" s="31"/>
      <c r="J249" s="31"/>
      <c r="K249" s="31"/>
      <c r="L249" s="31"/>
      <c r="M249" s="31"/>
      <c r="N249" s="13"/>
      <c r="O249" s="7"/>
      <c r="P249" s="7"/>
      <c r="Q249" s="7"/>
      <c r="R249" s="7"/>
      <c r="S249" s="7"/>
      <c r="T249" s="7"/>
      <c r="U249" s="7"/>
      <c r="V249" s="7"/>
      <c r="W249" s="7"/>
      <c r="X249" s="7"/>
      <c r="Y249" s="7"/>
    </row>
    <row r="250" spans="1:25" ht="15.75" customHeight="1">
      <c r="A250" s="29"/>
      <c r="B250" s="30"/>
      <c r="C250" s="30"/>
      <c r="D250" s="31"/>
      <c r="E250" s="31"/>
      <c r="F250" s="31"/>
      <c r="G250" s="31"/>
      <c r="H250" s="31"/>
      <c r="I250" s="31"/>
      <c r="J250" s="31"/>
      <c r="K250" s="31"/>
      <c r="L250" s="31"/>
      <c r="M250" s="31"/>
      <c r="N250" s="13"/>
      <c r="O250" s="7"/>
      <c r="P250" s="7"/>
      <c r="Q250" s="7"/>
      <c r="R250" s="7"/>
      <c r="S250" s="7"/>
      <c r="T250" s="7"/>
      <c r="U250" s="7"/>
      <c r="V250" s="7"/>
      <c r="W250" s="7"/>
      <c r="X250" s="7"/>
      <c r="Y250" s="7"/>
    </row>
    <row r="251" spans="1:25" ht="15.75" customHeight="1">
      <c r="A251" s="29"/>
      <c r="B251" s="30"/>
      <c r="C251" s="30"/>
      <c r="D251" s="31"/>
      <c r="E251" s="31"/>
      <c r="F251" s="31"/>
      <c r="G251" s="31"/>
      <c r="H251" s="31"/>
      <c r="I251" s="31"/>
      <c r="J251" s="31"/>
      <c r="K251" s="31"/>
      <c r="L251" s="31"/>
      <c r="M251" s="31"/>
      <c r="N251" s="13"/>
      <c r="O251" s="7"/>
      <c r="P251" s="7"/>
      <c r="Q251" s="7"/>
      <c r="R251" s="7"/>
      <c r="S251" s="7"/>
      <c r="T251" s="7"/>
      <c r="U251" s="7"/>
      <c r="V251" s="7"/>
      <c r="W251" s="7"/>
      <c r="X251" s="7"/>
      <c r="Y251" s="7"/>
    </row>
    <row r="252" spans="1:25" ht="15.75" customHeight="1">
      <c r="A252" s="29"/>
      <c r="B252" s="30"/>
      <c r="C252" s="30"/>
      <c r="D252" s="31"/>
      <c r="E252" s="31"/>
      <c r="F252" s="31"/>
      <c r="G252" s="31"/>
      <c r="H252" s="31"/>
      <c r="I252" s="31"/>
      <c r="J252" s="31"/>
      <c r="K252" s="31"/>
      <c r="L252" s="31"/>
      <c r="M252" s="31"/>
      <c r="N252" s="13"/>
      <c r="O252" s="7"/>
      <c r="P252" s="7"/>
      <c r="Q252" s="7"/>
      <c r="R252" s="7"/>
      <c r="S252" s="7"/>
      <c r="T252" s="7"/>
      <c r="U252" s="7"/>
      <c r="V252" s="7"/>
      <c r="W252" s="7"/>
      <c r="X252" s="7"/>
      <c r="Y252" s="7"/>
    </row>
    <row r="253" spans="1:25" ht="15.75" customHeight="1">
      <c r="A253" s="29"/>
      <c r="B253" s="30"/>
      <c r="C253" s="30"/>
      <c r="D253" s="31"/>
      <c r="E253" s="31"/>
      <c r="F253" s="31"/>
      <c r="G253" s="31"/>
      <c r="H253" s="31"/>
      <c r="I253" s="31"/>
      <c r="J253" s="31"/>
      <c r="K253" s="31"/>
      <c r="L253" s="31"/>
      <c r="M253" s="31"/>
      <c r="N253" s="13"/>
      <c r="O253" s="7"/>
      <c r="P253" s="7"/>
      <c r="Q253" s="7"/>
      <c r="R253" s="7"/>
      <c r="S253" s="7"/>
      <c r="T253" s="7"/>
      <c r="U253" s="7"/>
      <c r="V253" s="7"/>
      <c r="W253" s="7"/>
      <c r="X253" s="7"/>
      <c r="Y253" s="7"/>
    </row>
    <row r="254" spans="1:25" ht="15.75" customHeight="1">
      <c r="A254" s="29"/>
      <c r="B254" s="30"/>
      <c r="C254" s="30"/>
      <c r="D254" s="31"/>
      <c r="E254" s="31"/>
      <c r="F254" s="31"/>
      <c r="G254" s="31"/>
      <c r="H254" s="31"/>
      <c r="I254" s="31"/>
      <c r="J254" s="31"/>
      <c r="K254" s="31"/>
      <c r="L254" s="31"/>
      <c r="M254" s="31"/>
      <c r="N254" s="13"/>
      <c r="O254" s="7"/>
      <c r="P254" s="7"/>
      <c r="Q254" s="7"/>
      <c r="R254" s="7"/>
      <c r="S254" s="7"/>
      <c r="T254" s="7"/>
      <c r="U254" s="7"/>
      <c r="V254" s="7"/>
      <c r="W254" s="7"/>
      <c r="X254" s="7"/>
      <c r="Y254" s="7"/>
    </row>
    <row r="255" spans="1:25" ht="15.75" customHeight="1">
      <c r="A255" s="29"/>
      <c r="B255" s="30"/>
      <c r="C255" s="30"/>
      <c r="D255" s="31"/>
      <c r="E255" s="31"/>
      <c r="F255" s="31"/>
      <c r="G255" s="31"/>
      <c r="H255" s="31"/>
      <c r="I255" s="31"/>
      <c r="J255" s="31"/>
      <c r="K255" s="31"/>
      <c r="L255" s="31"/>
      <c r="M255" s="31"/>
      <c r="N255" s="13"/>
      <c r="O255" s="7"/>
      <c r="P255" s="7"/>
      <c r="Q255" s="7"/>
      <c r="R255" s="7"/>
      <c r="S255" s="7"/>
      <c r="T255" s="7"/>
      <c r="U255" s="7"/>
      <c r="V255" s="7"/>
      <c r="W255" s="7"/>
      <c r="X255" s="7"/>
      <c r="Y255" s="7"/>
    </row>
    <row r="256" spans="1:25" ht="15.75" customHeight="1">
      <c r="A256" s="29"/>
      <c r="B256" s="30"/>
      <c r="C256" s="30"/>
      <c r="D256" s="31"/>
      <c r="E256" s="31"/>
      <c r="F256" s="31"/>
      <c r="G256" s="31"/>
      <c r="H256" s="31"/>
      <c r="I256" s="31"/>
      <c r="J256" s="31"/>
      <c r="K256" s="31"/>
      <c r="L256" s="31"/>
      <c r="M256" s="31"/>
      <c r="N256" s="13"/>
      <c r="O256" s="7"/>
      <c r="P256" s="7"/>
      <c r="Q256" s="7"/>
      <c r="R256" s="7"/>
      <c r="S256" s="7"/>
      <c r="T256" s="7"/>
      <c r="U256" s="7"/>
      <c r="V256" s="7"/>
      <c r="W256" s="7"/>
      <c r="X256" s="7"/>
      <c r="Y256" s="7"/>
    </row>
    <row r="257" spans="1:25" ht="15.75" customHeight="1">
      <c r="A257" s="29"/>
      <c r="B257" s="30"/>
      <c r="C257" s="30"/>
      <c r="D257" s="31"/>
      <c r="E257" s="31"/>
      <c r="F257" s="31"/>
      <c r="G257" s="31"/>
      <c r="H257" s="31"/>
      <c r="I257" s="31"/>
      <c r="J257" s="31"/>
      <c r="K257" s="31"/>
      <c r="L257" s="31"/>
      <c r="M257" s="31"/>
      <c r="N257" s="13"/>
      <c r="O257" s="7"/>
      <c r="P257" s="7"/>
      <c r="Q257" s="7"/>
      <c r="R257" s="7"/>
      <c r="S257" s="7"/>
      <c r="T257" s="7"/>
      <c r="U257" s="7"/>
      <c r="V257" s="7"/>
      <c r="W257" s="7"/>
      <c r="X257" s="7"/>
      <c r="Y257" s="7"/>
    </row>
    <row r="258" spans="1:25" ht="15.75" customHeight="1">
      <c r="A258" s="29"/>
      <c r="B258" s="30"/>
      <c r="C258" s="30"/>
      <c r="D258" s="31"/>
      <c r="E258" s="31"/>
      <c r="F258" s="31"/>
      <c r="G258" s="31"/>
      <c r="H258" s="31"/>
      <c r="I258" s="31"/>
      <c r="J258" s="31"/>
      <c r="K258" s="31"/>
      <c r="L258" s="31"/>
      <c r="M258" s="31"/>
      <c r="N258" s="13"/>
      <c r="O258" s="7"/>
      <c r="P258" s="7"/>
      <c r="Q258" s="7"/>
      <c r="R258" s="7"/>
      <c r="S258" s="7"/>
      <c r="T258" s="7"/>
      <c r="U258" s="7"/>
      <c r="V258" s="7"/>
      <c r="W258" s="7"/>
      <c r="X258" s="7"/>
      <c r="Y258" s="7"/>
    </row>
    <row r="259" spans="1:25" ht="15.75" customHeight="1">
      <c r="A259" s="29"/>
      <c r="B259" s="30"/>
      <c r="C259" s="30"/>
      <c r="D259" s="31"/>
      <c r="E259" s="31"/>
      <c r="F259" s="31"/>
      <c r="G259" s="31"/>
      <c r="H259" s="31"/>
      <c r="I259" s="31"/>
      <c r="J259" s="31"/>
      <c r="K259" s="31"/>
      <c r="L259" s="31"/>
      <c r="M259" s="31"/>
      <c r="N259" s="13"/>
      <c r="O259" s="7"/>
      <c r="P259" s="7"/>
      <c r="Q259" s="7"/>
      <c r="R259" s="7"/>
      <c r="S259" s="7"/>
      <c r="T259" s="7"/>
      <c r="U259" s="7"/>
      <c r="V259" s="7"/>
      <c r="W259" s="7"/>
      <c r="X259" s="7"/>
      <c r="Y259" s="7"/>
    </row>
    <row r="260" spans="1:25" ht="15.75" customHeight="1">
      <c r="A260" s="29"/>
      <c r="B260" s="30"/>
      <c r="C260" s="30"/>
      <c r="D260" s="31"/>
      <c r="E260" s="31"/>
      <c r="F260" s="31"/>
      <c r="G260" s="31"/>
      <c r="H260" s="31"/>
      <c r="I260" s="31"/>
      <c r="J260" s="31"/>
      <c r="K260" s="31"/>
      <c r="L260" s="31"/>
      <c r="M260" s="31"/>
      <c r="N260" s="13"/>
      <c r="O260" s="7"/>
      <c r="P260" s="7"/>
      <c r="Q260" s="7"/>
      <c r="R260" s="7"/>
      <c r="S260" s="7"/>
      <c r="T260" s="7"/>
      <c r="U260" s="7"/>
      <c r="V260" s="7"/>
      <c r="W260" s="7"/>
      <c r="X260" s="7"/>
      <c r="Y260" s="7"/>
    </row>
    <row r="261" spans="1:25" ht="15.75" customHeight="1">
      <c r="A261" s="29"/>
      <c r="B261" s="30"/>
      <c r="C261" s="30"/>
      <c r="D261" s="31"/>
      <c r="E261" s="31"/>
      <c r="F261" s="31"/>
      <c r="G261" s="31"/>
      <c r="H261" s="31"/>
      <c r="I261" s="31"/>
      <c r="J261" s="31"/>
      <c r="K261" s="31"/>
      <c r="L261" s="31"/>
      <c r="M261" s="31"/>
      <c r="N261" s="13"/>
      <c r="O261" s="7"/>
      <c r="P261" s="7"/>
      <c r="Q261" s="7"/>
      <c r="R261" s="7"/>
      <c r="S261" s="7"/>
      <c r="T261" s="7"/>
      <c r="U261" s="7"/>
      <c r="V261" s="7"/>
      <c r="W261" s="7"/>
      <c r="X261" s="7"/>
      <c r="Y261" s="7"/>
    </row>
    <row r="262" spans="1:25" ht="15.75" customHeight="1">
      <c r="A262" s="29"/>
      <c r="B262" s="30"/>
      <c r="C262" s="30"/>
      <c r="D262" s="31"/>
      <c r="E262" s="31"/>
      <c r="F262" s="31"/>
      <c r="G262" s="31"/>
      <c r="H262" s="31"/>
      <c r="I262" s="31"/>
      <c r="J262" s="31"/>
      <c r="K262" s="31"/>
      <c r="L262" s="31"/>
      <c r="M262" s="31"/>
      <c r="N262" s="13"/>
      <c r="O262" s="7"/>
      <c r="P262" s="7"/>
      <c r="Q262" s="7"/>
      <c r="R262" s="7"/>
      <c r="S262" s="7"/>
      <c r="T262" s="7"/>
      <c r="U262" s="7"/>
      <c r="V262" s="7"/>
      <c r="W262" s="7"/>
      <c r="X262" s="7"/>
      <c r="Y262" s="7"/>
    </row>
    <row r="263" spans="1:25" ht="15.75" customHeight="1">
      <c r="A263" s="29"/>
      <c r="B263" s="30"/>
      <c r="C263" s="30"/>
      <c r="D263" s="31"/>
      <c r="E263" s="31"/>
      <c r="F263" s="31"/>
      <c r="G263" s="31"/>
      <c r="H263" s="31"/>
      <c r="I263" s="31"/>
      <c r="J263" s="31"/>
      <c r="K263" s="31"/>
      <c r="L263" s="31"/>
      <c r="M263" s="31"/>
      <c r="N263" s="13"/>
      <c r="O263" s="7"/>
      <c r="P263" s="7"/>
      <c r="Q263" s="7"/>
      <c r="R263" s="7"/>
      <c r="S263" s="7"/>
      <c r="T263" s="7"/>
      <c r="U263" s="7"/>
      <c r="V263" s="7"/>
      <c r="W263" s="7"/>
      <c r="X263" s="7"/>
      <c r="Y263" s="7"/>
    </row>
    <row r="264" spans="1:25" ht="15.75" customHeight="1">
      <c r="A264" s="29"/>
      <c r="B264" s="30"/>
      <c r="C264" s="30"/>
      <c r="D264" s="31"/>
      <c r="E264" s="31"/>
      <c r="F264" s="31"/>
      <c r="G264" s="31"/>
      <c r="H264" s="31"/>
      <c r="I264" s="31"/>
      <c r="J264" s="31"/>
      <c r="K264" s="31"/>
      <c r="L264" s="31"/>
      <c r="M264" s="31"/>
      <c r="N264" s="13"/>
      <c r="O264" s="7"/>
      <c r="P264" s="7"/>
      <c r="Q264" s="7"/>
      <c r="R264" s="7"/>
      <c r="S264" s="7"/>
      <c r="T264" s="7"/>
      <c r="U264" s="7"/>
      <c r="V264" s="7"/>
      <c r="W264" s="7"/>
      <c r="X264" s="7"/>
      <c r="Y264" s="7"/>
    </row>
    <row r="265" spans="1:25" ht="15.75" customHeight="1">
      <c r="A265" s="29"/>
      <c r="B265" s="30"/>
      <c r="C265" s="30"/>
      <c r="D265" s="31"/>
      <c r="E265" s="31"/>
      <c r="F265" s="31"/>
      <c r="G265" s="31"/>
      <c r="H265" s="31"/>
      <c r="I265" s="31"/>
      <c r="J265" s="31"/>
      <c r="K265" s="31"/>
      <c r="L265" s="31"/>
      <c r="M265" s="31"/>
      <c r="N265" s="13"/>
      <c r="O265" s="7"/>
      <c r="P265" s="7"/>
      <c r="Q265" s="7"/>
      <c r="R265" s="7"/>
      <c r="S265" s="7"/>
      <c r="T265" s="7"/>
      <c r="U265" s="7"/>
      <c r="V265" s="7"/>
      <c r="W265" s="7"/>
      <c r="X265" s="7"/>
      <c r="Y265" s="7"/>
    </row>
    <row r="266" spans="1:25" ht="15.75" customHeight="1">
      <c r="A266" s="29"/>
      <c r="B266" s="30"/>
      <c r="C266" s="30"/>
      <c r="D266" s="31"/>
      <c r="E266" s="31"/>
      <c r="F266" s="31"/>
      <c r="G266" s="31"/>
      <c r="H266" s="31"/>
      <c r="I266" s="31"/>
      <c r="J266" s="31"/>
      <c r="K266" s="31"/>
      <c r="L266" s="31"/>
      <c r="M266" s="31"/>
      <c r="N266" s="13"/>
      <c r="O266" s="7"/>
      <c r="P266" s="7"/>
      <c r="Q266" s="7"/>
      <c r="R266" s="7"/>
      <c r="S266" s="7"/>
      <c r="T266" s="7"/>
      <c r="U266" s="7"/>
      <c r="V266" s="7"/>
      <c r="W266" s="7"/>
      <c r="X266" s="7"/>
      <c r="Y266" s="7"/>
    </row>
    <row r="267" spans="1:25" ht="15.75" customHeight="1">
      <c r="A267" s="29"/>
      <c r="B267" s="30"/>
      <c r="C267" s="30"/>
      <c r="D267" s="31"/>
      <c r="E267" s="31"/>
      <c r="F267" s="31"/>
      <c r="G267" s="31"/>
      <c r="H267" s="31"/>
      <c r="I267" s="31"/>
      <c r="J267" s="31"/>
      <c r="K267" s="31"/>
      <c r="L267" s="31"/>
      <c r="M267" s="31"/>
      <c r="N267" s="13"/>
      <c r="O267" s="7"/>
      <c r="P267" s="7"/>
      <c r="Q267" s="7"/>
      <c r="R267" s="7"/>
      <c r="S267" s="7"/>
      <c r="T267" s="7"/>
      <c r="U267" s="7"/>
      <c r="V267" s="7"/>
      <c r="W267" s="7"/>
      <c r="X267" s="7"/>
      <c r="Y267" s="7"/>
    </row>
    <row r="268" spans="1:25" ht="15.75" customHeight="1">
      <c r="A268" s="29"/>
      <c r="B268" s="30"/>
      <c r="C268" s="30"/>
      <c r="D268" s="31"/>
      <c r="E268" s="31"/>
      <c r="F268" s="31"/>
      <c r="G268" s="31"/>
      <c r="H268" s="31"/>
      <c r="I268" s="31"/>
      <c r="J268" s="31"/>
      <c r="K268" s="31"/>
      <c r="L268" s="31"/>
      <c r="M268" s="31"/>
      <c r="N268" s="13"/>
      <c r="O268" s="7"/>
      <c r="P268" s="7"/>
      <c r="Q268" s="7"/>
      <c r="R268" s="7"/>
      <c r="S268" s="7"/>
      <c r="T268" s="7"/>
      <c r="U268" s="7"/>
      <c r="V268" s="7"/>
      <c r="W268" s="7"/>
      <c r="X268" s="7"/>
      <c r="Y268" s="7"/>
    </row>
    <row r="269" spans="1:25" ht="15.75" customHeight="1">
      <c r="A269" s="29"/>
      <c r="B269" s="30"/>
      <c r="C269" s="30"/>
      <c r="D269" s="31"/>
      <c r="E269" s="31"/>
      <c r="F269" s="31"/>
      <c r="G269" s="31"/>
      <c r="H269" s="31"/>
      <c r="I269" s="31"/>
      <c r="J269" s="31"/>
      <c r="K269" s="31"/>
      <c r="L269" s="31"/>
      <c r="M269" s="31"/>
      <c r="N269" s="13"/>
      <c r="O269" s="7"/>
      <c r="P269" s="7"/>
      <c r="Q269" s="7"/>
      <c r="R269" s="7"/>
      <c r="S269" s="7"/>
      <c r="T269" s="7"/>
      <c r="U269" s="7"/>
      <c r="V269" s="7"/>
      <c r="W269" s="7"/>
      <c r="X269" s="7"/>
      <c r="Y269" s="7"/>
    </row>
    <row r="270" spans="1:25" ht="15.75" customHeight="1">
      <c r="A270" s="29"/>
      <c r="B270" s="30"/>
      <c r="C270" s="30"/>
      <c r="D270" s="31"/>
      <c r="E270" s="31"/>
      <c r="F270" s="31"/>
      <c r="G270" s="31"/>
      <c r="H270" s="31"/>
      <c r="I270" s="31"/>
      <c r="J270" s="31"/>
      <c r="K270" s="31"/>
      <c r="L270" s="31"/>
      <c r="M270" s="31"/>
      <c r="N270" s="13"/>
      <c r="O270" s="7"/>
      <c r="P270" s="7"/>
      <c r="Q270" s="7"/>
      <c r="R270" s="7"/>
      <c r="S270" s="7"/>
      <c r="T270" s="7"/>
      <c r="U270" s="7"/>
      <c r="V270" s="7"/>
      <c r="W270" s="7"/>
      <c r="X270" s="7"/>
      <c r="Y270" s="7"/>
    </row>
    <row r="271" spans="1:25" ht="15.75" customHeight="1">
      <c r="A271" s="29"/>
      <c r="B271" s="30"/>
      <c r="C271" s="30"/>
      <c r="D271" s="31"/>
      <c r="E271" s="31"/>
      <c r="F271" s="31"/>
      <c r="G271" s="31"/>
      <c r="H271" s="31"/>
      <c r="I271" s="31"/>
      <c r="J271" s="31"/>
      <c r="K271" s="31"/>
      <c r="L271" s="31"/>
      <c r="M271" s="31"/>
      <c r="N271" s="13"/>
      <c r="O271" s="7"/>
      <c r="P271" s="7"/>
      <c r="Q271" s="7"/>
      <c r="R271" s="7"/>
      <c r="S271" s="7"/>
      <c r="T271" s="7"/>
      <c r="U271" s="7"/>
      <c r="V271" s="7"/>
      <c r="W271" s="7"/>
      <c r="X271" s="7"/>
      <c r="Y271" s="7"/>
    </row>
    <row r="272" spans="1:25" ht="15.75" customHeight="1">
      <c r="A272" s="29"/>
      <c r="B272" s="30"/>
      <c r="C272" s="30"/>
      <c r="D272" s="31"/>
      <c r="E272" s="31"/>
      <c r="F272" s="31"/>
      <c r="G272" s="31"/>
      <c r="H272" s="31"/>
      <c r="I272" s="31"/>
      <c r="J272" s="31"/>
      <c r="K272" s="31"/>
      <c r="L272" s="31"/>
      <c r="M272" s="31"/>
      <c r="N272" s="13"/>
      <c r="O272" s="7"/>
      <c r="P272" s="7"/>
      <c r="Q272" s="7"/>
      <c r="R272" s="7"/>
      <c r="S272" s="7"/>
      <c r="T272" s="7"/>
      <c r="U272" s="7"/>
      <c r="V272" s="7"/>
      <c r="W272" s="7"/>
      <c r="X272" s="7"/>
      <c r="Y272" s="7"/>
    </row>
    <row r="273" spans="1:25" ht="15.75" customHeight="1">
      <c r="A273" s="29"/>
      <c r="B273" s="30"/>
      <c r="C273" s="30"/>
      <c r="D273" s="31"/>
      <c r="E273" s="31"/>
      <c r="F273" s="31"/>
      <c r="G273" s="31"/>
      <c r="H273" s="31"/>
      <c r="I273" s="31"/>
      <c r="J273" s="31"/>
      <c r="K273" s="31"/>
      <c r="L273" s="31"/>
      <c r="M273" s="31"/>
      <c r="N273" s="13"/>
      <c r="O273" s="7"/>
      <c r="P273" s="7"/>
      <c r="Q273" s="7"/>
      <c r="R273" s="7"/>
      <c r="S273" s="7"/>
      <c r="T273" s="7"/>
      <c r="U273" s="7"/>
      <c r="V273" s="7"/>
      <c r="W273" s="7"/>
      <c r="X273" s="7"/>
      <c r="Y273" s="7"/>
    </row>
    <row r="274" spans="1:25" ht="15.75" customHeight="1">
      <c r="A274" s="29"/>
      <c r="B274" s="30"/>
      <c r="C274" s="30"/>
      <c r="D274" s="31"/>
      <c r="E274" s="31"/>
      <c r="F274" s="31"/>
      <c r="G274" s="31"/>
      <c r="H274" s="31"/>
      <c r="I274" s="31"/>
      <c r="J274" s="31"/>
      <c r="K274" s="31"/>
      <c r="L274" s="31"/>
      <c r="M274" s="31"/>
      <c r="N274" s="13"/>
      <c r="O274" s="7"/>
      <c r="P274" s="7"/>
      <c r="Q274" s="7"/>
      <c r="R274" s="7"/>
      <c r="S274" s="7"/>
      <c r="T274" s="7"/>
      <c r="U274" s="7"/>
      <c r="V274" s="7"/>
      <c r="W274" s="7"/>
      <c r="X274" s="7"/>
      <c r="Y274" s="7"/>
    </row>
    <row r="275" spans="1:25" ht="15.75" customHeight="1">
      <c r="A275" s="29"/>
      <c r="B275" s="30"/>
      <c r="C275" s="30"/>
      <c r="D275" s="31"/>
      <c r="E275" s="31"/>
      <c r="F275" s="31"/>
      <c r="G275" s="31"/>
      <c r="H275" s="31"/>
      <c r="I275" s="31"/>
      <c r="J275" s="31"/>
      <c r="K275" s="31"/>
      <c r="L275" s="31"/>
      <c r="M275" s="31"/>
      <c r="N275" s="13"/>
      <c r="O275" s="7"/>
      <c r="P275" s="7"/>
      <c r="Q275" s="7"/>
      <c r="R275" s="7"/>
      <c r="S275" s="7"/>
      <c r="T275" s="7"/>
      <c r="U275" s="7"/>
      <c r="V275" s="7"/>
      <c r="W275" s="7"/>
      <c r="X275" s="7"/>
      <c r="Y275" s="7"/>
    </row>
    <row r="276" spans="1:25" ht="15.75" customHeight="1">
      <c r="G276" s="32"/>
    </row>
    <row r="277" spans="1:25" ht="15.75" customHeight="1">
      <c r="G277" s="32"/>
    </row>
    <row r="278" spans="1:25" ht="15.75" customHeight="1">
      <c r="G278" s="32"/>
    </row>
    <row r="279" spans="1:25" ht="15.75" customHeight="1">
      <c r="G279" s="32"/>
    </row>
    <row r="280" spans="1:25" ht="15.75" customHeight="1">
      <c r="G280" s="32"/>
    </row>
    <row r="281" spans="1:25" ht="15.75" customHeight="1">
      <c r="G281" s="32"/>
    </row>
    <row r="282" spans="1:25" ht="15.75" customHeight="1">
      <c r="G282" s="32"/>
    </row>
    <row r="283" spans="1:25" ht="15.75" customHeight="1">
      <c r="G283" s="32"/>
    </row>
    <row r="284" spans="1:25" ht="15.75" customHeight="1">
      <c r="G284" s="32"/>
    </row>
    <row r="285" spans="1:25" ht="15.75" customHeight="1">
      <c r="G285" s="32"/>
    </row>
    <row r="286" spans="1:25" ht="15.75" customHeight="1">
      <c r="G286" s="32"/>
    </row>
    <row r="287" spans="1:25" ht="15.75" customHeight="1">
      <c r="G287" s="32"/>
    </row>
    <row r="288" spans="1:25" ht="15.75" customHeight="1">
      <c r="G288" s="32"/>
    </row>
    <row r="289" spans="7:7" ht="15.75" customHeight="1">
      <c r="G289" s="32"/>
    </row>
    <row r="290" spans="7:7" ht="15.75" customHeight="1">
      <c r="G290" s="32"/>
    </row>
    <row r="291" spans="7:7" ht="15.75" customHeight="1">
      <c r="G291" s="32"/>
    </row>
    <row r="292" spans="7:7" ht="15.75" customHeight="1">
      <c r="G292" s="32"/>
    </row>
    <row r="293" spans="7:7" ht="15.75" customHeight="1">
      <c r="G293" s="32"/>
    </row>
    <row r="294" spans="7:7" ht="15.75" customHeight="1">
      <c r="G294" s="32"/>
    </row>
    <row r="295" spans="7:7" ht="15.75" customHeight="1">
      <c r="G295" s="32"/>
    </row>
    <row r="296" spans="7:7" ht="15.75" customHeight="1">
      <c r="G296" s="32"/>
    </row>
    <row r="297" spans="7:7" ht="15.75" customHeight="1">
      <c r="G297" s="32"/>
    </row>
    <row r="298" spans="7:7" ht="15.75" customHeight="1">
      <c r="G298" s="32"/>
    </row>
    <row r="299" spans="7:7" ht="15.75" customHeight="1">
      <c r="G299" s="32"/>
    </row>
    <row r="300" spans="7:7" ht="15.75" customHeight="1">
      <c r="G300" s="32"/>
    </row>
    <row r="301" spans="7:7" ht="15.75" customHeight="1">
      <c r="G301" s="32"/>
    </row>
    <row r="302" spans="7:7" ht="15.75" customHeight="1">
      <c r="G302" s="32"/>
    </row>
    <row r="303" spans="7:7" ht="15.75" customHeight="1">
      <c r="G303" s="32"/>
    </row>
    <row r="304" spans="7:7" ht="15.75" customHeight="1">
      <c r="G304" s="32"/>
    </row>
    <row r="305" spans="7:7" ht="15.75" customHeight="1">
      <c r="G305" s="32"/>
    </row>
    <row r="306" spans="7:7" ht="15.75" customHeight="1">
      <c r="G306" s="32"/>
    </row>
    <row r="307" spans="7:7" ht="15.75" customHeight="1">
      <c r="G307" s="32"/>
    </row>
    <row r="308" spans="7:7" ht="15.75" customHeight="1">
      <c r="G308" s="32"/>
    </row>
    <row r="309" spans="7:7" ht="15.75" customHeight="1">
      <c r="G309" s="32"/>
    </row>
    <row r="310" spans="7:7" ht="15.75" customHeight="1">
      <c r="G310" s="32"/>
    </row>
    <row r="311" spans="7:7" ht="15.75" customHeight="1">
      <c r="G311" s="32"/>
    </row>
    <row r="312" spans="7:7" ht="15.75" customHeight="1">
      <c r="G312" s="32"/>
    </row>
    <row r="313" spans="7:7" ht="15.75" customHeight="1">
      <c r="G313" s="32"/>
    </row>
    <row r="314" spans="7:7" ht="15.75" customHeight="1">
      <c r="G314" s="32"/>
    </row>
    <row r="315" spans="7:7" ht="15.75" customHeight="1">
      <c r="G315" s="32"/>
    </row>
    <row r="316" spans="7:7" ht="15.75" customHeight="1">
      <c r="G316" s="32"/>
    </row>
    <row r="317" spans="7:7" ht="15.75" customHeight="1">
      <c r="G317" s="32"/>
    </row>
    <row r="318" spans="7:7" ht="15.75" customHeight="1">
      <c r="G318" s="32"/>
    </row>
    <row r="319" spans="7:7" ht="15.75" customHeight="1">
      <c r="G319" s="32"/>
    </row>
    <row r="320" spans="7:7" ht="15.75" customHeight="1">
      <c r="G320" s="32"/>
    </row>
    <row r="321" spans="7:7" ht="15.75" customHeight="1">
      <c r="G321" s="32"/>
    </row>
    <row r="322" spans="7:7" ht="15.75" customHeight="1">
      <c r="G322" s="32"/>
    </row>
    <row r="323" spans="7:7" ht="15.75" customHeight="1">
      <c r="G323" s="32"/>
    </row>
    <row r="324" spans="7:7" ht="15.75" customHeight="1">
      <c r="G324" s="32"/>
    </row>
    <row r="325" spans="7:7" ht="15.75" customHeight="1">
      <c r="G325" s="32"/>
    </row>
    <row r="326" spans="7:7" ht="15.75" customHeight="1">
      <c r="G326" s="32"/>
    </row>
    <row r="327" spans="7:7" ht="15.75" customHeight="1">
      <c r="G327" s="32"/>
    </row>
    <row r="328" spans="7:7" ht="15.75" customHeight="1">
      <c r="G328" s="32"/>
    </row>
    <row r="329" spans="7:7" ht="15.75" customHeight="1">
      <c r="G329" s="32"/>
    </row>
    <row r="330" spans="7:7" ht="15.75" customHeight="1">
      <c r="G330" s="32"/>
    </row>
    <row r="331" spans="7:7" ht="15.75" customHeight="1">
      <c r="G331" s="32"/>
    </row>
    <row r="332" spans="7:7" ht="15.75" customHeight="1">
      <c r="G332" s="32"/>
    </row>
    <row r="333" spans="7:7" ht="15.75" customHeight="1">
      <c r="G333" s="32"/>
    </row>
    <row r="334" spans="7:7" ht="15.75" customHeight="1">
      <c r="G334" s="32"/>
    </row>
    <row r="335" spans="7:7" ht="15.75" customHeight="1">
      <c r="G335" s="32"/>
    </row>
    <row r="336" spans="7:7" ht="15.75" customHeight="1">
      <c r="G336" s="32"/>
    </row>
    <row r="337" spans="7:7" ht="15.75" customHeight="1">
      <c r="G337" s="32"/>
    </row>
    <row r="338" spans="7:7" ht="15.75" customHeight="1">
      <c r="G338" s="32"/>
    </row>
    <row r="339" spans="7:7" ht="15.75" customHeight="1">
      <c r="G339" s="32"/>
    </row>
    <row r="340" spans="7:7" ht="15.75" customHeight="1">
      <c r="G340" s="32"/>
    </row>
    <row r="341" spans="7:7" ht="15.75" customHeight="1">
      <c r="G341" s="32"/>
    </row>
    <row r="342" spans="7:7" ht="15.75" customHeight="1">
      <c r="G342" s="32"/>
    </row>
    <row r="343" spans="7:7" ht="15.75" customHeight="1">
      <c r="G343" s="32"/>
    </row>
    <row r="344" spans="7:7" ht="15.75" customHeight="1">
      <c r="G344" s="32"/>
    </row>
    <row r="345" spans="7:7" ht="15.75" customHeight="1">
      <c r="G345" s="32"/>
    </row>
    <row r="346" spans="7:7" ht="15.75" customHeight="1">
      <c r="G346" s="32"/>
    </row>
    <row r="347" spans="7:7" ht="15.75" customHeight="1">
      <c r="G347" s="32"/>
    </row>
    <row r="348" spans="7:7" ht="15.75" customHeight="1">
      <c r="G348" s="32"/>
    </row>
    <row r="349" spans="7:7" ht="15.75" customHeight="1">
      <c r="G349" s="32"/>
    </row>
    <row r="350" spans="7:7" ht="15.75" customHeight="1">
      <c r="G350" s="32"/>
    </row>
    <row r="351" spans="7:7" ht="15.75" customHeight="1">
      <c r="G351" s="32"/>
    </row>
    <row r="352" spans="7:7" ht="15.75" customHeight="1">
      <c r="G352" s="32"/>
    </row>
    <row r="353" spans="7:7" ht="15.75" customHeight="1">
      <c r="G353" s="32"/>
    </row>
    <row r="354" spans="7:7" ht="15.75" customHeight="1">
      <c r="G354" s="32"/>
    </row>
    <row r="355" spans="7:7" ht="15.75" customHeight="1">
      <c r="G355" s="32"/>
    </row>
    <row r="356" spans="7:7" ht="15.75" customHeight="1">
      <c r="G356" s="32"/>
    </row>
    <row r="357" spans="7:7" ht="15.75" customHeight="1">
      <c r="G357" s="32"/>
    </row>
    <row r="358" spans="7:7" ht="15.75" customHeight="1">
      <c r="G358" s="32"/>
    </row>
    <row r="359" spans="7:7" ht="15.75" customHeight="1">
      <c r="G359" s="32"/>
    </row>
    <row r="360" spans="7:7" ht="15.75" customHeight="1">
      <c r="G360" s="32"/>
    </row>
    <row r="361" spans="7:7" ht="15.75" customHeight="1">
      <c r="G361" s="32"/>
    </row>
    <row r="362" spans="7:7" ht="15.75" customHeight="1">
      <c r="G362" s="32"/>
    </row>
    <row r="363" spans="7:7" ht="15.75" customHeight="1">
      <c r="G363" s="32"/>
    </row>
    <row r="364" spans="7:7" ht="15.75" customHeight="1">
      <c r="G364" s="32"/>
    </row>
    <row r="365" spans="7:7" ht="15.75" customHeight="1">
      <c r="G365" s="32"/>
    </row>
    <row r="366" spans="7:7" ht="15.75" customHeight="1">
      <c r="G366" s="32"/>
    </row>
    <row r="367" spans="7:7" ht="15.75" customHeight="1">
      <c r="G367" s="32"/>
    </row>
    <row r="368" spans="7:7" ht="15.75" customHeight="1">
      <c r="G368" s="32"/>
    </row>
    <row r="369" spans="7:7" ht="15.75" customHeight="1">
      <c r="G369" s="32"/>
    </row>
    <row r="370" spans="7:7" ht="15.75" customHeight="1">
      <c r="G370" s="32"/>
    </row>
    <row r="371" spans="7:7" ht="15.75" customHeight="1">
      <c r="G371" s="32"/>
    </row>
    <row r="372" spans="7:7" ht="15.75" customHeight="1">
      <c r="G372" s="32"/>
    </row>
    <row r="373" spans="7:7" ht="15.75" customHeight="1">
      <c r="G373" s="32"/>
    </row>
    <row r="374" spans="7:7" ht="15.75" customHeight="1">
      <c r="G374" s="32"/>
    </row>
    <row r="375" spans="7:7" ht="15.75" customHeight="1">
      <c r="G375" s="32"/>
    </row>
    <row r="376" spans="7:7" ht="15.75" customHeight="1">
      <c r="G376" s="32"/>
    </row>
    <row r="377" spans="7:7" ht="15.75" customHeight="1">
      <c r="G377" s="32"/>
    </row>
    <row r="378" spans="7:7" ht="15.75" customHeight="1">
      <c r="G378" s="32"/>
    </row>
    <row r="379" spans="7:7" ht="15.75" customHeight="1">
      <c r="G379" s="32"/>
    </row>
    <row r="380" spans="7:7" ht="15.75" customHeight="1">
      <c r="G380" s="32"/>
    </row>
    <row r="381" spans="7:7" ht="15.75" customHeight="1">
      <c r="G381" s="32"/>
    </row>
    <row r="382" spans="7:7" ht="15.75" customHeight="1">
      <c r="G382" s="32"/>
    </row>
    <row r="383" spans="7:7" ht="15.75" customHeight="1">
      <c r="G383" s="32"/>
    </row>
    <row r="384" spans="7:7" ht="15.75" customHeight="1">
      <c r="G384" s="32"/>
    </row>
    <row r="385" spans="7:7" ht="15.75" customHeight="1">
      <c r="G385" s="32"/>
    </row>
    <row r="386" spans="7:7" ht="15.75" customHeight="1">
      <c r="G386" s="32"/>
    </row>
    <row r="387" spans="7:7" ht="15.75" customHeight="1">
      <c r="G387" s="32"/>
    </row>
    <row r="388" spans="7:7" ht="15.75" customHeight="1">
      <c r="G388" s="32"/>
    </row>
    <row r="389" spans="7:7" ht="15.75" customHeight="1">
      <c r="G389" s="32"/>
    </row>
    <row r="390" spans="7:7" ht="15.75" customHeight="1">
      <c r="G390" s="32"/>
    </row>
    <row r="391" spans="7:7" ht="15.75" customHeight="1">
      <c r="G391" s="32"/>
    </row>
    <row r="392" spans="7:7" ht="15.75" customHeight="1">
      <c r="G392" s="32"/>
    </row>
    <row r="393" spans="7:7" ht="15.75" customHeight="1">
      <c r="G393" s="32"/>
    </row>
    <row r="394" spans="7:7" ht="15.75" customHeight="1">
      <c r="G394" s="32"/>
    </row>
    <row r="395" spans="7:7" ht="15.75" customHeight="1">
      <c r="G395" s="32"/>
    </row>
    <row r="396" spans="7:7" ht="15.75" customHeight="1">
      <c r="G396" s="32"/>
    </row>
    <row r="397" spans="7:7" ht="15.75" customHeight="1">
      <c r="G397" s="32"/>
    </row>
    <row r="398" spans="7:7" ht="15.75" customHeight="1">
      <c r="G398" s="32"/>
    </row>
    <row r="399" spans="7:7" ht="15.75" customHeight="1">
      <c r="G399" s="32"/>
    </row>
    <row r="400" spans="7:7" ht="15.75" customHeight="1">
      <c r="G400" s="32"/>
    </row>
    <row r="401" spans="7:7" ht="15.75" customHeight="1">
      <c r="G401" s="32"/>
    </row>
    <row r="402" spans="7:7" ht="15.75" customHeight="1">
      <c r="G402" s="32"/>
    </row>
    <row r="403" spans="7:7" ht="15.75" customHeight="1">
      <c r="G403" s="32"/>
    </row>
    <row r="404" spans="7:7" ht="15.75" customHeight="1">
      <c r="G404" s="32"/>
    </row>
    <row r="405" spans="7:7" ht="15.75" customHeight="1">
      <c r="G405" s="32"/>
    </row>
    <row r="406" spans="7:7" ht="15.75" customHeight="1">
      <c r="G406" s="32"/>
    </row>
    <row r="407" spans="7:7" ht="15.75" customHeight="1">
      <c r="G407" s="32"/>
    </row>
    <row r="408" spans="7:7" ht="15.75" customHeight="1">
      <c r="G408" s="32"/>
    </row>
    <row r="409" spans="7:7" ht="15.75" customHeight="1">
      <c r="G409" s="32"/>
    </row>
    <row r="410" spans="7:7" ht="15.75" customHeight="1">
      <c r="G410" s="32"/>
    </row>
    <row r="411" spans="7:7" ht="15.75" customHeight="1">
      <c r="G411" s="32"/>
    </row>
    <row r="412" spans="7:7" ht="15.75" customHeight="1">
      <c r="G412" s="32"/>
    </row>
    <row r="413" spans="7:7" ht="15.75" customHeight="1">
      <c r="G413" s="32"/>
    </row>
    <row r="414" spans="7:7" ht="15.75" customHeight="1">
      <c r="G414" s="32"/>
    </row>
    <row r="415" spans="7:7" ht="15.75" customHeight="1">
      <c r="G415" s="32"/>
    </row>
    <row r="416" spans="7:7" ht="15.75" customHeight="1">
      <c r="G416" s="32"/>
    </row>
    <row r="417" spans="7:7" ht="15.75" customHeight="1">
      <c r="G417" s="32"/>
    </row>
    <row r="418" spans="7:7" ht="15.75" customHeight="1">
      <c r="G418" s="32"/>
    </row>
    <row r="419" spans="7:7" ht="15.75" customHeight="1">
      <c r="G419" s="32"/>
    </row>
    <row r="420" spans="7:7" ht="15.75" customHeight="1">
      <c r="G420" s="32"/>
    </row>
    <row r="421" spans="7:7" ht="15.75" customHeight="1">
      <c r="G421" s="32"/>
    </row>
    <row r="422" spans="7:7" ht="15.75" customHeight="1">
      <c r="G422" s="32"/>
    </row>
    <row r="423" spans="7:7" ht="15.75" customHeight="1">
      <c r="G423" s="32"/>
    </row>
    <row r="424" spans="7:7" ht="15.75" customHeight="1">
      <c r="G424" s="32"/>
    </row>
    <row r="425" spans="7:7" ht="15.75" customHeight="1">
      <c r="G425" s="32"/>
    </row>
    <row r="426" spans="7:7" ht="15.75" customHeight="1">
      <c r="G426" s="32"/>
    </row>
    <row r="427" spans="7:7" ht="15.75" customHeight="1">
      <c r="G427" s="32"/>
    </row>
    <row r="428" spans="7:7" ht="15.75" customHeight="1">
      <c r="G428" s="32"/>
    </row>
    <row r="429" spans="7:7" ht="15.75" customHeight="1">
      <c r="G429" s="32"/>
    </row>
    <row r="430" spans="7:7" ht="15.75" customHeight="1">
      <c r="G430" s="32"/>
    </row>
    <row r="431" spans="7:7" ht="15.75" customHeight="1">
      <c r="G431" s="32"/>
    </row>
    <row r="432" spans="7:7" ht="15.75" customHeight="1">
      <c r="G432" s="32"/>
    </row>
    <row r="433" spans="7:7" ht="15.75" customHeight="1">
      <c r="G433" s="32"/>
    </row>
    <row r="434" spans="7:7" ht="15.75" customHeight="1">
      <c r="G434" s="32"/>
    </row>
    <row r="435" spans="7:7" ht="15.75" customHeight="1">
      <c r="G435" s="32"/>
    </row>
    <row r="436" spans="7:7" ht="15.75" customHeight="1">
      <c r="G436" s="32"/>
    </row>
    <row r="437" spans="7:7" ht="15.75" customHeight="1">
      <c r="G437" s="32"/>
    </row>
    <row r="438" spans="7:7" ht="15.75" customHeight="1">
      <c r="G438" s="32"/>
    </row>
    <row r="439" spans="7:7" ht="15.75" customHeight="1">
      <c r="G439" s="32"/>
    </row>
    <row r="440" spans="7:7" ht="15.75" customHeight="1">
      <c r="G440" s="32"/>
    </row>
    <row r="441" spans="7:7" ht="15.75" customHeight="1">
      <c r="G441" s="32"/>
    </row>
    <row r="442" spans="7:7" ht="15.75" customHeight="1">
      <c r="G442" s="32"/>
    </row>
    <row r="443" spans="7:7" ht="15.75" customHeight="1">
      <c r="G443" s="32"/>
    </row>
    <row r="444" spans="7:7" ht="15.75" customHeight="1">
      <c r="G444" s="32"/>
    </row>
    <row r="445" spans="7:7" ht="15.75" customHeight="1">
      <c r="G445" s="32"/>
    </row>
    <row r="446" spans="7:7" ht="15.75" customHeight="1">
      <c r="G446" s="32"/>
    </row>
    <row r="447" spans="7:7" ht="15.75" customHeight="1">
      <c r="G447" s="32"/>
    </row>
    <row r="448" spans="7:7" ht="15.75" customHeight="1">
      <c r="G448" s="32"/>
    </row>
    <row r="449" spans="7:7" ht="15.75" customHeight="1">
      <c r="G449" s="32"/>
    </row>
    <row r="450" spans="7:7" ht="15.75" customHeight="1">
      <c r="G450" s="32"/>
    </row>
    <row r="451" spans="7:7" ht="15.75" customHeight="1">
      <c r="G451" s="32"/>
    </row>
    <row r="452" spans="7:7" ht="15.75" customHeight="1">
      <c r="G452" s="32"/>
    </row>
    <row r="453" spans="7:7" ht="15.75" customHeight="1">
      <c r="G453" s="32"/>
    </row>
    <row r="454" spans="7:7" ht="15.75" customHeight="1">
      <c r="G454" s="32"/>
    </row>
    <row r="455" spans="7:7" ht="15.75" customHeight="1">
      <c r="G455" s="32"/>
    </row>
    <row r="456" spans="7:7" ht="15.75" customHeight="1">
      <c r="G456" s="32"/>
    </row>
    <row r="457" spans="7:7" ht="15.75" customHeight="1">
      <c r="G457" s="32"/>
    </row>
    <row r="458" spans="7:7" ht="15.75" customHeight="1">
      <c r="G458" s="32"/>
    </row>
    <row r="459" spans="7:7" ht="15.75" customHeight="1">
      <c r="G459" s="32"/>
    </row>
    <row r="460" spans="7:7" ht="15.75" customHeight="1">
      <c r="G460" s="32"/>
    </row>
    <row r="461" spans="7:7" ht="15.75" customHeight="1">
      <c r="G461" s="32"/>
    </row>
    <row r="462" spans="7:7" ht="15.75" customHeight="1">
      <c r="G462" s="32"/>
    </row>
    <row r="463" spans="7:7" ht="15.75" customHeight="1">
      <c r="G463" s="32"/>
    </row>
    <row r="464" spans="7:7" ht="15.75" customHeight="1">
      <c r="G464" s="32"/>
    </row>
    <row r="465" spans="7:7" ht="15.75" customHeight="1">
      <c r="G465" s="32"/>
    </row>
    <row r="466" spans="7:7" ht="15.75" customHeight="1">
      <c r="G466" s="32"/>
    </row>
    <row r="467" spans="7:7" ht="15.75" customHeight="1">
      <c r="G467" s="32"/>
    </row>
    <row r="468" spans="7:7" ht="15.75" customHeight="1">
      <c r="G468" s="32"/>
    </row>
    <row r="469" spans="7:7" ht="15.75" customHeight="1">
      <c r="G469" s="32"/>
    </row>
    <row r="470" spans="7:7" ht="15.75" customHeight="1">
      <c r="G470" s="32"/>
    </row>
    <row r="471" spans="7:7" ht="15.75" customHeight="1">
      <c r="G471" s="32"/>
    </row>
    <row r="472" spans="7:7" ht="15.75" customHeight="1">
      <c r="G472" s="32"/>
    </row>
    <row r="473" spans="7:7" ht="15.75" customHeight="1">
      <c r="G473" s="32"/>
    </row>
    <row r="474" spans="7:7" ht="15.75" customHeight="1">
      <c r="G474" s="32"/>
    </row>
    <row r="475" spans="7:7" ht="15.75" customHeight="1">
      <c r="G475" s="32"/>
    </row>
    <row r="476" spans="7:7" ht="15.75" customHeight="1">
      <c r="G476" s="32"/>
    </row>
    <row r="477" spans="7:7" ht="15.75" customHeight="1">
      <c r="G477" s="32"/>
    </row>
    <row r="478" spans="7:7" ht="15.75" customHeight="1">
      <c r="G478" s="32"/>
    </row>
    <row r="479" spans="7:7" ht="15.75" customHeight="1">
      <c r="G479" s="32"/>
    </row>
    <row r="480" spans="7:7" ht="15.75" customHeight="1">
      <c r="G480" s="32"/>
    </row>
    <row r="481" spans="7:7" ht="15.75" customHeight="1">
      <c r="G481" s="32"/>
    </row>
    <row r="482" spans="7:7" ht="15.75" customHeight="1">
      <c r="G482" s="32"/>
    </row>
    <row r="483" spans="7:7" ht="15.75" customHeight="1">
      <c r="G483" s="32"/>
    </row>
    <row r="484" spans="7:7" ht="15.75" customHeight="1">
      <c r="G484" s="32"/>
    </row>
    <row r="485" spans="7:7" ht="15.75" customHeight="1">
      <c r="G485" s="32"/>
    </row>
    <row r="486" spans="7:7" ht="15.75" customHeight="1">
      <c r="G486" s="32"/>
    </row>
    <row r="487" spans="7:7" ht="15.75" customHeight="1">
      <c r="G487" s="32"/>
    </row>
    <row r="488" spans="7:7" ht="15.75" customHeight="1">
      <c r="G488" s="32"/>
    </row>
    <row r="489" spans="7:7" ht="15.75" customHeight="1">
      <c r="G489" s="32"/>
    </row>
    <row r="490" spans="7:7" ht="15.75" customHeight="1">
      <c r="G490" s="32"/>
    </row>
    <row r="491" spans="7:7" ht="15.75" customHeight="1">
      <c r="G491" s="32"/>
    </row>
    <row r="492" spans="7:7" ht="15.75" customHeight="1">
      <c r="G492" s="32"/>
    </row>
    <row r="493" spans="7:7" ht="15.75" customHeight="1">
      <c r="G493" s="32"/>
    </row>
    <row r="494" spans="7:7" ht="15.75" customHeight="1">
      <c r="G494" s="32"/>
    </row>
    <row r="495" spans="7:7" ht="15.75" customHeight="1">
      <c r="G495" s="32"/>
    </row>
    <row r="496" spans="7:7" ht="15.75" customHeight="1">
      <c r="G496" s="32"/>
    </row>
    <row r="497" spans="7:7" ht="15.75" customHeight="1">
      <c r="G497" s="32"/>
    </row>
    <row r="498" spans="7:7" ht="15.75" customHeight="1">
      <c r="G498" s="32"/>
    </row>
    <row r="499" spans="7:7" ht="15.75" customHeight="1">
      <c r="G499" s="32"/>
    </row>
    <row r="500" spans="7:7" ht="15.75" customHeight="1">
      <c r="G500" s="32"/>
    </row>
    <row r="501" spans="7:7" ht="15.75" customHeight="1">
      <c r="G501" s="32"/>
    </row>
    <row r="502" spans="7:7" ht="15.75" customHeight="1">
      <c r="G502" s="32"/>
    </row>
    <row r="503" spans="7:7" ht="15.75" customHeight="1">
      <c r="G503" s="32"/>
    </row>
    <row r="504" spans="7:7" ht="15.75" customHeight="1">
      <c r="G504" s="32"/>
    </row>
    <row r="505" spans="7:7" ht="15.75" customHeight="1">
      <c r="G505" s="32"/>
    </row>
    <row r="506" spans="7:7" ht="15.75" customHeight="1">
      <c r="G506" s="32"/>
    </row>
    <row r="507" spans="7:7" ht="15.75" customHeight="1">
      <c r="G507" s="32"/>
    </row>
    <row r="508" spans="7:7" ht="15.75" customHeight="1">
      <c r="G508" s="32"/>
    </row>
    <row r="509" spans="7:7" ht="15.75" customHeight="1">
      <c r="G509" s="32"/>
    </row>
    <row r="510" spans="7:7" ht="15.75" customHeight="1">
      <c r="G510" s="32"/>
    </row>
    <row r="511" spans="7:7" ht="15.75" customHeight="1">
      <c r="G511" s="32"/>
    </row>
    <row r="512" spans="7:7" ht="15.75" customHeight="1">
      <c r="G512" s="32"/>
    </row>
    <row r="513" spans="7:7" ht="15.75" customHeight="1">
      <c r="G513" s="32"/>
    </row>
    <row r="514" spans="7:7" ht="15.75" customHeight="1">
      <c r="G514" s="32"/>
    </row>
    <row r="515" spans="7:7" ht="15.75" customHeight="1">
      <c r="G515" s="32"/>
    </row>
    <row r="516" spans="7:7" ht="15.75" customHeight="1">
      <c r="G516" s="32"/>
    </row>
    <row r="517" spans="7:7" ht="15.75" customHeight="1">
      <c r="G517" s="32"/>
    </row>
    <row r="518" spans="7:7" ht="15.75" customHeight="1">
      <c r="G518" s="32"/>
    </row>
    <row r="519" spans="7:7" ht="15.75" customHeight="1">
      <c r="G519" s="32"/>
    </row>
    <row r="520" spans="7:7" ht="15.75" customHeight="1">
      <c r="G520" s="32"/>
    </row>
    <row r="521" spans="7:7" ht="15.75" customHeight="1">
      <c r="G521" s="32"/>
    </row>
    <row r="522" spans="7:7" ht="15.75" customHeight="1">
      <c r="G522" s="32"/>
    </row>
    <row r="523" spans="7:7" ht="15.75" customHeight="1">
      <c r="G523" s="32"/>
    </row>
    <row r="524" spans="7:7" ht="15.75" customHeight="1">
      <c r="G524" s="32"/>
    </row>
    <row r="525" spans="7:7" ht="15.75" customHeight="1">
      <c r="G525" s="32"/>
    </row>
    <row r="526" spans="7:7" ht="15.75" customHeight="1">
      <c r="G526" s="32"/>
    </row>
    <row r="527" spans="7:7" ht="15.75" customHeight="1">
      <c r="G527" s="32"/>
    </row>
    <row r="528" spans="7:7" ht="15.75" customHeight="1">
      <c r="G528" s="32"/>
    </row>
    <row r="529" spans="7:7" ht="15.75" customHeight="1">
      <c r="G529" s="32"/>
    </row>
    <row r="530" spans="7:7" ht="15.75" customHeight="1">
      <c r="G530" s="32"/>
    </row>
    <row r="531" spans="7:7" ht="15.75" customHeight="1">
      <c r="G531" s="32"/>
    </row>
    <row r="532" spans="7:7" ht="15.75" customHeight="1">
      <c r="G532" s="32"/>
    </row>
    <row r="533" spans="7:7" ht="15.75" customHeight="1">
      <c r="G533" s="32"/>
    </row>
    <row r="534" spans="7:7" ht="15.75" customHeight="1">
      <c r="G534" s="32"/>
    </row>
    <row r="535" spans="7:7" ht="15.75" customHeight="1">
      <c r="G535" s="32"/>
    </row>
    <row r="536" spans="7:7" ht="15.75" customHeight="1">
      <c r="G536" s="32"/>
    </row>
    <row r="537" spans="7:7" ht="15.75" customHeight="1">
      <c r="G537" s="32"/>
    </row>
    <row r="538" spans="7:7" ht="15.75" customHeight="1">
      <c r="G538" s="32"/>
    </row>
    <row r="539" spans="7:7" ht="15.75" customHeight="1">
      <c r="G539" s="32"/>
    </row>
    <row r="540" spans="7:7" ht="15.75" customHeight="1">
      <c r="G540" s="32"/>
    </row>
    <row r="541" spans="7:7" ht="15.75" customHeight="1">
      <c r="G541" s="32"/>
    </row>
    <row r="542" spans="7:7" ht="15.75" customHeight="1">
      <c r="G542" s="32"/>
    </row>
    <row r="543" spans="7:7" ht="15.75" customHeight="1">
      <c r="G543" s="32"/>
    </row>
    <row r="544" spans="7:7" ht="15.75" customHeight="1">
      <c r="G544" s="32"/>
    </row>
    <row r="545" spans="7:7" ht="15.75" customHeight="1">
      <c r="G545" s="32"/>
    </row>
    <row r="546" spans="7:7" ht="15.75" customHeight="1">
      <c r="G546" s="32"/>
    </row>
    <row r="547" spans="7:7" ht="15.75" customHeight="1">
      <c r="G547" s="32"/>
    </row>
    <row r="548" spans="7:7" ht="15.75" customHeight="1">
      <c r="G548" s="32"/>
    </row>
    <row r="549" spans="7:7" ht="15.75" customHeight="1">
      <c r="G549" s="32"/>
    </row>
    <row r="550" spans="7:7" ht="15.75" customHeight="1">
      <c r="G550" s="32"/>
    </row>
    <row r="551" spans="7:7" ht="15.75" customHeight="1">
      <c r="G551" s="32"/>
    </row>
    <row r="552" spans="7:7" ht="15.75" customHeight="1">
      <c r="G552" s="32"/>
    </row>
    <row r="553" spans="7:7" ht="15.75" customHeight="1">
      <c r="G553" s="32"/>
    </row>
    <row r="554" spans="7:7" ht="15.75" customHeight="1">
      <c r="G554" s="32"/>
    </row>
    <row r="555" spans="7:7" ht="15.75" customHeight="1">
      <c r="G555" s="32"/>
    </row>
    <row r="556" spans="7:7" ht="15.75" customHeight="1">
      <c r="G556" s="32"/>
    </row>
    <row r="557" spans="7:7" ht="15.75" customHeight="1">
      <c r="G557" s="32"/>
    </row>
    <row r="558" spans="7:7" ht="15.75" customHeight="1">
      <c r="G558" s="32"/>
    </row>
    <row r="559" spans="7:7" ht="15.75" customHeight="1">
      <c r="G559" s="32"/>
    </row>
    <row r="560" spans="7:7" ht="15.75" customHeight="1">
      <c r="G560" s="32"/>
    </row>
    <row r="561" spans="7:7" ht="15.75" customHeight="1">
      <c r="G561" s="32"/>
    </row>
    <row r="562" spans="7:7" ht="15.75" customHeight="1">
      <c r="G562" s="32"/>
    </row>
    <row r="563" spans="7:7" ht="15.75" customHeight="1">
      <c r="G563" s="32"/>
    </row>
    <row r="564" spans="7:7" ht="15.75" customHeight="1">
      <c r="G564" s="32"/>
    </row>
    <row r="565" spans="7:7" ht="15.75" customHeight="1">
      <c r="G565" s="32"/>
    </row>
    <row r="566" spans="7:7" ht="15.75" customHeight="1">
      <c r="G566" s="32"/>
    </row>
    <row r="567" spans="7:7" ht="15.75" customHeight="1">
      <c r="G567" s="32"/>
    </row>
    <row r="568" spans="7:7" ht="15.75" customHeight="1">
      <c r="G568" s="32"/>
    </row>
    <row r="569" spans="7:7" ht="15.75" customHeight="1">
      <c r="G569" s="32"/>
    </row>
    <row r="570" spans="7:7" ht="15.75" customHeight="1">
      <c r="G570" s="32"/>
    </row>
    <row r="571" spans="7:7" ht="15.75" customHeight="1">
      <c r="G571" s="32"/>
    </row>
    <row r="572" spans="7:7" ht="15.75" customHeight="1">
      <c r="G572" s="32"/>
    </row>
    <row r="573" spans="7:7" ht="15.75" customHeight="1">
      <c r="G573" s="32"/>
    </row>
    <row r="574" spans="7:7" ht="15.75" customHeight="1">
      <c r="G574" s="32"/>
    </row>
    <row r="575" spans="7:7" ht="15.75" customHeight="1">
      <c r="G575" s="32"/>
    </row>
    <row r="576" spans="7:7" ht="15.75" customHeight="1">
      <c r="G576" s="32"/>
    </row>
    <row r="577" spans="7:7" ht="15.75" customHeight="1">
      <c r="G577" s="32"/>
    </row>
    <row r="578" spans="7:7" ht="15.75" customHeight="1">
      <c r="G578" s="32"/>
    </row>
    <row r="579" spans="7:7" ht="15.75" customHeight="1">
      <c r="G579" s="32"/>
    </row>
    <row r="580" spans="7:7" ht="15.75" customHeight="1">
      <c r="G580" s="32"/>
    </row>
    <row r="581" spans="7:7" ht="15.75" customHeight="1">
      <c r="G581" s="32"/>
    </row>
    <row r="582" spans="7:7" ht="15.75" customHeight="1">
      <c r="G582" s="32"/>
    </row>
    <row r="583" spans="7:7" ht="15.75" customHeight="1">
      <c r="G583" s="32"/>
    </row>
    <row r="584" spans="7:7" ht="15.75" customHeight="1">
      <c r="G584" s="32"/>
    </row>
    <row r="585" spans="7:7" ht="15.75" customHeight="1">
      <c r="G585" s="32"/>
    </row>
    <row r="586" spans="7:7" ht="15.75" customHeight="1">
      <c r="G586" s="32"/>
    </row>
    <row r="587" spans="7:7" ht="15.75" customHeight="1">
      <c r="G587" s="32"/>
    </row>
    <row r="588" spans="7:7" ht="15.75" customHeight="1">
      <c r="G588" s="32"/>
    </row>
    <row r="589" spans="7:7" ht="15.75" customHeight="1">
      <c r="G589" s="32"/>
    </row>
    <row r="590" spans="7:7" ht="15.75" customHeight="1">
      <c r="G590" s="32"/>
    </row>
    <row r="591" spans="7:7" ht="15.75" customHeight="1">
      <c r="G591" s="32"/>
    </row>
    <row r="592" spans="7:7" ht="15.75" customHeight="1">
      <c r="G592" s="32"/>
    </row>
    <row r="593" spans="7:7" ht="15.75" customHeight="1">
      <c r="G593" s="32"/>
    </row>
    <row r="594" spans="7:7" ht="15.75" customHeight="1">
      <c r="G594" s="32"/>
    </row>
    <row r="595" spans="7:7" ht="15.75" customHeight="1">
      <c r="G595" s="32"/>
    </row>
    <row r="596" spans="7:7" ht="15.75" customHeight="1">
      <c r="G596" s="32"/>
    </row>
    <row r="597" spans="7:7" ht="15.75" customHeight="1">
      <c r="G597" s="32"/>
    </row>
    <row r="598" spans="7:7" ht="15.75" customHeight="1">
      <c r="G598" s="32"/>
    </row>
    <row r="599" spans="7:7" ht="15.75" customHeight="1">
      <c r="G599" s="32"/>
    </row>
    <row r="600" spans="7:7" ht="15.75" customHeight="1">
      <c r="G600" s="32"/>
    </row>
    <row r="601" spans="7:7" ht="15.75" customHeight="1">
      <c r="G601" s="32"/>
    </row>
    <row r="602" spans="7:7" ht="15.75" customHeight="1">
      <c r="G602" s="32"/>
    </row>
    <row r="603" spans="7:7" ht="15.75" customHeight="1">
      <c r="G603" s="32"/>
    </row>
    <row r="604" spans="7:7" ht="15.75" customHeight="1">
      <c r="G604" s="32"/>
    </row>
    <row r="605" spans="7:7" ht="15.75" customHeight="1">
      <c r="G605" s="32"/>
    </row>
    <row r="606" spans="7:7" ht="15.75" customHeight="1">
      <c r="G606" s="32"/>
    </row>
    <row r="607" spans="7:7" ht="15.75" customHeight="1">
      <c r="G607" s="32"/>
    </row>
    <row r="608" spans="7:7" ht="15.75" customHeight="1">
      <c r="G608" s="32"/>
    </row>
    <row r="609" spans="7:7" ht="15.75" customHeight="1">
      <c r="G609" s="32"/>
    </row>
    <row r="610" spans="7:7" ht="15.75" customHeight="1">
      <c r="G610" s="32"/>
    </row>
    <row r="611" spans="7:7" ht="15.75" customHeight="1">
      <c r="G611" s="32"/>
    </row>
    <row r="612" spans="7:7" ht="15.75" customHeight="1">
      <c r="G612" s="32"/>
    </row>
    <row r="613" spans="7:7" ht="15.75" customHeight="1">
      <c r="G613" s="32"/>
    </row>
    <row r="614" spans="7:7" ht="15.75" customHeight="1">
      <c r="G614" s="32"/>
    </row>
    <row r="615" spans="7:7" ht="15.75" customHeight="1">
      <c r="G615" s="32"/>
    </row>
    <row r="616" spans="7:7" ht="15.75" customHeight="1">
      <c r="G616" s="32"/>
    </row>
    <row r="617" spans="7:7" ht="15.75" customHeight="1">
      <c r="G617" s="32"/>
    </row>
    <row r="618" spans="7:7" ht="15.75" customHeight="1">
      <c r="G618" s="32"/>
    </row>
    <row r="619" spans="7:7" ht="15.75" customHeight="1">
      <c r="G619" s="32"/>
    </row>
    <row r="620" spans="7:7" ht="15.75" customHeight="1">
      <c r="G620" s="32"/>
    </row>
    <row r="621" spans="7:7" ht="15.75" customHeight="1">
      <c r="G621" s="32"/>
    </row>
    <row r="622" spans="7:7" ht="15.75" customHeight="1">
      <c r="G622" s="32"/>
    </row>
    <row r="623" spans="7:7" ht="15.75" customHeight="1">
      <c r="G623" s="32"/>
    </row>
    <row r="624" spans="7:7" ht="15.75" customHeight="1">
      <c r="G624" s="32"/>
    </row>
    <row r="625" spans="7:7" ht="15.75" customHeight="1">
      <c r="G625" s="32"/>
    </row>
    <row r="626" spans="7:7" ht="15.75" customHeight="1">
      <c r="G626" s="32"/>
    </row>
    <row r="627" spans="7:7" ht="15.75" customHeight="1">
      <c r="G627" s="32"/>
    </row>
    <row r="628" spans="7:7" ht="15.75" customHeight="1">
      <c r="G628" s="32"/>
    </row>
    <row r="629" spans="7:7" ht="15.75" customHeight="1">
      <c r="G629" s="32"/>
    </row>
    <row r="630" spans="7:7" ht="15.75" customHeight="1">
      <c r="G630" s="32"/>
    </row>
    <row r="631" spans="7:7" ht="15.75" customHeight="1">
      <c r="G631" s="32"/>
    </row>
    <row r="632" spans="7:7" ht="15.75" customHeight="1">
      <c r="G632" s="32"/>
    </row>
    <row r="633" spans="7:7" ht="15.75" customHeight="1">
      <c r="G633" s="32"/>
    </row>
    <row r="634" spans="7:7" ht="15.75" customHeight="1">
      <c r="G634" s="32"/>
    </row>
    <row r="635" spans="7:7" ht="15.75" customHeight="1">
      <c r="G635" s="32"/>
    </row>
    <row r="636" spans="7:7" ht="15.75" customHeight="1">
      <c r="G636" s="32"/>
    </row>
    <row r="637" spans="7:7" ht="15.75" customHeight="1">
      <c r="G637" s="32"/>
    </row>
    <row r="638" spans="7:7" ht="15.75" customHeight="1">
      <c r="G638" s="32"/>
    </row>
    <row r="639" spans="7:7" ht="15.75" customHeight="1">
      <c r="G639" s="32"/>
    </row>
    <row r="640" spans="7:7" ht="15.75" customHeight="1">
      <c r="G640" s="32"/>
    </row>
    <row r="641" spans="7:7" ht="15.75" customHeight="1">
      <c r="G641" s="32"/>
    </row>
    <row r="642" spans="7:7" ht="15.75" customHeight="1">
      <c r="G642" s="32"/>
    </row>
    <row r="643" spans="7:7" ht="15.75" customHeight="1">
      <c r="G643" s="32"/>
    </row>
    <row r="644" spans="7:7" ht="15.75" customHeight="1">
      <c r="G644" s="32"/>
    </row>
    <row r="645" spans="7:7" ht="15.75" customHeight="1">
      <c r="G645" s="32"/>
    </row>
    <row r="646" spans="7:7" ht="15.75" customHeight="1">
      <c r="G646" s="32"/>
    </row>
    <row r="647" spans="7:7" ht="15.75" customHeight="1">
      <c r="G647" s="32"/>
    </row>
    <row r="648" spans="7:7" ht="15.75" customHeight="1">
      <c r="G648" s="32"/>
    </row>
    <row r="649" spans="7:7" ht="15.75" customHeight="1">
      <c r="G649" s="32"/>
    </row>
    <row r="650" spans="7:7" ht="15.75" customHeight="1">
      <c r="G650" s="32"/>
    </row>
    <row r="651" spans="7:7" ht="15.75" customHeight="1">
      <c r="G651" s="32"/>
    </row>
    <row r="652" spans="7:7" ht="15.75" customHeight="1">
      <c r="G652" s="32"/>
    </row>
    <row r="653" spans="7:7" ht="15.75" customHeight="1">
      <c r="G653" s="32"/>
    </row>
    <row r="654" spans="7:7" ht="15.75" customHeight="1">
      <c r="G654" s="32"/>
    </row>
    <row r="655" spans="7:7" ht="15.75" customHeight="1">
      <c r="G655" s="32"/>
    </row>
    <row r="656" spans="7:7" ht="15.75" customHeight="1">
      <c r="G656" s="32"/>
    </row>
    <row r="657" spans="7:7" ht="15.75" customHeight="1">
      <c r="G657" s="32"/>
    </row>
    <row r="658" spans="7:7" ht="15.75" customHeight="1">
      <c r="G658" s="32"/>
    </row>
    <row r="659" spans="7:7" ht="15.75" customHeight="1">
      <c r="G659" s="32"/>
    </row>
    <row r="660" spans="7:7" ht="15.75" customHeight="1">
      <c r="G660" s="32"/>
    </row>
    <row r="661" spans="7:7" ht="15.75" customHeight="1">
      <c r="G661" s="32"/>
    </row>
    <row r="662" spans="7:7" ht="15.75" customHeight="1">
      <c r="G662" s="32"/>
    </row>
    <row r="663" spans="7:7" ht="15.75" customHeight="1">
      <c r="G663" s="32"/>
    </row>
    <row r="664" spans="7:7" ht="15.75" customHeight="1">
      <c r="G664" s="32"/>
    </row>
    <row r="665" spans="7:7" ht="15.75" customHeight="1">
      <c r="G665" s="32"/>
    </row>
    <row r="666" spans="7:7" ht="15.75" customHeight="1">
      <c r="G666" s="32"/>
    </row>
    <row r="667" spans="7:7" ht="15.75" customHeight="1">
      <c r="G667" s="32"/>
    </row>
    <row r="668" spans="7:7" ht="15.75" customHeight="1">
      <c r="G668" s="32"/>
    </row>
    <row r="669" spans="7:7" ht="15.75" customHeight="1">
      <c r="G669" s="32"/>
    </row>
    <row r="670" spans="7:7" ht="15.75" customHeight="1">
      <c r="G670" s="32"/>
    </row>
    <row r="671" spans="7:7" ht="15.75" customHeight="1">
      <c r="G671" s="32"/>
    </row>
    <row r="672" spans="7:7" ht="15.75" customHeight="1">
      <c r="G672" s="32"/>
    </row>
    <row r="673" spans="7:7" ht="15.75" customHeight="1">
      <c r="G673" s="32"/>
    </row>
    <row r="674" spans="7:7" ht="15.75" customHeight="1">
      <c r="G674" s="32"/>
    </row>
    <row r="675" spans="7:7" ht="15.75" customHeight="1">
      <c r="G675" s="32"/>
    </row>
    <row r="676" spans="7:7" ht="15.75" customHeight="1">
      <c r="G676" s="32"/>
    </row>
    <row r="677" spans="7:7" ht="15.75" customHeight="1">
      <c r="G677" s="32"/>
    </row>
    <row r="678" spans="7:7" ht="15.75" customHeight="1">
      <c r="G678" s="32"/>
    </row>
    <row r="679" spans="7:7" ht="15.75" customHeight="1">
      <c r="G679" s="32"/>
    </row>
    <row r="680" spans="7:7" ht="15.75" customHeight="1">
      <c r="G680" s="32"/>
    </row>
    <row r="681" spans="7:7" ht="15.75" customHeight="1">
      <c r="G681" s="32"/>
    </row>
    <row r="682" spans="7:7" ht="15.75" customHeight="1">
      <c r="G682" s="32"/>
    </row>
    <row r="683" spans="7:7" ht="15.75" customHeight="1">
      <c r="G683" s="32"/>
    </row>
    <row r="684" spans="7:7" ht="15.75" customHeight="1">
      <c r="G684" s="32"/>
    </row>
    <row r="685" spans="7:7" ht="15.75" customHeight="1">
      <c r="G685" s="32"/>
    </row>
    <row r="686" spans="7:7" ht="15.75" customHeight="1">
      <c r="G686" s="32"/>
    </row>
    <row r="687" spans="7:7" ht="15.75" customHeight="1">
      <c r="G687" s="32"/>
    </row>
    <row r="688" spans="7:7" ht="15.75" customHeight="1">
      <c r="G688" s="32"/>
    </row>
    <row r="689" spans="7:7" ht="15.75" customHeight="1">
      <c r="G689" s="32"/>
    </row>
    <row r="690" spans="7:7" ht="15.75" customHeight="1">
      <c r="G690" s="32"/>
    </row>
    <row r="691" spans="7:7" ht="15.75" customHeight="1">
      <c r="G691" s="32"/>
    </row>
    <row r="692" spans="7:7" ht="15.75" customHeight="1">
      <c r="G692" s="32"/>
    </row>
    <row r="693" spans="7:7" ht="15.75" customHeight="1">
      <c r="G693" s="32"/>
    </row>
    <row r="694" spans="7:7" ht="15.75" customHeight="1">
      <c r="G694" s="32"/>
    </row>
    <row r="695" spans="7:7" ht="15.75" customHeight="1">
      <c r="G695" s="32"/>
    </row>
    <row r="696" spans="7:7" ht="15.75" customHeight="1">
      <c r="G696" s="32"/>
    </row>
    <row r="697" spans="7:7" ht="15.75" customHeight="1">
      <c r="G697" s="32"/>
    </row>
    <row r="698" spans="7:7" ht="15.75" customHeight="1">
      <c r="G698" s="32"/>
    </row>
    <row r="699" spans="7:7" ht="15.75" customHeight="1">
      <c r="G699" s="32"/>
    </row>
    <row r="700" spans="7:7" ht="15.75" customHeight="1">
      <c r="G700" s="32"/>
    </row>
    <row r="701" spans="7:7" ht="15.75" customHeight="1">
      <c r="G701" s="32"/>
    </row>
    <row r="702" spans="7:7" ht="15.75" customHeight="1">
      <c r="G702" s="32"/>
    </row>
    <row r="703" spans="7:7" ht="15.75" customHeight="1">
      <c r="G703" s="32"/>
    </row>
    <row r="704" spans="7:7" ht="15.75" customHeight="1">
      <c r="G704" s="32"/>
    </row>
    <row r="705" spans="7:7" ht="15.75" customHeight="1">
      <c r="G705" s="32"/>
    </row>
    <row r="706" spans="7:7" ht="15.75" customHeight="1">
      <c r="G706" s="32"/>
    </row>
    <row r="707" spans="7:7" ht="15.75" customHeight="1">
      <c r="G707" s="32"/>
    </row>
    <row r="708" spans="7:7" ht="15.75" customHeight="1">
      <c r="G708" s="32"/>
    </row>
    <row r="709" spans="7:7" ht="15.75" customHeight="1">
      <c r="G709" s="32"/>
    </row>
    <row r="710" spans="7:7" ht="15.75" customHeight="1">
      <c r="G710" s="32"/>
    </row>
    <row r="711" spans="7:7" ht="15.75" customHeight="1">
      <c r="G711" s="32"/>
    </row>
    <row r="712" spans="7:7" ht="15.75" customHeight="1">
      <c r="G712" s="32"/>
    </row>
    <row r="713" spans="7:7" ht="15.75" customHeight="1">
      <c r="G713" s="32"/>
    </row>
    <row r="714" spans="7:7" ht="15.75" customHeight="1">
      <c r="G714" s="32"/>
    </row>
    <row r="715" spans="7:7" ht="15.75" customHeight="1">
      <c r="G715" s="32"/>
    </row>
    <row r="716" spans="7:7" ht="15.75" customHeight="1">
      <c r="G716" s="32"/>
    </row>
    <row r="717" spans="7:7" ht="15.75" customHeight="1">
      <c r="G717" s="32"/>
    </row>
    <row r="718" spans="7:7" ht="15.75" customHeight="1">
      <c r="G718" s="32"/>
    </row>
    <row r="719" spans="7:7" ht="15.75" customHeight="1">
      <c r="G719" s="32"/>
    </row>
    <row r="720" spans="7:7" ht="15.75" customHeight="1">
      <c r="G720" s="32"/>
    </row>
    <row r="721" spans="7:7" ht="15.75" customHeight="1">
      <c r="G721" s="32"/>
    </row>
    <row r="722" spans="7:7" ht="15.75" customHeight="1">
      <c r="G722" s="32"/>
    </row>
    <row r="723" spans="7:7" ht="15.75" customHeight="1">
      <c r="G723" s="32"/>
    </row>
    <row r="724" spans="7:7" ht="15.75" customHeight="1">
      <c r="G724" s="32"/>
    </row>
    <row r="725" spans="7:7" ht="15.75" customHeight="1">
      <c r="G725" s="32"/>
    </row>
    <row r="726" spans="7:7" ht="15.75" customHeight="1">
      <c r="G726" s="32"/>
    </row>
    <row r="727" spans="7:7" ht="15.75" customHeight="1">
      <c r="G727" s="32"/>
    </row>
    <row r="728" spans="7:7" ht="15.75" customHeight="1">
      <c r="G728" s="32"/>
    </row>
    <row r="729" spans="7:7" ht="15.75" customHeight="1">
      <c r="G729" s="32"/>
    </row>
    <row r="730" spans="7:7" ht="15.75" customHeight="1">
      <c r="G730" s="32"/>
    </row>
    <row r="731" spans="7:7" ht="15.75" customHeight="1">
      <c r="G731" s="32"/>
    </row>
    <row r="732" spans="7:7" ht="15.75" customHeight="1">
      <c r="G732" s="32"/>
    </row>
    <row r="733" spans="7:7" ht="15.75" customHeight="1">
      <c r="G733" s="32"/>
    </row>
    <row r="734" spans="7:7" ht="15.75" customHeight="1">
      <c r="G734" s="32"/>
    </row>
    <row r="735" spans="7:7" ht="15.75" customHeight="1">
      <c r="G735" s="32"/>
    </row>
    <row r="736" spans="7:7" ht="15.75" customHeight="1">
      <c r="G736" s="32"/>
    </row>
    <row r="737" spans="7:7" ht="15.75" customHeight="1">
      <c r="G737" s="32"/>
    </row>
    <row r="738" spans="7:7" ht="15.75" customHeight="1">
      <c r="G738" s="32"/>
    </row>
    <row r="739" spans="7:7" ht="15.75" customHeight="1">
      <c r="G739" s="32"/>
    </row>
    <row r="740" spans="7:7" ht="15.75" customHeight="1">
      <c r="G740" s="32"/>
    </row>
    <row r="741" spans="7:7" ht="15.75" customHeight="1">
      <c r="G741" s="32"/>
    </row>
    <row r="742" spans="7:7" ht="15.75" customHeight="1">
      <c r="G742" s="32"/>
    </row>
    <row r="743" spans="7:7" ht="15.75" customHeight="1">
      <c r="G743" s="32"/>
    </row>
    <row r="744" spans="7:7" ht="15.75" customHeight="1">
      <c r="G744" s="32"/>
    </row>
    <row r="745" spans="7:7" ht="15.75" customHeight="1">
      <c r="G745" s="32"/>
    </row>
    <row r="746" spans="7:7" ht="15.75" customHeight="1">
      <c r="G746" s="32"/>
    </row>
    <row r="747" spans="7:7" ht="15.75" customHeight="1">
      <c r="G747" s="32"/>
    </row>
    <row r="748" spans="7:7" ht="15.75" customHeight="1">
      <c r="G748" s="32"/>
    </row>
    <row r="749" spans="7:7" ht="15.75" customHeight="1">
      <c r="G749" s="32"/>
    </row>
    <row r="750" spans="7:7" ht="15.75" customHeight="1">
      <c r="G750" s="32"/>
    </row>
    <row r="751" spans="7:7" ht="15.75" customHeight="1">
      <c r="G751" s="32"/>
    </row>
    <row r="752" spans="7:7" ht="15.75" customHeight="1">
      <c r="G752" s="32"/>
    </row>
    <row r="753" spans="7:7" ht="15.75" customHeight="1">
      <c r="G753" s="32"/>
    </row>
    <row r="754" spans="7:7" ht="15.75" customHeight="1">
      <c r="G754" s="32"/>
    </row>
    <row r="755" spans="7:7" ht="15.75" customHeight="1">
      <c r="G755" s="32"/>
    </row>
    <row r="756" spans="7:7" ht="15.75" customHeight="1">
      <c r="G756" s="32"/>
    </row>
    <row r="757" spans="7:7" ht="15.75" customHeight="1">
      <c r="G757" s="32"/>
    </row>
    <row r="758" spans="7:7" ht="15.75" customHeight="1">
      <c r="G758" s="32"/>
    </row>
    <row r="759" spans="7:7" ht="15.75" customHeight="1">
      <c r="G759" s="32"/>
    </row>
    <row r="760" spans="7:7" ht="15.75" customHeight="1">
      <c r="G760" s="32"/>
    </row>
    <row r="761" spans="7:7" ht="15.75" customHeight="1">
      <c r="G761" s="32"/>
    </row>
    <row r="762" spans="7:7" ht="15.75" customHeight="1">
      <c r="G762" s="32"/>
    </row>
    <row r="763" spans="7:7" ht="15.75" customHeight="1">
      <c r="G763" s="32"/>
    </row>
    <row r="764" spans="7:7" ht="15.75" customHeight="1">
      <c r="G764" s="32"/>
    </row>
    <row r="765" spans="7:7" ht="15.75" customHeight="1">
      <c r="G765" s="32"/>
    </row>
    <row r="766" spans="7:7" ht="15.75" customHeight="1">
      <c r="G766" s="32"/>
    </row>
    <row r="767" spans="7:7" ht="15.75" customHeight="1">
      <c r="G767" s="32"/>
    </row>
    <row r="768" spans="7:7" ht="15.75" customHeight="1">
      <c r="G768" s="32"/>
    </row>
    <row r="769" spans="7:7" ht="15.75" customHeight="1">
      <c r="G769" s="32"/>
    </row>
    <row r="770" spans="7:7" ht="15.75" customHeight="1">
      <c r="G770" s="32"/>
    </row>
    <row r="771" spans="7:7" ht="15.75" customHeight="1">
      <c r="G771" s="32"/>
    </row>
    <row r="772" spans="7:7" ht="15.75" customHeight="1">
      <c r="G772" s="32"/>
    </row>
    <row r="773" spans="7:7" ht="15.75" customHeight="1">
      <c r="G773" s="32"/>
    </row>
    <row r="774" spans="7:7" ht="15.75" customHeight="1">
      <c r="G774" s="32"/>
    </row>
    <row r="775" spans="7:7" ht="15.75" customHeight="1">
      <c r="G775" s="32"/>
    </row>
    <row r="776" spans="7:7" ht="15.75" customHeight="1">
      <c r="G776" s="32"/>
    </row>
    <row r="777" spans="7:7" ht="15.75" customHeight="1">
      <c r="G777" s="32"/>
    </row>
    <row r="778" spans="7:7" ht="15.75" customHeight="1">
      <c r="G778" s="32"/>
    </row>
    <row r="779" spans="7:7" ht="15.75" customHeight="1">
      <c r="G779" s="32"/>
    </row>
    <row r="780" spans="7:7" ht="15.75" customHeight="1">
      <c r="G780" s="32"/>
    </row>
    <row r="781" spans="7:7" ht="15.75" customHeight="1">
      <c r="G781" s="32"/>
    </row>
    <row r="782" spans="7:7" ht="15.75" customHeight="1">
      <c r="G782" s="32"/>
    </row>
    <row r="783" spans="7:7" ht="15.75" customHeight="1">
      <c r="G783" s="32"/>
    </row>
    <row r="784" spans="7:7" ht="15.75" customHeight="1">
      <c r="G784" s="32"/>
    </row>
    <row r="785" spans="7:7" ht="15.75" customHeight="1">
      <c r="G785" s="32"/>
    </row>
    <row r="786" spans="7:7" ht="15.75" customHeight="1">
      <c r="G786" s="32"/>
    </row>
    <row r="787" spans="7:7" ht="15.75" customHeight="1">
      <c r="G787" s="32"/>
    </row>
    <row r="788" spans="7:7" ht="15.75" customHeight="1">
      <c r="G788" s="32"/>
    </row>
    <row r="789" spans="7:7" ht="15.75" customHeight="1">
      <c r="G789" s="32"/>
    </row>
    <row r="790" spans="7:7" ht="15.75" customHeight="1">
      <c r="G790" s="32"/>
    </row>
    <row r="791" spans="7:7" ht="15.75" customHeight="1">
      <c r="G791" s="32"/>
    </row>
    <row r="792" spans="7:7" ht="15.75" customHeight="1">
      <c r="G792" s="32"/>
    </row>
    <row r="793" spans="7:7" ht="15.75" customHeight="1">
      <c r="G793" s="32"/>
    </row>
    <row r="794" spans="7:7" ht="15.75" customHeight="1">
      <c r="G794" s="32"/>
    </row>
    <row r="795" spans="7:7" ht="15.75" customHeight="1">
      <c r="G795" s="32"/>
    </row>
    <row r="796" spans="7:7" ht="15.75" customHeight="1">
      <c r="G796" s="32"/>
    </row>
    <row r="797" spans="7:7" ht="15.75" customHeight="1">
      <c r="G797" s="32"/>
    </row>
    <row r="798" spans="7:7" ht="15.75" customHeight="1">
      <c r="G798" s="32"/>
    </row>
    <row r="799" spans="7:7" ht="15.75" customHeight="1">
      <c r="G799" s="32"/>
    </row>
    <row r="800" spans="7:7" ht="15.75" customHeight="1">
      <c r="G800" s="32"/>
    </row>
    <row r="801" spans="7:7" ht="15.75" customHeight="1">
      <c r="G801" s="32"/>
    </row>
    <row r="802" spans="7:7" ht="15.75" customHeight="1">
      <c r="G802" s="32"/>
    </row>
    <row r="803" spans="7:7" ht="15.75" customHeight="1">
      <c r="G803" s="32"/>
    </row>
    <row r="804" spans="7:7" ht="15.75" customHeight="1">
      <c r="G804" s="32"/>
    </row>
    <row r="805" spans="7:7" ht="15.75" customHeight="1">
      <c r="G805" s="32"/>
    </row>
    <row r="806" spans="7:7" ht="15.75" customHeight="1">
      <c r="G806" s="32"/>
    </row>
    <row r="807" spans="7:7" ht="15.75" customHeight="1">
      <c r="G807" s="32"/>
    </row>
    <row r="808" spans="7:7" ht="15.75" customHeight="1">
      <c r="G808" s="32"/>
    </row>
    <row r="809" spans="7:7" ht="15.75" customHeight="1">
      <c r="G809" s="32"/>
    </row>
    <row r="810" spans="7:7" ht="15.75" customHeight="1">
      <c r="G810" s="32"/>
    </row>
    <row r="811" spans="7:7" ht="15.75" customHeight="1">
      <c r="G811" s="32"/>
    </row>
    <row r="812" spans="7:7" ht="15.75" customHeight="1">
      <c r="G812" s="32"/>
    </row>
    <row r="813" spans="7:7" ht="15.75" customHeight="1">
      <c r="G813" s="32"/>
    </row>
    <row r="814" spans="7:7" ht="15.75" customHeight="1">
      <c r="G814" s="32"/>
    </row>
    <row r="815" spans="7:7" ht="15.75" customHeight="1">
      <c r="G815" s="32"/>
    </row>
    <row r="816" spans="7:7" ht="15.75" customHeight="1">
      <c r="G816" s="32"/>
    </row>
    <row r="817" spans="7:7" ht="15.75" customHeight="1">
      <c r="G817" s="32"/>
    </row>
    <row r="818" spans="7:7" ht="15.75" customHeight="1">
      <c r="G818" s="32"/>
    </row>
    <row r="819" spans="7:7" ht="15.75" customHeight="1">
      <c r="G819" s="32"/>
    </row>
    <row r="820" spans="7:7" ht="15.75" customHeight="1">
      <c r="G820" s="32"/>
    </row>
    <row r="821" spans="7:7" ht="15.75" customHeight="1">
      <c r="G821" s="32"/>
    </row>
    <row r="822" spans="7:7" ht="15.75" customHeight="1">
      <c r="G822" s="32"/>
    </row>
    <row r="823" spans="7:7" ht="15.75" customHeight="1">
      <c r="G823" s="32"/>
    </row>
    <row r="824" spans="7:7" ht="15.75" customHeight="1">
      <c r="G824" s="32"/>
    </row>
    <row r="825" spans="7:7" ht="15.75" customHeight="1">
      <c r="G825" s="32"/>
    </row>
    <row r="826" spans="7:7" ht="15.75" customHeight="1">
      <c r="G826" s="32"/>
    </row>
    <row r="827" spans="7:7" ht="15.75" customHeight="1">
      <c r="G827" s="32"/>
    </row>
    <row r="828" spans="7:7" ht="15.75" customHeight="1">
      <c r="G828" s="32"/>
    </row>
    <row r="829" spans="7:7" ht="15.75" customHeight="1">
      <c r="G829" s="32"/>
    </row>
    <row r="830" spans="7:7" ht="15.75" customHeight="1">
      <c r="G830" s="32"/>
    </row>
    <row r="831" spans="7:7" ht="15.75" customHeight="1">
      <c r="G831" s="32"/>
    </row>
    <row r="832" spans="7:7" ht="15.75" customHeight="1">
      <c r="G832" s="32"/>
    </row>
    <row r="833" spans="7:7" ht="15.75" customHeight="1">
      <c r="G833" s="32"/>
    </row>
    <row r="834" spans="7:7" ht="15.75" customHeight="1">
      <c r="G834" s="32"/>
    </row>
    <row r="835" spans="7:7" ht="15.75" customHeight="1">
      <c r="G835" s="32"/>
    </row>
    <row r="836" spans="7:7" ht="15.75" customHeight="1">
      <c r="G836" s="32"/>
    </row>
    <row r="837" spans="7:7" ht="15.75" customHeight="1">
      <c r="G837" s="32"/>
    </row>
    <row r="838" spans="7:7" ht="15.75" customHeight="1">
      <c r="G838" s="32"/>
    </row>
    <row r="839" spans="7:7" ht="15.75" customHeight="1">
      <c r="G839" s="32"/>
    </row>
    <row r="840" spans="7:7" ht="15.75" customHeight="1">
      <c r="G840" s="32"/>
    </row>
    <row r="841" spans="7:7" ht="15.75" customHeight="1">
      <c r="G841" s="32"/>
    </row>
    <row r="842" spans="7:7" ht="15.75" customHeight="1">
      <c r="G842" s="32"/>
    </row>
    <row r="843" spans="7:7" ht="15.75" customHeight="1">
      <c r="G843" s="32"/>
    </row>
    <row r="844" spans="7:7" ht="15.75" customHeight="1">
      <c r="G844" s="32"/>
    </row>
    <row r="845" spans="7:7" ht="15.75" customHeight="1">
      <c r="G845" s="32"/>
    </row>
    <row r="846" spans="7:7" ht="15.75" customHeight="1">
      <c r="G846" s="32"/>
    </row>
    <row r="847" spans="7:7" ht="15.75" customHeight="1">
      <c r="G847" s="32"/>
    </row>
    <row r="848" spans="7:7" ht="15.75" customHeight="1">
      <c r="G848" s="32"/>
    </row>
    <row r="849" spans="7:7" ht="15.75" customHeight="1">
      <c r="G849" s="32"/>
    </row>
    <row r="850" spans="7:7" ht="15.75" customHeight="1">
      <c r="G850" s="32"/>
    </row>
    <row r="851" spans="7:7" ht="15.75" customHeight="1">
      <c r="G851" s="32"/>
    </row>
    <row r="852" spans="7:7" ht="15.75" customHeight="1">
      <c r="G852" s="32"/>
    </row>
    <row r="853" spans="7:7" ht="15.75" customHeight="1">
      <c r="G853" s="32"/>
    </row>
    <row r="854" spans="7:7" ht="15.75" customHeight="1">
      <c r="G854" s="32"/>
    </row>
    <row r="855" spans="7:7" ht="15.75" customHeight="1">
      <c r="G855" s="32"/>
    </row>
    <row r="856" spans="7:7" ht="15.75" customHeight="1">
      <c r="G856" s="32"/>
    </row>
    <row r="857" spans="7:7" ht="15.75" customHeight="1">
      <c r="G857" s="32"/>
    </row>
    <row r="858" spans="7:7" ht="15.75" customHeight="1">
      <c r="G858" s="32"/>
    </row>
    <row r="859" spans="7:7" ht="15.75" customHeight="1">
      <c r="G859" s="32"/>
    </row>
    <row r="860" spans="7:7" ht="15.75" customHeight="1">
      <c r="G860" s="32"/>
    </row>
    <row r="861" spans="7:7" ht="15.75" customHeight="1">
      <c r="G861" s="32"/>
    </row>
    <row r="862" spans="7:7" ht="15.75" customHeight="1">
      <c r="G862" s="32"/>
    </row>
    <row r="863" spans="7:7" ht="15.75" customHeight="1">
      <c r="G863" s="32"/>
    </row>
    <row r="864" spans="7:7" ht="15.75" customHeight="1">
      <c r="G864" s="32"/>
    </row>
    <row r="865" spans="7:7" ht="15.75" customHeight="1">
      <c r="G865" s="32"/>
    </row>
    <row r="866" spans="7:7" ht="15.75" customHeight="1">
      <c r="G866" s="32"/>
    </row>
    <row r="867" spans="7:7" ht="15.75" customHeight="1">
      <c r="G867" s="32"/>
    </row>
    <row r="868" spans="7:7" ht="15.75" customHeight="1">
      <c r="G868" s="32"/>
    </row>
    <row r="869" spans="7:7" ht="15.75" customHeight="1">
      <c r="G869" s="32"/>
    </row>
    <row r="870" spans="7:7" ht="15.75" customHeight="1">
      <c r="G870" s="32"/>
    </row>
    <row r="871" spans="7:7" ht="15.75" customHeight="1">
      <c r="G871" s="32"/>
    </row>
    <row r="872" spans="7:7" ht="15.75" customHeight="1">
      <c r="G872" s="32"/>
    </row>
    <row r="873" spans="7:7" ht="15.75" customHeight="1">
      <c r="G873" s="32"/>
    </row>
    <row r="874" spans="7:7" ht="15.75" customHeight="1">
      <c r="G874" s="32"/>
    </row>
    <row r="875" spans="7:7" ht="15.75" customHeight="1">
      <c r="G875" s="32"/>
    </row>
    <row r="876" spans="7:7" ht="15.75" customHeight="1">
      <c r="G876" s="32"/>
    </row>
    <row r="877" spans="7:7" ht="15.75" customHeight="1">
      <c r="G877" s="32"/>
    </row>
    <row r="878" spans="7:7" ht="15.75" customHeight="1">
      <c r="G878" s="32"/>
    </row>
    <row r="879" spans="7:7" ht="15.75" customHeight="1">
      <c r="G879" s="32"/>
    </row>
    <row r="880" spans="7:7" ht="15.75" customHeight="1">
      <c r="G880" s="32"/>
    </row>
    <row r="881" spans="7:7" ht="15.75" customHeight="1">
      <c r="G881" s="32"/>
    </row>
    <row r="882" spans="7:7" ht="15.75" customHeight="1">
      <c r="G882" s="32"/>
    </row>
    <row r="883" spans="7:7" ht="15.75" customHeight="1">
      <c r="G883" s="32"/>
    </row>
    <row r="884" spans="7:7" ht="15.75" customHeight="1">
      <c r="G884" s="32"/>
    </row>
    <row r="885" spans="7:7" ht="15.75" customHeight="1">
      <c r="G885" s="32"/>
    </row>
    <row r="886" spans="7:7" ht="15.75" customHeight="1">
      <c r="G886" s="32"/>
    </row>
    <row r="887" spans="7:7" ht="15.75" customHeight="1">
      <c r="G887" s="32"/>
    </row>
    <row r="888" spans="7:7" ht="15.75" customHeight="1">
      <c r="G888" s="32"/>
    </row>
    <row r="889" spans="7:7" ht="15.75" customHeight="1">
      <c r="G889" s="32"/>
    </row>
    <row r="890" spans="7:7" ht="15.75" customHeight="1">
      <c r="G890" s="32"/>
    </row>
    <row r="891" spans="7:7" ht="15.75" customHeight="1">
      <c r="G891" s="32"/>
    </row>
    <row r="892" spans="7:7" ht="15.75" customHeight="1">
      <c r="G892" s="32"/>
    </row>
    <row r="893" spans="7:7" ht="15.75" customHeight="1">
      <c r="G893" s="32"/>
    </row>
    <row r="894" spans="7:7" ht="15.75" customHeight="1">
      <c r="G894" s="32"/>
    </row>
    <row r="895" spans="7:7" ht="15.75" customHeight="1">
      <c r="G895" s="32"/>
    </row>
    <row r="896" spans="7:7" ht="15.75" customHeight="1">
      <c r="G896" s="32"/>
    </row>
    <row r="897" spans="7:7" ht="15.75" customHeight="1">
      <c r="G897" s="32"/>
    </row>
    <row r="898" spans="7:7" ht="15.75" customHeight="1">
      <c r="G898" s="32"/>
    </row>
    <row r="899" spans="7:7" ht="15.75" customHeight="1">
      <c r="G899" s="32"/>
    </row>
    <row r="900" spans="7:7" ht="15.75" customHeight="1">
      <c r="G900" s="32"/>
    </row>
    <row r="901" spans="7:7" ht="15.75" customHeight="1">
      <c r="G901" s="32"/>
    </row>
    <row r="902" spans="7:7" ht="15.75" customHeight="1">
      <c r="G902" s="32"/>
    </row>
    <row r="903" spans="7:7" ht="15.75" customHeight="1">
      <c r="G903" s="32"/>
    </row>
    <row r="904" spans="7:7" ht="15.75" customHeight="1">
      <c r="G904" s="32"/>
    </row>
    <row r="905" spans="7:7" ht="15.75" customHeight="1">
      <c r="G905" s="32"/>
    </row>
    <row r="906" spans="7:7" ht="15.75" customHeight="1">
      <c r="G906" s="32"/>
    </row>
    <row r="907" spans="7:7" ht="15.75" customHeight="1">
      <c r="G907" s="32"/>
    </row>
    <row r="908" spans="7:7" ht="15.75" customHeight="1">
      <c r="G908" s="32"/>
    </row>
    <row r="909" spans="7:7" ht="15.75" customHeight="1">
      <c r="G909" s="32"/>
    </row>
    <row r="910" spans="7:7" ht="15.75" customHeight="1">
      <c r="G910" s="32"/>
    </row>
    <row r="911" spans="7:7" ht="15.75" customHeight="1">
      <c r="G911" s="32"/>
    </row>
    <row r="912" spans="7:7" ht="15.75" customHeight="1">
      <c r="G912" s="32"/>
    </row>
    <row r="913" spans="7:7" ht="15.75" customHeight="1">
      <c r="G913" s="32"/>
    </row>
    <row r="914" spans="7:7" ht="15.75" customHeight="1">
      <c r="G914" s="32"/>
    </row>
    <row r="915" spans="7:7" ht="15.75" customHeight="1">
      <c r="G915" s="32"/>
    </row>
    <row r="916" spans="7:7" ht="15.75" customHeight="1">
      <c r="G916" s="32"/>
    </row>
    <row r="917" spans="7:7" ht="15.75" customHeight="1">
      <c r="G917" s="32"/>
    </row>
    <row r="918" spans="7:7" ht="15.75" customHeight="1">
      <c r="G918" s="32"/>
    </row>
    <row r="919" spans="7:7" ht="15.75" customHeight="1">
      <c r="G919" s="32"/>
    </row>
    <row r="920" spans="7:7" ht="15.75" customHeight="1">
      <c r="G920" s="32"/>
    </row>
    <row r="921" spans="7:7" ht="15.75" customHeight="1">
      <c r="G921" s="32"/>
    </row>
    <row r="922" spans="7:7" ht="15.75" customHeight="1">
      <c r="G922" s="32"/>
    </row>
    <row r="923" spans="7:7" ht="15.75" customHeight="1">
      <c r="G923" s="32"/>
    </row>
    <row r="924" spans="7:7" ht="15.75" customHeight="1">
      <c r="G924" s="32"/>
    </row>
    <row r="925" spans="7:7" ht="15.75" customHeight="1">
      <c r="G925" s="32"/>
    </row>
    <row r="926" spans="7:7" ht="15.75" customHeight="1">
      <c r="G926" s="32"/>
    </row>
    <row r="927" spans="7:7" ht="15.75" customHeight="1">
      <c r="G927" s="32"/>
    </row>
    <row r="928" spans="7:7" ht="15.75" customHeight="1">
      <c r="G928" s="32"/>
    </row>
    <row r="929" spans="7:7" ht="15.75" customHeight="1">
      <c r="G929" s="32"/>
    </row>
    <row r="930" spans="7:7" ht="15.75" customHeight="1">
      <c r="G930" s="32"/>
    </row>
    <row r="931" spans="7:7" ht="15.75" customHeight="1">
      <c r="G931" s="32"/>
    </row>
    <row r="932" spans="7:7" ht="15.75" customHeight="1">
      <c r="G932" s="32"/>
    </row>
    <row r="933" spans="7:7" ht="15.75" customHeight="1">
      <c r="G933" s="32"/>
    </row>
    <row r="934" spans="7:7" ht="15.75" customHeight="1">
      <c r="G934" s="32"/>
    </row>
    <row r="935" spans="7:7" ht="15.75" customHeight="1">
      <c r="G935" s="32"/>
    </row>
    <row r="936" spans="7:7" ht="15.75" customHeight="1">
      <c r="G936" s="32"/>
    </row>
    <row r="937" spans="7:7" ht="15.75" customHeight="1">
      <c r="G937" s="32"/>
    </row>
    <row r="938" spans="7:7" ht="15.75" customHeight="1">
      <c r="G938" s="32"/>
    </row>
    <row r="939" spans="7:7" ht="15.75" customHeight="1">
      <c r="G939" s="32"/>
    </row>
    <row r="940" spans="7:7" ht="15.75" customHeight="1">
      <c r="G940" s="32"/>
    </row>
    <row r="941" spans="7:7" ht="15.75" customHeight="1">
      <c r="G941" s="32"/>
    </row>
    <row r="942" spans="7:7" ht="15.75" customHeight="1">
      <c r="G942" s="32"/>
    </row>
    <row r="943" spans="7:7" ht="15.75" customHeight="1">
      <c r="G943" s="32"/>
    </row>
    <row r="944" spans="7:7" ht="15.75" customHeight="1">
      <c r="G944" s="32"/>
    </row>
    <row r="945" spans="7:7" ht="15.75" customHeight="1">
      <c r="G945" s="32"/>
    </row>
    <row r="946" spans="7:7" ht="15.75" customHeight="1">
      <c r="G946" s="32"/>
    </row>
    <row r="947" spans="7:7" ht="15.75" customHeight="1">
      <c r="G947" s="32"/>
    </row>
    <row r="948" spans="7:7" ht="15.75" customHeight="1">
      <c r="G948" s="32"/>
    </row>
    <row r="949" spans="7:7" ht="15.75" customHeight="1">
      <c r="G949" s="32"/>
    </row>
    <row r="950" spans="7:7" ht="15.75" customHeight="1">
      <c r="G950" s="32"/>
    </row>
    <row r="951" spans="7:7" ht="15.75" customHeight="1">
      <c r="G951" s="32"/>
    </row>
    <row r="952" spans="7:7" ht="15.75" customHeight="1">
      <c r="G952" s="32"/>
    </row>
    <row r="953" spans="7:7" ht="15.75" customHeight="1">
      <c r="G953" s="32"/>
    </row>
    <row r="954" spans="7:7" ht="15.75" customHeight="1">
      <c r="G954" s="32"/>
    </row>
    <row r="955" spans="7:7" ht="15.75" customHeight="1">
      <c r="G955" s="32"/>
    </row>
    <row r="956" spans="7:7" ht="15.75" customHeight="1">
      <c r="G956" s="32"/>
    </row>
    <row r="957" spans="7:7" ht="15.75" customHeight="1">
      <c r="G957" s="32"/>
    </row>
    <row r="958" spans="7:7" ht="15.75" customHeight="1">
      <c r="G958" s="32"/>
    </row>
    <row r="959" spans="7:7" ht="15.75" customHeight="1">
      <c r="G959" s="32"/>
    </row>
    <row r="960" spans="7:7" ht="15.75" customHeight="1">
      <c r="G960" s="32"/>
    </row>
    <row r="961" spans="7:7" ht="15.75" customHeight="1">
      <c r="G961" s="32"/>
    </row>
    <row r="962" spans="7:7" ht="15.75" customHeight="1">
      <c r="G962" s="32"/>
    </row>
    <row r="963" spans="7:7" ht="15.75" customHeight="1">
      <c r="G963" s="32"/>
    </row>
    <row r="964" spans="7:7" ht="15.75" customHeight="1">
      <c r="G964" s="32"/>
    </row>
    <row r="965" spans="7:7" ht="15.75" customHeight="1">
      <c r="G965" s="32"/>
    </row>
    <row r="966" spans="7:7" ht="15.75" customHeight="1">
      <c r="G966" s="32"/>
    </row>
    <row r="967" spans="7:7" ht="15.75" customHeight="1">
      <c r="G967" s="32"/>
    </row>
    <row r="968" spans="7:7" ht="15.75" customHeight="1">
      <c r="G968" s="32"/>
    </row>
    <row r="969" spans="7:7" ht="15.75" customHeight="1">
      <c r="G969" s="32"/>
    </row>
    <row r="970" spans="7:7" ht="15.75" customHeight="1">
      <c r="G970" s="32"/>
    </row>
    <row r="971" spans="7:7" ht="15.75" customHeight="1">
      <c r="G971" s="32"/>
    </row>
    <row r="972" spans="7:7" ht="15.75" customHeight="1">
      <c r="G972" s="32"/>
    </row>
    <row r="973" spans="7:7" ht="15.75" customHeight="1">
      <c r="G973" s="32"/>
    </row>
    <row r="974" spans="7:7" ht="15.75" customHeight="1">
      <c r="G974" s="32"/>
    </row>
    <row r="975" spans="7:7" ht="15.75" customHeight="1">
      <c r="G975" s="32"/>
    </row>
    <row r="976" spans="7:7" ht="15.75" customHeight="1">
      <c r="G976" s="32"/>
    </row>
    <row r="977" spans="7:7" ht="15.75" customHeight="1">
      <c r="G977" s="32"/>
    </row>
    <row r="978" spans="7:7" ht="15.75" customHeight="1">
      <c r="G978" s="32"/>
    </row>
    <row r="979" spans="7:7" ht="15.75" customHeight="1">
      <c r="G979" s="32"/>
    </row>
    <row r="980" spans="7:7" ht="15.75" customHeight="1">
      <c r="G980" s="32"/>
    </row>
    <row r="981" spans="7:7" ht="15.75" customHeight="1">
      <c r="G981" s="32"/>
    </row>
    <row r="982" spans="7:7" ht="15.75" customHeight="1">
      <c r="G982" s="32"/>
    </row>
    <row r="983" spans="7:7" ht="15.75" customHeight="1">
      <c r="G983" s="32"/>
    </row>
    <row r="984" spans="7:7" ht="15.75" customHeight="1">
      <c r="G984" s="32"/>
    </row>
    <row r="985" spans="7:7" ht="15.75" customHeight="1">
      <c r="G985" s="32"/>
    </row>
    <row r="986" spans="7:7" ht="15.75" customHeight="1">
      <c r="G986" s="32"/>
    </row>
    <row r="987" spans="7:7" ht="15.75" customHeight="1">
      <c r="G987" s="32"/>
    </row>
    <row r="988" spans="7:7" ht="15.75" customHeight="1">
      <c r="G988" s="32"/>
    </row>
    <row r="989" spans="7:7" ht="15.75" customHeight="1">
      <c r="G989" s="32"/>
    </row>
    <row r="990" spans="7:7" ht="15.75" customHeight="1">
      <c r="G990" s="32"/>
    </row>
    <row r="991" spans="7:7" ht="15.75" customHeight="1">
      <c r="G991" s="32"/>
    </row>
    <row r="992" spans="7:7" ht="15.75" customHeight="1">
      <c r="G992" s="32"/>
    </row>
    <row r="993" spans="7:7" ht="15.75" customHeight="1">
      <c r="G993" s="32"/>
    </row>
    <row r="994" spans="7:7" ht="15.75" customHeight="1">
      <c r="G994" s="32"/>
    </row>
    <row r="995" spans="7:7" ht="15.75" customHeight="1">
      <c r="G995" s="32"/>
    </row>
    <row r="996" spans="7:7" ht="15.75" customHeight="1">
      <c r="G996" s="32"/>
    </row>
    <row r="997" spans="7:7" ht="15.75" customHeight="1">
      <c r="G997" s="32"/>
    </row>
    <row r="998" spans="7:7" ht="15.75" customHeight="1">
      <c r="G998" s="32"/>
    </row>
  </sheetData>
  <autoFilter ref="A1:K75" xr:uid="{00000000-0009-0000-0000-000001000000}"/>
  <phoneticPr fontId="22" type="noConversion"/>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98"/>
  <sheetViews>
    <sheetView workbookViewId="0">
      <pane ySplit="1" topLeftCell="A62" activePane="bottomLeft" state="frozen"/>
      <selection pane="bottomLeft"/>
    </sheetView>
  </sheetViews>
  <sheetFormatPr defaultColWidth="14.42578125" defaultRowHeight="15" customHeight="1"/>
  <cols>
    <col min="1" max="1" width="63.5703125" customWidth="1"/>
    <col min="2" max="2" width="20.7109375" customWidth="1"/>
    <col min="3" max="3" width="16.42578125" customWidth="1"/>
    <col min="4" max="4" width="12.85546875" customWidth="1"/>
    <col min="5" max="5" width="15.5703125" customWidth="1"/>
    <col min="6" max="6" width="12.7109375" customWidth="1"/>
    <col min="7" max="7" width="22.7109375" customWidth="1"/>
    <col min="8" max="8" width="36.140625" customWidth="1"/>
    <col min="9" max="9" width="18.85546875" customWidth="1"/>
    <col min="10" max="10" width="21.7109375" customWidth="1"/>
    <col min="11" max="11" width="18.7109375" customWidth="1"/>
    <col min="12" max="12" width="24.42578125" customWidth="1"/>
    <col min="13" max="13" width="37.42578125" customWidth="1"/>
  </cols>
  <sheetData>
    <row r="1" spans="1:13" ht="15.75" customHeight="1">
      <c r="A1" s="33" t="s">
        <v>116</v>
      </c>
      <c r="B1" s="2" t="s">
        <v>5</v>
      </c>
      <c r="C1" s="3" t="s">
        <v>6</v>
      </c>
      <c r="D1" s="4" t="s">
        <v>0</v>
      </c>
      <c r="E1" s="4" t="s">
        <v>1</v>
      </c>
      <c r="F1" s="4" t="s">
        <v>2</v>
      </c>
      <c r="G1" s="4" t="s">
        <v>7</v>
      </c>
      <c r="H1" s="4" t="s">
        <v>3</v>
      </c>
      <c r="I1" s="5" t="s">
        <v>8</v>
      </c>
      <c r="J1" s="5" t="s">
        <v>9</v>
      </c>
      <c r="K1" s="5" t="s">
        <v>10</v>
      </c>
      <c r="L1" s="5" t="s">
        <v>11</v>
      </c>
      <c r="M1" s="5" t="s">
        <v>12</v>
      </c>
    </row>
    <row r="2" spans="1:13" ht="15.75" customHeight="1">
      <c r="A2" s="8" t="s">
        <v>117</v>
      </c>
      <c r="B2" s="3"/>
      <c r="C2" s="3" t="s">
        <v>21</v>
      </c>
      <c r="D2" s="9" t="s">
        <v>21</v>
      </c>
      <c r="E2" s="9" t="s">
        <v>21</v>
      </c>
      <c r="F2" s="9" t="s">
        <v>21</v>
      </c>
      <c r="G2" s="3" t="s">
        <v>21</v>
      </c>
      <c r="H2" s="12" t="s">
        <v>21</v>
      </c>
      <c r="I2" s="12">
        <f t="shared" ref="I2:I7" si="0">_xlfn.LET(
_xlpm.full,2,
_xlpm.ans,UPPER(SUBSTITUTE(SUBSTITUTE(SUBSTITUTE(SUBSTITUTE(SUBSTITUTE(SUBSTITUTE($C2&amp;"","，",""),",",""),"、","")," ",""),"　",""),CHAR(10),"")),
_xlpm.resp,UPPER(SUBSTITUTE(SUBSTITUTE(SUBSTITUTE(SUBSTITUTE(SUBSTITUTE(SUBSTITUTE(D2&amp;"","，",""),",",""),"、","")," ",""),"　",""),CHAR(10),"")),
IF(OR(_xlpm.resp="",LEN(_xlpm.resp)&lt;&gt;1),0,IF(_xlpm.resp=_xlpm.ans,_xlpm.full,0))
)</f>
        <v>2</v>
      </c>
      <c r="J2" s="12">
        <f t="shared" ref="J2:M7" si="1">_xlfn.LET(
_xlpm.full,2,
_xlpm.ans,UPPER(SUBSTITUTE(SUBSTITUTE(SUBSTITUTE(SUBSTITUTE(SUBSTITUTE(SUBSTITUTE($C2&amp;"","，",""),",",""),"、","")," ",""),"　",""),CHAR(10),"")),
_xlpm.resp,UPPER(SUBSTITUTE(SUBSTITUTE(SUBSTITUTE(SUBSTITUTE(SUBSTITUTE(SUBSTITUTE(E2&amp;"","，",""),",",""),"、","")," ",""),"　",""),CHAR(10),"")),
IF(OR(_xlpm.resp="",LEN(_xlpm.resp)&lt;&gt;1),0,IF(_xlpm.resp=_xlpm.ans,_xlpm.full,0))
)</f>
        <v>2</v>
      </c>
      <c r="K2" s="12">
        <f t="shared" si="1"/>
        <v>2</v>
      </c>
      <c r="L2" s="12">
        <f t="shared" si="1"/>
        <v>2</v>
      </c>
      <c r="M2" s="12">
        <f t="shared" si="1"/>
        <v>2</v>
      </c>
    </row>
    <row r="3" spans="1:13" ht="15.75" customHeight="1">
      <c r="A3" s="8" t="s">
        <v>118</v>
      </c>
      <c r="B3" s="3"/>
      <c r="C3" s="3" t="s">
        <v>19</v>
      </c>
      <c r="D3" s="9" t="s">
        <v>19</v>
      </c>
      <c r="E3" s="9" t="s">
        <v>19</v>
      </c>
      <c r="F3" s="9" t="s">
        <v>19</v>
      </c>
      <c r="G3" s="3" t="s">
        <v>19</v>
      </c>
      <c r="H3" s="12" t="s">
        <v>19</v>
      </c>
      <c r="I3" s="12">
        <f t="shared" si="0"/>
        <v>2</v>
      </c>
      <c r="J3" s="12">
        <f t="shared" si="1"/>
        <v>2</v>
      </c>
      <c r="K3" s="12">
        <f t="shared" si="1"/>
        <v>2</v>
      </c>
      <c r="L3" s="12">
        <f t="shared" si="1"/>
        <v>2</v>
      </c>
      <c r="M3" s="12">
        <f t="shared" si="1"/>
        <v>2</v>
      </c>
    </row>
    <row r="4" spans="1:13" ht="15.75" customHeight="1">
      <c r="A4" s="8" t="s">
        <v>119</v>
      </c>
      <c r="B4" s="3"/>
      <c r="C4" s="3" t="s">
        <v>17</v>
      </c>
      <c r="D4" s="9" t="s">
        <v>17</v>
      </c>
      <c r="E4" s="9" t="s">
        <v>17</v>
      </c>
      <c r="F4" s="9" t="s">
        <v>17</v>
      </c>
      <c r="G4" s="3" t="s">
        <v>17</v>
      </c>
      <c r="H4" s="12" t="s">
        <v>17</v>
      </c>
      <c r="I4" s="12">
        <f t="shared" si="0"/>
        <v>2</v>
      </c>
      <c r="J4" s="12">
        <f t="shared" si="1"/>
        <v>2</v>
      </c>
      <c r="K4" s="12">
        <f t="shared" si="1"/>
        <v>2</v>
      </c>
      <c r="L4" s="12">
        <f t="shared" si="1"/>
        <v>2</v>
      </c>
      <c r="M4" s="12">
        <f t="shared" si="1"/>
        <v>2</v>
      </c>
    </row>
    <row r="5" spans="1:13" ht="15.75" customHeight="1">
      <c r="A5" s="8" t="s">
        <v>120</v>
      </c>
      <c r="B5" s="3" t="s">
        <v>16</v>
      </c>
      <c r="C5" s="3" t="s">
        <v>19</v>
      </c>
      <c r="D5" s="9" t="s">
        <v>19</v>
      </c>
      <c r="E5" s="9" t="s">
        <v>19</v>
      </c>
      <c r="F5" s="9" t="s">
        <v>22</v>
      </c>
      <c r="G5" s="27" t="s">
        <v>22</v>
      </c>
      <c r="H5" s="12" t="s">
        <v>19</v>
      </c>
      <c r="I5" s="12">
        <f t="shared" si="0"/>
        <v>2</v>
      </c>
      <c r="J5" s="12">
        <f t="shared" si="1"/>
        <v>2</v>
      </c>
      <c r="K5" s="12">
        <f t="shared" si="1"/>
        <v>0</v>
      </c>
      <c r="L5" s="12">
        <f t="shared" si="1"/>
        <v>0</v>
      </c>
      <c r="M5" s="12">
        <f t="shared" si="1"/>
        <v>2</v>
      </c>
    </row>
    <row r="6" spans="1:13" ht="15.75" customHeight="1">
      <c r="A6" s="34" t="s">
        <v>121</v>
      </c>
      <c r="B6" s="3"/>
      <c r="C6" s="3" t="s">
        <v>14</v>
      </c>
      <c r="D6" s="9" t="s">
        <v>14</v>
      </c>
      <c r="E6" s="9" t="s">
        <v>14</v>
      </c>
      <c r="F6" s="9" t="s">
        <v>14</v>
      </c>
      <c r="G6" s="3" t="s">
        <v>14</v>
      </c>
      <c r="H6" s="12" t="s">
        <v>14</v>
      </c>
      <c r="I6" s="12">
        <f t="shared" si="0"/>
        <v>2</v>
      </c>
      <c r="J6" s="12">
        <f t="shared" si="1"/>
        <v>2</v>
      </c>
      <c r="K6" s="12">
        <f t="shared" si="1"/>
        <v>2</v>
      </c>
      <c r="L6" s="12">
        <f t="shared" si="1"/>
        <v>2</v>
      </c>
      <c r="M6" s="12">
        <f t="shared" si="1"/>
        <v>2</v>
      </c>
    </row>
    <row r="7" spans="1:13" ht="15.75" customHeight="1">
      <c r="A7" s="34" t="s">
        <v>122</v>
      </c>
      <c r="B7" s="3"/>
      <c r="C7" s="3" t="s">
        <v>22</v>
      </c>
      <c r="D7" s="9" t="s">
        <v>22</v>
      </c>
      <c r="E7" s="9" t="s">
        <v>22</v>
      </c>
      <c r="F7" s="9" t="s">
        <v>22</v>
      </c>
      <c r="G7" s="12" t="s">
        <v>22</v>
      </c>
      <c r="H7" s="12" t="s">
        <v>22</v>
      </c>
      <c r="I7" s="12">
        <f t="shared" si="0"/>
        <v>2</v>
      </c>
      <c r="J7" s="12">
        <f t="shared" si="1"/>
        <v>2</v>
      </c>
      <c r="K7" s="12">
        <f t="shared" si="1"/>
        <v>2</v>
      </c>
      <c r="L7" s="12">
        <f t="shared" si="1"/>
        <v>2</v>
      </c>
      <c r="M7" s="12">
        <f t="shared" si="1"/>
        <v>2</v>
      </c>
    </row>
    <row r="8" spans="1:13" ht="15.75" customHeight="1">
      <c r="A8" s="23" t="s">
        <v>123</v>
      </c>
      <c r="B8" s="18"/>
      <c r="C8" s="18"/>
      <c r="D8" s="19"/>
      <c r="E8" s="19"/>
      <c r="F8" s="19"/>
      <c r="G8" s="19"/>
      <c r="H8" s="19"/>
      <c r="I8" s="19"/>
      <c r="J8" s="19"/>
      <c r="K8" s="19"/>
      <c r="L8" s="19"/>
      <c r="M8" s="19"/>
    </row>
    <row r="9" spans="1:13" ht="15.75" customHeight="1">
      <c r="A9" s="8" t="s">
        <v>124</v>
      </c>
      <c r="B9" s="3" t="s">
        <v>16</v>
      </c>
      <c r="C9" s="3" t="s">
        <v>17</v>
      </c>
      <c r="D9" s="9" t="s">
        <v>14</v>
      </c>
      <c r="E9" s="9" t="s">
        <v>14</v>
      </c>
      <c r="F9" s="9" t="s">
        <v>14</v>
      </c>
      <c r="G9" s="12" t="s">
        <v>14</v>
      </c>
      <c r="H9" s="12" t="s">
        <v>14</v>
      </c>
      <c r="I9" s="12">
        <f>_xlfn.LET(
_xlpm.full,2,
_xlpm.ans,UPPER(SUBSTITUTE(SUBSTITUTE(SUBSTITUTE(SUBSTITUTE(SUBSTITUTE(SUBSTITUTE($C9&amp;"","，",""),",",""),"、","")," ",""),"　",""),CHAR(10),"")),
_xlpm.resp,UPPER(SUBSTITUTE(SUBSTITUTE(SUBSTITUTE(SUBSTITUTE(SUBSTITUTE(SUBSTITUTE(D9&amp;"","，",""),",",""),"、","")," ",""),"　",""),CHAR(10),"")),
IF(OR(_xlpm.resp="",LEN(_xlpm.resp)&lt;&gt;1),0,IF(_xlpm.resp=_xlpm.ans,_xlpm.full,0))
)</f>
        <v>0</v>
      </c>
      <c r="J9" s="12">
        <f t="shared" ref="J9:M13" si="2">_xlfn.LET(
_xlpm.full,2,
_xlpm.ans,UPPER(SUBSTITUTE(SUBSTITUTE(SUBSTITUTE(SUBSTITUTE(SUBSTITUTE(SUBSTITUTE($C9&amp;"","，",""),",",""),"、","")," ",""),"　",""),CHAR(10),"")),
_xlpm.resp,UPPER(SUBSTITUTE(SUBSTITUTE(SUBSTITUTE(SUBSTITUTE(SUBSTITUTE(SUBSTITUTE(E9&amp;"","，",""),",",""),"、","")," ",""),"　",""),CHAR(10),"")),
IF(OR(_xlpm.resp="",LEN(_xlpm.resp)&lt;&gt;1),0,IF(_xlpm.resp=_xlpm.ans,_xlpm.full,0))
)</f>
        <v>0</v>
      </c>
      <c r="K9" s="12">
        <f t="shared" si="2"/>
        <v>0</v>
      </c>
      <c r="L9" s="12">
        <f t="shared" si="2"/>
        <v>0</v>
      </c>
      <c r="M9" s="12">
        <f t="shared" si="2"/>
        <v>0</v>
      </c>
    </row>
    <row r="10" spans="1:13" ht="15.75" customHeight="1">
      <c r="A10" s="8" t="s">
        <v>125</v>
      </c>
      <c r="B10" s="3" t="s">
        <v>16</v>
      </c>
      <c r="C10" s="3" t="s">
        <v>22</v>
      </c>
      <c r="D10" s="9" t="s">
        <v>21</v>
      </c>
      <c r="E10" s="9" t="s">
        <v>19</v>
      </c>
      <c r="F10" s="9" t="s">
        <v>22</v>
      </c>
      <c r="G10" s="12" t="s">
        <v>19</v>
      </c>
      <c r="H10" s="12" t="s">
        <v>19</v>
      </c>
      <c r="I10" s="12">
        <f>_xlfn.LET(
_xlpm.full,2,
_xlpm.ans,UPPER(SUBSTITUTE(SUBSTITUTE(SUBSTITUTE(SUBSTITUTE(SUBSTITUTE(SUBSTITUTE($C10&amp;"","，",""),",",""),"、","")," ",""),"　",""),CHAR(10),"")),
_xlpm.resp,UPPER(SUBSTITUTE(SUBSTITUTE(SUBSTITUTE(SUBSTITUTE(SUBSTITUTE(SUBSTITUTE(D10&amp;"","，",""),",",""),"、","")," ",""),"　",""),CHAR(10),"")),
IF(OR(_xlpm.resp="",LEN(_xlpm.resp)&lt;&gt;1),0,IF(_xlpm.resp=_xlpm.ans,_xlpm.full,0))
)</f>
        <v>0</v>
      </c>
      <c r="J10" s="12">
        <f t="shared" si="2"/>
        <v>0</v>
      </c>
      <c r="K10" s="12">
        <f t="shared" si="2"/>
        <v>2</v>
      </c>
      <c r="L10" s="12">
        <f t="shared" si="2"/>
        <v>0</v>
      </c>
      <c r="M10" s="12">
        <f t="shared" si="2"/>
        <v>0</v>
      </c>
    </row>
    <row r="11" spans="1:13" ht="15.75" customHeight="1">
      <c r="A11" s="8" t="s">
        <v>126</v>
      </c>
      <c r="B11" s="3"/>
      <c r="C11" s="3" t="s">
        <v>19</v>
      </c>
      <c r="D11" s="9" t="s">
        <v>19</v>
      </c>
      <c r="E11" s="9" t="s">
        <v>19</v>
      </c>
      <c r="F11" s="9" t="s">
        <v>19</v>
      </c>
      <c r="G11" s="12" t="s">
        <v>19</v>
      </c>
      <c r="H11" s="12" t="s">
        <v>19</v>
      </c>
      <c r="I11" s="12">
        <f>_xlfn.LET(
_xlpm.full,2,
_xlpm.ans,UPPER(SUBSTITUTE(SUBSTITUTE(SUBSTITUTE(SUBSTITUTE(SUBSTITUTE(SUBSTITUTE($C11&amp;"","，",""),",",""),"、","")," ",""),"　",""),CHAR(10),"")),
_xlpm.resp,UPPER(SUBSTITUTE(SUBSTITUTE(SUBSTITUTE(SUBSTITUTE(SUBSTITUTE(SUBSTITUTE(D11&amp;"","，",""),",",""),"、","")," ",""),"　",""),CHAR(10),"")),
IF(OR(_xlpm.resp="",LEN(_xlpm.resp)&lt;&gt;1),0,IF(_xlpm.resp=_xlpm.ans,_xlpm.full,0))
)</f>
        <v>2</v>
      </c>
      <c r="J11" s="12">
        <f t="shared" si="2"/>
        <v>2</v>
      </c>
      <c r="K11" s="12">
        <f t="shared" si="2"/>
        <v>2</v>
      </c>
      <c r="L11" s="12">
        <f t="shared" si="2"/>
        <v>2</v>
      </c>
      <c r="M11" s="12">
        <f t="shared" si="2"/>
        <v>2</v>
      </c>
    </row>
    <row r="12" spans="1:13" ht="15.75" customHeight="1">
      <c r="A12" s="8" t="s">
        <v>127</v>
      </c>
      <c r="B12" s="3"/>
      <c r="C12" s="3" t="s">
        <v>19</v>
      </c>
      <c r="D12" s="9" t="s">
        <v>19</v>
      </c>
      <c r="E12" s="9" t="s">
        <v>19</v>
      </c>
      <c r="F12" s="9" t="s">
        <v>19</v>
      </c>
      <c r="G12" s="12" t="s">
        <v>19</v>
      </c>
      <c r="H12" s="12" t="s">
        <v>19</v>
      </c>
      <c r="I12" s="12">
        <f>_xlfn.LET(
_xlpm.full,2,
_xlpm.ans,UPPER(SUBSTITUTE(SUBSTITUTE(SUBSTITUTE(SUBSTITUTE(SUBSTITUTE(SUBSTITUTE($C12&amp;"","，",""),",",""),"、","")," ",""),"　",""),CHAR(10),"")),
_xlpm.resp,UPPER(SUBSTITUTE(SUBSTITUTE(SUBSTITUTE(SUBSTITUTE(SUBSTITUTE(SUBSTITUTE(D12&amp;"","，",""),",",""),"、","")," ",""),"　",""),CHAR(10),"")),
IF(OR(_xlpm.resp="",LEN(_xlpm.resp)&lt;&gt;1),0,IF(_xlpm.resp=_xlpm.ans,_xlpm.full,0))
)</f>
        <v>2</v>
      </c>
      <c r="J12" s="12">
        <f t="shared" si="2"/>
        <v>2</v>
      </c>
      <c r="K12" s="12">
        <f t="shared" si="2"/>
        <v>2</v>
      </c>
      <c r="L12" s="12">
        <f t="shared" si="2"/>
        <v>2</v>
      </c>
      <c r="M12" s="12">
        <f t="shared" si="2"/>
        <v>2</v>
      </c>
    </row>
    <row r="13" spans="1:13" ht="15.75" customHeight="1">
      <c r="A13" s="8" t="s">
        <v>128</v>
      </c>
      <c r="B13" s="3"/>
      <c r="C13" s="3" t="s">
        <v>17</v>
      </c>
      <c r="D13" s="9" t="s">
        <v>17</v>
      </c>
      <c r="E13" s="9" t="s">
        <v>17</v>
      </c>
      <c r="F13" s="9" t="s">
        <v>19</v>
      </c>
      <c r="G13" s="12" t="s">
        <v>17</v>
      </c>
      <c r="H13" s="12" t="s">
        <v>17</v>
      </c>
      <c r="I13" s="12">
        <f>_xlfn.LET(
_xlpm.full,2,
_xlpm.ans,UPPER(SUBSTITUTE(SUBSTITUTE(SUBSTITUTE(SUBSTITUTE(SUBSTITUTE(SUBSTITUTE($C13&amp;"","，",""),",",""),"、","")," ",""),"　",""),CHAR(10),"")),
_xlpm.resp,UPPER(SUBSTITUTE(SUBSTITUTE(SUBSTITUTE(SUBSTITUTE(SUBSTITUTE(SUBSTITUTE(D13&amp;"","，",""),",",""),"、","")," ",""),"　",""),CHAR(10),"")),
IF(OR(_xlpm.resp="",LEN(_xlpm.resp)&lt;&gt;1),0,IF(_xlpm.resp=_xlpm.ans,_xlpm.full,0))
)</f>
        <v>2</v>
      </c>
      <c r="J13" s="12">
        <f t="shared" si="2"/>
        <v>2</v>
      </c>
      <c r="K13" s="12">
        <f t="shared" si="2"/>
        <v>0</v>
      </c>
      <c r="L13" s="12">
        <f t="shared" si="2"/>
        <v>2</v>
      </c>
      <c r="M13" s="12">
        <f t="shared" si="2"/>
        <v>2</v>
      </c>
    </row>
    <row r="14" spans="1:13" ht="15.75" customHeight="1">
      <c r="A14" s="23" t="s">
        <v>129</v>
      </c>
      <c r="B14" s="18"/>
      <c r="C14" s="18"/>
      <c r="D14" s="19"/>
      <c r="E14" s="19"/>
      <c r="F14" s="19"/>
      <c r="G14" s="19"/>
      <c r="H14" s="19"/>
      <c r="I14" s="19"/>
      <c r="J14" s="19"/>
      <c r="K14" s="19"/>
      <c r="L14" s="19"/>
      <c r="M14" s="19"/>
    </row>
    <row r="15" spans="1:13" ht="15.75" customHeight="1">
      <c r="A15" s="8" t="s">
        <v>130</v>
      </c>
      <c r="B15" s="3" t="s">
        <v>16</v>
      </c>
      <c r="C15" s="3" t="s">
        <v>22</v>
      </c>
      <c r="D15" s="9" t="s">
        <v>22</v>
      </c>
      <c r="E15" s="9" t="s">
        <v>22</v>
      </c>
      <c r="F15" s="9" t="s">
        <v>22</v>
      </c>
      <c r="G15" s="12" t="s">
        <v>21</v>
      </c>
      <c r="H15" s="12" t="s">
        <v>22</v>
      </c>
      <c r="I15" s="12">
        <f>_xlfn.LET(
_xlpm.full,2,
_xlpm.ans,UPPER(SUBSTITUTE(SUBSTITUTE(SUBSTITUTE(SUBSTITUTE(SUBSTITUTE(SUBSTITUTE($C15&amp;"","，",""),",",""),"、","")," ",""),"　",""),CHAR(10),"")),
_xlpm.resp,UPPER(SUBSTITUTE(SUBSTITUTE(SUBSTITUTE(SUBSTITUTE(SUBSTITUTE(SUBSTITUTE(D15&amp;"","，",""),",",""),"、","")," ",""),"　",""),CHAR(10),"")),
IF(OR(_xlpm.resp="",LEN(_xlpm.resp)&lt;&gt;1),0,IF(_xlpm.resp=_xlpm.ans,_xlpm.full,0))
)</f>
        <v>2</v>
      </c>
      <c r="J15" s="12">
        <f t="shared" ref="J15:M16" si="3">_xlfn.LET(
_xlpm.full,2,
_xlpm.ans,UPPER(SUBSTITUTE(SUBSTITUTE(SUBSTITUTE(SUBSTITUTE(SUBSTITUTE(SUBSTITUTE($C15&amp;"","，",""),",",""),"、","")," ",""),"　",""),CHAR(10),"")),
_xlpm.resp,UPPER(SUBSTITUTE(SUBSTITUTE(SUBSTITUTE(SUBSTITUTE(SUBSTITUTE(SUBSTITUTE(E15&amp;"","，",""),",",""),"、","")," ",""),"　",""),CHAR(10),"")),
IF(OR(_xlpm.resp="",LEN(_xlpm.resp)&lt;&gt;1),0,IF(_xlpm.resp=_xlpm.ans,_xlpm.full,0))
)</f>
        <v>2</v>
      </c>
      <c r="K15" s="12">
        <f t="shared" si="3"/>
        <v>2</v>
      </c>
      <c r="L15" s="12">
        <f>_xlfn.LET(
_xlpm.full,2,
_xlpm.ans,UPPER(SUBSTITUTE(SUBSTITUTE(SUBSTITUTE(SUBSTITUTE(SUBSTITUTE(SUBSTITUTE($C15&amp;"","，",""),",",""),"、","")," ",""),"　",""),CHAR(10),"")),
_xlpm.resp,UPPER(SUBSTITUTE(SUBSTITUTE(SUBSTITUTE(SUBSTITUTE(SUBSTITUTE(SUBSTITUTE(G15&amp;"","，",""),",",""),"、","")," ",""),"　",""),CHAR(10),"")),
IF(OR(_xlpm.resp="",LEN(_xlpm.resp)&lt;&gt;1),0,IF(_xlpm.resp=_xlpm.ans,_xlpm.full,0))
)</f>
        <v>0</v>
      </c>
      <c r="M15" s="12">
        <f t="shared" si="3"/>
        <v>2</v>
      </c>
    </row>
    <row r="16" spans="1:13" ht="15.75" customHeight="1">
      <c r="A16" s="8" t="s">
        <v>131</v>
      </c>
      <c r="B16" s="3" t="s">
        <v>16</v>
      </c>
      <c r="C16" s="3" t="s">
        <v>21</v>
      </c>
      <c r="D16" s="9" t="s">
        <v>21</v>
      </c>
      <c r="E16" s="9" t="s">
        <v>21</v>
      </c>
      <c r="F16" s="9" t="s">
        <v>21</v>
      </c>
      <c r="G16" s="12" t="s">
        <v>21</v>
      </c>
      <c r="H16" s="12" t="s">
        <v>21</v>
      </c>
      <c r="I16" s="12">
        <f>_xlfn.LET(
_xlpm.full,2,
_xlpm.ans,UPPER(SUBSTITUTE(SUBSTITUTE(SUBSTITUTE(SUBSTITUTE(SUBSTITUTE(SUBSTITUTE($C16&amp;"","，",""),",",""),"、","")," ",""),"　",""),CHAR(10),"")),
_xlpm.resp,UPPER(SUBSTITUTE(SUBSTITUTE(SUBSTITUTE(SUBSTITUTE(SUBSTITUTE(SUBSTITUTE(D16&amp;"","，",""),",",""),"、","")," ",""),"　",""),CHAR(10),"")),
IF(OR(_xlpm.resp="",LEN(_xlpm.resp)&lt;&gt;1),0,IF(_xlpm.resp=_xlpm.ans,_xlpm.full,0))
)</f>
        <v>2</v>
      </c>
      <c r="J16" s="12">
        <f t="shared" si="3"/>
        <v>2</v>
      </c>
      <c r="K16" s="12">
        <f t="shared" si="3"/>
        <v>2</v>
      </c>
      <c r="L16" s="12">
        <f t="shared" si="3"/>
        <v>2</v>
      </c>
      <c r="M16" s="12">
        <f t="shared" si="3"/>
        <v>2</v>
      </c>
    </row>
    <row r="17" spans="1:13" ht="15.75" customHeight="1">
      <c r="A17" s="23" t="s">
        <v>132</v>
      </c>
      <c r="B17" s="18"/>
      <c r="C17" s="18"/>
      <c r="D17" s="24"/>
      <c r="E17" s="24"/>
      <c r="F17" s="24"/>
      <c r="G17" s="35" t="s">
        <v>28</v>
      </c>
      <c r="H17" s="35" t="s">
        <v>28</v>
      </c>
      <c r="I17" s="24"/>
      <c r="J17" s="24"/>
      <c r="K17" s="24"/>
      <c r="L17" s="24"/>
      <c r="M17" s="24"/>
    </row>
    <row r="18" spans="1:13" ht="15.75" customHeight="1">
      <c r="A18" s="8" t="s">
        <v>133</v>
      </c>
      <c r="B18" s="3" t="s">
        <v>16</v>
      </c>
      <c r="C18" s="3" t="s">
        <v>22</v>
      </c>
      <c r="D18" s="10" t="s">
        <v>14</v>
      </c>
      <c r="E18" s="10" t="s">
        <v>22</v>
      </c>
      <c r="F18" s="10" t="s">
        <v>22</v>
      </c>
      <c r="G18" s="11" t="s">
        <v>22</v>
      </c>
      <c r="H18" s="11" t="s">
        <v>22</v>
      </c>
      <c r="I18" s="12">
        <f t="shared" ref="I18:I32" si="4">_xlfn.LET(
_xlpm.full,2,
_xlpm.ans,UPPER(SUBSTITUTE(SUBSTITUTE(SUBSTITUTE(SUBSTITUTE(SUBSTITUTE(SUBSTITUTE($C18&amp;"","，",""),",",""),"、","")," ",""),"　",""),CHAR(10),"")),
_xlpm.resp,UPPER(SUBSTITUTE(SUBSTITUTE(SUBSTITUTE(SUBSTITUTE(SUBSTITUTE(SUBSTITUTE(D18&amp;"","，",""),",",""),"、","")," ",""),"　",""),CHAR(10),"")),
IF(OR(_xlpm.resp="",LEN(_xlpm.resp)&lt;&gt;1),0,IF(_xlpm.resp=_xlpm.ans,_xlpm.full,0))
)</f>
        <v>0</v>
      </c>
      <c r="J18" s="12">
        <f t="shared" ref="J18:J32" si="5">_xlfn.LET(
_xlpm.full,2,
_xlpm.ans,UPPER(SUBSTITUTE(SUBSTITUTE(SUBSTITUTE(SUBSTITUTE(SUBSTITUTE(SUBSTITUTE($C18&amp;"","，",""),",",""),"、","")," ",""),"　",""),CHAR(10),"")),
_xlpm.resp,UPPER(SUBSTITUTE(SUBSTITUTE(SUBSTITUTE(SUBSTITUTE(SUBSTITUTE(SUBSTITUTE(E18&amp;"","，",""),",",""),"、","")," ",""),"　",""),CHAR(10),"")),
IF(OR(_xlpm.resp="",LEN(_xlpm.resp)&lt;&gt;1),0,IF(_xlpm.resp=_xlpm.ans,_xlpm.full,0))
)</f>
        <v>2</v>
      </c>
      <c r="K18" s="12">
        <f t="shared" ref="K18:K32" si="6">_xlfn.LET(
_xlpm.full,2,
_xlpm.ans,UPPER(SUBSTITUTE(SUBSTITUTE(SUBSTITUTE(SUBSTITUTE(SUBSTITUTE(SUBSTITUTE($C18&amp;"","，",""),",",""),"、","")," ",""),"　",""),CHAR(10),"")),
_xlpm.resp,UPPER(SUBSTITUTE(SUBSTITUTE(SUBSTITUTE(SUBSTITUTE(SUBSTITUTE(SUBSTITUTE(F18&amp;"","，",""),",",""),"、","")," ",""),"　",""),CHAR(10),"")),
IF(OR(_xlpm.resp="",LEN(_xlpm.resp)&lt;&gt;1),0,IF(_xlpm.resp=_xlpm.ans,_xlpm.full,0))
)</f>
        <v>2</v>
      </c>
      <c r="L18" s="12">
        <f t="shared" ref="L18:L32" si="7">_xlfn.LET(
_xlpm.full,2,
_xlpm.ans,UPPER(SUBSTITUTE(SUBSTITUTE(SUBSTITUTE(SUBSTITUTE(SUBSTITUTE(SUBSTITUTE($C18&amp;"","，",""),",",""),"、","")," ",""),"　",""),CHAR(10),"")),
_xlpm.resp,UPPER(SUBSTITUTE(SUBSTITUTE(SUBSTITUTE(SUBSTITUTE(SUBSTITUTE(SUBSTITUTE(G18&amp;"","，",""),",",""),"、","")," ",""),"　",""),CHAR(10),"")),
IF(OR(_xlpm.resp="",LEN(_xlpm.resp)&lt;&gt;1),0,IF(_xlpm.resp=_xlpm.ans,_xlpm.full,0))
)</f>
        <v>2</v>
      </c>
      <c r="M18" s="12">
        <f t="shared" ref="M18:M32" si="8">_xlfn.LET(
_xlpm.full,2,
_xlpm.ans,UPPER(SUBSTITUTE(SUBSTITUTE(SUBSTITUTE(SUBSTITUTE(SUBSTITUTE(SUBSTITUTE($C18&amp;"","，",""),",",""),"、","")," ",""),"　",""),CHAR(10),"")),
_xlpm.resp,UPPER(SUBSTITUTE(SUBSTITUTE(SUBSTITUTE(SUBSTITUTE(SUBSTITUTE(SUBSTITUTE(H18&amp;"","，",""),",",""),"、","")," ",""),"　",""),CHAR(10),"")),
IF(OR(_xlpm.resp="",LEN(_xlpm.resp)&lt;&gt;1),0,IF(_xlpm.resp=_xlpm.ans,_xlpm.full,0))
)</f>
        <v>2</v>
      </c>
    </row>
    <row r="19" spans="1:13" ht="15.75" customHeight="1">
      <c r="A19" s="8" t="s">
        <v>134</v>
      </c>
      <c r="B19" s="3" t="s">
        <v>16</v>
      </c>
      <c r="C19" s="3" t="s">
        <v>19</v>
      </c>
      <c r="D19" s="10" t="s">
        <v>19</v>
      </c>
      <c r="E19" s="10" t="s">
        <v>19</v>
      </c>
      <c r="F19" s="10" t="s">
        <v>19</v>
      </c>
      <c r="G19" s="11" t="s">
        <v>19</v>
      </c>
      <c r="H19" s="11" t="s">
        <v>19</v>
      </c>
      <c r="I19" s="12">
        <f t="shared" si="4"/>
        <v>2</v>
      </c>
      <c r="J19" s="12">
        <f t="shared" si="5"/>
        <v>2</v>
      </c>
      <c r="K19" s="12">
        <f t="shared" si="6"/>
        <v>2</v>
      </c>
      <c r="L19" s="12">
        <f t="shared" si="7"/>
        <v>2</v>
      </c>
      <c r="M19" s="12">
        <f t="shared" si="8"/>
        <v>2</v>
      </c>
    </row>
    <row r="20" spans="1:13" ht="15.75" customHeight="1">
      <c r="A20" s="8" t="s">
        <v>135</v>
      </c>
      <c r="B20" s="3"/>
      <c r="C20" s="3" t="s">
        <v>17</v>
      </c>
      <c r="D20" s="10" t="s">
        <v>14</v>
      </c>
      <c r="E20" s="10" t="s">
        <v>17</v>
      </c>
      <c r="F20" s="10" t="s">
        <v>17</v>
      </c>
      <c r="G20" s="11" t="s">
        <v>17</v>
      </c>
      <c r="H20" s="11" t="s">
        <v>17</v>
      </c>
      <c r="I20" s="12">
        <f t="shared" si="4"/>
        <v>0</v>
      </c>
      <c r="J20" s="12">
        <f t="shared" si="5"/>
        <v>2</v>
      </c>
      <c r="K20" s="12">
        <f t="shared" si="6"/>
        <v>2</v>
      </c>
      <c r="L20" s="12">
        <f t="shared" si="7"/>
        <v>2</v>
      </c>
      <c r="M20" s="12">
        <f t="shared" si="8"/>
        <v>2</v>
      </c>
    </row>
    <row r="21" spans="1:13" ht="15.75" customHeight="1">
      <c r="A21" s="8" t="s">
        <v>136</v>
      </c>
      <c r="B21" s="3"/>
      <c r="C21" s="3" t="s">
        <v>19</v>
      </c>
      <c r="D21" s="10" t="s">
        <v>19</v>
      </c>
      <c r="E21" s="10" t="s">
        <v>19</v>
      </c>
      <c r="F21" s="10" t="s">
        <v>19</v>
      </c>
      <c r="G21" s="11" t="s">
        <v>19</v>
      </c>
      <c r="H21" s="11" t="s">
        <v>19</v>
      </c>
      <c r="I21" s="12">
        <f t="shared" si="4"/>
        <v>2</v>
      </c>
      <c r="J21" s="12">
        <f t="shared" si="5"/>
        <v>2</v>
      </c>
      <c r="K21" s="12">
        <f t="shared" si="6"/>
        <v>2</v>
      </c>
      <c r="L21" s="12">
        <f t="shared" si="7"/>
        <v>2</v>
      </c>
      <c r="M21" s="12">
        <f t="shared" si="8"/>
        <v>2</v>
      </c>
    </row>
    <row r="22" spans="1:13" ht="15.75" customHeight="1">
      <c r="A22" s="8" t="s">
        <v>137</v>
      </c>
      <c r="B22" s="3"/>
      <c r="C22" s="3" t="s">
        <v>21</v>
      </c>
      <c r="D22" s="10" t="s">
        <v>21</v>
      </c>
      <c r="E22" s="10" t="s">
        <v>21</v>
      </c>
      <c r="F22" s="10" t="s">
        <v>21</v>
      </c>
      <c r="G22" s="11" t="s">
        <v>21</v>
      </c>
      <c r="H22" s="11" t="s">
        <v>21</v>
      </c>
      <c r="I22" s="12">
        <f t="shared" si="4"/>
        <v>2</v>
      </c>
      <c r="J22" s="12">
        <f t="shared" si="5"/>
        <v>2</v>
      </c>
      <c r="K22" s="12">
        <f t="shared" si="6"/>
        <v>2</v>
      </c>
      <c r="L22" s="12">
        <f t="shared" si="7"/>
        <v>2</v>
      </c>
      <c r="M22" s="12">
        <f t="shared" si="8"/>
        <v>2</v>
      </c>
    </row>
    <row r="23" spans="1:13" ht="15.75" customHeight="1">
      <c r="A23" s="8" t="s">
        <v>138</v>
      </c>
      <c r="B23" s="3"/>
      <c r="C23" s="3" t="s">
        <v>14</v>
      </c>
      <c r="D23" s="10" t="s">
        <v>14</v>
      </c>
      <c r="E23" s="10" t="s">
        <v>14</v>
      </c>
      <c r="F23" s="10" t="s">
        <v>14</v>
      </c>
      <c r="G23" s="11" t="s">
        <v>14</v>
      </c>
      <c r="H23" s="11" t="s">
        <v>14</v>
      </c>
      <c r="I23" s="12">
        <f t="shared" si="4"/>
        <v>2</v>
      </c>
      <c r="J23" s="12">
        <f t="shared" si="5"/>
        <v>2</v>
      </c>
      <c r="K23" s="12">
        <f t="shared" si="6"/>
        <v>2</v>
      </c>
      <c r="L23" s="12">
        <f t="shared" si="7"/>
        <v>2</v>
      </c>
      <c r="M23" s="12">
        <f t="shared" si="8"/>
        <v>2</v>
      </c>
    </row>
    <row r="24" spans="1:13" ht="15.75" customHeight="1">
      <c r="A24" s="8" t="s">
        <v>139</v>
      </c>
      <c r="B24" s="3" t="s">
        <v>16</v>
      </c>
      <c r="C24" s="3" t="s">
        <v>22</v>
      </c>
      <c r="D24" s="10" t="s">
        <v>17</v>
      </c>
      <c r="E24" s="10" t="s">
        <v>22</v>
      </c>
      <c r="F24" s="10" t="s">
        <v>17</v>
      </c>
      <c r="G24" s="11" t="s">
        <v>22</v>
      </c>
      <c r="H24" s="11" t="s">
        <v>22</v>
      </c>
      <c r="I24" s="12">
        <f t="shared" si="4"/>
        <v>0</v>
      </c>
      <c r="J24" s="12">
        <f t="shared" si="5"/>
        <v>2</v>
      </c>
      <c r="K24" s="12">
        <f t="shared" si="6"/>
        <v>0</v>
      </c>
      <c r="L24" s="12">
        <f t="shared" si="7"/>
        <v>2</v>
      </c>
      <c r="M24" s="12">
        <f t="shared" si="8"/>
        <v>2</v>
      </c>
    </row>
    <row r="25" spans="1:13" ht="15.75" customHeight="1">
      <c r="A25" s="8" t="s">
        <v>140</v>
      </c>
      <c r="B25" s="3" t="s">
        <v>16</v>
      </c>
      <c r="C25" s="3" t="s">
        <v>19</v>
      </c>
      <c r="D25" s="10" t="s">
        <v>21</v>
      </c>
      <c r="E25" s="10" t="s">
        <v>19</v>
      </c>
      <c r="F25" s="10" t="s">
        <v>19</v>
      </c>
      <c r="G25" s="11" t="s">
        <v>19</v>
      </c>
      <c r="H25" s="11" t="s">
        <v>19</v>
      </c>
      <c r="I25" s="12">
        <f t="shared" si="4"/>
        <v>0</v>
      </c>
      <c r="J25" s="12">
        <f t="shared" si="5"/>
        <v>2</v>
      </c>
      <c r="K25" s="12">
        <f t="shared" si="6"/>
        <v>2</v>
      </c>
      <c r="L25" s="12">
        <f t="shared" si="7"/>
        <v>2</v>
      </c>
      <c r="M25" s="12">
        <f t="shared" si="8"/>
        <v>2</v>
      </c>
    </row>
    <row r="26" spans="1:13" ht="15.75" customHeight="1">
      <c r="A26" s="8" t="s">
        <v>141</v>
      </c>
      <c r="B26" s="3"/>
      <c r="C26" s="3" t="s">
        <v>14</v>
      </c>
      <c r="D26" s="10" t="s">
        <v>14</v>
      </c>
      <c r="E26" s="10" t="s">
        <v>14</v>
      </c>
      <c r="F26" s="10" t="s">
        <v>14</v>
      </c>
      <c r="G26" s="11" t="s">
        <v>14</v>
      </c>
      <c r="H26" s="11" t="s">
        <v>14</v>
      </c>
      <c r="I26" s="12">
        <f t="shared" si="4"/>
        <v>2</v>
      </c>
      <c r="J26" s="12">
        <f t="shared" si="5"/>
        <v>2</v>
      </c>
      <c r="K26" s="12">
        <f t="shared" si="6"/>
        <v>2</v>
      </c>
      <c r="L26" s="12">
        <f t="shared" si="7"/>
        <v>2</v>
      </c>
      <c r="M26" s="12">
        <f t="shared" si="8"/>
        <v>2</v>
      </c>
    </row>
    <row r="27" spans="1:13" ht="15.75" customHeight="1">
      <c r="A27" s="8" t="s">
        <v>142</v>
      </c>
      <c r="B27" s="3" t="s">
        <v>16</v>
      </c>
      <c r="C27" s="3" t="s">
        <v>22</v>
      </c>
      <c r="D27" s="10" t="s">
        <v>22</v>
      </c>
      <c r="E27" s="10" t="s">
        <v>22</v>
      </c>
      <c r="F27" s="10" t="s">
        <v>21</v>
      </c>
      <c r="G27" s="11" t="s">
        <v>22</v>
      </c>
      <c r="H27" s="11" t="s">
        <v>22</v>
      </c>
      <c r="I27" s="12">
        <f t="shared" si="4"/>
        <v>2</v>
      </c>
      <c r="J27" s="12">
        <f t="shared" si="5"/>
        <v>2</v>
      </c>
      <c r="K27" s="12">
        <f t="shared" si="6"/>
        <v>0</v>
      </c>
      <c r="L27" s="12">
        <f t="shared" si="7"/>
        <v>2</v>
      </c>
      <c r="M27" s="12">
        <f t="shared" si="8"/>
        <v>2</v>
      </c>
    </row>
    <row r="28" spans="1:13" ht="15.75" customHeight="1">
      <c r="A28" s="8" t="s">
        <v>143</v>
      </c>
      <c r="B28" s="3"/>
      <c r="C28" s="3" t="s">
        <v>19</v>
      </c>
      <c r="D28" s="10" t="s">
        <v>19</v>
      </c>
      <c r="E28" s="10" t="s">
        <v>19</v>
      </c>
      <c r="F28" s="10" t="s">
        <v>19</v>
      </c>
      <c r="G28" s="11" t="s">
        <v>19</v>
      </c>
      <c r="H28" s="11" t="s">
        <v>19</v>
      </c>
      <c r="I28" s="12">
        <f t="shared" si="4"/>
        <v>2</v>
      </c>
      <c r="J28" s="12">
        <f t="shared" si="5"/>
        <v>2</v>
      </c>
      <c r="K28" s="12">
        <f t="shared" si="6"/>
        <v>2</v>
      </c>
      <c r="L28" s="12">
        <f t="shared" si="7"/>
        <v>2</v>
      </c>
      <c r="M28" s="12">
        <f t="shared" si="8"/>
        <v>2</v>
      </c>
    </row>
    <row r="29" spans="1:13" ht="15.75" customHeight="1">
      <c r="A29" s="8" t="s">
        <v>144</v>
      </c>
      <c r="B29" s="3"/>
      <c r="C29" s="3" t="s">
        <v>22</v>
      </c>
      <c r="D29" s="10" t="s">
        <v>22</v>
      </c>
      <c r="E29" s="10" t="s">
        <v>22</v>
      </c>
      <c r="F29" s="10" t="s">
        <v>22</v>
      </c>
      <c r="G29" s="11" t="s">
        <v>22</v>
      </c>
      <c r="H29" s="11" t="s">
        <v>22</v>
      </c>
      <c r="I29" s="12">
        <f t="shared" si="4"/>
        <v>2</v>
      </c>
      <c r="J29" s="12">
        <f t="shared" si="5"/>
        <v>2</v>
      </c>
      <c r="K29" s="12">
        <f t="shared" si="6"/>
        <v>2</v>
      </c>
      <c r="L29" s="12">
        <f t="shared" si="7"/>
        <v>2</v>
      </c>
      <c r="M29" s="12">
        <f t="shared" si="8"/>
        <v>2</v>
      </c>
    </row>
    <row r="30" spans="1:13" ht="15.75" customHeight="1">
      <c r="A30" s="8" t="s">
        <v>145</v>
      </c>
      <c r="B30" s="3"/>
      <c r="C30" s="3" t="s">
        <v>19</v>
      </c>
      <c r="D30" s="10" t="s">
        <v>14</v>
      </c>
      <c r="E30" s="10" t="s">
        <v>14</v>
      </c>
      <c r="F30" s="10" t="s">
        <v>19</v>
      </c>
      <c r="G30" s="11" t="s">
        <v>19</v>
      </c>
      <c r="H30" s="11" t="s">
        <v>19</v>
      </c>
      <c r="I30" s="12">
        <f t="shared" si="4"/>
        <v>0</v>
      </c>
      <c r="J30" s="12">
        <f t="shared" si="5"/>
        <v>0</v>
      </c>
      <c r="K30" s="12">
        <f t="shared" si="6"/>
        <v>2</v>
      </c>
      <c r="L30" s="12">
        <f t="shared" si="7"/>
        <v>2</v>
      </c>
      <c r="M30" s="12">
        <f t="shared" si="8"/>
        <v>2</v>
      </c>
    </row>
    <row r="31" spans="1:13" ht="15.75" customHeight="1">
      <c r="A31" s="8" t="s">
        <v>146</v>
      </c>
      <c r="B31" s="3"/>
      <c r="C31" s="3" t="s">
        <v>17</v>
      </c>
      <c r="D31" s="10" t="s">
        <v>17</v>
      </c>
      <c r="E31" s="10" t="s">
        <v>17</v>
      </c>
      <c r="F31" s="10" t="s">
        <v>21</v>
      </c>
      <c r="G31" s="11" t="s">
        <v>17</v>
      </c>
      <c r="H31" s="11" t="s">
        <v>17</v>
      </c>
      <c r="I31" s="12">
        <f t="shared" si="4"/>
        <v>2</v>
      </c>
      <c r="J31" s="12">
        <f t="shared" si="5"/>
        <v>2</v>
      </c>
      <c r="K31" s="12">
        <f t="shared" si="6"/>
        <v>0</v>
      </c>
      <c r="L31" s="12">
        <f t="shared" si="7"/>
        <v>2</v>
      </c>
      <c r="M31" s="12">
        <f t="shared" si="8"/>
        <v>2</v>
      </c>
    </row>
    <row r="32" spans="1:13" ht="15.75" customHeight="1">
      <c r="A32" s="8" t="s">
        <v>147</v>
      </c>
      <c r="B32" s="3"/>
      <c r="C32" s="3" t="s">
        <v>19</v>
      </c>
      <c r="D32" s="10" t="s">
        <v>19</v>
      </c>
      <c r="E32" s="10" t="s">
        <v>19</v>
      </c>
      <c r="F32" s="10" t="s">
        <v>19</v>
      </c>
      <c r="G32" s="11" t="s">
        <v>19</v>
      </c>
      <c r="H32" s="11" t="s">
        <v>19</v>
      </c>
      <c r="I32" s="12">
        <f t="shared" si="4"/>
        <v>2</v>
      </c>
      <c r="J32" s="12">
        <f t="shared" si="5"/>
        <v>2</v>
      </c>
      <c r="K32" s="12">
        <f t="shared" si="6"/>
        <v>2</v>
      </c>
      <c r="L32" s="12">
        <f t="shared" si="7"/>
        <v>2</v>
      </c>
      <c r="M32" s="12">
        <f t="shared" si="8"/>
        <v>2</v>
      </c>
    </row>
    <row r="33" spans="1:13" ht="15.75" customHeight="1">
      <c r="A33" s="8" t="s">
        <v>148</v>
      </c>
      <c r="B33" s="3"/>
      <c r="C33" s="3" t="s">
        <v>58</v>
      </c>
      <c r="D33" s="10" t="s">
        <v>58</v>
      </c>
      <c r="E33" s="10" t="s">
        <v>58</v>
      </c>
      <c r="F33" s="10" t="s">
        <v>58</v>
      </c>
      <c r="G33" s="11" t="s">
        <v>58</v>
      </c>
      <c r="H33" s="11" t="s">
        <v>58</v>
      </c>
      <c r="I33" s="22">
        <f>_xlfn.LET(
_xlpm.full,2,
_xlpm.ans0,$C33&amp;"",
_xlpm.resp0,D33&amp;"",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J33" s="22">
        <f t="shared" ref="J33:M33" si="9">_xlfn.LET(
_xlpm.full,2,
_xlpm.ans0,$C33&amp;"",
_xlpm.resp0,E33&amp;"",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K33" s="22">
        <f t="shared" si="9"/>
        <v>2</v>
      </c>
      <c r="L33" s="22">
        <f t="shared" si="9"/>
        <v>2</v>
      </c>
      <c r="M33" s="22">
        <f t="shared" si="9"/>
        <v>2</v>
      </c>
    </row>
    <row r="34" spans="1:13" ht="15.75" customHeight="1">
      <c r="A34" s="8" t="s">
        <v>149</v>
      </c>
      <c r="B34" s="3" t="s">
        <v>16</v>
      </c>
      <c r="C34" s="3" t="s">
        <v>64</v>
      </c>
      <c r="D34" s="10" t="s">
        <v>104</v>
      </c>
      <c r="E34" s="10" t="s">
        <v>64</v>
      </c>
      <c r="F34" s="10" t="s">
        <v>64</v>
      </c>
      <c r="G34" s="11" t="s">
        <v>64</v>
      </c>
      <c r="H34" s="11" t="s">
        <v>64</v>
      </c>
      <c r="I34" s="22">
        <f t="shared" ref="I34:I40" si="10">_xlfn.LET(
_xlpm.full,2,
_xlpm.ans0,$C34&amp;"",
_xlpm.resp0,D34&amp;"",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0.4</v>
      </c>
      <c r="J34" s="22">
        <f t="shared" ref="J34:J40" si="11">_xlfn.LET(
_xlpm.full,2,
_xlpm.ans0,$C34&amp;"",
_xlpm.resp0,E34&amp;"",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K34" s="22">
        <f t="shared" ref="K34:K40" si="12">_xlfn.LET(
_xlpm.full,2,
_xlpm.ans0,$C34&amp;"",
_xlpm.resp0,F34&amp;"",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L34" s="22">
        <f t="shared" ref="L34:L40" si="13">_xlfn.LET(
_xlpm.full,2,
_xlpm.ans0,$C34&amp;"",
_xlpm.resp0,G34&amp;"",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M34" s="22">
        <f t="shared" ref="M34:M40" si="14">_xlfn.LET(
_xlpm.full,2,
_xlpm.ans0,$C34&amp;"",
_xlpm.resp0,H34&amp;"",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row>
    <row r="35" spans="1:13" ht="15.75" customHeight="1">
      <c r="A35" s="8" t="s">
        <v>150</v>
      </c>
      <c r="B35" s="3"/>
      <c r="C35" s="3" t="s">
        <v>96</v>
      </c>
      <c r="D35" s="10" t="s">
        <v>96</v>
      </c>
      <c r="E35" s="10" t="s">
        <v>96</v>
      </c>
      <c r="F35" s="10" t="s">
        <v>96</v>
      </c>
      <c r="G35" s="11" t="s">
        <v>96</v>
      </c>
      <c r="H35" s="11" t="s">
        <v>96</v>
      </c>
      <c r="I35" s="22">
        <f t="shared" si="10"/>
        <v>2</v>
      </c>
      <c r="J35" s="22">
        <f t="shared" si="11"/>
        <v>2</v>
      </c>
      <c r="K35" s="22">
        <f t="shared" si="12"/>
        <v>2</v>
      </c>
      <c r="L35" s="22">
        <f t="shared" si="13"/>
        <v>2</v>
      </c>
      <c r="M35" s="22">
        <f t="shared" si="14"/>
        <v>2</v>
      </c>
    </row>
    <row r="36" spans="1:13" ht="15.75" customHeight="1">
      <c r="A36" s="8" t="s">
        <v>151</v>
      </c>
      <c r="B36" s="3"/>
      <c r="C36" s="3" t="s">
        <v>53</v>
      </c>
      <c r="D36" s="10" t="s">
        <v>53</v>
      </c>
      <c r="E36" s="10" t="s">
        <v>53</v>
      </c>
      <c r="F36" s="10" t="s">
        <v>53</v>
      </c>
      <c r="G36" s="11" t="s">
        <v>53</v>
      </c>
      <c r="H36" s="11" t="s">
        <v>53</v>
      </c>
      <c r="I36" s="22">
        <f t="shared" si="10"/>
        <v>2</v>
      </c>
      <c r="J36" s="22">
        <f t="shared" si="11"/>
        <v>2</v>
      </c>
      <c r="K36" s="22">
        <f t="shared" si="12"/>
        <v>2</v>
      </c>
      <c r="L36" s="22">
        <f t="shared" si="13"/>
        <v>2</v>
      </c>
      <c r="M36" s="22">
        <f t="shared" si="14"/>
        <v>2</v>
      </c>
    </row>
    <row r="37" spans="1:13" ht="15.75" customHeight="1">
      <c r="A37" s="8" t="s">
        <v>152</v>
      </c>
      <c r="B37" s="3"/>
      <c r="C37" s="3" t="s">
        <v>55</v>
      </c>
      <c r="D37" s="10" t="s">
        <v>55</v>
      </c>
      <c r="E37" s="10" t="s">
        <v>55</v>
      </c>
      <c r="F37" s="10" t="s">
        <v>55</v>
      </c>
      <c r="G37" s="11" t="s">
        <v>55</v>
      </c>
      <c r="H37" s="11" t="s">
        <v>55</v>
      </c>
      <c r="I37" s="22">
        <f t="shared" si="10"/>
        <v>2</v>
      </c>
      <c r="J37" s="22">
        <f t="shared" si="11"/>
        <v>2</v>
      </c>
      <c r="K37" s="22">
        <f t="shared" si="12"/>
        <v>2</v>
      </c>
      <c r="L37" s="22">
        <f t="shared" si="13"/>
        <v>2</v>
      </c>
      <c r="M37" s="22">
        <f t="shared" si="14"/>
        <v>2</v>
      </c>
    </row>
    <row r="38" spans="1:13" ht="15.75" customHeight="1">
      <c r="A38" s="8" t="s">
        <v>153</v>
      </c>
      <c r="B38" s="3"/>
      <c r="C38" s="3" t="s">
        <v>88</v>
      </c>
      <c r="D38" s="10" t="s">
        <v>88</v>
      </c>
      <c r="E38" s="10" t="s">
        <v>88</v>
      </c>
      <c r="F38" s="10" t="s">
        <v>88</v>
      </c>
      <c r="G38" s="11" t="s">
        <v>88</v>
      </c>
      <c r="H38" s="11" t="s">
        <v>88</v>
      </c>
      <c r="I38" s="22">
        <f t="shared" si="10"/>
        <v>2</v>
      </c>
      <c r="J38" s="22">
        <f t="shared" si="11"/>
        <v>2</v>
      </c>
      <c r="K38" s="22">
        <f t="shared" si="12"/>
        <v>2</v>
      </c>
      <c r="L38" s="22">
        <f t="shared" si="13"/>
        <v>2</v>
      </c>
      <c r="M38" s="22">
        <f t="shared" si="14"/>
        <v>2</v>
      </c>
    </row>
    <row r="39" spans="1:13" ht="15.75" customHeight="1">
      <c r="A39" s="8" t="s">
        <v>154</v>
      </c>
      <c r="B39" s="3"/>
      <c r="C39" s="3" t="s">
        <v>60</v>
      </c>
      <c r="D39" s="10" t="s">
        <v>60</v>
      </c>
      <c r="E39" s="10" t="s">
        <v>60</v>
      </c>
      <c r="F39" s="10" t="s">
        <v>60</v>
      </c>
      <c r="G39" s="11" t="s">
        <v>60</v>
      </c>
      <c r="H39" s="11" t="s">
        <v>60</v>
      </c>
      <c r="I39" s="22">
        <f t="shared" si="10"/>
        <v>2</v>
      </c>
      <c r="J39" s="22">
        <f t="shared" si="11"/>
        <v>2</v>
      </c>
      <c r="K39" s="22">
        <f t="shared" si="12"/>
        <v>2</v>
      </c>
      <c r="L39" s="22">
        <f t="shared" si="13"/>
        <v>2</v>
      </c>
      <c r="M39" s="22">
        <f t="shared" si="14"/>
        <v>2</v>
      </c>
    </row>
    <row r="40" spans="1:13" ht="15.75" customHeight="1">
      <c r="A40" s="8" t="s">
        <v>155</v>
      </c>
      <c r="B40" s="3"/>
      <c r="C40" s="3" t="s">
        <v>52</v>
      </c>
      <c r="D40" s="10" t="s">
        <v>53</v>
      </c>
      <c r="E40" s="10" t="s">
        <v>52</v>
      </c>
      <c r="F40" s="10" t="s">
        <v>55</v>
      </c>
      <c r="G40" s="11" t="s">
        <v>53</v>
      </c>
      <c r="H40" s="11" t="s">
        <v>52</v>
      </c>
      <c r="I40" s="22">
        <f t="shared" si="10"/>
        <v>0.4</v>
      </c>
      <c r="J40" s="22">
        <f t="shared" si="11"/>
        <v>2</v>
      </c>
      <c r="K40" s="22">
        <f t="shared" si="12"/>
        <v>0</v>
      </c>
      <c r="L40" s="22">
        <f t="shared" si="13"/>
        <v>0.4</v>
      </c>
      <c r="M40" s="22">
        <f t="shared" si="14"/>
        <v>2</v>
      </c>
    </row>
    <row r="41" spans="1:13" ht="15.75" customHeight="1">
      <c r="A41" s="36" t="s">
        <v>156</v>
      </c>
      <c r="B41" s="18"/>
      <c r="C41" s="18"/>
      <c r="D41" s="24"/>
      <c r="E41" s="24"/>
      <c r="F41" s="24"/>
      <c r="G41" s="24"/>
      <c r="H41" s="24"/>
      <c r="I41" s="24"/>
      <c r="J41" s="24"/>
      <c r="K41" s="24"/>
      <c r="L41" s="24"/>
      <c r="M41" s="24"/>
    </row>
    <row r="42" spans="1:13" ht="15.75" customHeight="1">
      <c r="A42" s="8" t="s">
        <v>157</v>
      </c>
      <c r="B42" s="3" t="s">
        <v>34</v>
      </c>
      <c r="C42" s="3" t="s">
        <v>102</v>
      </c>
      <c r="D42" s="10" t="s">
        <v>102</v>
      </c>
      <c r="E42" s="10" t="s">
        <v>102</v>
      </c>
      <c r="F42" s="10" t="s">
        <v>102</v>
      </c>
      <c r="G42" s="11" t="s">
        <v>102</v>
      </c>
      <c r="H42" s="11" t="s">
        <v>102</v>
      </c>
      <c r="I42" s="25">
        <f>_xlfn.LET(
_xlpm.full,2,
_xlpm.ans0,$C42&amp;"",
_xlpm.resp0,D42&amp;"",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2" s="25">
        <f t="shared" ref="J42:M42" si="15">_xlfn.LET(
_xlpm.full,2,
_xlpm.ans0,$C42&amp;"",
_xlpm.resp0,E42&amp;"",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42" s="25">
        <f t="shared" si="15"/>
        <v>2</v>
      </c>
      <c r="L42" s="25">
        <f t="shared" si="15"/>
        <v>2</v>
      </c>
      <c r="M42" s="25">
        <f t="shared" si="15"/>
        <v>2</v>
      </c>
    </row>
    <row r="43" spans="1:13" ht="15.75" customHeight="1">
      <c r="A43" s="8" t="s">
        <v>158</v>
      </c>
      <c r="B43" s="3"/>
      <c r="C43" s="3" t="s">
        <v>17</v>
      </c>
      <c r="D43" s="10" t="s">
        <v>17</v>
      </c>
      <c r="E43" s="10" t="s">
        <v>17</v>
      </c>
      <c r="F43" s="10" t="s">
        <v>17</v>
      </c>
      <c r="G43" s="11" t="s">
        <v>17</v>
      </c>
      <c r="H43" s="11" t="s">
        <v>17</v>
      </c>
      <c r="I43" s="25">
        <f t="shared" ref="I43:K43" ca="1" si="16">IF(LEN(TRIM(SUBSTITUTE($C43, "　", " ")))=1,
IF(OR(D43="", LEN(TRIM(SUBSTITUTE(D43, "　", " ")))&gt;1, TRIM(SUBSTITUTE(D43, "　", " "))&lt;&gt;TRIM(SUBSTITUTE($C43, "　", " "))), 0, 2),
IF(D43="", 0, MAX(0, 2 * (SUMPRODUCT(--ISNUMBER(FIND(MID(TRIM(SUBSTITUTE($C43, "　", " ")), ROW(INDIRECT("1:"&amp;LEN(TRIM(SUBSTITUTE($C43, "　", " "))))), 1), TRIM(SUBSTITUTE(D43, "　", " ")))))) / LEN(TRIM(SUBSTITUTE($C43, "　", " "))))))</f>
        <v>2</v>
      </c>
      <c r="J43" s="25">
        <f t="shared" ca="1" si="16"/>
        <v>2</v>
      </c>
      <c r="K43" s="25">
        <f t="shared" ca="1" si="16"/>
        <v>2</v>
      </c>
      <c r="L43" s="25">
        <f t="array" aca="1" ref="L43" ca="1">IF(LEN(TRIM(SUBSTITUTE(C43,"　"," ")))=1,
    IF(OR(G43="",LEN(TRIM(SUBSTITUTE(G43,"　"," ")))&gt;1,TRIM(SUBSTITUTE(G43,"　"," "))&lt;&gt;TRIM(SUBSTITUTE(C43,"　"," "))),0,2),
    IF(G43="",0,MAX(0,2*(SUMPRODUCT(--ISNUMBER(FIND(MID(TRIM(SUBSTITUTE(C43,"　"," ")),ROW(INDIRECT("1:"&amp;LEN(TRIM(SUBSTITUTE(C43,"　"," "))))),1),TRIM(SUBSTITUTE(G43,"　"," "))))))/LEN(TRIM(SUBSTITUTE(C43,"　"," ")))))
)</f>
        <v>2</v>
      </c>
      <c r="M43" s="25">
        <f t="array" aca="1" ref="M43" ca="1">IF(LEN(TRIM(SUBSTITUTE(C43,"　"," ")))=1,
    IF(OR(H43="",LEN(TRIM(SUBSTITUTE(H43,"　"," ")))&gt;1,TRIM(SUBSTITUTE(H43,"　"," "))&lt;&gt;TRIM(SUBSTITUTE(C43,"　"," "))),0,2),
    IF(H43="",0,MAX(0,2*(SUMPRODUCT(--ISNUMBER(FIND(MID(TRIM(SUBSTITUTE(C43,"　"," ")),ROW(INDIRECT("1:"&amp;LEN(TRIM(SUBSTITUTE(C43,"　"," "))))),1),TRIM(SUBSTITUTE(H43,"　"," "))))))/LEN(TRIM(SUBSTITUTE(C43,"　"," ")))))
)</f>
        <v>2</v>
      </c>
    </row>
    <row r="44" spans="1:13" ht="15.75" customHeight="1">
      <c r="A44" s="37" t="s">
        <v>159</v>
      </c>
      <c r="B44" s="3"/>
      <c r="C44" s="3" t="s">
        <v>14</v>
      </c>
      <c r="D44" s="10" t="s">
        <v>14</v>
      </c>
      <c r="E44" s="10" t="s">
        <v>14</v>
      </c>
      <c r="F44" s="10" t="s">
        <v>14</v>
      </c>
      <c r="G44" s="11" t="s">
        <v>14</v>
      </c>
      <c r="H44" s="11" t="s">
        <v>14</v>
      </c>
      <c r="I44" s="25">
        <f t="shared" ref="I44:K44" ca="1" si="17">IF(LEN(TRIM(SUBSTITUTE($C44, "　", " ")))=1,
IF(OR(D44="", LEN(TRIM(SUBSTITUTE(D44, "　", " ")))&gt;1, TRIM(SUBSTITUTE(D44, "　", " "))&lt;&gt;TRIM(SUBSTITUTE($C44, "　", " "))), 0, 2),
IF(D44="", 0, MAX(0, 2 * (SUMPRODUCT(--ISNUMBER(FIND(MID(TRIM(SUBSTITUTE($C44, "　", " ")), ROW(INDIRECT("1:"&amp;LEN(TRIM(SUBSTITUTE($C44, "　", " "))))), 1), TRIM(SUBSTITUTE(D44, "　", " ")))))) / LEN(TRIM(SUBSTITUTE($C44, "　", " "))))))</f>
        <v>2</v>
      </c>
      <c r="J44" s="25">
        <f t="shared" ca="1" si="17"/>
        <v>2</v>
      </c>
      <c r="K44" s="25">
        <f t="shared" ca="1" si="17"/>
        <v>2</v>
      </c>
      <c r="L44" s="25">
        <f t="array" aca="1" ref="L44" ca="1">IF(LEN(TRIM(SUBSTITUTE(C44,"　"," ")))=1,
    IF(OR(G44="",LEN(TRIM(SUBSTITUTE(G44,"　"," ")))&gt;1,TRIM(SUBSTITUTE(G44,"　"," "))&lt;&gt;TRIM(SUBSTITUTE(C44,"　"," "))),0,2),
    IF(G44="",0,MAX(0,2*(SUMPRODUCT(--ISNUMBER(FIND(MID(TRIM(SUBSTITUTE(C44,"　"," ")),ROW(INDIRECT("1:"&amp;LEN(TRIM(SUBSTITUTE(C44,"　"," "))))),1),TRIM(SUBSTITUTE(G44,"　"," "))))))/LEN(TRIM(SUBSTITUTE(C44,"　"," ")))))
)</f>
        <v>2</v>
      </c>
      <c r="M44" s="25">
        <f t="array" aca="1" ref="M44" ca="1">IF(LEN(TRIM(SUBSTITUTE(C44,"　"," ")))=1,
    IF(OR(H44="",LEN(TRIM(SUBSTITUTE(H44,"　"," ")))&gt;1,TRIM(SUBSTITUTE(H44,"　"," "))&lt;&gt;TRIM(SUBSTITUTE(C44,"　"," "))),0,2),
    IF(H44="",0,MAX(0,2*(SUMPRODUCT(--ISNUMBER(FIND(MID(TRIM(SUBSTITUTE(C44,"　"," ")),ROW(INDIRECT("1:"&amp;LEN(TRIM(SUBSTITUTE(C44,"　"," "))))),1),TRIM(SUBSTITUTE(H44,"　"," "))))))/LEN(TRIM(SUBSTITUTE(C44,"　"," ")))))
)</f>
        <v>2</v>
      </c>
    </row>
    <row r="45" spans="1:13" ht="15.75" customHeight="1">
      <c r="A45" s="38" t="s">
        <v>160</v>
      </c>
      <c r="B45" s="3"/>
      <c r="C45" s="3" t="s">
        <v>22</v>
      </c>
      <c r="D45" s="10" t="s">
        <v>55</v>
      </c>
      <c r="E45" s="10" t="s">
        <v>22</v>
      </c>
      <c r="F45" s="10" t="s">
        <v>22</v>
      </c>
      <c r="G45" s="11" t="s">
        <v>22</v>
      </c>
      <c r="H45" s="11" t="s">
        <v>22</v>
      </c>
      <c r="I45" s="25">
        <f t="shared" ref="I45:K45" ca="1" si="18">IF(LEN(TRIM(SUBSTITUTE($C45, "　", " ")))=1,
IF(OR(D45="", LEN(TRIM(SUBSTITUTE(D45, "　", " ")))&gt;1, TRIM(SUBSTITUTE(D45, "　", " "))&lt;&gt;TRIM(SUBSTITUTE($C45, "　", " "))), 0, 2),
IF(D45="", 0, MAX(0, 2 * (SUMPRODUCT(--ISNUMBER(FIND(MID(TRIM(SUBSTITUTE($C45, "　", " ")), ROW(INDIRECT("1:"&amp;LEN(TRIM(SUBSTITUTE($C45, "　", " "))))), 1), TRIM(SUBSTITUTE(D45, "　", " ")))))) / LEN(TRIM(SUBSTITUTE($C45, "　", " "))))))</f>
        <v>0</v>
      </c>
      <c r="J45" s="25">
        <f t="shared" ca="1" si="18"/>
        <v>2</v>
      </c>
      <c r="K45" s="25">
        <f t="shared" ca="1" si="18"/>
        <v>2</v>
      </c>
      <c r="L45" s="25">
        <f t="array" aca="1" ref="L45" ca="1">IF(LEN(TRIM(SUBSTITUTE(C45,"　"," ")))=1,
    IF(OR(G45="",LEN(TRIM(SUBSTITUTE(G45,"　"," ")))&gt;1,TRIM(SUBSTITUTE(G45,"　"," "))&lt;&gt;TRIM(SUBSTITUTE(C45,"　"," "))),0,2),
    IF(G45="",0,MAX(0,2*(SUMPRODUCT(--ISNUMBER(FIND(MID(TRIM(SUBSTITUTE(C45,"　"," ")),ROW(INDIRECT("1:"&amp;LEN(TRIM(SUBSTITUTE(C45,"　"," "))))),1),TRIM(SUBSTITUTE(G45,"　"," "))))))/LEN(TRIM(SUBSTITUTE(C45,"　"," ")))))
)</f>
        <v>2</v>
      </c>
      <c r="M45" s="25">
        <f t="array" aca="1" ref="M45" ca="1">IF(LEN(TRIM(SUBSTITUTE(C45,"　"," ")))=1,
    IF(OR(H45="",LEN(TRIM(SUBSTITUTE(H45,"　"," ")))&gt;1,TRIM(SUBSTITUTE(H45,"　"," "))&lt;&gt;TRIM(SUBSTITUTE(C45,"　"," "))),0,2),
    IF(H45="",0,MAX(0,2*(SUMPRODUCT(--ISNUMBER(FIND(MID(TRIM(SUBSTITUTE(C45,"　"," ")),ROW(INDIRECT("1:"&amp;LEN(TRIM(SUBSTITUTE(C45,"　"," "))))),1),TRIM(SUBSTITUTE(H45,"　"," "))))))/LEN(TRIM(SUBSTITUTE(C45,"　"," ")))))
)</f>
        <v>2</v>
      </c>
    </row>
    <row r="46" spans="1:13" ht="15.75" customHeight="1">
      <c r="A46" s="36" t="s">
        <v>161</v>
      </c>
      <c r="B46" s="18"/>
      <c r="C46" s="18"/>
      <c r="D46" s="24"/>
      <c r="E46" s="24"/>
      <c r="F46" s="24"/>
      <c r="G46" s="24"/>
      <c r="H46" s="24"/>
      <c r="I46" s="24"/>
      <c r="J46" s="24"/>
      <c r="K46" s="24"/>
      <c r="L46" s="24"/>
      <c r="M46" s="24"/>
    </row>
    <row r="47" spans="1:13" ht="15.75" customHeight="1">
      <c r="A47" s="38" t="s">
        <v>162</v>
      </c>
      <c r="B47" s="3" t="s">
        <v>16</v>
      </c>
      <c r="C47" s="3" t="s">
        <v>19</v>
      </c>
      <c r="D47" s="10" t="s">
        <v>19</v>
      </c>
      <c r="E47" s="10" t="s">
        <v>19</v>
      </c>
      <c r="F47" s="10" t="s">
        <v>19</v>
      </c>
      <c r="G47" s="11" t="s">
        <v>19</v>
      </c>
      <c r="H47" s="11" t="s">
        <v>19</v>
      </c>
      <c r="I47" s="26">
        <f t="shared" ref="I47:M49" si="19">_xlfn.LET(
_xlpm.full,2,
_xlpm.ans0,$C47&amp;"",
_xlpm.resp0,D47&amp;"",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7" s="26">
        <f t="shared" si="19"/>
        <v>2</v>
      </c>
      <c r="K47" s="26">
        <f t="shared" si="19"/>
        <v>2</v>
      </c>
      <c r="L47" s="26">
        <f t="shared" si="19"/>
        <v>2</v>
      </c>
      <c r="M47" s="26">
        <f t="shared" si="19"/>
        <v>2</v>
      </c>
    </row>
    <row r="48" spans="1:13" ht="15.75" customHeight="1">
      <c r="A48" s="8" t="s">
        <v>163</v>
      </c>
      <c r="B48" s="3" t="s">
        <v>16</v>
      </c>
      <c r="C48" s="3" t="s">
        <v>22</v>
      </c>
      <c r="D48" s="10" t="s">
        <v>22</v>
      </c>
      <c r="E48" s="10" t="s">
        <v>22</v>
      </c>
      <c r="F48" s="10" t="s">
        <v>21</v>
      </c>
      <c r="G48" s="11" t="s">
        <v>22</v>
      </c>
      <c r="H48" s="11" t="s">
        <v>22</v>
      </c>
      <c r="I48" s="26">
        <f t="shared" si="19"/>
        <v>2</v>
      </c>
      <c r="J48" s="26">
        <f t="shared" si="19"/>
        <v>2</v>
      </c>
      <c r="K48" s="26">
        <f t="shared" si="19"/>
        <v>0</v>
      </c>
      <c r="L48" s="26">
        <f t="shared" si="19"/>
        <v>2</v>
      </c>
      <c r="M48" s="26">
        <f t="shared" si="19"/>
        <v>2</v>
      </c>
    </row>
    <row r="49" spans="1:13" ht="15.75" customHeight="1">
      <c r="A49" s="38" t="s">
        <v>164</v>
      </c>
      <c r="B49" s="3" t="s">
        <v>16</v>
      </c>
      <c r="C49" s="3" t="s">
        <v>14</v>
      </c>
      <c r="D49" s="10" t="s">
        <v>19</v>
      </c>
      <c r="E49" s="10" t="s">
        <v>14</v>
      </c>
      <c r="F49" s="10" t="s">
        <v>14</v>
      </c>
      <c r="G49" s="11" t="s">
        <v>14</v>
      </c>
      <c r="H49" s="11" t="s">
        <v>14</v>
      </c>
      <c r="I49" s="26">
        <f t="shared" si="19"/>
        <v>0</v>
      </c>
      <c r="J49" s="26">
        <f t="shared" si="19"/>
        <v>2</v>
      </c>
      <c r="K49" s="26">
        <f t="shared" si="19"/>
        <v>2</v>
      </c>
      <c r="L49" s="26">
        <f t="shared" si="19"/>
        <v>2</v>
      </c>
      <c r="M49" s="26">
        <f t="shared" si="19"/>
        <v>2</v>
      </c>
    </row>
    <row r="50" spans="1:13" ht="15.75" customHeight="1">
      <c r="A50" s="39" t="s">
        <v>165</v>
      </c>
      <c r="B50" s="18"/>
      <c r="C50" s="18"/>
      <c r="D50" s="40"/>
      <c r="E50" s="24"/>
      <c r="F50" s="24"/>
      <c r="G50" s="24"/>
      <c r="H50" s="24"/>
      <c r="I50" s="40"/>
      <c r="J50" s="24"/>
      <c r="K50" s="24"/>
      <c r="L50" s="24"/>
      <c r="M50" s="24"/>
    </row>
    <row r="51" spans="1:13" ht="15.75" customHeight="1">
      <c r="A51" s="38" t="s">
        <v>166</v>
      </c>
      <c r="B51" s="3" t="s">
        <v>16</v>
      </c>
      <c r="C51" s="3" t="s">
        <v>104</v>
      </c>
      <c r="D51" s="10" t="s">
        <v>104</v>
      </c>
      <c r="E51" s="10" t="s">
        <v>104</v>
      </c>
      <c r="F51" s="10" t="s">
        <v>104</v>
      </c>
      <c r="G51" s="11" t="s">
        <v>104</v>
      </c>
      <c r="H51" s="11" t="s">
        <v>104</v>
      </c>
      <c r="I51" s="26">
        <f t="shared" ref="I51:M54" si="20">_xlfn.LET(
_xlpm.full,2,
_xlpm.ans0,$C51&amp;"",
_xlpm.resp0,D51&amp;"",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51" s="26">
        <f t="shared" si="20"/>
        <v>2</v>
      </c>
      <c r="K51" s="26">
        <f t="shared" si="20"/>
        <v>2</v>
      </c>
      <c r="L51" s="26">
        <f t="shared" si="20"/>
        <v>2</v>
      </c>
      <c r="M51" s="26">
        <f t="shared" si="20"/>
        <v>2</v>
      </c>
    </row>
    <row r="52" spans="1:13" ht="15.75" customHeight="1">
      <c r="A52" s="41" t="s">
        <v>167</v>
      </c>
      <c r="B52" s="3" t="s">
        <v>16</v>
      </c>
      <c r="C52" s="3" t="s">
        <v>53</v>
      </c>
      <c r="D52" s="10" t="s">
        <v>58</v>
      </c>
      <c r="E52" s="10" t="s">
        <v>58</v>
      </c>
      <c r="F52" s="10" t="s">
        <v>58</v>
      </c>
      <c r="G52" s="11" t="s">
        <v>58</v>
      </c>
      <c r="H52" s="11" t="s">
        <v>58</v>
      </c>
      <c r="I52" s="26">
        <f t="shared" si="20"/>
        <v>0.4</v>
      </c>
      <c r="J52" s="26">
        <f t="shared" si="20"/>
        <v>0.4</v>
      </c>
      <c r="K52" s="26">
        <f t="shared" si="20"/>
        <v>0.4</v>
      </c>
      <c r="L52" s="26">
        <f t="shared" si="20"/>
        <v>0.4</v>
      </c>
      <c r="M52" s="26">
        <f t="shared" si="20"/>
        <v>0.4</v>
      </c>
    </row>
    <row r="53" spans="1:13" ht="15.75" customHeight="1">
      <c r="A53" s="38" t="s">
        <v>168</v>
      </c>
      <c r="B53" s="3"/>
      <c r="C53" s="3" t="s">
        <v>17</v>
      </c>
      <c r="D53" s="10" t="s">
        <v>19</v>
      </c>
      <c r="E53" s="10" t="s">
        <v>17</v>
      </c>
      <c r="F53" s="10" t="s">
        <v>17</v>
      </c>
      <c r="G53" s="11" t="s">
        <v>17</v>
      </c>
      <c r="H53" s="11" t="s">
        <v>17</v>
      </c>
      <c r="I53" s="26">
        <f t="shared" si="20"/>
        <v>0</v>
      </c>
      <c r="J53" s="26">
        <f t="shared" si="20"/>
        <v>2</v>
      </c>
      <c r="K53" s="26">
        <f t="shared" si="20"/>
        <v>2</v>
      </c>
      <c r="L53" s="26">
        <f t="shared" si="20"/>
        <v>2</v>
      </c>
      <c r="M53" s="26">
        <f t="shared" si="20"/>
        <v>2</v>
      </c>
    </row>
    <row r="54" spans="1:13" ht="15.75" customHeight="1">
      <c r="A54" s="38" t="s">
        <v>169</v>
      </c>
      <c r="B54" s="3"/>
      <c r="C54" s="3" t="s">
        <v>22</v>
      </c>
      <c r="D54" s="10" t="s">
        <v>22</v>
      </c>
      <c r="E54" s="10" t="s">
        <v>22</v>
      </c>
      <c r="F54" s="10" t="s">
        <v>22</v>
      </c>
      <c r="G54" s="11" t="s">
        <v>22</v>
      </c>
      <c r="H54" s="11" t="s">
        <v>22</v>
      </c>
      <c r="I54" s="26">
        <f t="shared" si="20"/>
        <v>2</v>
      </c>
      <c r="J54" s="26">
        <f t="shared" si="20"/>
        <v>2</v>
      </c>
      <c r="K54" s="26">
        <f t="shared" si="20"/>
        <v>2</v>
      </c>
      <c r="L54" s="26">
        <f t="shared" si="20"/>
        <v>2</v>
      </c>
      <c r="M54" s="26">
        <f t="shared" si="20"/>
        <v>2</v>
      </c>
    </row>
    <row r="55" spans="1:13" ht="15.75" customHeight="1">
      <c r="A55" s="36" t="s">
        <v>170</v>
      </c>
      <c r="B55" s="18"/>
      <c r="C55" s="18"/>
      <c r="D55" s="24"/>
      <c r="E55" s="24"/>
      <c r="F55" s="24"/>
      <c r="G55" s="24"/>
      <c r="H55" s="24"/>
      <c r="I55" s="24"/>
      <c r="J55" s="24"/>
      <c r="K55" s="24"/>
      <c r="L55" s="24"/>
      <c r="M55" s="24"/>
    </row>
    <row r="56" spans="1:13" ht="15.75" customHeight="1">
      <c r="A56" s="8" t="s">
        <v>171</v>
      </c>
      <c r="B56" s="3"/>
      <c r="C56" s="3" t="s">
        <v>19</v>
      </c>
      <c r="D56" s="10" t="s">
        <v>19</v>
      </c>
      <c r="E56" s="10" t="s">
        <v>19</v>
      </c>
      <c r="F56" s="10" t="s">
        <v>19</v>
      </c>
      <c r="G56" s="11" t="s">
        <v>19</v>
      </c>
      <c r="H56" s="11" t="s">
        <v>19</v>
      </c>
      <c r="I56" s="26">
        <f t="shared" ref="I56:M58" si="21">_xlfn.LET(
_xlpm.full,2,
_xlpm.ans0,$C56&amp;"",
_xlpm.resp0,D56&amp;"",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56" s="26">
        <f t="shared" si="21"/>
        <v>2</v>
      </c>
      <c r="K56" s="26">
        <f t="shared" si="21"/>
        <v>2</v>
      </c>
      <c r="L56" s="26">
        <f t="shared" si="21"/>
        <v>2</v>
      </c>
      <c r="M56" s="26">
        <f t="shared" si="21"/>
        <v>2</v>
      </c>
    </row>
    <row r="57" spans="1:13" ht="15.75" customHeight="1">
      <c r="A57" s="8" t="s">
        <v>172</v>
      </c>
      <c r="B57" s="3"/>
      <c r="C57" s="3" t="s">
        <v>22</v>
      </c>
      <c r="D57" s="10" t="s">
        <v>22</v>
      </c>
      <c r="E57" s="10" t="s">
        <v>22</v>
      </c>
      <c r="F57" s="10" t="s">
        <v>22</v>
      </c>
      <c r="G57" s="11" t="s">
        <v>22</v>
      </c>
      <c r="H57" s="11" t="s">
        <v>22</v>
      </c>
      <c r="I57" s="26">
        <f t="shared" si="21"/>
        <v>2</v>
      </c>
      <c r="J57" s="26">
        <f t="shared" si="21"/>
        <v>2</v>
      </c>
      <c r="K57" s="26">
        <f t="shared" si="21"/>
        <v>2</v>
      </c>
      <c r="L57" s="26">
        <f t="shared" si="21"/>
        <v>2</v>
      </c>
      <c r="M57" s="26">
        <f t="shared" si="21"/>
        <v>2</v>
      </c>
    </row>
    <row r="58" spans="1:13" ht="15.75" customHeight="1">
      <c r="A58" s="8" t="s">
        <v>173</v>
      </c>
      <c r="B58" s="3" t="s">
        <v>16</v>
      </c>
      <c r="C58" s="3" t="s">
        <v>94</v>
      </c>
      <c r="D58" s="10" t="s">
        <v>46</v>
      </c>
      <c r="E58" s="10" t="s">
        <v>174</v>
      </c>
      <c r="F58" s="10" t="s">
        <v>174</v>
      </c>
      <c r="G58" s="11" t="s">
        <v>174</v>
      </c>
      <c r="H58" s="11" t="s">
        <v>174</v>
      </c>
      <c r="I58" s="26">
        <f t="shared" si="21"/>
        <v>0</v>
      </c>
      <c r="J58" s="26">
        <f t="shared" si="21"/>
        <v>0.4</v>
      </c>
      <c r="K58" s="26">
        <f t="shared" si="21"/>
        <v>0.4</v>
      </c>
      <c r="L58" s="26">
        <f t="shared" si="21"/>
        <v>0.4</v>
      </c>
      <c r="M58" s="26">
        <f t="shared" si="21"/>
        <v>0.4</v>
      </c>
    </row>
    <row r="59" spans="1:13" ht="15.75" customHeight="1">
      <c r="A59" s="36" t="s">
        <v>175</v>
      </c>
      <c r="B59" s="18"/>
      <c r="C59" s="18"/>
      <c r="D59" s="24"/>
      <c r="E59" s="24"/>
      <c r="F59" s="24"/>
      <c r="G59" s="24"/>
      <c r="H59" s="24"/>
      <c r="I59" s="24"/>
      <c r="J59" s="24"/>
      <c r="K59" s="24"/>
      <c r="L59" s="24"/>
      <c r="M59" s="24"/>
    </row>
    <row r="60" spans="1:13" ht="15.75" customHeight="1">
      <c r="A60" s="8" t="s">
        <v>176</v>
      </c>
      <c r="B60" s="3" t="s">
        <v>78</v>
      </c>
      <c r="C60" s="3" t="s">
        <v>72</v>
      </c>
      <c r="D60" s="10" t="s">
        <v>64</v>
      </c>
      <c r="E60" s="10" t="s">
        <v>64</v>
      </c>
      <c r="F60" s="10" t="s">
        <v>64</v>
      </c>
      <c r="G60" s="10" t="s">
        <v>64</v>
      </c>
      <c r="H60" s="11" t="s">
        <v>72</v>
      </c>
      <c r="I60" s="26">
        <f t="shared" ref="I60:M77" si="22">_xlfn.LET(
_xlpm.full,2,
_xlpm.ans0,$C60&amp;"",
_xlpm.resp0,D60&amp;"",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60" s="26">
        <f t="shared" si="22"/>
        <v>0.4</v>
      </c>
      <c r="K60" s="26">
        <f t="shared" si="22"/>
        <v>0.4</v>
      </c>
      <c r="L60" s="26">
        <f t="shared" si="22"/>
        <v>0.4</v>
      </c>
      <c r="M60" s="26">
        <f t="shared" si="22"/>
        <v>2</v>
      </c>
    </row>
    <row r="61" spans="1:13" ht="15.75" customHeight="1">
      <c r="A61" s="8" t="s">
        <v>177</v>
      </c>
      <c r="B61" s="3" t="s">
        <v>78</v>
      </c>
      <c r="C61" s="3" t="s">
        <v>17</v>
      </c>
      <c r="D61" s="10" t="s">
        <v>14</v>
      </c>
      <c r="E61" s="10" t="s">
        <v>17</v>
      </c>
      <c r="F61" s="10" t="s">
        <v>21</v>
      </c>
      <c r="G61" s="11" t="s">
        <v>17</v>
      </c>
      <c r="H61" s="11" t="s">
        <v>21</v>
      </c>
      <c r="I61" s="26">
        <f t="shared" si="22"/>
        <v>0</v>
      </c>
      <c r="J61" s="26">
        <f t="shared" si="22"/>
        <v>2</v>
      </c>
      <c r="K61" s="26">
        <f t="shared" si="22"/>
        <v>0</v>
      </c>
      <c r="L61" s="26">
        <f t="shared" si="22"/>
        <v>2</v>
      </c>
      <c r="M61" s="26">
        <f t="shared" si="22"/>
        <v>0</v>
      </c>
    </row>
    <row r="62" spans="1:13" ht="15.75" customHeight="1">
      <c r="A62" s="38" t="s">
        <v>178</v>
      </c>
      <c r="B62" s="3" t="s">
        <v>16</v>
      </c>
      <c r="C62" s="3" t="s">
        <v>22</v>
      </c>
      <c r="D62" s="10" t="s">
        <v>22</v>
      </c>
      <c r="E62" s="10" t="s">
        <v>22</v>
      </c>
      <c r="F62" s="10" t="s">
        <v>22</v>
      </c>
      <c r="G62" s="11" t="s">
        <v>22</v>
      </c>
      <c r="H62" s="11" t="s">
        <v>22</v>
      </c>
      <c r="I62" s="26">
        <f t="shared" si="22"/>
        <v>2</v>
      </c>
      <c r="J62" s="26">
        <f t="shared" si="22"/>
        <v>2</v>
      </c>
      <c r="K62" s="26">
        <f t="shared" si="22"/>
        <v>2</v>
      </c>
      <c r="L62" s="26">
        <f t="shared" si="22"/>
        <v>2</v>
      </c>
      <c r="M62" s="26">
        <f t="shared" si="22"/>
        <v>2</v>
      </c>
    </row>
    <row r="63" spans="1:13" ht="15.75" customHeight="1">
      <c r="A63" s="8" t="s">
        <v>179</v>
      </c>
      <c r="B63" s="3"/>
      <c r="C63" s="3" t="s">
        <v>174</v>
      </c>
      <c r="D63" s="10" t="s">
        <v>174</v>
      </c>
      <c r="E63" s="10" t="s">
        <v>174</v>
      </c>
      <c r="F63" s="10" t="s">
        <v>46</v>
      </c>
      <c r="G63" s="11" t="s">
        <v>174</v>
      </c>
      <c r="H63" s="11" t="s">
        <v>174</v>
      </c>
      <c r="I63" s="26">
        <f t="shared" si="22"/>
        <v>2</v>
      </c>
      <c r="J63" s="26">
        <f t="shared" si="22"/>
        <v>2</v>
      </c>
      <c r="K63" s="26">
        <f t="shared" si="22"/>
        <v>0.4</v>
      </c>
      <c r="L63" s="26">
        <f t="shared" si="22"/>
        <v>2</v>
      </c>
      <c r="M63" s="26">
        <f t="shared" si="22"/>
        <v>2</v>
      </c>
    </row>
    <row r="64" spans="1:13" ht="15.75" customHeight="1">
      <c r="A64" s="8" t="s">
        <v>180</v>
      </c>
      <c r="B64" s="3"/>
      <c r="C64" s="3" t="s">
        <v>60</v>
      </c>
      <c r="D64" s="10" t="s">
        <v>60</v>
      </c>
      <c r="E64" s="10" t="s">
        <v>57</v>
      </c>
      <c r="F64" s="10" t="s">
        <v>57</v>
      </c>
      <c r="G64" s="11" t="s">
        <v>60</v>
      </c>
      <c r="H64" s="11" t="s">
        <v>60</v>
      </c>
      <c r="I64" s="26">
        <f t="shared" si="22"/>
        <v>2</v>
      </c>
      <c r="J64" s="26">
        <f t="shared" si="22"/>
        <v>0.4</v>
      </c>
      <c r="K64" s="26">
        <f t="shared" si="22"/>
        <v>0.4</v>
      </c>
      <c r="L64" s="26">
        <f t="shared" si="22"/>
        <v>2</v>
      </c>
      <c r="M64" s="26">
        <f t="shared" si="22"/>
        <v>2</v>
      </c>
    </row>
    <row r="65" spans="1:13" ht="15.75" customHeight="1">
      <c r="A65" s="8" t="s">
        <v>181</v>
      </c>
      <c r="B65" s="3"/>
      <c r="C65" s="3" t="s">
        <v>14</v>
      </c>
      <c r="D65" s="10" t="s">
        <v>14</v>
      </c>
      <c r="E65" s="10" t="s">
        <v>14</v>
      </c>
      <c r="F65" s="10" t="s">
        <v>14</v>
      </c>
      <c r="G65" s="11" t="s">
        <v>14</v>
      </c>
      <c r="H65" s="11" t="s">
        <v>14</v>
      </c>
      <c r="I65" s="26">
        <f t="shared" si="22"/>
        <v>2</v>
      </c>
      <c r="J65" s="26">
        <f t="shared" si="22"/>
        <v>2</v>
      </c>
      <c r="K65" s="26">
        <f t="shared" si="22"/>
        <v>2</v>
      </c>
      <c r="L65" s="26">
        <f t="shared" si="22"/>
        <v>2</v>
      </c>
      <c r="M65" s="26">
        <f t="shared" si="22"/>
        <v>2</v>
      </c>
    </row>
    <row r="66" spans="1:13" ht="15.75" customHeight="1">
      <c r="A66" s="8" t="s">
        <v>182</v>
      </c>
      <c r="B66" s="3"/>
      <c r="C66" s="3" t="s">
        <v>21</v>
      </c>
      <c r="D66" s="3" t="s">
        <v>21</v>
      </c>
      <c r="E66" s="3" t="s">
        <v>21</v>
      </c>
      <c r="F66" s="3" t="s">
        <v>21</v>
      </c>
      <c r="G66" s="27" t="s">
        <v>21</v>
      </c>
      <c r="H66" s="27" t="s">
        <v>21</v>
      </c>
      <c r="I66" s="26">
        <f t="shared" si="22"/>
        <v>2</v>
      </c>
      <c r="J66" s="26">
        <f t="shared" si="22"/>
        <v>2</v>
      </c>
      <c r="K66" s="26">
        <f t="shared" si="22"/>
        <v>2</v>
      </c>
      <c r="L66" s="26">
        <f t="shared" si="22"/>
        <v>2</v>
      </c>
      <c r="M66" s="26">
        <f t="shared" si="22"/>
        <v>2</v>
      </c>
    </row>
    <row r="67" spans="1:13" ht="15.75" customHeight="1">
      <c r="A67" s="8" t="s">
        <v>183</v>
      </c>
      <c r="B67" s="3"/>
      <c r="C67" s="3" t="s">
        <v>14</v>
      </c>
      <c r="D67" s="10" t="s">
        <v>14</v>
      </c>
      <c r="E67" s="10" t="s">
        <v>14</v>
      </c>
      <c r="F67" s="10" t="s">
        <v>55</v>
      </c>
      <c r="G67" s="11" t="s">
        <v>14</v>
      </c>
      <c r="H67" s="11" t="s">
        <v>14</v>
      </c>
      <c r="I67" s="26">
        <f t="shared" si="22"/>
        <v>2</v>
      </c>
      <c r="J67" s="26">
        <f t="shared" si="22"/>
        <v>2</v>
      </c>
      <c r="K67" s="26">
        <f t="shared" si="22"/>
        <v>0</v>
      </c>
      <c r="L67" s="26">
        <f t="shared" si="22"/>
        <v>2</v>
      </c>
      <c r="M67" s="26">
        <f t="shared" si="22"/>
        <v>2</v>
      </c>
    </row>
    <row r="68" spans="1:13" ht="15.75" customHeight="1">
      <c r="A68" s="8" t="s">
        <v>184</v>
      </c>
      <c r="B68" s="3"/>
      <c r="C68" s="3" t="s">
        <v>48</v>
      </c>
      <c r="D68" s="10" t="s">
        <v>48</v>
      </c>
      <c r="E68" s="10" t="s">
        <v>48</v>
      </c>
      <c r="F68" s="10" t="s">
        <v>48</v>
      </c>
      <c r="G68" s="11" t="s">
        <v>48</v>
      </c>
      <c r="H68" s="11" t="s">
        <v>48</v>
      </c>
      <c r="I68" s="26">
        <f t="shared" si="22"/>
        <v>2</v>
      </c>
      <c r="J68" s="26">
        <f t="shared" si="22"/>
        <v>2</v>
      </c>
      <c r="K68" s="26">
        <f t="shared" si="22"/>
        <v>2</v>
      </c>
      <c r="L68" s="26">
        <f t="shared" si="22"/>
        <v>2</v>
      </c>
      <c r="M68" s="26">
        <f t="shared" si="22"/>
        <v>2</v>
      </c>
    </row>
    <row r="69" spans="1:13" ht="15.75" customHeight="1">
      <c r="A69" s="8" t="s">
        <v>185</v>
      </c>
      <c r="B69" s="3"/>
      <c r="C69" s="3" t="s">
        <v>174</v>
      </c>
      <c r="D69" s="10" t="s">
        <v>174</v>
      </c>
      <c r="E69" s="10" t="s">
        <v>174</v>
      </c>
      <c r="F69" s="10" t="s">
        <v>174</v>
      </c>
      <c r="G69" s="11" t="s">
        <v>174</v>
      </c>
      <c r="H69" s="11" t="s">
        <v>174</v>
      </c>
      <c r="I69" s="26">
        <f t="shared" si="22"/>
        <v>2</v>
      </c>
      <c r="J69" s="26">
        <f t="shared" si="22"/>
        <v>2</v>
      </c>
      <c r="K69" s="26">
        <f t="shared" si="22"/>
        <v>2</v>
      </c>
      <c r="L69" s="26">
        <f t="shared" si="22"/>
        <v>2</v>
      </c>
      <c r="M69" s="26">
        <f t="shared" si="22"/>
        <v>2</v>
      </c>
    </row>
    <row r="70" spans="1:13" ht="15.75" customHeight="1">
      <c r="A70" s="8" t="s">
        <v>186</v>
      </c>
      <c r="B70" s="3" t="s">
        <v>16</v>
      </c>
      <c r="C70" s="3" t="s">
        <v>55</v>
      </c>
      <c r="D70" s="10" t="s">
        <v>55</v>
      </c>
      <c r="E70" s="10" t="s">
        <v>55</v>
      </c>
      <c r="F70" s="10" t="s">
        <v>55</v>
      </c>
      <c r="G70" s="11" t="s">
        <v>55</v>
      </c>
      <c r="H70" s="11" t="s">
        <v>55</v>
      </c>
      <c r="I70" s="26">
        <f t="shared" si="22"/>
        <v>2</v>
      </c>
      <c r="J70" s="26">
        <f t="shared" si="22"/>
        <v>2</v>
      </c>
      <c r="K70" s="26">
        <f t="shared" si="22"/>
        <v>2</v>
      </c>
      <c r="L70" s="26">
        <f t="shared" si="22"/>
        <v>2</v>
      </c>
      <c r="M70" s="26">
        <f t="shared" si="22"/>
        <v>2</v>
      </c>
    </row>
    <row r="71" spans="1:13" ht="15.75" customHeight="1">
      <c r="A71" s="8" t="s">
        <v>187</v>
      </c>
      <c r="B71" s="3"/>
      <c r="C71" s="3" t="s">
        <v>19</v>
      </c>
      <c r="D71" s="10" t="s">
        <v>48</v>
      </c>
      <c r="E71" s="10" t="s">
        <v>19</v>
      </c>
      <c r="F71" s="10" t="s">
        <v>19</v>
      </c>
      <c r="G71" s="11" t="s">
        <v>19</v>
      </c>
      <c r="H71" s="11" t="s">
        <v>19</v>
      </c>
      <c r="I71" s="26">
        <f t="shared" si="22"/>
        <v>0</v>
      </c>
      <c r="J71" s="26">
        <f t="shared" si="22"/>
        <v>2</v>
      </c>
      <c r="K71" s="26">
        <f t="shared" si="22"/>
        <v>2</v>
      </c>
      <c r="L71" s="26">
        <f t="shared" si="22"/>
        <v>2</v>
      </c>
      <c r="M71" s="26">
        <f t="shared" si="22"/>
        <v>2</v>
      </c>
    </row>
    <row r="72" spans="1:13" ht="15.75" customHeight="1">
      <c r="A72" s="8" t="s">
        <v>188</v>
      </c>
      <c r="B72" s="3"/>
      <c r="C72" s="3" t="s">
        <v>17</v>
      </c>
      <c r="D72" s="10" t="s">
        <v>17</v>
      </c>
      <c r="E72" s="10" t="s">
        <v>17</v>
      </c>
      <c r="F72" s="10" t="s">
        <v>52</v>
      </c>
      <c r="G72" s="11" t="s">
        <v>17</v>
      </c>
      <c r="H72" s="11" t="s">
        <v>17</v>
      </c>
      <c r="I72" s="26">
        <f t="shared" si="22"/>
        <v>2</v>
      </c>
      <c r="J72" s="26">
        <f t="shared" si="22"/>
        <v>2</v>
      </c>
      <c r="K72" s="26">
        <f t="shared" si="22"/>
        <v>0</v>
      </c>
      <c r="L72" s="26">
        <f t="shared" si="22"/>
        <v>2</v>
      </c>
      <c r="M72" s="26">
        <f t="shared" si="22"/>
        <v>2</v>
      </c>
    </row>
    <row r="73" spans="1:13" ht="15.75" customHeight="1">
      <c r="A73" s="8" t="s">
        <v>189</v>
      </c>
      <c r="B73" s="3" t="s">
        <v>16</v>
      </c>
      <c r="C73" s="3" t="s">
        <v>22</v>
      </c>
      <c r="D73" s="10" t="s">
        <v>22</v>
      </c>
      <c r="E73" s="10" t="s">
        <v>14</v>
      </c>
      <c r="F73" s="10" t="s">
        <v>19</v>
      </c>
      <c r="G73" s="11" t="s">
        <v>14</v>
      </c>
      <c r="H73" s="11" t="s">
        <v>19</v>
      </c>
      <c r="I73" s="26">
        <f t="shared" si="22"/>
        <v>2</v>
      </c>
      <c r="J73" s="26">
        <f t="shared" si="22"/>
        <v>0</v>
      </c>
      <c r="K73" s="26">
        <f t="shared" si="22"/>
        <v>0</v>
      </c>
      <c r="L73" s="26">
        <f t="shared" si="22"/>
        <v>0</v>
      </c>
      <c r="M73" s="26">
        <f t="shared" si="22"/>
        <v>0</v>
      </c>
    </row>
    <row r="74" spans="1:13" ht="15.75" customHeight="1">
      <c r="A74" s="8" t="s">
        <v>190</v>
      </c>
      <c r="B74" s="3" t="s">
        <v>16</v>
      </c>
      <c r="C74" s="3" t="s">
        <v>22</v>
      </c>
      <c r="D74" s="10" t="s">
        <v>17</v>
      </c>
      <c r="E74" s="10" t="s">
        <v>17</v>
      </c>
      <c r="F74" s="10" t="s">
        <v>17</v>
      </c>
      <c r="G74" s="42" t="s">
        <v>191</v>
      </c>
      <c r="H74" s="11" t="s">
        <v>19</v>
      </c>
      <c r="I74" s="26">
        <f t="shared" si="22"/>
        <v>0</v>
      </c>
      <c r="J74" s="26">
        <f t="shared" si="22"/>
        <v>0</v>
      </c>
      <c r="K74" s="26">
        <f t="shared" si="22"/>
        <v>0</v>
      </c>
      <c r="L74" s="26">
        <f t="shared" si="22"/>
        <v>0</v>
      </c>
      <c r="M74" s="26">
        <f t="shared" si="22"/>
        <v>0</v>
      </c>
    </row>
    <row r="75" spans="1:13" ht="15.75" customHeight="1">
      <c r="A75" s="8" t="s">
        <v>192</v>
      </c>
      <c r="B75" s="3" t="s">
        <v>16</v>
      </c>
      <c r="C75" s="3" t="s">
        <v>54</v>
      </c>
      <c r="D75" s="10" t="s">
        <v>60</v>
      </c>
      <c r="E75" s="10" t="s">
        <v>58</v>
      </c>
      <c r="F75" s="10" t="s">
        <v>21</v>
      </c>
      <c r="G75" s="3" t="s">
        <v>54</v>
      </c>
      <c r="H75" s="11" t="s">
        <v>52</v>
      </c>
      <c r="I75" s="26">
        <f t="shared" si="22"/>
        <v>0</v>
      </c>
      <c r="J75" s="26">
        <f t="shared" si="22"/>
        <v>0.4</v>
      </c>
      <c r="K75" s="26">
        <f t="shared" si="22"/>
        <v>0</v>
      </c>
      <c r="L75" s="26">
        <f t="shared" si="22"/>
        <v>2</v>
      </c>
      <c r="M75" s="26">
        <f t="shared" si="22"/>
        <v>0.4</v>
      </c>
    </row>
    <row r="76" spans="1:13" ht="15.75" customHeight="1">
      <c r="A76" s="8" t="s">
        <v>193</v>
      </c>
      <c r="B76" s="3"/>
      <c r="C76" s="3" t="s">
        <v>95</v>
      </c>
      <c r="D76" s="10" t="s">
        <v>95</v>
      </c>
      <c r="E76" s="10" t="s">
        <v>95</v>
      </c>
      <c r="F76" s="10" t="s">
        <v>95</v>
      </c>
      <c r="G76" s="3" t="s">
        <v>95</v>
      </c>
      <c r="H76" s="11" t="s">
        <v>95</v>
      </c>
      <c r="I76" s="26">
        <f t="shared" si="22"/>
        <v>2</v>
      </c>
      <c r="J76" s="26">
        <f t="shared" si="22"/>
        <v>2</v>
      </c>
      <c r="K76" s="26">
        <f t="shared" si="22"/>
        <v>2</v>
      </c>
      <c r="L76" s="26">
        <f t="shared" si="22"/>
        <v>2</v>
      </c>
      <c r="M76" s="26">
        <f t="shared" si="22"/>
        <v>2</v>
      </c>
    </row>
    <row r="77" spans="1:13" ht="15.75" customHeight="1">
      <c r="A77" s="8" t="s">
        <v>194</v>
      </c>
      <c r="B77" s="3" t="s">
        <v>16</v>
      </c>
      <c r="C77" s="3" t="s">
        <v>14</v>
      </c>
      <c r="D77" s="10" t="s">
        <v>21</v>
      </c>
      <c r="E77" s="10" t="s">
        <v>21</v>
      </c>
      <c r="F77" s="10" t="s">
        <v>19</v>
      </c>
      <c r="G77" s="11" t="s">
        <v>19</v>
      </c>
      <c r="H77" s="11" t="s">
        <v>21</v>
      </c>
      <c r="I77" s="26">
        <f t="shared" si="22"/>
        <v>0</v>
      </c>
      <c r="J77" s="26">
        <f t="shared" si="22"/>
        <v>0</v>
      </c>
      <c r="K77" s="26">
        <f t="shared" si="22"/>
        <v>0</v>
      </c>
      <c r="L77" s="26">
        <f t="shared" si="22"/>
        <v>0</v>
      </c>
      <c r="M77" s="26">
        <f t="shared" si="22"/>
        <v>0</v>
      </c>
    </row>
    <row r="78" spans="1:13" ht="15.75" customHeight="1">
      <c r="A78" s="43"/>
      <c r="B78" s="30"/>
      <c r="C78" s="30"/>
      <c r="D78" s="44"/>
      <c r="E78" s="44"/>
      <c r="F78" s="44"/>
      <c r="G78" s="44"/>
      <c r="H78" s="44"/>
      <c r="I78" s="44"/>
      <c r="J78" s="44"/>
      <c r="K78" s="44"/>
      <c r="L78" s="44"/>
      <c r="M78" s="44"/>
    </row>
    <row r="79" spans="1:13" ht="15.75" customHeight="1">
      <c r="A79" s="43"/>
      <c r="B79" s="30"/>
      <c r="C79" s="30"/>
      <c r="D79" s="44"/>
      <c r="E79" s="44"/>
      <c r="F79" s="44"/>
      <c r="G79" s="44"/>
      <c r="H79" s="44"/>
      <c r="I79" s="44"/>
      <c r="J79" s="44"/>
      <c r="K79" s="44"/>
      <c r="L79" s="44"/>
      <c r="M79" s="44"/>
    </row>
    <row r="80" spans="1:13" ht="15.75" customHeight="1">
      <c r="A80" s="43"/>
      <c r="B80" s="30"/>
      <c r="C80" s="30"/>
      <c r="D80" s="44"/>
      <c r="E80" s="44"/>
      <c r="F80" s="44"/>
      <c r="G80" s="44"/>
      <c r="H80" s="44"/>
      <c r="I80" s="44"/>
      <c r="J80" s="44"/>
      <c r="K80" s="44"/>
      <c r="L80" s="44"/>
      <c r="M80" s="44"/>
    </row>
    <row r="81" spans="1:13" ht="15.75" customHeight="1">
      <c r="A81" s="43"/>
      <c r="B81" s="30"/>
      <c r="C81" s="30"/>
      <c r="D81" s="44"/>
      <c r="E81" s="44"/>
      <c r="F81" s="44"/>
      <c r="G81" s="44"/>
      <c r="H81" s="44"/>
      <c r="I81" s="44"/>
      <c r="J81" s="44"/>
      <c r="K81" s="44"/>
      <c r="L81" s="44"/>
      <c r="M81" s="44"/>
    </row>
    <row r="82" spans="1:13" ht="15.75" customHeight="1">
      <c r="A82" s="43"/>
      <c r="B82" s="30"/>
      <c r="C82" s="30"/>
      <c r="D82" s="44"/>
      <c r="E82" s="44"/>
      <c r="F82" s="44"/>
      <c r="G82" s="44"/>
      <c r="H82" s="44"/>
      <c r="I82" s="44"/>
      <c r="J82" s="44"/>
      <c r="K82" s="44"/>
      <c r="L82" s="44"/>
      <c r="M82" s="44"/>
    </row>
    <row r="83" spans="1:13" ht="15.75" customHeight="1">
      <c r="A83" s="43"/>
      <c r="B83" s="30"/>
      <c r="C83" s="30"/>
      <c r="D83" s="44"/>
      <c r="E83" s="44"/>
      <c r="F83" s="44"/>
      <c r="G83" s="44"/>
      <c r="H83" s="44"/>
      <c r="I83" s="44"/>
      <c r="J83" s="44"/>
      <c r="K83" s="44"/>
      <c r="L83" s="44"/>
      <c r="M83" s="44"/>
    </row>
    <row r="84" spans="1:13" ht="15.75" customHeight="1">
      <c r="A84" s="43"/>
      <c r="B84" s="30"/>
      <c r="C84" s="30"/>
      <c r="D84" s="44"/>
      <c r="E84" s="44"/>
      <c r="F84" s="44"/>
      <c r="G84" s="44"/>
      <c r="H84" s="44"/>
      <c r="I84" s="44"/>
      <c r="J84" s="44"/>
      <c r="K84" s="44"/>
      <c r="L84" s="44"/>
      <c r="M84" s="44"/>
    </row>
    <row r="85" spans="1:13" ht="15.75" customHeight="1">
      <c r="A85" s="43"/>
      <c r="B85" s="30"/>
      <c r="C85" s="30"/>
      <c r="D85" s="44"/>
      <c r="E85" s="44"/>
      <c r="F85" s="44"/>
      <c r="G85" s="44"/>
      <c r="H85" s="44"/>
      <c r="I85" s="44"/>
      <c r="J85" s="44"/>
      <c r="K85" s="44"/>
      <c r="L85" s="44"/>
      <c r="M85" s="44"/>
    </row>
    <row r="86" spans="1:13" ht="15.75" customHeight="1">
      <c r="A86" s="43"/>
      <c r="B86" s="30"/>
      <c r="C86" s="30"/>
      <c r="D86" s="44"/>
      <c r="E86" s="44"/>
      <c r="F86" s="44"/>
      <c r="G86" s="44"/>
      <c r="H86" s="44"/>
      <c r="I86" s="44"/>
      <c r="J86" s="44"/>
      <c r="K86" s="44"/>
      <c r="L86" s="44"/>
      <c r="M86" s="44"/>
    </row>
    <row r="87" spans="1:13" ht="15.75" customHeight="1">
      <c r="A87" s="43"/>
      <c r="B87" s="30"/>
      <c r="C87" s="30"/>
      <c r="D87" s="44"/>
      <c r="E87" s="44"/>
      <c r="F87" s="44"/>
      <c r="G87" s="44"/>
      <c r="H87" s="44"/>
      <c r="I87" s="44"/>
      <c r="J87" s="44"/>
      <c r="K87" s="44"/>
      <c r="L87" s="44"/>
      <c r="M87" s="44"/>
    </row>
    <row r="88" spans="1:13" ht="15.75" customHeight="1">
      <c r="A88" s="43"/>
      <c r="B88" s="30"/>
      <c r="C88" s="30"/>
      <c r="D88" s="44"/>
      <c r="E88" s="44"/>
      <c r="F88" s="44"/>
      <c r="G88" s="44"/>
      <c r="H88" s="44"/>
      <c r="I88" s="44"/>
      <c r="J88" s="44"/>
      <c r="K88" s="44"/>
      <c r="L88" s="44"/>
      <c r="M88" s="44"/>
    </row>
    <row r="89" spans="1:13" ht="15.75" customHeight="1">
      <c r="A89" s="43"/>
      <c r="B89" s="30"/>
      <c r="C89" s="30"/>
      <c r="D89" s="44"/>
      <c r="E89" s="44"/>
      <c r="F89" s="44"/>
      <c r="G89" s="44"/>
      <c r="H89" s="44"/>
      <c r="I89" s="44"/>
      <c r="J89" s="44"/>
      <c r="K89" s="44"/>
      <c r="L89" s="44"/>
      <c r="M89" s="44"/>
    </row>
    <row r="90" spans="1:13" ht="15.75" customHeight="1">
      <c r="A90" s="43"/>
      <c r="B90" s="30"/>
      <c r="C90" s="30"/>
      <c r="D90" s="44"/>
      <c r="E90" s="44"/>
      <c r="F90" s="44"/>
      <c r="G90" s="44"/>
      <c r="H90" s="44"/>
      <c r="I90" s="44"/>
      <c r="J90" s="44"/>
      <c r="K90" s="44"/>
      <c r="L90" s="44"/>
      <c r="M90" s="44"/>
    </row>
    <row r="91" spans="1:13" ht="15.75" customHeight="1">
      <c r="A91" s="43"/>
      <c r="B91" s="30"/>
      <c r="C91" s="30"/>
      <c r="D91" s="44"/>
      <c r="E91" s="44"/>
      <c r="F91" s="44"/>
      <c r="G91" s="44"/>
      <c r="H91" s="44"/>
      <c r="I91" s="44"/>
      <c r="J91" s="44"/>
      <c r="K91" s="44"/>
      <c r="L91" s="44"/>
      <c r="M91" s="44"/>
    </row>
    <row r="92" spans="1:13" ht="15.75" customHeight="1">
      <c r="A92" s="43"/>
      <c r="B92" s="30"/>
      <c r="C92" s="30"/>
      <c r="D92" s="44"/>
      <c r="E92" s="44"/>
      <c r="F92" s="44"/>
      <c r="G92" s="44"/>
      <c r="H92" s="44"/>
      <c r="I92" s="44"/>
      <c r="J92" s="44"/>
      <c r="K92" s="44"/>
      <c r="L92" s="44"/>
      <c r="M92" s="44"/>
    </row>
    <row r="93" spans="1:13" ht="15.75" customHeight="1">
      <c r="A93" s="43"/>
      <c r="B93" s="30"/>
      <c r="C93" s="30"/>
      <c r="D93" s="44"/>
      <c r="E93" s="44"/>
      <c r="F93" s="44"/>
      <c r="G93" s="44"/>
      <c r="H93" s="44"/>
      <c r="I93" s="44"/>
      <c r="J93" s="44"/>
      <c r="K93" s="44"/>
      <c r="L93" s="44"/>
      <c r="M93" s="44"/>
    </row>
    <row r="94" spans="1:13" ht="15.75" customHeight="1">
      <c r="A94" s="43"/>
      <c r="B94" s="30"/>
      <c r="C94" s="30"/>
      <c r="D94" s="44"/>
      <c r="E94" s="44"/>
      <c r="F94" s="44"/>
      <c r="G94" s="44"/>
      <c r="H94" s="44"/>
      <c r="I94" s="44"/>
      <c r="J94" s="44"/>
      <c r="K94" s="44"/>
      <c r="L94" s="44"/>
      <c r="M94" s="44"/>
    </row>
    <row r="95" spans="1:13" ht="15.75" customHeight="1">
      <c r="A95" s="43"/>
      <c r="B95" s="30"/>
      <c r="C95" s="30"/>
      <c r="D95" s="44"/>
      <c r="E95" s="44"/>
      <c r="F95" s="44"/>
      <c r="G95" s="44"/>
      <c r="H95" s="44"/>
      <c r="I95" s="44"/>
      <c r="J95" s="44"/>
      <c r="K95" s="44"/>
      <c r="L95" s="44"/>
      <c r="M95" s="44"/>
    </row>
    <row r="96" spans="1:13" ht="15.75" customHeight="1">
      <c r="A96" s="43"/>
      <c r="B96" s="30"/>
      <c r="C96" s="30"/>
      <c r="D96" s="44"/>
      <c r="E96" s="44"/>
      <c r="F96" s="44"/>
      <c r="G96" s="44"/>
      <c r="H96" s="44"/>
      <c r="I96" s="44"/>
      <c r="J96" s="44"/>
      <c r="K96" s="44"/>
      <c r="L96" s="44"/>
      <c r="M96" s="44"/>
    </row>
    <row r="97" spans="1:13" ht="15.75" customHeight="1">
      <c r="A97" s="43"/>
      <c r="B97" s="30"/>
      <c r="C97" s="30"/>
      <c r="D97" s="44"/>
      <c r="E97" s="44"/>
      <c r="F97" s="44"/>
      <c r="G97" s="44"/>
      <c r="H97" s="44"/>
      <c r="I97" s="44"/>
      <c r="J97" s="44"/>
      <c r="K97" s="44"/>
      <c r="L97" s="44"/>
      <c r="M97" s="44"/>
    </row>
    <row r="98" spans="1:13" ht="15.75" customHeight="1">
      <c r="A98" s="43"/>
      <c r="B98" s="30"/>
      <c r="C98" s="30"/>
      <c r="D98" s="44"/>
      <c r="E98" s="44"/>
      <c r="F98" s="44"/>
      <c r="G98" s="44"/>
      <c r="H98" s="44"/>
      <c r="I98" s="44"/>
      <c r="J98" s="44"/>
      <c r="K98" s="44"/>
      <c r="L98" s="44"/>
      <c r="M98" s="44"/>
    </row>
    <row r="99" spans="1:13" ht="15.75" customHeight="1">
      <c r="A99" s="43"/>
      <c r="B99" s="30"/>
      <c r="C99" s="30"/>
      <c r="D99" s="44"/>
      <c r="E99" s="44"/>
      <c r="F99" s="44"/>
      <c r="G99" s="44"/>
      <c r="H99" s="44"/>
      <c r="I99" s="44"/>
      <c r="J99" s="44"/>
      <c r="K99" s="44"/>
      <c r="L99" s="44"/>
      <c r="M99" s="44"/>
    </row>
    <row r="100" spans="1:13" ht="15.75" customHeight="1">
      <c r="A100" s="43"/>
      <c r="B100" s="30"/>
      <c r="C100" s="30"/>
      <c r="D100" s="44"/>
      <c r="E100" s="44"/>
      <c r="F100" s="44"/>
      <c r="G100" s="44"/>
      <c r="H100" s="44"/>
      <c r="I100" s="44"/>
      <c r="J100" s="44"/>
      <c r="K100" s="44"/>
      <c r="L100" s="44"/>
      <c r="M100" s="44"/>
    </row>
    <row r="101" spans="1:13" ht="15.75" customHeight="1">
      <c r="A101" s="43"/>
      <c r="B101" s="30"/>
      <c r="C101" s="30"/>
      <c r="D101" s="44"/>
      <c r="E101" s="44"/>
      <c r="F101" s="44"/>
      <c r="G101" s="44"/>
      <c r="H101" s="44"/>
      <c r="I101" s="44"/>
      <c r="J101" s="44"/>
      <c r="K101" s="44"/>
      <c r="L101" s="44"/>
      <c r="M101" s="44"/>
    </row>
    <row r="102" spans="1:13" ht="15.75" customHeight="1">
      <c r="A102" s="43"/>
      <c r="B102" s="30"/>
      <c r="C102" s="30"/>
      <c r="D102" s="44"/>
      <c r="E102" s="44"/>
      <c r="F102" s="44"/>
      <c r="G102" s="44"/>
      <c r="H102" s="44"/>
      <c r="I102" s="44"/>
      <c r="J102" s="44"/>
      <c r="K102" s="44"/>
      <c r="L102" s="44"/>
      <c r="M102" s="44"/>
    </row>
    <row r="103" spans="1:13" ht="15.75" customHeight="1">
      <c r="A103" s="43"/>
      <c r="B103" s="30"/>
      <c r="C103" s="30"/>
      <c r="D103" s="44"/>
      <c r="E103" s="44"/>
      <c r="F103" s="44"/>
      <c r="G103" s="44"/>
      <c r="H103" s="44"/>
      <c r="I103" s="44"/>
      <c r="J103" s="44"/>
      <c r="K103" s="44"/>
      <c r="L103" s="44"/>
      <c r="M103" s="44"/>
    </row>
    <row r="104" spans="1:13" ht="15.75" customHeight="1">
      <c r="A104" s="43"/>
      <c r="B104" s="30"/>
      <c r="C104" s="30"/>
      <c r="D104" s="44"/>
      <c r="E104" s="44"/>
      <c r="F104" s="44"/>
      <c r="G104" s="44"/>
      <c r="H104" s="44"/>
      <c r="I104" s="44"/>
      <c r="J104" s="44"/>
      <c r="K104" s="44"/>
      <c r="L104" s="44"/>
      <c r="M104" s="44"/>
    </row>
    <row r="105" spans="1:13" ht="15.75" customHeight="1">
      <c r="A105" s="43"/>
      <c r="B105" s="30"/>
      <c r="C105" s="30"/>
      <c r="D105" s="44"/>
      <c r="E105" s="44"/>
      <c r="F105" s="44"/>
      <c r="G105" s="44"/>
      <c r="H105" s="44"/>
      <c r="I105" s="44"/>
      <c r="J105" s="44"/>
      <c r="K105" s="44"/>
      <c r="L105" s="44"/>
      <c r="M105" s="44"/>
    </row>
    <row r="106" spans="1:13" ht="15.75" customHeight="1">
      <c r="A106" s="43"/>
      <c r="B106" s="30"/>
      <c r="C106" s="30"/>
      <c r="D106" s="44"/>
      <c r="E106" s="44"/>
      <c r="F106" s="44"/>
      <c r="G106" s="44"/>
      <c r="H106" s="44"/>
      <c r="I106" s="44"/>
      <c r="J106" s="44"/>
      <c r="K106" s="44"/>
      <c r="L106" s="44"/>
      <c r="M106" s="44"/>
    </row>
    <row r="107" spans="1:13" ht="15.75" customHeight="1">
      <c r="A107" s="43"/>
      <c r="B107" s="30"/>
      <c r="C107" s="30"/>
      <c r="D107" s="44"/>
      <c r="E107" s="44"/>
      <c r="F107" s="44"/>
      <c r="G107" s="44"/>
      <c r="H107" s="44"/>
      <c r="I107" s="44"/>
      <c r="J107" s="44"/>
      <c r="K107" s="44"/>
      <c r="L107" s="44"/>
      <c r="M107" s="44"/>
    </row>
    <row r="108" spans="1:13" ht="15.75" customHeight="1">
      <c r="A108" s="43"/>
      <c r="B108" s="30"/>
      <c r="C108" s="30"/>
      <c r="D108" s="44"/>
      <c r="E108" s="44"/>
      <c r="F108" s="44"/>
      <c r="G108" s="44"/>
      <c r="H108" s="44"/>
      <c r="I108" s="44"/>
      <c r="J108" s="44"/>
      <c r="K108" s="44"/>
      <c r="L108" s="44"/>
      <c r="M108" s="44"/>
    </row>
    <row r="109" spans="1:13" ht="15.75" customHeight="1">
      <c r="A109" s="43"/>
      <c r="B109" s="30"/>
      <c r="C109" s="30"/>
      <c r="D109" s="44"/>
      <c r="E109" s="44"/>
      <c r="F109" s="44"/>
      <c r="G109" s="44"/>
      <c r="H109" s="44"/>
      <c r="I109" s="44"/>
      <c r="J109" s="44"/>
      <c r="K109" s="44"/>
      <c r="L109" s="44"/>
      <c r="M109" s="44"/>
    </row>
    <row r="110" spans="1:13" ht="15.75" customHeight="1">
      <c r="A110" s="43"/>
      <c r="B110" s="30"/>
      <c r="C110" s="30"/>
      <c r="D110" s="44"/>
      <c r="E110" s="44"/>
      <c r="F110" s="44"/>
      <c r="G110" s="44"/>
      <c r="H110" s="44"/>
      <c r="I110" s="44"/>
      <c r="J110" s="44"/>
      <c r="K110" s="44"/>
      <c r="L110" s="44"/>
      <c r="M110" s="44"/>
    </row>
    <row r="111" spans="1:13" ht="15.75" customHeight="1">
      <c r="A111" s="43"/>
      <c r="B111" s="30"/>
      <c r="C111" s="30"/>
      <c r="D111" s="44"/>
      <c r="E111" s="44"/>
      <c r="F111" s="44"/>
      <c r="G111" s="44"/>
      <c r="H111" s="44"/>
      <c r="I111" s="44"/>
      <c r="J111" s="44"/>
      <c r="K111" s="44"/>
      <c r="L111" s="44"/>
      <c r="M111" s="44"/>
    </row>
    <row r="112" spans="1:13" ht="15.75" customHeight="1">
      <c r="A112" s="43"/>
      <c r="B112" s="30"/>
      <c r="C112" s="30"/>
      <c r="D112" s="44"/>
      <c r="E112" s="44"/>
      <c r="F112" s="44"/>
      <c r="G112" s="44"/>
      <c r="H112" s="44"/>
      <c r="I112" s="44"/>
      <c r="J112" s="44"/>
      <c r="K112" s="44"/>
      <c r="L112" s="44"/>
      <c r="M112" s="44"/>
    </row>
    <row r="113" spans="1:13" ht="15.75" customHeight="1">
      <c r="A113" s="43"/>
      <c r="B113" s="30"/>
      <c r="C113" s="30"/>
      <c r="D113" s="44"/>
      <c r="E113" s="44"/>
      <c r="F113" s="44"/>
      <c r="G113" s="44"/>
      <c r="H113" s="44"/>
      <c r="I113" s="44"/>
      <c r="J113" s="44"/>
      <c r="K113" s="44"/>
      <c r="L113" s="44"/>
      <c r="M113" s="44"/>
    </row>
    <row r="114" spans="1:13" ht="15.75" customHeight="1">
      <c r="A114" s="43"/>
      <c r="B114" s="30"/>
      <c r="C114" s="30"/>
      <c r="D114" s="44"/>
      <c r="E114" s="44"/>
      <c r="F114" s="44"/>
      <c r="G114" s="44"/>
      <c r="H114" s="44"/>
      <c r="I114" s="44"/>
      <c r="J114" s="44"/>
      <c r="K114" s="44"/>
      <c r="L114" s="44"/>
      <c r="M114" s="44"/>
    </row>
    <row r="115" spans="1:13" ht="15.75" customHeight="1">
      <c r="A115" s="43"/>
      <c r="B115" s="30"/>
      <c r="C115" s="30"/>
      <c r="D115" s="44"/>
      <c r="E115" s="44"/>
      <c r="F115" s="44"/>
      <c r="G115" s="44"/>
      <c r="H115" s="44"/>
      <c r="I115" s="44"/>
      <c r="J115" s="44"/>
      <c r="K115" s="44"/>
      <c r="L115" s="44"/>
      <c r="M115" s="44"/>
    </row>
    <row r="116" spans="1:13" ht="15.75" customHeight="1">
      <c r="A116" s="43"/>
      <c r="B116" s="30"/>
      <c r="C116" s="30"/>
      <c r="D116" s="44"/>
      <c r="E116" s="44"/>
      <c r="F116" s="44"/>
      <c r="G116" s="44"/>
      <c r="H116" s="44"/>
      <c r="I116" s="44"/>
      <c r="J116" s="44"/>
      <c r="K116" s="44"/>
      <c r="L116" s="44"/>
      <c r="M116" s="44"/>
    </row>
    <row r="117" spans="1:13" ht="15.75" customHeight="1">
      <c r="A117" s="43"/>
      <c r="B117" s="30"/>
      <c r="C117" s="30"/>
      <c r="D117" s="44"/>
      <c r="E117" s="44"/>
      <c r="F117" s="44"/>
      <c r="G117" s="44"/>
      <c r="H117" s="44"/>
      <c r="I117" s="44"/>
      <c r="J117" s="44"/>
      <c r="K117" s="44"/>
      <c r="L117" s="44"/>
      <c r="M117" s="44"/>
    </row>
    <row r="118" spans="1:13" ht="15.75" customHeight="1">
      <c r="A118" s="43"/>
      <c r="B118" s="30"/>
      <c r="C118" s="30"/>
      <c r="D118" s="44"/>
      <c r="E118" s="44"/>
      <c r="F118" s="44"/>
      <c r="G118" s="44"/>
      <c r="H118" s="44"/>
      <c r="I118" s="44"/>
      <c r="J118" s="44"/>
      <c r="K118" s="44"/>
      <c r="L118" s="44"/>
      <c r="M118" s="44"/>
    </row>
    <row r="119" spans="1:13" ht="15.75" customHeight="1">
      <c r="A119" s="43"/>
      <c r="B119" s="30"/>
      <c r="C119" s="30"/>
      <c r="D119" s="44"/>
      <c r="E119" s="44"/>
      <c r="F119" s="44"/>
      <c r="G119" s="44"/>
      <c r="H119" s="44"/>
      <c r="I119" s="44"/>
      <c r="J119" s="44"/>
      <c r="K119" s="44"/>
      <c r="L119" s="44"/>
      <c r="M119" s="44"/>
    </row>
    <row r="120" spans="1:13" ht="15.75" customHeight="1">
      <c r="A120" s="43"/>
      <c r="B120" s="30"/>
      <c r="C120" s="30"/>
      <c r="D120" s="44"/>
      <c r="E120" s="44"/>
      <c r="F120" s="44"/>
      <c r="G120" s="44"/>
      <c r="H120" s="44"/>
      <c r="I120" s="44"/>
      <c r="J120" s="44"/>
      <c r="K120" s="44"/>
      <c r="L120" s="44"/>
      <c r="M120" s="44"/>
    </row>
    <row r="121" spans="1:13" ht="15.75" customHeight="1">
      <c r="A121" s="43"/>
      <c r="B121" s="30"/>
      <c r="C121" s="30"/>
      <c r="D121" s="44"/>
      <c r="E121" s="44"/>
      <c r="F121" s="44"/>
      <c r="G121" s="44"/>
      <c r="H121" s="44"/>
      <c r="I121" s="44"/>
      <c r="J121" s="44"/>
      <c r="K121" s="44"/>
      <c r="L121" s="44"/>
      <c r="M121" s="44"/>
    </row>
    <row r="122" spans="1:13" ht="15.75" customHeight="1">
      <c r="A122" s="43"/>
      <c r="B122" s="30"/>
      <c r="C122" s="30"/>
      <c r="D122" s="44"/>
      <c r="E122" s="44"/>
      <c r="F122" s="44"/>
      <c r="G122" s="44"/>
      <c r="H122" s="44"/>
      <c r="I122" s="44"/>
      <c r="J122" s="44"/>
      <c r="K122" s="44"/>
      <c r="L122" s="44"/>
      <c r="M122" s="44"/>
    </row>
    <row r="123" spans="1:13" ht="15.75" customHeight="1">
      <c r="A123" s="43"/>
      <c r="B123" s="30"/>
      <c r="C123" s="30"/>
      <c r="D123" s="44"/>
      <c r="E123" s="44"/>
      <c r="F123" s="44"/>
      <c r="G123" s="44"/>
      <c r="H123" s="44"/>
      <c r="I123" s="44"/>
      <c r="J123" s="44"/>
      <c r="K123" s="44"/>
      <c r="L123" s="44"/>
      <c r="M123" s="44"/>
    </row>
    <row r="124" spans="1:13" ht="15.75" customHeight="1">
      <c r="A124" s="43"/>
      <c r="B124" s="30"/>
      <c r="C124" s="30"/>
      <c r="D124" s="44"/>
      <c r="E124" s="44"/>
      <c r="F124" s="44"/>
      <c r="G124" s="44"/>
      <c r="H124" s="44"/>
      <c r="I124" s="44"/>
      <c r="J124" s="44"/>
      <c r="K124" s="44"/>
      <c r="L124" s="44"/>
      <c r="M124" s="44"/>
    </row>
    <row r="125" spans="1:13" ht="15.75" customHeight="1">
      <c r="A125" s="43"/>
      <c r="B125" s="30"/>
      <c r="C125" s="30"/>
      <c r="D125" s="44"/>
      <c r="E125" s="44"/>
      <c r="F125" s="44"/>
      <c r="G125" s="44"/>
      <c r="H125" s="44"/>
      <c r="I125" s="44"/>
      <c r="J125" s="44"/>
      <c r="K125" s="44"/>
      <c r="L125" s="44"/>
      <c r="M125" s="44"/>
    </row>
    <row r="126" spans="1:13" ht="15.75" customHeight="1">
      <c r="A126" s="43"/>
      <c r="B126" s="30"/>
      <c r="C126" s="30"/>
      <c r="D126" s="44"/>
      <c r="E126" s="44"/>
      <c r="F126" s="44"/>
      <c r="G126" s="44"/>
      <c r="H126" s="44"/>
      <c r="I126" s="44"/>
      <c r="J126" s="44"/>
      <c r="K126" s="44"/>
      <c r="L126" s="44"/>
      <c r="M126" s="44"/>
    </row>
    <row r="127" spans="1:13" ht="15.75" customHeight="1">
      <c r="A127" s="43"/>
      <c r="B127" s="30"/>
      <c r="C127" s="30"/>
      <c r="D127" s="44"/>
      <c r="E127" s="44"/>
      <c r="F127" s="44"/>
      <c r="G127" s="44"/>
      <c r="H127" s="44"/>
      <c r="I127" s="44"/>
      <c r="J127" s="44"/>
      <c r="K127" s="44"/>
      <c r="L127" s="44"/>
      <c r="M127" s="44"/>
    </row>
    <row r="128" spans="1:13" ht="15.75" customHeight="1">
      <c r="A128" s="43"/>
      <c r="B128" s="30"/>
      <c r="C128" s="30"/>
      <c r="D128" s="44"/>
      <c r="E128" s="44"/>
      <c r="F128" s="44"/>
      <c r="G128" s="44"/>
      <c r="H128" s="44"/>
      <c r="I128" s="44"/>
      <c r="J128" s="44"/>
      <c r="K128" s="44"/>
      <c r="L128" s="44"/>
      <c r="M128" s="44"/>
    </row>
    <row r="129" spans="1:13" ht="15.75" customHeight="1">
      <c r="A129" s="43"/>
      <c r="B129" s="30"/>
      <c r="C129" s="30"/>
      <c r="D129" s="44"/>
      <c r="E129" s="44"/>
      <c r="F129" s="44"/>
      <c r="G129" s="44"/>
      <c r="H129" s="44"/>
      <c r="I129" s="44"/>
      <c r="J129" s="44"/>
      <c r="K129" s="44"/>
      <c r="L129" s="44"/>
      <c r="M129" s="44"/>
    </row>
    <row r="130" spans="1:13" ht="15.75" customHeight="1">
      <c r="A130" s="43"/>
      <c r="B130" s="30"/>
      <c r="C130" s="30"/>
      <c r="D130" s="44"/>
      <c r="E130" s="44"/>
      <c r="F130" s="44"/>
      <c r="G130" s="44"/>
      <c r="H130" s="44"/>
      <c r="I130" s="44"/>
      <c r="J130" s="44"/>
      <c r="K130" s="44"/>
      <c r="L130" s="44"/>
      <c r="M130" s="44"/>
    </row>
    <row r="131" spans="1:13" ht="15.75" customHeight="1">
      <c r="A131" s="43"/>
      <c r="B131" s="30"/>
      <c r="C131" s="30"/>
      <c r="D131" s="44"/>
      <c r="E131" s="44"/>
      <c r="F131" s="44"/>
      <c r="G131" s="44"/>
      <c r="H131" s="44"/>
      <c r="I131" s="44"/>
      <c r="J131" s="44"/>
      <c r="K131" s="44"/>
      <c r="L131" s="44"/>
      <c r="M131" s="44"/>
    </row>
    <row r="132" spans="1:13" ht="15.75" customHeight="1">
      <c r="A132" s="43"/>
      <c r="B132" s="30"/>
      <c r="C132" s="30"/>
      <c r="D132" s="44"/>
      <c r="E132" s="44"/>
      <c r="F132" s="44"/>
      <c r="G132" s="44"/>
      <c r="H132" s="44"/>
      <c r="I132" s="44"/>
      <c r="J132" s="44"/>
      <c r="K132" s="44"/>
      <c r="L132" s="44"/>
      <c r="M132" s="44"/>
    </row>
    <row r="133" spans="1:13" ht="15.75" customHeight="1">
      <c r="A133" s="43"/>
      <c r="B133" s="30"/>
      <c r="C133" s="30"/>
      <c r="D133" s="44"/>
      <c r="E133" s="44"/>
      <c r="F133" s="44"/>
      <c r="G133" s="44"/>
      <c r="H133" s="44"/>
      <c r="I133" s="44"/>
      <c r="J133" s="44"/>
      <c r="K133" s="44"/>
      <c r="L133" s="44"/>
      <c r="M133" s="44"/>
    </row>
    <row r="134" spans="1:13" ht="15.75" customHeight="1">
      <c r="A134" s="43"/>
      <c r="B134" s="30"/>
      <c r="C134" s="30"/>
      <c r="D134" s="44"/>
      <c r="E134" s="44"/>
      <c r="F134" s="44"/>
      <c r="G134" s="44"/>
      <c r="H134" s="44"/>
      <c r="I134" s="44"/>
      <c r="J134" s="44"/>
      <c r="K134" s="44"/>
      <c r="L134" s="44"/>
      <c r="M134" s="44"/>
    </row>
    <row r="135" spans="1:13" ht="15.75" customHeight="1">
      <c r="A135" s="43"/>
      <c r="B135" s="30"/>
      <c r="C135" s="30"/>
      <c r="D135" s="44"/>
      <c r="E135" s="44"/>
      <c r="F135" s="44"/>
      <c r="G135" s="44"/>
      <c r="H135" s="44"/>
      <c r="I135" s="44"/>
      <c r="J135" s="44"/>
      <c r="K135" s="44"/>
      <c r="L135" s="44"/>
      <c r="M135" s="44"/>
    </row>
    <row r="136" spans="1:13" ht="15.75" customHeight="1">
      <c r="A136" s="43"/>
      <c r="B136" s="30"/>
      <c r="C136" s="30"/>
      <c r="D136" s="44"/>
      <c r="E136" s="44"/>
      <c r="F136" s="44"/>
      <c r="G136" s="44"/>
      <c r="H136" s="44"/>
      <c r="I136" s="44"/>
      <c r="J136" s="44"/>
      <c r="K136" s="44"/>
      <c r="L136" s="44"/>
      <c r="M136" s="44"/>
    </row>
    <row r="137" spans="1:13" ht="15.75" customHeight="1">
      <c r="A137" s="43"/>
      <c r="B137" s="30"/>
      <c r="C137" s="30"/>
      <c r="D137" s="44"/>
      <c r="E137" s="44"/>
      <c r="F137" s="44"/>
      <c r="G137" s="44"/>
      <c r="H137" s="44"/>
      <c r="I137" s="44"/>
      <c r="J137" s="44"/>
      <c r="K137" s="44"/>
      <c r="L137" s="44"/>
      <c r="M137" s="44"/>
    </row>
    <row r="138" spans="1:13" ht="15.75" customHeight="1">
      <c r="A138" s="43"/>
      <c r="B138" s="30"/>
      <c r="C138" s="30"/>
      <c r="D138" s="44"/>
      <c r="E138" s="44"/>
      <c r="F138" s="44"/>
      <c r="G138" s="44"/>
      <c r="H138" s="44"/>
      <c r="I138" s="44"/>
      <c r="J138" s="44"/>
      <c r="K138" s="44"/>
      <c r="L138" s="44"/>
      <c r="M138" s="44"/>
    </row>
    <row r="139" spans="1:13" ht="15.75" customHeight="1">
      <c r="A139" s="43"/>
      <c r="B139" s="30"/>
      <c r="C139" s="30"/>
      <c r="D139" s="44"/>
      <c r="E139" s="44"/>
      <c r="F139" s="44"/>
      <c r="G139" s="44"/>
      <c r="H139" s="44"/>
      <c r="I139" s="44"/>
      <c r="J139" s="44"/>
      <c r="K139" s="44"/>
      <c r="L139" s="44"/>
      <c r="M139" s="44"/>
    </row>
    <row r="140" spans="1:13" ht="15.75" customHeight="1">
      <c r="A140" s="43"/>
      <c r="B140" s="30"/>
      <c r="C140" s="30"/>
      <c r="D140" s="44"/>
      <c r="E140" s="44"/>
      <c r="F140" s="44"/>
      <c r="G140" s="44"/>
      <c r="H140" s="44"/>
      <c r="I140" s="44"/>
      <c r="J140" s="44"/>
      <c r="K140" s="44"/>
      <c r="L140" s="44"/>
      <c r="M140" s="44"/>
    </row>
    <row r="141" spans="1:13" ht="15.75" customHeight="1">
      <c r="A141" s="43"/>
      <c r="B141" s="30"/>
      <c r="C141" s="30"/>
      <c r="D141" s="44"/>
      <c r="E141" s="44"/>
      <c r="F141" s="44"/>
      <c r="G141" s="44"/>
      <c r="H141" s="44"/>
      <c r="I141" s="44"/>
      <c r="J141" s="44"/>
      <c r="K141" s="44"/>
      <c r="L141" s="44"/>
      <c r="M141" s="44"/>
    </row>
    <row r="142" spans="1:13" ht="15.75" customHeight="1">
      <c r="A142" s="43"/>
      <c r="B142" s="30"/>
      <c r="C142" s="30"/>
      <c r="D142" s="44"/>
      <c r="E142" s="44"/>
      <c r="F142" s="44"/>
      <c r="G142" s="44"/>
      <c r="H142" s="44"/>
      <c r="I142" s="44"/>
      <c r="J142" s="44"/>
      <c r="K142" s="44"/>
      <c r="L142" s="44"/>
      <c r="M142" s="44"/>
    </row>
    <row r="143" spans="1:13" ht="15.75" customHeight="1">
      <c r="A143" s="43"/>
      <c r="B143" s="30"/>
      <c r="C143" s="30"/>
      <c r="D143" s="44"/>
      <c r="E143" s="44"/>
      <c r="F143" s="44"/>
      <c r="G143" s="44"/>
      <c r="H143" s="44"/>
      <c r="I143" s="44"/>
      <c r="J143" s="44"/>
      <c r="K143" s="44"/>
      <c r="L143" s="44"/>
      <c r="M143" s="44"/>
    </row>
    <row r="144" spans="1:13" ht="15.75" customHeight="1">
      <c r="A144" s="43"/>
      <c r="B144" s="30"/>
      <c r="C144" s="30"/>
      <c r="D144" s="44"/>
      <c r="E144" s="44"/>
      <c r="F144" s="44"/>
      <c r="G144" s="44"/>
      <c r="H144" s="44"/>
      <c r="I144" s="44"/>
      <c r="J144" s="44"/>
      <c r="K144" s="44"/>
      <c r="L144" s="44"/>
      <c r="M144" s="44"/>
    </row>
    <row r="145" spans="1:13" ht="15.75" customHeight="1">
      <c r="A145" s="43"/>
      <c r="B145" s="30"/>
      <c r="C145" s="30"/>
      <c r="D145" s="44"/>
      <c r="E145" s="44"/>
      <c r="F145" s="44"/>
      <c r="G145" s="44"/>
      <c r="H145" s="44"/>
      <c r="I145" s="44"/>
      <c r="J145" s="44"/>
      <c r="K145" s="44"/>
      <c r="L145" s="44"/>
      <c r="M145" s="44"/>
    </row>
    <row r="146" spans="1:13" ht="15.75" customHeight="1">
      <c r="A146" s="43"/>
      <c r="B146" s="30"/>
      <c r="C146" s="30"/>
      <c r="D146" s="44"/>
      <c r="E146" s="44"/>
      <c r="F146" s="44"/>
      <c r="G146" s="44"/>
      <c r="H146" s="44"/>
      <c r="I146" s="44"/>
      <c r="J146" s="44"/>
      <c r="K146" s="44"/>
      <c r="L146" s="44"/>
      <c r="M146" s="44"/>
    </row>
    <row r="147" spans="1:13" ht="15.75" customHeight="1">
      <c r="A147" s="43"/>
      <c r="B147" s="30"/>
      <c r="C147" s="30"/>
      <c r="D147" s="44"/>
      <c r="E147" s="44"/>
      <c r="F147" s="44"/>
      <c r="G147" s="44"/>
      <c r="H147" s="44"/>
      <c r="I147" s="44"/>
      <c r="J147" s="44"/>
      <c r="K147" s="44"/>
      <c r="L147" s="44"/>
      <c r="M147" s="44"/>
    </row>
    <row r="148" spans="1:13" ht="15.75" customHeight="1">
      <c r="A148" s="43"/>
      <c r="B148" s="30"/>
      <c r="C148" s="30"/>
      <c r="D148" s="44"/>
      <c r="E148" s="44"/>
      <c r="F148" s="44"/>
      <c r="G148" s="44"/>
      <c r="H148" s="44"/>
      <c r="I148" s="44"/>
      <c r="J148" s="44"/>
      <c r="K148" s="44"/>
      <c r="L148" s="44"/>
      <c r="M148" s="44"/>
    </row>
    <row r="149" spans="1:13" ht="15.75" customHeight="1">
      <c r="A149" s="43"/>
      <c r="B149" s="30"/>
      <c r="C149" s="30"/>
      <c r="D149" s="44"/>
      <c r="E149" s="44"/>
      <c r="F149" s="44"/>
      <c r="G149" s="44"/>
      <c r="H149" s="44"/>
      <c r="I149" s="44"/>
      <c r="J149" s="44"/>
      <c r="K149" s="44"/>
      <c r="L149" s="44"/>
      <c r="M149" s="44"/>
    </row>
    <row r="150" spans="1:13" ht="15.75" customHeight="1">
      <c r="A150" s="43"/>
      <c r="B150" s="30"/>
      <c r="C150" s="30"/>
      <c r="D150" s="44"/>
      <c r="E150" s="44"/>
      <c r="F150" s="44"/>
      <c r="G150" s="44"/>
      <c r="H150" s="44"/>
      <c r="I150" s="44"/>
      <c r="J150" s="44"/>
      <c r="K150" s="44"/>
      <c r="L150" s="44"/>
      <c r="M150" s="44"/>
    </row>
    <row r="151" spans="1:13" ht="15.75" customHeight="1">
      <c r="A151" s="43"/>
      <c r="B151" s="30"/>
      <c r="C151" s="30"/>
      <c r="D151" s="44"/>
      <c r="E151" s="44"/>
      <c r="F151" s="44"/>
      <c r="G151" s="44"/>
      <c r="H151" s="44"/>
      <c r="I151" s="44"/>
      <c r="J151" s="44"/>
      <c r="K151" s="44"/>
      <c r="L151" s="44"/>
      <c r="M151" s="44"/>
    </row>
    <row r="152" spans="1:13" ht="15.75" customHeight="1">
      <c r="A152" s="43"/>
      <c r="B152" s="30"/>
      <c r="C152" s="30"/>
      <c r="D152" s="44"/>
      <c r="E152" s="44"/>
      <c r="F152" s="44"/>
      <c r="G152" s="44"/>
      <c r="H152" s="44"/>
      <c r="I152" s="44"/>
      <c r="J152" s="44"/>
      <c r="K152" s="44"/>
      <c r="L152" s="44"/>
      <c r="M152" s="44"/>
    </row>
    <row r="153" spans="1:13" ht="15.75" customHeight="1">
      <c r="A153" s="43"/>
      <c r="B153" s="30"/>
      <c r="C153" s="30"/>
      <c r="D153" s="44"/>
      <c r="E153" s="44"/>
      <c r="F153" s="44"/>
      <c r="G153" s="44"/>
      <c r="H153" s="44"/>
      <c r="I153" s="44"/>
      <c r="J153" s="44"/>
      <c r="K153" s="44"/>
      <c r="L153" s="44"/>
      <c r="M153" s="44"/>
    </row>
    <row r="154" spans="1:13" ht="15.75" customHeight="1">
      <c r="A154" s="43"/>
      <c r="B154" s="30"/>
      <c r="C154" s="30"/>
      <c r="D154" s="44"/>
      <c r="E154" s="44"/>
      <c r="F154" s="44"/>
      <c r="G154" s="44"/>
      <c r="H154" s="44"/>
      <c r="I154" s="44"/>
      <c r="J154" s="44"/>
      <c r="K154" s="44"/>
      <c r="L154" s="44"/>
      <c r="M154" s="44"/>
    </row>
    <row r="155" spans="1:13" ht="15.75" customHeight="1">
      <c r="A155" s="43"/>
      <c r="B155" s="30"/>
      <c r="C155" s="30"/>
      <c r="D155" s="44"/>
      <c r="E155" s="44"/>
      <c r="F155" s="44"/>
      <c r="G155" s="44"/>
      <c r="H155" s="44"/>
      <c r="I155" s="44"/>
      <c r="J155" s="44"/>
      <c r="K155" s="44"/>
      <c r="L155" s="44"/>
      <c r="M155" s="44"/>
    </row>
    <row r="156" spans="1:13" ht="15.75" customHeight="1">
      <c r="A156" s="43"/>
      <c r="B156" s="30"/>
      <c r="C156" s="30"/>
      <c r="D156" s="44"/>
      <c r="E156" s="44"/>
      <c r="F156" s="44"/>
      <c r="G156" s="44"/>
      <c r="H156" s="44"/>
      <c r="I156" s="44"/>
      <c r="J156" s="44"/>
      <c r="K156" s="44"/>
      <c r="L156" s="44"/>
      <c r="M156" s="44"/>
    </row>
    <row r="157" spans="1:13" ht="15.75" customHeight="1">
      <c r="A157" s="43"/>
      <c r="B157" s="30"/>
      <c r="C157" s="30"/>
      <c r="D157" s="44"/>
      <c r="E157" s="44"/>
      <c r="F157" s="44"/>
      <c r="G157" s="44"/>
      <c r="H157" s="44"/>
      <c r="I157" s="44"/>
      <c r="J157" s="44"/>
      <c r="K157" s="44"/>
      <c r="L157" s="44"/>
      <c r="M157" s="44"/>
    </row>
    <row r="158" spans="1:13" ht="15.75" customHeight="1">
      <c r="A158" s="43"/>
      <c r="B158" s="30"/>
      <c r="C158" s="30"/>
      <c r="D158" s="44"/>
      <c r="E158" s="44"/>
      <c r="F158" s="44"/>
      <c r="G158" s="44"/>
      <c r="H158" s="44"/>
      <c r="I158" s="44"/>
      <c r="J158" s="44"/>
      <c r="K158" s="44"/>
      <c r="L158" s="44"/>
      <c r="M158" s="44"/>
    </row>
    <row r="159" spans="1:13" ht="15.75" customHeight="1">
      <c r="A159" s="43"/>
      <c r="B159" s="30"/>
      <c r="C159" s="30"/>
      <c r="D159" s="44"/>
      <c r="E159" s="44"/>
      <c r="F159" s="44"/>
      <c r="G159" s="44"/>
      <c r="H159" s="44"/>
      <c r="I159" s="44"/>
      <c r="J159" s="44"/>
      <c r="K159" s="44"/>
      <c r="L159" s="44"/>
      <c r="M159" s="44"/>
    </row>
    <row r="160" spans="1:13" ht="15.75" customHeight="1">
      <c r="A160" s="43"/>
      <c r="B160" s="30"/>
      <c r="C160" s="30"/>
      <c r="D160" s="44"/>
      <c r="E160" s="44"/>
      <c r="F160" s="44"/>
      <c r="G160" s="44"/>
      <c r="H160" s="44"/>
      <c r="I160" s="44"/>
      <c r="J160" s="44"/>
      <c r="K160" s="44"/>
      <c r="L160" s="44"/>
      <c r="M160" s="44"/>
    </row>
    <row r="161" spans="1:13" ht="15.75" customHeight="1">
      <c r="A161" s="43"/>
      <c r="B161" s="30"/>
      <c r="C161" s="30"/>
      <c r="D161" s="44"/>
      <c r="E161" s="44"/>
      <c r="F161" s="44"/>
      <c r="G161" s="44"/>
      <c r="H161" s="44"/>
      <c r="I161" s="44"/>
      <c r="J161" s="44"/>
      <c r="K161" s="44"/>
      <c r="L161" s="44"/>
      <c r="M161" s="44"/>
    </row>
    <row r="162" spans="1:13" ht="15.75" customHeight="1">
      <c r="A162" s="43"/>
      <c r="B162" s="30"/>
      <c r="C162" s="30"/>
      <c r="D162" s="44"/>
      <c r="E162" s="44"/>
      <c r="F162" s="44"/>
      <c r="G162" s="44"/>
      <c r="H162" s="44"/>
      <c r="I162" s="44"/>
      <c r="J162" s="44"/>
      <c r="K162" s="44"/>
      <c r="L162" s="44"/>
      <c r="M162" s="44"/>
    </row>
    <row r="163" spans="1:13" ht="15.75" customHeight="1">
      <c r="A163" s="43"/>
      <c r="B163" s="30"/>
      <c r="C163" s="30"/>
      <c r="D163" s="44"/>
      <c r="E163" s="44"/>
      <c r="F163" s="44"/>
      <c r="G163" s="44"/>
      <c r="H163" s="44"/>
      <c r="I163" s="44"/>
      <c r="J163" s="44"/>
      <c r="K163" s="44"/>
      <c r="L163" s="44"/>
      <c r="M163" s="44"/>
    </row>
    <row r="164" spans="1:13" ht="15.75" customHeight="1">
      <c r="A164" s="43"/>
      <c r="B164" s="30"/>
      <c r="C164" s="30"/>
      <c r="D164" s="44"/>
      <c r="E164" s="44"/>
      <c r="F164" s="44"/>
      <c r="G164" s="44"/>
      <c r="H164" s="44"/>
      <c r="I164" s="44"/>
      <c r="J164" s="44"/>
      <c r="K164" s="44"/>
      <c r="L164" s="44"/>
      <c r="M164" s="44"/>
    </row>
    <row r="165" spans="1:13" ht="15.75" customHeight="1">
      <c r="A165" s="43"/>
      <c r="B165" s="30"/>
      <c r="C165" s="30"/>
      <c r="D165" s="44"/>
      <c r="E165" s="44"/>
      <c r="F165" s="44"/>
      <c r="G165" s="44"/>
      <c r="H165" s="44"/>
      <c r="I165" s="44"/>
      <c r="J165" s="44"/>
      <c r="K165" s="44"/>
      <c r="L165" s="44"/>
      <c r="M165" s="44"/>
    </row>
    <row r="166" spans="1:13" ht="15.75" customHeight="1">
      <c r="A166" s="43"/>
      <c r="B166" s="30"/>
      <c r="C166" s="30"/>
      <c r="D166" s="44"/>
      <c r="E166" s="44"/>
      <c r="F166" s="44"/>
      <c r="G166" s="44"/>
      <c r="H166" s="44"/>
      <c r="I166" s="44"/>
      <c r="J166" s="44"/>
      <c r="K166" s="44"/>
      <c r="L166" s="44"/>
      <c r="M166" s="44"/>
    </row>
    <row r="167" spans="1:13" ht="15.75" customHeight="1">
      <c r="A167" s="43"/>
      <c r="B167" s="30"/>
      <c r="C167" s="30"/>
      <c r="D167" s="44"/>
      <c r="E167" s="44"/>
      <c r="F167" s="44"/>
      <c r="G167" s="44"/>
      <c r="H167" s="44"/>
      <c r="I167" s="44"/>
      <c r="J167" s="44"/>
      <c r="K167" s="44"/>
      <c r="L167" s="44"/>
      <c r="M167" s="44"/>
    </row>
    <row r="168" spans="1:13" ht="15.75" customHeight="1">
      <c r="A168" s="43"/>
      <c r="B168" s="30"/>
      <c r="C168" s="30"/>
      <c r="D168" s="44"/>
      <c r="E168" s="44"/>
      <c r="F168" s="44"/>
      <c r="G168" s="44"/>
      <c r="H168" s="44"/>
      <c r="I168" s="44"/>
      <c r="J168" s="44"/>
      <c r="K168" s="44"/>
      <c r="L168" s="44"/>
      <c r="M168" s="44"/>
    </row>
    <row r="169" spans="1:13" ht="15.75" customHeight="1">
      <c r="A169" s="43"/>
      <c r="B169" s="30"/>
      <c r="C169" s="30"/>
      <c r="D169" s="44"/>
      <c r="E169" s="44"/>
      <c r="F169" s="44"/>
      <c r="G169" s="44"/>
      <c r="H169" s="44"/>
      <c r="I169" s="44"/>
      <c r="J169" s="44"/>
      <c r="K169" s="44"/>
      <c r="L169" s="44"/>
      <c r="M169" s="44"/>
    </row>
    <row r="170" spans="1:13" ht="15.75" customHeight="1">
      <c r="A170" s="43"/>
      <c r="B170" s="30"/>
      <c r="C170" s="30"/>
      <c r="D170" s="44"/>
      <c r="E170" s="44"/>
      <c r="F170" s="44"/>
      <c r="G170" s="44"/>
      <c r="H170" s="44"/>
      <c r="I170" s="44"/>
      <c r="J170" s="44"/>
      <c r="K170" s="44"/>
      <c r="L170" s="44"/>
      <c r="M170" s="44"/>
    </row>
    <row r="171" spans="1:13" ht="15.75" customHeight="1">
      <c r="A171" s="43"/>
      <c r="B171" s="30"/>
      <c r="C171" s="30"/>
      <c r="D171" s="44"/>
      <c r="E171" s="44"/>
      <c r="F171" s="44"/>
      <c r="G171" s="44"/>
      <c r="H171" s="44"/>
      <c r="I171" s="44"/>
      <c r="J171" s="44"/>
      <c r="K171" s="44"/>
      <c r="L171" s="44"/>
      <c r="M171" s="44"/>
    </row>
    <row r="172" spans="1:13" ht="15.75" customHeight="1">
      <c r="A172" s="43"/>
      <c r="B172" s="30"/>
      <c r="C172" s="30"/>
      <c r="D172" s="44"/>
      <c r="E172" s="44"/>
      <c r="F172" s="44"/>
      <c r="G172" s="44"/>
      <c r="H172" s="44"/>
      <c r="I172" s="44"/>
      <c r="J172" s="44"/>
      <c r="K172" s="44"/>
      <c r="L172" s="44"/>
      <c r="M172" s="44"/>
    </row>
    <row r="173" spans="1:13" ht="15.75" customHeight="1">
      <c r="A173" s="43"/>
      <c r="B173" s="30"/>
      <c r="C173" s="30"/>
      <c r="D173" s="44"/>
      <c r="E173" s="44"/>
      <c r="F173" s="44"/>
      <c r="G173" s="44"/>
      <c r="H173" s="44"/>
      <c r="I173" s="44"/>
      <c r="J173" s="44"/>
      <c r="K173" s="44"/>
      <c r="L173" s="44"/>
      <c r="M173" s="44"/>
    </row>
    <row r="174" spans="1:13" ht="15.75" customHeight="1">
      <c r="A174" s="43"/>
      <c r="B174" s="30"/>
      <c r="C174" s="30"/>
      <c r="D174" s="44"/>
      <c r="E174" s="44"/>
      <c r="F174" s="44"/>
      <c r="G174" s="44"/>
      <c r="H174" s="44"/>
      <c r="I174" s="44"/>
      <c r="J174" s="44"/>
      <c r="K174" s="44"/>
      <c r="L174" s="44"/>
      <c r="M174" s="44"/>
    </row>
    <row r="175" spans="1:13" ht="15.75" customHeight="1">
      <c r="A175" s="43"/>
      <c r="B175" s="30"/>
      <c r="C175" s="30"/>
      <c r="D175" s="44"/>
      <c r="E175" s="44"/>
      <c r="F175" s="44"/>
      <c r="G175" s="44"/>
      <c r="H175" s="44"/>
      <c r="I175" s="44"/>
      <c r="J175" s="44"/>
      <c r="K175" s="44"/>
      <c r="L175" s="44"/>
      <c r="M175" s="44"/>
    </row>
    <row r="176" spans="1:13" ht="15.75" customHeight="1">
      <c r="A176" s="43"/>
      <c r="B176" s="30"/>
      <c r="C176" s="30"/>
      <c r="D176" s="44"/>
      <c r="E176" s="44"/>
      <c r="F176" s="44"/>
      <c r="G176" s="44"/>
      <c r="H176" s="44"/>
      <c r="I176" s="44"/>
      <c r="J176" s="44"/>
      <c r="K176" s="44"/>
      <c r="L176" s="44"/>
      <c r="M176" s="44"/>
    </row>
    <row r="177" spans="1:13" ht="15.75" customHeight="1">
      <c r="A177" s="43"/>
      <c r="B177" s="30"/>
      <c r="C177" s="30"/>
      <c r="D177" s="44"/>
      <c r="E177" s="44"/>
      <c r="F177" s="44"/>
      <c r="G177" s="44"/>
      <c r="H177" s="44"/>
      <c r="I177" s="44"/>
      <c r="J177" s="44"/>
      <c r="K177" s="44"/>
      <c r="L177" s="44"/>
      <c r="M177" s="44"/>
    </row>
    <row r="178" spans="1:13" ht="15.75" customHeight="1">
      <c r="A178" s="43"/>
      <c r="B178" s="30"/>
      <c r="C178" s="30"/>
      <c r="D178" s="44"/>
      <c r="E178" s="44"/>
      <c r="F178" s="44"/>
      <c r="G178" s="44"/>
      <c r="H178" s="44"/>
      <c r="I178" s="44"/>
      <c r="J178" s="44"/>
      <c r="K178" s="44"/>
      <c r="L178" s="44"/>
      <c r="M178" s="44"/>
    </row>
    <row r="179" spans="1:13" ht="15.75" customHeight="1">
      <c r="A179" s="43"/>
      <c r="B179" s="30"/>
      <c r="C179" s="30"/>
      <c r="D179" s="44"/>
      <c r="E179" s="44"/>
      <c r="F179" s="44"/>
      <c r="G179" s="44"/>
      <c r="H179" s="44"/>
      <c r="I179" s="44"/>
      <c r="J179" s="44"/>
      <c r="K179" s="44"/>
      <c r="L179" s="44"/>
      <c r="M179" s="44"/>
    </row>
    <row r="180" spans="1:13" ht="15.75" customHeight="1">
      <c r="A180" s="43"/>
      <c r="B180" s="30"/>
      <c r="C180" s="30"/>
      <c r="D180" s="44"/>
      <c r="E180" s="44"/>
      <c r="F180" s="44"/>
      <c r="G180" s="44"/>
      <c r="H180" s="44"/>
      <c r="I180" s="44"/>
      <c r="J180" s="44"/>
      <c r="K180" s="44"/>
      <c r="L180" s="44"/>
      <c r="M180" s="44"/>
    </row>
    <row r="181" spans="1:13" ht="15.75" customHeight="1">
      <c r="A181" s="43"/>
      <c r="B181" s="30"/>
      <c r="C181" s="30"/>
      <c r="D181" s="44"/>
      <c r="E181" s="44"/>
      <c r="F181" s="44"/>
      <c r="G181" s="44"/>
      <c r="H181" s="44"/>
      <c r="I181" s="44"/>
      <c r="J181" s="44"/>
      <c r="K181" s="44"/>
      <c r="L181" s="44"/>
      <c r="M181" s="44"/>
    </row>
    <row r="182" spans="1:13" ht="15.75" customHeight="1">
      <c r="A182" s="43"/>
      <c r="B182" s="30"/>
      <c r="C182" s="30"/>
      <c r="D182" s="44"/>
      <c r="E182" s="44"/>
      <c r="F182" s="44"/>
      <c r="G182" s="44"/>
      <c r="H182" s="44"/>
      <c r="I182" s="44"/>
      <c r="J182" s="44"/>
      <c r="K182" s="44"/>
      <c r="L182" s="44"/>
      <c r="M182" s="44"/>
    </row>
    <row r="183" spans="1:13" ht="15.75" customHeight="1">
      <c r="A183" s="43"/>
      <c r="B183" s="30"/>
      <c r="C183" s="30"/>
      <c r="D183" s="44"/>
      <c r="E183" s="44"/>
      <c r="F183" s="44"/>
      <c r="G183" s="44"/>
      <c r="H183" s="44"/>
      <c r="I183" s="44"/>
      <c r="J183" s="44"/>
      <c r="K183" s="44"/>
      <c r="L183" s="44"/>
      <c r="M183" s="44"/>
    </row>
    <row r="184" spans="1:13" ht="15.75" customHeight="1">
      <c r="A184" s="43"/>
      <c r="B184" s="30"/>
      <c r="C184" s="30"/>
      <c r="D184" s="44"/>
      <c r="E184" s="44"/>
      <c r="F184" s="44"/>
      <c r="G184" s="44"/>
      <c r="H184" s="44"/>
      <c r="I184" s="44"/>
      <c r="J184" s="44"/>
      <c r="K184" s="44"/>
      <c r="L184" s="44"/>
      <c r="M184" s="44"/>
    </row>
    <row r="185" spans="1:13" ht="15.75" customHeight="1">
      <c r="A185" s="43"/>
      <c r="B185" s="30"/>
      <c r="C185" s="30"/>
      <c r="D185" s="44"/>
      <c r="E185" s="44"/>
      <c r="F185" s="44"/>
      <c r="G185" s="44"/>
      <c r="H185" s="44"/>
      <c r="I185" s="44"/>
      <c r="J185" s="44"/>
      <c r="K185" s="44"/>
      <c r="L185" s="44"/>
      <c r="M185" s="44"/>
    </row>
    <row r="186" spans="1:13" ht="15.75" customHeight="1">
      <c r="A186" s="43"/>
      <c r="B186" s="30"/>
      <c r="C186" s="30"/>
      <c r="D186" s="44"/>
      <c r="E186" s="44"/>
      <c r="F186" s="44"/>
      <c r="G186" s="44"/>
      <c r="H186" s="44"/>
      <c r="I186" s="44"/>
      <c r="J186" s="44"/>
      <c r="K186" s="44"/>
      <c r="L186" s="44"/>
      <c r="M186" s="44"/>
    </row>
    <row r="187" spans="1:13" ht="15.75" customHeight="1">
      <c r="A187" s="43"/>
      <c r="B187" s="30"/>
      <c r="C187" s="30"/>
      <c r="D187" s="44"/>
      <c r="E187" s="44"/>
      <c r="F187" s="44"/>
      <c r="G187" s="44"/>
      <c r="H187" s="44"/>
      <c r="I187" s="44"/>
      <c r="J187" s="44"/>
      <c r="K187" s="44"/>
      <c r="L187" s="44"/>
      <c r="M187" s="44"/>
    </row>
    <row r="188" spans="1:13" ht="15.75" customHeight="1">
      <c r="A188" s="43"/>
      <c r="B188" s="30"/>
      <c r="C188" s="30"/>
      <c r="D188" s="44"/>
      <c r="E188" s="44"/>
      <c r="F188" s="44"/>
      <c r="G188" s="44"/>
      <c r="H188" s="44"/>
      <c r="I188" s="44"/>
      <c r="J188" s="44"/>
      <c r="K188" s="44"/>
      <c r="L188" s="44"/>
      <c r="M188" s="44"/>
    </row>
    <row r="189" spans="1:13" ht="15.75" customHeight="1">
      <c r="A189" s="43"/>
      <c r="B189" s="30"/>
      <c r="C189" s="30"/>
      <c r="D189" s="44"/>
      <c r="E189" s="44"/>
      <c r="F189" s="44"/>
      <c r="G189" s="44"/>
      <c r="H189" s="44"/>
      <c r="I189" s="44"/>
      <c r="J189" s="44"/>
      <c r="K189" s="44"/>
      <c r="L189" s="44"/>
      <c r="M189" s="44"/>
    </row>
    <row r="190" spans="1:13" ht="15.75" customHeight="1">
      <c r="A190" s="43"/>
      <c r="B190" s="30"/>
      <c r="C190" s="30"/>
      <c r="D190" s="44"/>
      <c r="E190" s="44"/>
      <c r="F190" s="44"/>
      <c r="G190" s="44"/>
      <c r="H190" s="44"/>
      <c r="I190" s="44"/>
      <c r="J190" s="44"/>
      <c r="K190" s="44"/>
      <c r="L190" s="44"/>
      <c r="M190" s="44"/>
    </row>
    <row r="191" spans="1:13" ht="15.75" customHeight="1">
      <c r="A191" s="43"/>
      <c r="B191" s="30"/>
      <c r="C191" s="30"/>
      <c r="D191" s="44"/>
      <c r="E191" s="44"/>
      <c r="F191" s="44"/>
      <c r="G191" s="44"/>
      <c r="H191" s="44"/>
      <c r="I191" s="44"/>
      <c r="J191" s="44"/>
      <c r="K191" s="44"/>
      <c r="L191" s="44"/>
      <c r="M191" s="44"/>
    </row>
    <row r="192" spans="1:13" ht="15.75" customHeight="1">
      <c r="A192" s="43"/>
      <c r="B192" s="30"/>
      <c r="C192" s="30"/>
      <c r="D192" s="44"/>
      <c r="E192" s="44"/>
      <c r="F192" s="44"/>
      <c r="G192" s="44"/>
      <c r="H192" s="44"/>
      <c r="I192" s="44"/>
      <c r="J192" s="44"/>
      <c r="K192" s="44"/>
      <c r="L192" s="44"/>
      <c r="M192" s="44"/>
    </row>
    <row r="193" spans="1:13" ht="15.75" customHeight="1">
      <c r="A193" s="43"/>
      <c r="B193" s="30"/>
      <c r="C193" s="30"/>
      <c r="D193" s="44"/>
      <c r="E193" s="44"/>
      <c r="F193" s="44"/>
      <c r="G193" s="44"/>
      <c r="H193" s="44"/>
      <c r="I193" s="44"/>
      <c r="J193" s="44"/>
      <c r="K193" s="44"/>
      <c r="L193" s="44"/>
      <c r="M193" s="44"/>
    </row>
    <row r="194" spans="1:13" ht="15.75" customHeight="1">
      <c r="A194" s="43"/>
      <c r="B194" s="30"/>
      <c r="C194" s="30"/>
      <c r="D194" s="44"/>
      <c r="E194" s="44"/>
      <c r="F194" s="44"/>
      <c r="G194" s="44"/>
      <c r="H194" s="44"/>
      <c r="I194" s="44"/>
      <c r="J194" s="44"/>
      <c r="K194" s="44"/>
      <c r="L194" s="44"/>
      <c r="M194" s="44"/>
    </row>
    <row r="195" spans="1:13" ht="15.75" customHeight="1">
      <c r="A195" s="43"/>
      <c r="B195" s="30"/>
      <c r="C195" s="30"/>
      <c r="D195" s="44"/>
      <c r="E195" s="44"/>
      <c r="F195" s="44"/>
      <c r="G195" s="44"/>
      <c r="H195" s="44"/>
      <c r="I195" s="44"/>
      <c r="J195" s="44"/>
      <c r="K195" s="44"/>
      <c r="L195" s="44"/>
      <c r="M195" s="44"/>
    </row>
    <row r="196" spans="1:13" ht="15.75" customHeight="1">
      <c r="A196" s="43"/>
      <c r="B196" s="30"/>
      <c r="C196" s="30"/>
      <c r="D196" s="44"/>
      <c r="E196" s="44"/>
      <c r="F196" s="44"/>
      <c r="G196" s="44"/>
      <c r="H196" s="44"/>
      <c r="I196" s="44"/>
      <c r="J196" s="44"/>
      <c r="K196" s="44"/>
      <c r="L196" s="44"/>
      <c r="M196" s="44"/>
    </row>
    <row r="197" spans="1:13" ht="15.75" customHeight="1">
      <c r="A197" s="43"/>
      <c r="B197" s="30"/>
      <c r="C197" s="30"/>
      <c r="D197" s="44"/>
      <c r="E197" s="44"/>
      <c r="F197" s="44"/>
      <c r="G197" s="44"/>
      <c r="H197" s="44"/>
      <c r="I197" s="44"/>
      <c r="J197" s="44"/>
      <c r="K197" s="44"/>
      <c r="L197" s="44"/>
      <c r="M197" s="44"/>
    </row>
    <row r="198" spans="1:13" ht="15.75" customHeight="1">
      <c r="A198" s="43"/>
      <c r="B198" s="30"/>
      <c r="C198" s="30"/>
      <c r="D198" s="44"/>
      <c r="E198" s="44"/>
      <c r="F198" s="44"/>
      <c r="G198" s="44"/>
      <c r="H198" s="44"/>
      <c r="I198" s="44"/>
      <c r="J198" s="44"/>
      <c r="K198" s="44"/>
      <c r="L198" s="44"/>
      <c r="M198" s="44"/>
    </row>
    <row r="199" spans="1:13" ht="15.75" customHeight="1">
      <c r="A199" s="43"/>
      <c r="B199" s="30"/>
      <c r="C199" s="30"/>
      <c r="D199" s="44"/>
      <c r="E199" s="44"/>
      <c r="F199" s="44"/>
      <c r="G199" s="44"/>
      <c r="H199" s="44"/>
      <c r="I199" s="44"/>
      <c r="J199" s="44"/>
      <c r="K199" s="44"/>
      <c r="L199" s="44"/>
      <c r="M199" s="44"/>
    </row>
    <row r="200" spans="1:13" ht="15.75" customHeight="1">
      <c r="A200" s="43"/>
      <c r="B200" s="30"/>
      <c r="C200" s="30"/>
      <c r="D200" s="44"/>
      <c r="E200" s="44"/>
      <c r="F200" s="44"/>
      <c r="G200" s="44"/>
      <c r="H200" s="44"/>
      <c r="I200" s="44"/>
      <c r="J200" s="44"/>
      <c r="K200" s="44"/>
      <c r="L200" s="44"/>
      <c r="M200" s="44"/>
    </row>
    <row r="201" spans="1:13" ht="15.75" customHeight="1">
      <c r="A201" s="43"/>
      <c r="B201" s="30"/>
      <c r="C201" s="30"/>
      <c r="D201" s="44"/>
      <c r="E201" s="44"/>
      <c r="F201" s="44"/>
      <c r="G201" s="44"/>
      <c r="H201" s="44"/>
      <c r="I201" s="44"/>
      <c r="J201" s="44"/>
      <c r="K201" s="44"/>
      <c r="L201" s="44"/>
      <c r="M201" s="44"/>
    </row>
    <row r="202" spans="1:13" ht="15.75" customHeight="1">
      <c r="A202" s="43"/>
      <c r="B202" s="30"/>
      <c r="C202" s="30"/>
      <c r="D202" s="44"/>
      <c r="E202" s="44"/>
      <c r="F202" s="44"/>
      <c r="G202" s="44"/>
      <c r="H202" s="44"/>
      <c r="I202" s="44"/>
      <c r="J202" s="44"/>
      <c r="K202" s="44"/>
      <c r="L202" s="44"/>
      <c r="M202" s="44"/>
    </row>
    <row r="203" spans="1:13" ht="15.75" customHeight="1">
      <c r="A203" s="43"/>
      <c r="B203" s="30"/>
      <c r="C203" s="30"/>
      <c r="D203" s="44"/>
      <c r="E203" s="44"/>
      <c r="F203" s="44"/>
      <c r="G203" s="44"/>
      <c r="H203" s="44"/>
      <c r="I203" s="44"/>
      <c r="J203" s="44"/>
      <c r="K203" s="44"/>
      <c r="L203" s="44"/>
      <c r="M203" s="44"/>
    </row>
    <row r="204" spans="1:13" ht="15.75" customHeight="1">
      <c r="A204" s="43"/>
      <c r="B204" s="30"/>
      <c r="C204" s="30"/>
      <c r="D204" s="44"/>
      <c r="E204" s="44"/>
      <c r="F204" s="44"/>
      <c r="G204" s="44"/>
      <c r="H204" s="44"/>
      <c r="I204" s="44"/>
      <c r="J204" s="44"/>
      <c r="K204" s="44"/>
      <c r="L204" s="44"/>
      <c r="M204" s="44"/>
    </row>
    <row r="205" spans="1:13" ht="15.75" customHeight="1">
      <c r="A205" s="43"/>
      <c r="B205" s="30"/>
      <c r="C205" s="30"/>
      <c r="D205" s="44"/>
      <c r="E205" s="44"/>
      <c r="F205" s="44"/>
      <c r="G205" s="44"/>
      <c r="H205" s="44"/>
      <c r="I205" s="44"/>
      <c r="J205" s="44"/>
      <c r="K205" s="44"/>
      <c r="L205" s="44"/>
      <c r="M205" s="44"/>
    </row>
    <row r="206" spans="1:13" ht="15.75" customHeight="1">
      <c r="A206" s="43"/>
      <c r="B206" s="30"/>
      <c r="C206" s="30"/>
      <c r="D206" s="44"/>
      <c r="E206" s="44"/>
      <c r="F206" s="44"/>
      <c r="G206" s="44"/>
      <c r="H206" s="44"/>
      <c r="I206" s="44"/>
      <c r="J206" s="44"/>
      <c r="K206" s="44"/>
      <c r="L206" s="44"/>
      <c r="M206" s="44"/>
    </row>
    <row r="207" spans="1:13" ht="15.75" customHeight="1">
      <c r="A207" s="43"/>
      <c r="B207" s="30"/>
      <c r="C207" s="30"/>
      <c r="D207" s="44"/>
      <c r="E207" s="44"/>
      <c r="F207" s="44"/>
      <c r="G207" s="44"/>
      <c r="H207" s="44"/>
      <c r="I207" s="44"/>
      <c r="J207" s="44"/>
      <c r="K207" s="44"/>
      <c r="L207" s="44"/>
      <c r="M207" s="44"/>
    </row>
    <row r="208" spans="1:13" ht="15.75" customHeight="1">
      <c r="A208" s="43"/>
      <c r="B208" s="30"/>
      <c r="C208" s="30"/>
      <c r="D208" s="44"/>
      <c r="E208" s="44"/>
      <c r="F208" s="44"/>
      <c r="G208" s="44"/>
      <c r="H208" s="44"/>
      <c r="I208" s="44"/>
      <c r="J208" s="44"/>
      <c r="K208" s="44"/>
      <c r="L208" s="44"/>
      <c r="M208" s="44"/>
    </row>
    <row r="209" spans="1:13" ht="15.75" customHeight="1">
      <c r="A209" s="43"/>
      <c r="B209" s="30"/>
      <c r="C209" s="30"/>
      <c r="D209" s="44"/>
      <c r="E209" s="44"/>
      <c r="F209" s="44"/>
      <c r="G209" s="44"/>
      <c r="H209" s="44"/>
      <c r="I209" s="44"/>
      <c r="J209" s="44"/>
      <c r="K209" s="44"/>
      <c r="L209" s="44"/>
      <c r="M209" s="44"/>
    </row>
    <row r="210" spans="1:13" ht="15.75" customHeight="1">
      <c r="A210" s="43"/>
      <c r="B210" s="30"/>
      <c r="C210" s="30"/>
      <c r="D210" s="44"/>
      <c r="E210" s="44"/>
      <c r="F210" s="44"/>
      <c r="G210" s="44"/>
      <c r="H210" s="44"/>
      <c r="I210" s="44"/>
      <c r="J210" s="44"/>
      <c r="K210" s="44"/>
      <c r="L210" s="44"/>
      <c r="M210" s="44"/>
    </row>
    <row r="211" spans="1:13" ht="15.75" customHeight="1">
      <c r="A211" s="43"/>
      <c r="B211" s="30"/>
      <c r="C211" s="30"/>
      <c r="D211" s="44"/>
      <c r="E211" s="44"/>
      <c r="F211" s="44"/>
      <c r="G211" s="44"/>
      <c r="H211" s="44"/>
      <c r="I211" s="44"/>
      <c r="J211" s="44"/>
      <c r="K211" s="44"/>
      <c r="L211" s="44"/>
      <c r="M211" s="44"/>
    </row>
    <row r="212" spans="1:13" ht="15.75" customHeight="1">
      <c r="A212" s="43"/>
      <c r="B212" s="30"/>
      <c r="C212" s="30"/>
      <c r="D212" s="44"/>
      <c r="E212" s="44"/>
      <c r="F212" s="44"/>
      <c r="G212" s="44"/>
      <c r="H212" s="44"/>
      <c r="I212" s="44"/>
      <c r="J212" s="44"/>
      <c r="K212" s="44"/>
      <c r="L212" s="44"/>
      <c r="M212" s="44"/>
    </row>
    <row r="213" spans="1:13" ht="15.75" customHeight="1">
      <c r="A213" s="43"/>
      <c r="B213" s="30"/>
      <c r="C213" s="30"/>
      <c r="D213" s="44"/>
      <c r="E213" s="44"/>
      <c r="F213" s="44"/>
      <c r="G213" s="44"/>
      <c r="H213" s="44"/>
      <c r="I213" s="44"/>
      <c r="J213" s="44"/>
      <c r="K213" s="44"/>
      <c r="L213" s="44"/>
      <c r="M213" s="44"/>
    </row>
    <row r="214" spans="1:13" ht="15.75" customHeight="1">
      <c r="A214" s="43"/>
      <c r="B214" s="30"/>
      <c r="C214" s="30"/>
      <c r="D214" s="44"/>
      <c r="E214" s="44"/>
      <c r="F214" s="44"/>
      <c r="G214" s="44"/>
      <c r="H214" s="44"/>
      <c r="I214" s="44"/>
      <c r="J214" s="44"/>
      <c r="K214" s="44"/>
      <c r="L214" s="44"/>
      <c r="M214" s="44"/>
    </row>
    <row r="215" spans="1:13" ht="15.75" customHeight="1">
      <c r="A215" s="43"/>
      <c r="B215" s="30"/>
      <c r="C215" s="30"/>
      <c r="D215" s="44"/>
      <c r="E215" s="44"/>
      <c r="F215" s="44"/>
      <c r="G215" s="44"/>
      <c r="H215" s="44"/>
      <c r="I215" s="44"/>
      <c r="J215" s="44"/>
      <c r="K215" s="44"/>
      <c r="L215" s="44"/>
      <c r="M215" s="44"/>
    </row>
    <row r="216" spans="1:13" ht="15.75" customHeight="1">
      <c r="A216" s="43"/>
      <c r="B216" s="30"/>
      <c r="C216" s="30"/>
      <c r="D216" s="44"/>
      <c r="E216" s="44"/>
      <c r="F216" s="44"/>
      <c r="G216" s="44"/>
      <c r="H216" s="44"/>
      <c r="I216" s="44"/>
      <c r="J216" s="44"/>
      <c r="K216" s="44"/>
      <c r="L216" s="44"/>
      <c r="M216" s="44"/>
    </row>
    <row r="217" spans="1:13" ht="15.75" customHeight="1">
      <c r="A217" s="43"/>
      <c r="B217" s="30"/>
      <c r="C217" s="30"/>
      <c r="D217" s="44"/>
      <c r="E217" s="44"/>
      <c r="F217" s="44"/>
      <c r="G217" s="44"/>
      <c r="H217" s="44"/>
      <c r="I217" s="44"/>
      <c r="J217" s="44"/>
      <c r="K217" s="44"/>
      <c r="L217" s="44"/>
      <c r="M217" s="44"/>
    </row>
    <row r="218" spans="1:13" ht="15.75" customHeight="1">
      <c r="A218" s="43"/>
      <c r="B218" s="30"/>
      <c r="C218" s="30"/>
      <c r="D218" s="44"/>
      <c r="E218" s="44"/>
      <c r="F218" s="44"/>
      <c r="G218" s="44"/>
      <c r="H218" s="44"/>
      <c r="I218" s="44"/>
      <c r="J218" s="44"/>
      <c r="K218" s="44"/>
      <c r="L218" s="44"/>
      <c r="M218" s="44"/>
    </row>
    <row r="219" spans="1:13" ht="15.75" customHeight="1">
      <c r="A219" s="43"/>
      <c r="B219" s="30"/>
      <c r="C219" s="30"/>
      <c r="D219" s="44"/>
      <c r="E219" s="44"/>
      <c r="F219" s="44"/>
      <c r="G219" s="44"/>
      <c r="H219" s="44"/>
      <c r="I219" s="44"/>
      <c r="J219" s="44"/>
      <c r="K219" s="44"/>
      <c r="L219" s="44"/>
      <c r="M219" s="44"/>
    </row>
    <row r="220" spans="1:13" ht="15.75" customHeight="1">
      <c r="A220" s="43"/>
      <c r="B220" s="30"/>
      <c r="C220" s="30"/>
      <c r="D220" s="44"/>
      <c r="E220" s="44"/>
      <c r="F220" s="44"/>
      <c r="G220" s="44"/>
      <c r="H220" s="44"/>
      <c r="I220" s="44"/>
      <c r="J220" s="44"/>
      <c r="K220" s="44"/>
      <c r="L220" s="44"/>
      <c r="M220" s="44"/>
    </row>
    <row r="221" spans="1:13" ht="15.75" customHeight="1">
      <c r="A221" s="43"/>
      <c r="B221" s="30"/>
      <c r="C221" s="30"/>
      <c r="D221" s="44"/>
      <c r="E221" s="44"/>
      <c r="F221" s="44"/>
      <c r="G221" s="44"/>
      <c r="H221" s="44"/>
      <c r="I221" s="44"/>
      <c r="J221" s="44"/>
      <c r="K221" s="44"/>
      <c r="L221" s="44"/>
      <c r="M221" s="44"/>
    </row>
    <row r="222" spans="1:13" ht="15.75" customHeight="1">
      <c r="A222" s="43"/>
      <c r="B222" s="30"/>
      <c r="C222" s="30"/>
      <c r="D222" s="44"/>
      <c r="E222" s="44"/>
      <c r="F222" s="44"/>
      <c r="G222" s="44"/>
      <c r="H222" s="44"/>
      <c r="I222" s="44"/>
      <c r="J222" s="44"/>
      <c r="K222" s="44"/>
      <c r="L222" s="44"/>
      <c r="M222" s="44"/>
    </row>
    <row r="223" spans="1:13" ht="15.75" customHeight="1">
      <c r="A223" s="43"/>
      <c r="B223" s="30"/>
      <c r="C223" s="30"/>
      <c r="D223" s="44"/>
      <c r="E223" s="44"/>
      <c r="F223" s="44"/>
      <c r="G223" s="44"/>
      <c r="H223" s="44"/>
      <c r="I223" s="44"/>
      <c r="J223" s="44"/>
      <c r="K223" s="44"/>
      <c r="L223" s="44"/>
      <c r="M223" s="44"/>
    </row>
    <row r="224" spans="1:13" ht="15.75" customHeight="1">
      <c r="A224" s="43"/>
      <c r="B224" s="30"/>
      <c r="C224" s="30"/>
      <c r="D224" s="44"/>
      <c r="E224" s="44"/>
      <c r="F224" s="44"/>
      <c r="G224" s="44"/>
      <c r="H224" s="44"/>
      <c r="I224" s="44"/>
      <c r="J224" s="44"/>
      <c r="K224" s="44"/>
      <c r="L224" s="44"/>
      <c r="M224" s="44"/>
    </row>
    <row r="225" spans="1:13" ht="15.75" customHeight="1">
      <c r="A225" s="43"/>
      <c r="B225" s="30"/>
      <c r="C225" s="30"/>
      <c r="D225" s="44"/>
      <c r="E225" s="44"/>
      <c r="F225" s="44"/>
      <c r="G225" s="44"/>
      <c r="H225" s="44"/>
      <c r="I225" s="44"/>
      <c r="J225" s="44"/>
      <c r="K225" s="44"/>
      <c r="L225" s="44"/>
      <c r="M225" s="44"/>
    </row>
    <row r="226" spans="1:13" ht="15.75" customHeight="1">
      <c r="A226" s="43"/>
      <c r="B226" s="30"/>
      <c r="C226" s="30"/>
      <c r="D226" s="44"/>
      <c r="E226" s="44"/>
      <c r="F226" s="44"/>
      <c r="G226" s="44"/>
      <c r="H226" s="44"/>
      <c r="I226" s="44"/>
      <c r="J226" s="44"/>
      <c r="K226" s="44"/>
      <c r="L226" s="44"/>
      <c r="M226" s="44"/>
    </row>
    <row r="227" spans="1:13" ht="15.75" customHeight="1">
      <c r="A227" s="43"/>
      <c r="B227" s="30"/>
      <c r="C227" s="30"/>
      <c r="D227" s="44"/>
      <c r="E227" s="44"/>
      <c r="F227" s="44"/>
      <c r="G227" s="44"/>
      <c r="H227" s="44"/>
      <c r="I227" s="44"/>
      <c r="J227" s="44"/>
      <c r="K227" s="44"/>
      <c r="L227" s="44"/>
      <c r="M227" s="44"/>
    </row>
    <row r="228" spans="1:13" ht="15.75" customHeight="1">
      <c r="A228" s="43"/>
      <c r="B228" s="30"/>
      <c r="C228" s="30"/>
      <c r="D228" s="44"/>
      <c r="E228" s="44"/>
      <c r="F228" s="44"/>
      <c r="G228" s="44"/>
      <c r="H228" s="44"/>
      <c r="I228" s="44"/>
      <c r="J228" s="44"/>
      <c r="K228" s="44"/>
      <c r="L228" s="44"/>
      <c r="M228" s="44"/>
    </row>
    <row r="229" spans="1:13" ht="15.75" customHeight="1">
      <c r="A229" s="43"/>
      <c r="B229" s="30"/>
      <c r="C229" s="30"/>
      <c r="D229" s="44"/>
      <c r="E229" s="44"/>
      <c r="F229" s="44"/>
      <c r="G229" s="44"/>
      <c r="H229" s="44"/>
      <c r="I229" s="44"/>
      <c r="J229" s="44"/>
      <c r="K229" s="44"/>
      <c r="L229" s="44"/>
      <c r="M229" s="44"/>
    </row>
    <row r="230" spans="1:13" ht="15.75" customHeight="1">
      <c r="A230" s="43"/>
      <c r="B230" s="30"/>
      <c r="C230" s="30"/>
      <c r="D230" s="44"/>
      <c r="E230" s="44"/>
      <c r="F230" s="44"/>
      <c r="G230" s="44"/>
      <c r="H230" s="44"/>
      <c r="I230" s="44"/>
      <c r="J230" s="44"/>
      <c r="K230" s="44"/>
      <c r="L230" s="44"/>
      <c r="M230" s="44"/>
    </row>
    <row r="231" spans="1:13" ht="15.75" customHeight="1">
      <c r="A231" s="43"/>
      <c r="B231" s="30"/>
      <c r="C231" s="30"/>
      <c r="D231" s="44"/>
      <c r="E231" s="44"/>
      <c r="F231" s="44"/>
      <c r="G231" s="44"/>
      <c r="H231" s="44"/>
      <c r="I231" s="44"/>
      <c r="J231" s="44"/>
      <c r="K231" s="44"/>
      <c r="L231" s="44"/>
      <c r="M231" s="44"/>
    </row>
    <row r="232" spans="1:13" ht="15.75" customHeight="1">
      <c r="A232" s="43"/>
      <c r="B232" s="30"/>
      <c r="C232" s="30"/>
      <c r="D232" s="44"/>
      <c r="E232" s="44"/>
      <c r="F232" s="44"/>
      <c r="G232" s="44"/>
      <c r="H232" s="44"/>
      <c r="I232" s="44"/>
      <c r="J232" s="44"/>
      <c r="K232" s="44"/>
      <c r="L232" s="44"/>
      <c r="M232" s="44"/>
    </row>
    <row r="233" spans="1:13" ht="15.75" customHeight="1">
      <c r="A233" s="43"/>
      <c r="B233" s="30"/>
      <c r="C233" s="30"/>
      <c r="D233" s="44"/>
      <c r="E233" s="44"/>
      <c r="F233" s="44"/>
      <c r="G233" s="44"/>
      <c r="H233" s="44"/>
      <c r="I233" s="44"/>
      <c r="J233" s="44"/>
      <c r="K233" s="44"/>
      <c r="L233" s="44"/>
      <c r="M233" s="44"/>
    </row>
    <row r="234" spans="1:13" ht="15.75" customHeight="1">
      <c r="A234" s="43"/>
      <c r="B234" s="30"/>
      <c r="C234" s="30"/>
      <c r="D234" s="44"/>
      <c r="E234" s="44"/>
      <c r="F234" s="44"/>
      <c r="G234" s="44"/>
      <c r="H234" s="44"/>
      <c r="I234" s="44"/>
      <c r="J234" s="44"/>
      <c r="K234" s="44"/>
      <c r="L234" s="44"/>
      <c r="M234" s="44"/>
    </row>
    <row r="235" spans="1:13" ht="15.75" customHeight="1">
      <c r="A235" s="43"/>
      <c r="B235" s="30"/>
      <c r="C235" s="30"/>
      <c r="D235" s="44"/>
      <c r="E235" s="44"/>
      <c r="F235" s="44"/>
      <c r="G235" s="44"/>
      <c r="H235" s="44"/>
      <c r="I235" s="44"/>
      <c r="J235" s="44"/>
      <c r="K235" s="44"/>
      <c r="L235" s="44"/>
      <c r="M235" s="44"/>
    </row>
    <row r="236" spans="1:13" ht="15.75" customHeight="1">
      <c r="A236" s="43"/>
      <c r="B236" s="30"/>
      <c r="C236" s="30"/>
      <c r="D236" s="44"/>
      <c r="E236" s="44"/>
      <c r="F236" s="44"/>
      <c r="G236" s="44"/>
      <c r="H236" s="44"/>
      <c r="I236" s="44"/>
      <c r="J236" s="44"/>
      <c r="K236" s="44"/>
      <c r="L236" s="44"/>
      <c r="M236" s="44"/>
    </row>
    <row r="237" spans="1:13" ht="15.75" customHeight="1">
      <c r="A237" s="43"/>
      <c r="B237" s="30"/>
      <c r="C237" s="30"/>
      <c r="D237" s="44"/>
      <c r="E237" s="44"/>
      <c r="F237" s="44"/>
      <c r="G237" s="44"/>
      <c r="H237" s="44"/>
      <c r="I237" s="44"/>
      <c r="J237" s="44"/>
      <c r="K237" s="44"/>
      <c r="L237" s="44"/>
      <c r="M237" s="44"/>
    </row>
    <row r="238" spans="1:13" ht="15.75" customHeight="1">
      <c r="A238" s="43"/>
      <c r="B238" s="30"/>
      <c r="C238" s="30"/>
      <c r="D238" s="44"/>
      <c r="E238" s="44"/>
      <c r="F238" s="44"/>
      <c r="G238" s="44"/>
      <c r="H238" s="44"/>
      <c r="I238" s="44"/>
      <c r="J238" s="44"/>
      <c r="K238" s="44"/>
      <c r="L238" s="44"/>
      <c r="M238" s="44"/>
    </row>
    <row r="239" spans="1:13" ht="15.75" customHeight="1">
      <c r="A239" s="43"/>
      <c r="B239" s="30"/>
      <c r="C239" s="30"/>
      <c r="D239" s="44"/>
      <c r="E239" s="44"/>
      <c r="F239" s="44"/>
      <c r="G239" s="44"/>
      <c r="H239" s="44"/>
      <c r="I239" s="44"/>
      <c r="J239" s="44"/>
      <c r="K239" s="44"/>
      <c r="L239" s="44"/>
      <c r="M239" s="44"/>
    </row>
    <row r="240" spans="1:13" ht="15.75" customHeight="1">
      <c r="A240" s="43"/>
      <c r="B240" s="30"/>
      <c r="C240" s="30"/>
      <c r="D240" s="44"/>
      <c r="E240" s="44"/>
      <c r="F240" s="44"/>
      <c r="G240" s="44"/>
      <c r="H240" s="44"/>
      <c r="I240" s="44"/>
      <c r="J240" s="44"/>
      <c r="K240" s="44"/>
      <c r="L240" s="44"/>
      <c r="M240" s="44"/>
    </row>
    <row r="241" spans="1:13" ht="15.75" customHeight="1">
      <c r="A241" s="43"/>
      <c r="B241" s="30"/>
      <c r="C241" s="30"/>
      <c r="D241" s="44"/>
      <c r="E241" s="44"/>
      <c r="F241" s="44"/>
      <c r="G241" s="44"/>
      <c r="H241" s="44"/>
      <c r="I241" s="44"/>
      <c r="J241" s="44"/>
      <c r="K241" s="44"/>
      <c r="L241" s="44"/>
      <c r="M241" s="44"/>
    </row>
    <row r="242" spans="1:13" ht="15.75" customHeight="1">
      <c r="A242" s="43"/>
      <c r="B242" s="30"/>
      <c r="C242" s="30"/>
      <c r="D242" s="44"/>
      <c r="E242" s="44"/>
      <c r="F242" s="44"/>
      <c r="G242" s="44"/>
      <c r="H242" s="44"/>
      <c r="I242" s="44"/>
      <c r="J242" s="44"/>
      <c r="K242" s="44"/>
      <c r="L242" s="44"/>
      <c r="M242" s="44"/>
    </row>
    <row r="243" spans="1:13" ht="15.75" customHeight="1">
      <c r="A243" s="43"/>
      <c r="B243" s="30"/>
      <c r="C243" s="30"/>
      <c r="D243" s="44"/>
      <c r="E243" s="44"/>
      <c r="F243" s="44"/>
      <c r="G243" s="44"/>
      <c r="H243" s="44"/>
      <c r="I243" s="44"/>
      <c r="J243" s="44"/>
      <c r="K243" s="44"/>
      <c r="L243" s="44"/>
      <c r="M243" s="44"/>
    </row>
    <row r="244" spans="1:13" ht="15.75" customHeight="1">
      <c r="A244" s="43"/>
      <c r="B244" s="30"/>
      <c r="C244" s="30"/>
      <c r="D244" s="44"/>
      <c r="E244" s="44"/>
      <c r="F244" s="44"/>
      <c r="G244" s="44"/>
      <c r="H244" s="44"/>
      <c r="I244" s="44"/>
      <c r="J244" s="44"/>
      <c r="K244" s="44"/>
      <c r="L244" s="44"/>
      <c r="M244" s="44"/>
    </row>
    <row r="245" spans="1:13" ht="15.75" customHeight="1">
      <c r="A245" s="43"/>
      <c r="B245" s="30"/>
      <c r="C245" s="30"/>
      <c r="D245" s="44"/>
      <c r="E245" s="44"/>
      <c r="F245" s="44"/>
      <c r="G245" s="44"/>
      <c r="H245" s="44"/>
      <c r="I245" s="44"/>
      <c r="J245" s="44"/>
      <c r="K245" s="44"/>
      <c r="L245" s="44"/>
      <c r="M245" s="44"/>
    </row>
    <row r="246" spans="1:13" ht="15.75" customHeight="1">
      <c r="A246" s="43"/>
      <c r="B246" s="30"/>
      <c r="C246" s="30"/>
      <c r="D246" s="44"/>
      <c r="E246" s="44"/>
      <c r="F246" s="44"/>
      <c r="G246" s="44"/>
      <c r="H246" s="44"/>
      <c r="I246" s="44"/>
      <c r="J246" s="44"/>
      <c r="K246" s="44"/>
      <c r="L246" s="44"/>
      <c r="M246" s="44"/>
    </row>
    <row r="247" spans="1:13" ht="15.75" customHeight="1">
      <c r="A247" s="43"/>
      <c r="B247" s="30"/>
      <c r="C247" s="30"/>
      <c r="D247" s="44"/>
      <c r="E247" s="44"/>
      <c r="F247" s="44"/>
      <c r="G247" s="44"/>
      <c r="H247" s="44"/>
      <c r="I247" s="44"/>
      <c r="J247" s="44"/>
      <c r="K247" s="44"/>
      <c r="L247" s="44"/>
      <c r="M247" s="44"/>
    </row>
    <row r="248" spans="1:13" ht="15.75" customHeight="1">
      <c r="A248" s="43"/>
      <c r="B248" s="30"/>
      <c r="C248" s="30"/>
      <c r="D248" s="44"/>
      <c r="E248" s="44"/>
      <c r="F248" s="44"/>
      <c r="G248" s="44"/>
      <c r="H248" s="44"/>
      <c r="I248" s="44"/>
      <c r="J248" s="44"/>
      <c r="K248" s="44"/>
      <c r="L248" s="44"/>
      <c r="M248" s="44"/>
    </row>
    <row r="249" spans="1:13" ht="15.75" customHeight="1">
      <c r="A249" s="43"/>
      <c r="B249" s="30"/>
      <c r="C249" s="30"/>
      <c r="D249" s="44"/>
      <c r="E249" s="44"/>
      <c r="F249" s="44"/>
      <c r="G249" s="44"/>
      <c r="H249" s="44"/>
      <c r="I249" s="44"/>
      <c r="J249" s="44"/>
      <c r="K249" s="44"/>
      <c r="L249" s="44"/>
      <c r="M249" s="44"/>
    </row>
    <row r="250" spans="1:13" ht="15.75" customHeight="1">
      <c r="A250" s="43"/>
      <c r="B250" s="30"/>
      <c r="C250" s="30"/>
      <c r="D250" s="44"/>
      <c r="E250" s="44"/>
      <c r="F250" s="44"/>
      <c r="G250" s="44"/>
      <c r="H250" s="44"/>
      <c r="I250" s="44"/>
      <c r="J250" s="44"/>
      <c r="K250" s="44"/>
      <c r="L250" s="44"/>
      <c r="M250" s="44"/>
    </row>
    <row r="251" spans="1:13" ht="15.75" customHeight="1">
      <c r="A251" s="43"/>
      <c r="B251" s="30"/>
      <c r="C251" s="30"/>
      <c r="D251" s="44"/>
      <c r="E251" s="44"/>
      <c r="F251" s="44"/>
      <c r="G251" s="44"/>
      <c r="H251" s="44"/>
      <c r="I251" s="44"/>
      <c r="J251" s="44"/>
      <c r="K251" s="44"/>
      <c r="L251" s="44"/>
      <c r="M251" s="44"/>
    </row>
    <row r="252" spans="1:13" ht="15.75" customHeight="1">
      <c r="A252" s="43"/>
      <c r="B252" s="30"/>
      <c r="C252" s="30"/>
      <c r="D252" s="44"/>
      <c r="E252" s="44"/>
      <c r="F252" s="44"/>
      <c r="G252" s="44"/>
      <c r="H252" s="44"/>
      <c r="I252" s="44"/>
      <c r="J252" s="44"/>
      <c r="K252" s="44"/>
      <c r="L252" s="44"/>
      <c r="M252" s="44"/>
    </row>
    <row r="253" spans="1:13" ht="15.75" customHeight="1">
      <c r="A253" s="43"/>
      <c r="B253" s="30"/>
      <c r="C253" s="30"/>
      <c r="D253" s="44"/>
      <c r="E253" s="44"/>
      <c r="F253" s="44"/>
      <c r="G253" s="44"/>
      <c r="H253" s="44"/>
      <c r="I253" s="44"/>
      <c r="J253" s="44"/>
      <c r="K253" s="44"/>
      <c r="L253" s="44"/>
      <c r="M253" s="44"/>
    </row>
    <row r="254" spans="1:13" ht="15.75" customHeight="1">
      <c r="A254" s="43"/>
      <c r="B254" s="30"/>
      <c r="C254" s="30"/>
      <c r="D254" s="44"/>
      <c r="E254" s="44"/>
      <c r="F254" s="44"/>
      <c r="G254" s="44"/>
      <c r="H254" s="44"/>
      <c r="I254" s="44"/>
      <c r="J254" s="44"/>
      <c r="K254" s="44"/>
      <c r="L254" s="44"/>
      <c r="M254" s="44"/>
    </row>
    <row r="255" spans="1:13" ht="15.75" customHeight="1">
      <c r="A255" s="43"/>
      <c r="B255" s="30"/>
      <c r="C255" s="30"/>
      <c r="D255" s="44"/>
      <c r="E255" s="44"/>
      <c r="F255" s="44"/>
      <c r="G255" s="44"/>
      <c r="H255" s="44"/>
      <c r="I255" s="44"/>
      <c r="J255" s="44"/>
      <c r="K255" s="44"/>
      <c r="L255" s="44"/>
      <c r="M255" s="44"/>
    </row>
    <row r="256" spans="1:13" ht="15.75" customHeight="1">
      <c r="A256" s="43"/>
      <c r="B256" s="30"/>
      <c r="C256" s="30"/>
      <c r="D256" s="44"/>
      <c r="E256" s="44"/>
      <c r="F256" s="44"/>
      <c r="G256" s="44"/>
      <c r="H256" s="44"/>
      <c r="I256" s="44"/>
      <c r="J256" s="44"/>
      <c r="K256" s="44"/>
      <c r="L256" s="44"/>
      <c r="M256" s="44"/>
    </row>
    <row r="257" spans="1:13" ht="15.75" customHeight="1">
      <c r="A257" s="43"/>
      <c r="B257" s="30"/>
      <c r="C257" s="30"/>
      <c r="D257" s="44"/>
      <c r="E257" s="44"/>
      <c r="F257" s="44"/>
      <c r="G257" s="44"/>
      <c r="H257" s="44"/>
      <c r="I257" s="44"/>
      <c r="J257" s="44"/>
      <c r="K257" s="44"/>
      <c r="L257" s="44"/>
      <c r="M257" s="44"/>
    </row>
    <row r="258" spans="1:13" ht="15.75" customHeight="1">
      <c r="A258" s="43"/>
      <c r="B258" s="30"/>
      <c r="C258" s="30"/>
      <c r="D258" s="44"/>
      <c r="E258" s="44"/>
      <c r="F258" s="44"/>
      <c r="G258" s="44"/>
      <c r="H258" s="44"/>
      <c r="I258" s="44"/>
      <c r="J258" s="44"/>
      <c r="K258" s="44"/>
      <c r="L258" s="44"/>
      <c r="M258" s="44"/>
    </row>
    <row r="259" spans="1:13" ht="15.75" customHeight="1">
      <c r="A259" s="43"/>
      <c r="B259" s="30"/>
      <c r="C259" s="30"/>
      <c r="D259" s="44"/>
      <c r="E259" s="44"/>
      <c r="F259" s="44"/>
      <c r="G259" s="44"/>
      <c r="H259" s="44"/>
      <c r="I259" s="44"/>
      <c r="J259" s="44"/>
      <c r="K259" s="44"/>
      <c r="L259" s="44"/>
      <c r="M259" s="44"/>
    </row>
    <row r="260" spans="1:13" ht="15.75" customHeight="1">
      <c r="A260" s="43"/>
      <c r="B260" s="30"/>
      <c r="C260" s="30"/>
      <c r="D260" s="44"/>
      <c r="E260" s="44"/>
      <c r="F260" s="44"/>
      <c r="G260" s="44"/>
      <c r="H260" s="44"/>
      <c r="I260" s="44"/>
      <c r="J260" s="44"/>
      <c r="K260" s="44"/>
      <c r="L260" s="44"/>
      <c r="M260" s="44"/>
    </row>
    <row r="261" spans="1:13" ht="15.75" customHeight="1">
      <c r="A261" s="43"/>
      <c r="B261" s="30"/>
      <c r="C261" s="30"/>
      <c r="D261" s="44"/>
      <c r="E261" s="44"/>
      <c r="F261" s="44"/>
      <c r="G261" s="44"/>
      <c r="H261" s="44"/>
      <c r="I261" s="44"/>
      <c r="J261" s="44"/>
      <c r="K261" s="44"/>
      <c r="L261" s="44"/>
      <c r="M261" s="44"/>
    </row>
    <row r="262" spans="1:13" ht="15.75" customHeight="1">
      <c r="A262" s="43"/>
      <c r="B262" s="30"/>
      <c r="C262" s="30"/>
      <c r="D262" s="44"/>
      <c r="E262" s="44"/>
      <c r="F262" s="44"/>
      <c r="G262" s="44"/>
      <c r="H262" s="44"/>
      <c r="I262" s="44"/>
      <c r="J262" s="44"/>
      <c r="K262" s="44"/>
      <c r="L262" s="44"/>
      <c r="M262" s="44"/>
    </row>
    <row r="263" spans="1:13" ht="15.75" customHeight="1">
      <c r="A263" s="43"/>
      <c r="B263" s="30"/>
      <c r="C263" s="30"/>
      <c r="D263" s="44"/>
      <c r="E263" s="44"/>
      <c r="F263" s="44"/>
      <c r="G263" s="44"/>
      <c r="H263" s="44"/>
      <c r="I263" s="44"/>
      <c r="J263" s="44"/>
      <c r="K263" s="44"/>
      <c r="L263" s="44"/>
      <c r="M263" s="44"/>
    </row>
    <row r="264" spans="1:13" ht="15.75" customHeight="1">
      <c r="A264" s="43"/>
      <c r="B264" s="30"/>
      <c r="C264" s="30"/>
      <c r="D264" s="44"/>
      <c r="E264" s="44"/>
      <c r="F264" s="44"/>
      <c r="G264" s="44"/>
      <c r="H264" s="44"/>
      <c r="I264" s="44"/>
      <c r="J264" s="44"/>
      <c r="K264" s="44"/>
      <c r="L264" s="44"/>
      <c r="M264" s="44"/>
    </row>
    <row r="265" spans="1:13" ht="15.75" customHeight="1">
      <c r="A265" s="43"/>
      <c r="B265" s="30"/>
      <c r="C265" s="30"/>
      <c r="D265" s="44"/>
      <c r="E265" s="44"/>
      <c r="F265" s="44"/>
      <c r="G265" s="44"/>
      <c r="H265" s="44"/>
      <c r="I265" s="44"/>
      <c r="J265" s="44"/>
      <c r="K265" s="44"/>
      <c r="L265" s="44"/>
      <c r="M265" s="44"/>
    </row>
    <row r="266" spans="1:13" ht="15.75" customHeight="1">
      <c r="A266" s="43"/>
      <c r="B266" s="30"/>
      <c r="C266" s="30"/>
      <c r="D266" s="44"/>
      <c r="E266" s="44"/>
      <c r="F266" s="44"/>
      <c r="G266" s="44"/>
      <c r="H266" s="44"/>
      <c r="I266" s="44"/>
      <c r="J266" s="44"/>
      <c r="K266" s="44"/>
      <c r="L266" s="44"/>
      <c r="M266" s="44"/>
    </row>
    <row r="267" spans="1:13" ht="15.75" customHeight="1">
      <c r="A267" s="43"/>
      <c r="B267" s="30"/>
      <c r="C267" s="30"/>
      <c r="D267" s="44"/>
      <c r="E267" s="44"/>
      <c r="F267" s="44"/>
      <c r="G267" s="44"/>
      <c r="H267" s="44"/>
      <c r="I267" s="44"/>
      <c r="J267" s="44"/>
      <c r="K267" s="44"/>
      <c r="L267" s="44"/>
      <c r="M267" s="44"/>
    </row>
    <row r="268" spans="1:13" ht="15.75" customHeight="1">
      <c r="A268" s="43"/>
      <c r="B268" s="30"/>
      <c r="C268" s="30"/>
      <c r="D268" s="44"/>
      <c r="E268" s="44"/>
      <c r="F268" s="44"/>
      <c r="G268" s="44"/>
      <c r="H268" s="44"/>
      <c r="I268" s="44"/>
      <c r="J268" s="44"/>
      <c r="K268" s="44"/>
      <c r="L268" s="44"/>
      <c r="M268" s="44"/>
    </row>
    <row r="269" spans="1:13" ht="15.75" customHeight="1">
      <c r="A269" s="43"/>
      <c r="B269" s="30"/>
      <c r="C269" s="30"/>
      <c r="D269" s="44"/>
      <c r="E269" s="44"/>
      <c r="F269" s="44"/>
      <c r="G269" s="44"/>
      <c r="H269" s="44"/>
      <c r="I269" s="44"/>
      <c r="J269" s="44"/>
      <c r="K269" s="44"/>
      <c r="L269" s="44"/>
      <c r="M269" s="44"/>
    </row>
    <row r="270" spans="1:13" ht="15.75" customHeight="1">
      <c r="A270" s="43"/>
      <c r="B270" s="30"/>
      <c r="C270" s="30"/>
      <c r="D270" s="44"/>
      <c r="E270" s="44"/>
      <c r="F270" s="44"/>
      <c r="G270" s="44"/>
      <c r="H270" s="44"/>
      <c r="I270" s="44"/>
      <c r="J270" s="44"/>
      <c r="K270" s="44"/>
      <c r="L270" s="44"/>
      <c r="M270" s="44"/>
    </row>
    <row r="271" spans="1:13" ht="15.75" customHeight="1">
      <c r="A271" s="43"/>
      <c r="B271" s="30"/>
      <c r="C271" s="30"/>
      <c r="D271" s="44"/>
      <c r="E271" s="44"/>
      <c r="F271" s="44"/>
      <c r="G271" s="44"/>
      <c r="H271" s="44"/>
      <c r="I271" s="44"/>
      <c r="J271" s="44"/>
      <c r="K271" s="44"/>
      <c r="L271" s="44"/>
      <c r="M271" s="44"/>
    </row>
    <row r="272" spans="1:13" ht="15.75" customHeight="1">
      <c r="A272" s="43"/>
      <c r="B272" s="30"/>
      <c r="C272" s="30"/>
      <c r="D272" s="44"/>
      <c r="E272" s="44"/>
      <c r="F272" s="44"/>
      <c r="G272" s="44"/>
      <c r="H272" s="44"/>
      <c r="I272" s="44"/>
      <c r="J272" s="44"/>
      <c r="K272" s="44"/>
      <c r="L272" s="44"/>
      <c r="M272" s="44"/>
    </row>
    <row r="273" spans="1:13" ht="15.75" customHeight="1">
      <c r="A273" s="43"/>
      <c r="B273" s="30"/>
      <c r="C273" s="30"/>
      <c r="D273" s="44"/>
      <c r="E273" s="44"/>
      <c r="F273" s="44"/>
      <c r="G273" s="44"/>
      <c r="H273" s="44"/>
      <c r="I273" s="44"/>
      <c r="J273" s="44"/>
      <c r="K273" s="44"/>
      <c r="L273" s="44"/>
      <c r="M273" s="44"/>
    </row>
    <row r="274" spans="1:13" ht="15.75" customHeight="1">
      <c r="A274" s="43"/>
      <c r="B274" s="30"/>
      <c r="C274" s="30"/>
      <c r="D274" s="44"/>
      <c r="E274" s="44"/>
      <c r="F274" s="44"/>
      <c r="G274" s="44"/>
      <c r="H274" s="44"/>
      <c r="I274" s="44"/>
      <c r="J274" s="44"/>
      <c r="K274" s="44"/>
      <c r="L274" s="44"/>
      <c r="M274" s="44"/>
    </row>
    <row r="275" spans="1:13" ht="15.75" customHeight="1">
      <c r="A275" s="43"/>
      <c r="B275" s="30"/>
      <c r="C275" s="30"/>
      <c r="D275" s="44"/>
      <c r="E275" s="44"/>
      <c r="F275" s="44"/>
      <c r="G275" s="44"/>
      <c r="H275" s="44"/>
      <c r="I275" s="44"/>
      <c r="J275" s="44"/>
      <c r="K275" s="44"/>
      <c r="L275" s="44"/>
      <c r="M275" s="44"/>
    </row>
    <row r="276" spans="1:13" ht="15.75" customHeight="1">
      <c r="A276" s="43"/>
      <c r="B276" s="30"/>
      <c r="C276" s="30"/>
      <c r="D276" s="44"/>
      <c r="E276" s="44"/>
      <c r="F276" s="44"/>
      <c r="G276" s="44"/>
      <c r="H276" s="44"/>
      <c r="I276" s="44"/>
      <c r="J276" s="44"/>
      <c r="K276" s="44"/>
      <c r="L276" s="44"/>
      <c r="M276" s="44"/>
    </row>
    <row r="277" spans="1:13" ht="15.75" customHeight="1">
      <c r="A277" s="43"/>
      <c r="B277" s="30"/>
      <c r="C277" s="30"/>
      <c r="D277" s="44"/>
      <c r="E277" s="44"/>
      <c r="F277" s="44"/>
      <c r="G277" s="44"/>
      <c r="H277" s="44"/>
      <c r="I277" s="44"/>
      <c r="J277" s="44"/>
      <c r="K277" s="44"/>
      <c r="L277" s="44"/>
      <c r="M277" s="44"/>
    </row>
    <row r="278" spans="1:13" ht="15.75" customHeight="1"/>
    <row r="279" spans="1:13" ht="15.75" customHeight="1"/>
    <row r="280" spans="1:13" ht="15.75" customHeight="1"/>
    <row r="281" spans="1:13" ht="15.75" customHeight="1"/>
    <row r="282" spans="1:13" ht="15.75" customHeight="1"/>
    <row r="283" spans="1:13" ht="15.75" customHeight="1"/>
    <row r="284" spans="1:13" ht="15.75" customHeight="1"/>
    <row r="285" spans="1:13" ht="15.75" customHeight="1"/>
    <row r="286" spans="1:13" ht="15.75" customHeight="1"/>
    <row r="287" spans="1:13" ht="15.75" customHeight="1"/>
    <row r="288" spans="1:13"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K77" xr:uid="{00000000-0009-0000-0000-000002000000}"/>
  <phoneticPr fontId="22" type="noConversion"/>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8"/>
  <sheetViews>
    <sheetView workbookViewId="0">
      <pane ySplit="1" topLeftCell="A53" activePane="bottomLeft" state="frozen"/>
      <selection pane="bottomLeft"/>
    </sheetView>
  </sheetViews>
  <sheetFormatPr defaultColWidth="14.42578125" defaultRowHeight="15" customHeight="1"/>
  <cols>
    <col min="1" max="1" width="66" customWidth="1"/>
    <col min="2" max="2" width="20.7109375" customWidth="1"/>
    <col min="3" max="3" width="16.42578125" customWidth="1"/>
    <col min="4" max="4" width="12.85546875" customWidth="1"/>
    <col min="5" max="5" width="15.5703125" customWidth="1"/>
    <col min="6" max="6" width="12.7109375" customWidth="1"/>
    <col min="7" max="7" width="22.7109375" customWidth="1"/>
    <col min="8" max="8" width="35.7109375" customWidth="1"/>
    <col min="9" max="9" width="18.85546875" customWidth="1"/>
    <col min="10" max="10" width="21.7109375" customWidth="1"/>
    <col min="11" max="11" width="18.7109375" customWidth="1"/>
    <col min="12" max="12" width="24.42578125" customWidth="1"/>
    <col min="13" max="13" width="37.42578125" customWidth="1"/>
    <col min="14" max="14" width="9.140625" customWidth="1"/>
    <col min="15" max="26" width="8.7109375" customWidth="1"/>
  </cols>
  <sheetData>
    <row r="1" spans="1:26" ht="15.75" customHeight="1">
      <c r="A1" s="33" t="s">
        <v>195</v>
      </c>
      <c r="B1" s="2" t="s">
        <v>5</v>
      </c>
      <c r="C1" s="3" t="s">
        <v>6</v>
      </c>
      <c r="D1" s="4" t="s">
        <v>0</v>
      </c>
      <c r="E1" s="4" t="s">
        <v>1</v>
      </c>
      <c r="F1" s="4" t="s">
        <v>2</v>
      </c>
      <c r="G1" s="4" t="s">
        <v>7</v>
      </c>
      <c r="H1" s="4" t="s">
        <v>3</v>
      </c>
      <c r="I1" s="5" t="s">
        <v>8</v>
      </c>
      <c r="J1" s="5" t="s">
        <v>9</v>
      </c>
      <c r="K1" s="5" t="s">
        <v>10</v>
      </c>
      <c r="L1" s="5" t="s">
        <v>11</v>
      </c>
      <c r="M1" s="5" t="s">
        <v>12</v>
      </c>
      <c r="N1" s="6"/>
      <c r="O1" s="7"/>
      <c r="P1" s="7"/>
      <c r="Q1" s="7"/>
      <c r="R1" s="7"/>
      <c r="S1" s="7"/>
      <c r="T1" s="7"/>
      <c r="U1" s="7"/>
      <c r="V1" s="7"/>
      <c r="W1" s="7"/>
      <c r="X1" s="7"/>
      <c r="Y1" s="7"/>
      <c r="Z1" s="7"/>
    </row>
    <row r="2" spans="1:26" ht="15.75" customHeight="1">
      <c r="A2" s="8" t="s">
        <v>196</v>
      </c>
      <c r="B2" s="3"/>
      <c r="C2" s="3" t="s">
        <v>14</v>
      </c>
      <c r="D2" s="9" t="s">
        <v>14</v>
      </c>
      <c r="E2" s="9" t="s">
        <v>14</v>
      </c>
      <c r="F2" s="9" t="s">
        <v>14</v>
      </c>
      <c r="G2" s="9" t="s">
        <v>14</v>
      </c>
      <c r="H2" s="12" t="s">
        <v>19</v>
      </c>
      <c r="I2" s="12">
        <f>_xlfn.LET(
_xlpm.full,2,
_xlpm.ans,UPPER(SUBSTITUTE(SUBSTITUTE(SUBSTITUTE(SUBSTITUTE(SUBSTITUTE(SUBSTITUTE($C2&amp;"","，",""),",",""),"、","")," ",""),"　",""),CHAR(10),"")),
_xlpm.resp,UPPER(SUBSTITUTE(SUBSTITUTE(SUBSTITUTE(SUBSTITUTE(SUBSTITUTE(SUBSTITUTE(D2&amp;"","，",""),",",""),"、","")," ",""),"　",""),CHAR(10),"")),
IF(OR(_xlpm.resp="",LEN(_xlpm.resp)&lt;&gt;1),0,IF(_xlpm.resp=_xlpm.ans,_xlpm.full,0))
)</f>
        <v>2</v>
      </c>
      <c r="J2" s="12">
        <f t="shared" ref="J2:M2" si="0">_xlfn.LET(
_xlpm.full,2,
_xlpm.ans,UPPER(SUBSTITUTE(SUBSTITUTE(SUBSTITUTE(SUBSTITUTE(SUBSTITUTE(SUBSTITUTE($C2&amp;"","，",""),",",""),"、","")," ",""),"　",""),CHAR(10),"")),
_xlpm.resp,UPPER(SUBSTITUTE(SUBSTITUTE(SUBSTITUTE(SUBSTITUTE(SUBSTITUTE(SUBSTITUTE(E2&amp;"","，",""),",",""),"、","")," ",""),"　",""),CHAR(10),"")),
IF(OR(_xlpm.resp="",LEN(_xlpm.resp)&lt;&gt;1),0,IF(_xlpm.resp=_xlpm.ans,_xlpm.full,0))
)</f>
        <v>2</v>
      </c>
      <c r="K2" s="12">
        <f t="shared" si="0"/>
        <v>2</v>
      </c>
      <c r="L2" s="12">
        <f t="shared" si="0"/>
        <v>2</v>
      </c>
      <c r="M2" s="12">
        <f t="shared" si="0"/>
        <v>0</v>
      </c>
      <c r="N2" s="6"/>
      <c r="O2" s="7"/>
      <c r="P2" s="7"/>
      <c r="Q2" s="7"/>
      <c r="R2" s="7"/>
      <c r="S2" s="7"/>
      <c r="T2" s="7"/>
      <c r="U2" s="7"/>
      <c r="V2" s="7"/>
      <c r="W2" s="7"/>
      <c r="X2" s="7"/>
      <c r="Y2" s="7"/>
      <c r="Z2" s="7"/>
    </row>
    <row r="3" spans="1:26" ht="15.75" customHeight="1">
      <c r="A3" s="8" t="s">
        <v>197</v>
      </c>
      <c r="B3" s="3"/>
      <c r="C3" s="3" t="s">
        <v>22</v>
      </c>
      <c r="D3" s="9" t="s">
        <v>22</v>
      </c>
      <c r="E3" s="9" t="s">
        <v>22</v>
      </c>
      <c r="F3" s="9" t="s">
        <v>22</v>
      </c>
      <c r="G3" s="9" t="s">
        <v>22</v>
      </c>
      <c r="H3" s="12" t="s">
        <v>22</v>
      </c>
      <c r="I3" s="12">
        <f t="shared" ref="I3:I16" si="1">_xlfn.LET(
_xlpm.full,2,
_xlpm.ans,UPPER(SUBSTITUTE(SUBSTITUTE(SUBSTITUTE(SUBSTITUTE(SUBSTITUTE(SUBSTITUTE($C3&amp;"","，",""),",",""),"、","")," ",""),"　",""),CHAR(10),"")),
_xlpm.resp,UPPER(SUBSTITUTE(SUBSTITUTE(SUBSTITUTE(SUBSTITUTE(SUBSTITUTE(SUBSTITUTE(D3&amp;"","，",""),",",""),"、","")," ",""),"　",""),CHAR(10),"")),
IF(OR(_xlpm.resp="",LEN(_xlpm.resp)&lt;&gt;1),0,IF(_xlpm.resp=_xlpm.ans,_xlpm.full,0))
)</f>
        <v>2</v>
      </c>
      <c r="J3" s="12">
        <f t="shared" ref="J3:J16" si="2">_xlfn.LET(
_xlpm.full,2,
_xlpm.ans,UPPER(SUBSTITUTE(SUBSTITUTE(SUBSTITUTE(SUBSTITUTE(SUBSTITUTE(SUBSTITUTE($C3&amp;"","，",""),",",""),"、","")," ",""),"　",""),CHAR(10),"")),
_xlpm.resp,UPPER(SUBSTITUTE(SUBSTITUTE(SUBSTITUTE(SUBSTITUTE(SUBSTITUTE(SUBSTITUTE(E3&amp;"","，",""),",",""),"、","")," ",""),"　",""),CHAR(10),"")),
IF(OR(_xlpm.resp="",LEN(_xlpm.resp)&lt;&gt;1),0,IF(_xlpm.resp=_xlpm.ans,_xlpm.full,0))
)</f>
        <v>2</v>
      </c>
      <c r="K3" s="12">
        <f t="shared" ref="K3:K16" si="3">_xlfn.LET(
_xlpm.full,2,
_xlpm.ans,UPPER(SUBSTITUTE(SUBSTITUTE(SUBSTITUTE(SUBSTITUTE(SUBSTITUTE(SUBSTITUTE($C3&amp;"","，",""),",",""),"、","")," ",""),"　",""),CHAR(10),"")),
_xlpm.resp,UPPER(SUBSTITUTE(SUBSTITUTE(SUBSTITUTE(SUBSTITUTE(SUBSTITUTE(SUBSTITUTE(F3&amp;"","，",""),",",""),"、","")," ",""),"　",""),CHAR(10),"")),
IF(OR(_xlpm.resp="",LEN(_xlpm.resp)&lt;&gt;1),0,IF(_xlpm.resp=_xlpm.ans,_xlpm.full,0))
)</f>
        <v>2</v>
      </c>
      <c r="L3" s="12">
        <f t="shared" ref="L3:L16" si="4">_xlfn.LET(
_xlpm.full,2,
_xlpm.ans,UPPER(SUBSTITUTE(SUBSTITUTE(SUBSTITUTE(SUBSTITUTE(SUBSTITUTE(SUBSTITUTE($C3&amp;"","，",""),",",""),"、","")," ",""),"　",""),CHAR(10),"")),
_xlpm.resp,UPPER(SUBSTITUTE(SUBSTITUTE(SUBSTITUTE(SUBSTITUTE(SUBSTITUTE(SUBSTITUTE(G3&amp;"","，",""),",",""),"、","")," ",""),"　",""),CHAR(10),"")),
IF(OR(_xlpm.resp="",LEN(_xlpm.resp)&lt;&gt;1),0,IF(_xlpm.resp=_xlpm.ans,_xlpm.full,0))
)</f>
        <v>2</v>
      </c>
      <c r="M3" s="12">
        <f t="shared" ref="M3:M16" si="5">_xlfn.LET(
_xlpm.full,2,
_xlpm.ans,UPPER(SUBSTITUTE(SUBSTITUTE(SUBSTITUTE(SUBSTITUTE(SUBSTITUTE(SUBSTITUTE($C3&amp;"","，",""),",",""),"、","")," ",""),"　",""),CHAR(10),"")),
_xlpm.resp,UPPER(SUBSTITUTE(SUBSTITUTE(SUBSTITUTE(SUBSTITUTE(SUBSTITUTE(SUBSTITUTE(H3&amp;"","，",""),",",""),"、","")," ",""),"　",""),CHAR(10),"")),
IF(OR(_xlpm.resp="",LEN(_xlpm.resp)&lt;&gt;1),0,IF(_xlpm.resp=_xlpm.ans,_xlpm.full,0))
)</f>
        <v>2</v>
      </c>
      <c r="N3" s="13"/>
      <c r="O3" s="7"/>
      <c r="P3" s="7"/>
      <c r="Q3" s="7"/>
      <c r="R3" s="7"/>
      <c r="S3" s="7"/>
      <c r="T3" s="7"/>
      <c r="U3" s="7"/>
      <c r="V3" s="7"/>
      <c r="W3" s="7"/>
      <c r="X3" s="7"/>
      <c r="Y3" s="7"/>
      <c r="Z3" s="7"/>
    </row>
    <row r="4" spans="1:26" ht="15.75" customHeight="1">
      <c r="A4" s="8" t="s">
        <v>198</v>
      </c>
      <c r="B4" s="3"/>
      <c r="C4" s="3" t="s">
        <v>21</v>
      </c>
      <c r="D4" s="9" t="s">
        <v>21</v>
      </c>
      <c r="E4" s="9" t="s">
        <v>21</v>
      </c>
      <c r="F4" s="9" t="s">
        <v>21</v>
      </c>
      <c r="G4" s="9" t="s">
        <v>21</v>
      </c>
      <c r="H4" s="12" t="s">
        <v>21</v>
      </c>
      <c r="I4" s="12">
        <f t="shared" si="1"/>
        <v>2</v>
      </c>
      <c r="J4" s="12">
        <f t="shared" si="2"/>
        <v>2</v>
      </c>
      <c r="K4" s="12">
        <f t="shared" si="3"/>
        <v>2</v>
      </c>
      <c r="L4" s="12">
        <f t="shared" si="4"/>
        <v>2</v>
      </c>
      <c r="M4" s="12">
        <f t="shared" si="5"/>
        <v>2</v>
      </c>
      <c r="N4" s="13"/>
      <c r="O4" s="7"/>
      <c r="P4" s="7"/>
      <c r="Q4" s="7"/>
      <c r="R4" s="7"/>
      <c r="S4" s="7"/>
      <c r="T4" s="7"/>
      <c r="U4" s="7"/>
      <c r="V4" s="7"/>
      <c r="W4" s="7"/>
      <c r="X4" s="7"/>
      <c r="Y4" s="7"/>
      <c r="Z4" s="7"/>
    </row>
    <row r="5" spans="1:26" ht="15.75" customHeight="1">
      <c r="A5" s="8" t="s">
        <v>199</v>
      </c>
      <c r="B5" s="3"/>
      <c r="C5" s="3" t="s">
        <v>17</v>
      </c>
      <c r="D5" s="9" t="s">
        <v>17</v>
      </c>
      <c r="E5" s="9" t="s">
        <v>17</v>
      </c>
      <c r="F5" s="9" t="s">
        <v>17</v>
      </c>
      <c r="G5" s="9" t="s">
        <v>17</v>
      </c>
      <c r="H5" s="12" t="s">
        <v>17</v>
      </c>
      <c r="I5" s="12">
        <f t="shared" si="1"/>
        <v>2</v>
      </c>
      <c r="J5" s="12">
        <f t="shared" si="2"/>
        <v>2</v>
      </c>
      <c r="K5" s="12">
        <f t="shared" si="3"/>
        <v>2</v>
      </c>
      <c r="L5" s="12">
        <f t="shared" si="4"/>
        <v>2</v>
      </c>
      <c r="M5" s="12">
        <f t="shared" si="5"/>
        <v>2</v>
      </c>
      <c r="N5" s="6"/>
      <c r="O5" s="7"/>
      <c r="P5" s="7"/>
      <c r="Q5" s="7"/>
      <c r="R5" s="7"/>
      <c r="S5" s="7"/>
      <c r="T5" s="7"/>
      <c r="U5" s="7"/>
      <c r="V5" s="7"/>
      <c r="W5" s="7"/>
      <c r="X5" s="7"/>
      <c r="Y5" s="7"/>
      <c r="Z5" s="7"/>
    </row>
    <row r="6" spans="1:26" ht="15.75" customHeight="1">
      <c r="A6" s="8" t="s">
        <v>200</v>
      </c>
      <c r="B6" s="3" t="s">
        <v>34</v>
      </c>
      <c r="C6" s="3" t="s">
        <v>14</v>
      </c>
      <c r="D6" s="9" t="s">
        <v>14</v>
      </c>
      <c r="E6" s="9" t="s">
        <v>14</v>
      </c>
      <c r="F6" s="9" t="s">
        <v>14</v>
      </c>
      <c r="G6" s="9" t="s">
        <v>14</v>
      </c>
      <c r="H6" s="12" t="s">
        <v>14</v>
      </c>
      <c r="I6" s="12">
        <f t="shared" si="1"/>
        <v>2</v>
      </c>
      <c r="J6" s="12">
        <f t="shared" si="2"/>
        <v>2</v>
      </c>
      <c r="K6" s="12">
        <f t="shared" si="3"/>
        <v>2</v>
      </c>
      <c r="L6" s="12">
        <f t="shared" si="4"/>
        <v>2</v>
      </c>
      <c r="M6" s="12">
        <f t="shared" si="5"/>
        <v>2</v>
      </c>
      <c r="N6" s="6"/>
      <c r="O6" s="7"/>
      <c r="P6" s="7"/>
      <c r="Q6" s="7"/>
      <c r="R6" s="7"/>
      <c r="S6" s="7"/>
      <c r="T6" s="7"/>
      <c r="U6" s="7"/>
      <c r="V6" s="7"/>
      <c r="W6" s="7"/>
      <c r="X6" s="7"/>
      <c r="Y6" s="7"/>
      <c r="Z6" s="7"/>
    </row>
    <row r="7" spans="1:26" ht="15.75" customHeight="1">
      <c r="A7" s="8" t="s">
        <v>201</v>
      </c>
      <c r="B7" s="3"/>
      <c r="C7" s="3" t="s">
        <v>19</v>
      </c>
      <c r="D7" s="9" t="s">
        <v>19</v>
      </c>
      <c r="E7" s="9" t="s">
        <v>19</v>
      </c>
      <c r="F7" s="9" t="s">
        <v>19</v>
      </c>
      <c r="G7" s="12" t="s">
        <v>19</v>
      </c>
      <c r="H7" s="12" t="s">
        <v>19</v>
      </c>
      <c r="I7" s="12">
        <f t="shared" si="1"/>
        <v>2</v>
      </c>
      <c r="J7" s="12">
        <f t="shared" si="2"/>
        <v>2</v>
      </c>
      <c r="K7" s="12">
        <f t="shared" si="3"/>
        <v>2</v>
      </c>
      <c r="L7" s="12">
        <f t="shared" si="4"/>
        <v>2</v>
      </c>
      <c r="M7" s="12">
        <f t="shared" si="5"/>
        <v>2</v>
      </c>
      <c r="N7" s="6"/>
      <c r="O7" s="7"/>
      <c r="P7" s="7"/>
      <c r="Q7" s="7"/>
      <c r="R7" s="7"/>
      <c r="S7" s="7"/>
      <c r="T7" s="7"/>
      <c r="U7" s="7"/>
      <c r="V7" s="7"/>
      <c r="W7" s="7"/>
      <c r="X7" s="7"/>
      <c r="Y7" s="7"/>
      <c r="Z7" s="7"/>
    </row>
    <row r="8" spans="1:26" ht="15.75" customHeight="1">
      <c r="A8" s="8" t="s">
        <v>202</v>
      </c>
      <c r="B8" s="3"/>
      <c r="C8" s="3" t="s">
        <v>22</v>
      </c>
      <c r="D8" s="9" t="s">
        <v>22</v>
      </c>
      <c r="E8" s="9" t="s">
        <v>22</v>
      </c>
      <c r="F8" s="9" t="s">
        <v>22</v>
      </c>
      <c r="G8" s="12" t="s">
        <v>22</v>
      </c>
      <c r="H8" s="12" t="s">
        <v>22</v>
      </c>
      <c r="I8" s="12">
        <f t="shared" si="1"/>
        <v>2</v>
      </c>
      <c r="J8" s="12">
        <f t="shared" si="2"/>
        <v>2</v>
      </c>
      <c r="K8" s="12">
        <f t="shared" si="3"/>
        <v>2</v>
      </c>
      <c r="L8" s="12">
        <f t="shared" si="4"/>
        <v>2</v>
      </c>
      <c r="M8" s="12">
        <f t="shared" si="5"/>
        <v>2</v>
      </c>
      <c r="N8" s="7"/>
      <c r="O8" s="7"/>
      <c r="P8" s="7"/>
      <c r="Q8" s="7"/>
      <c r="R8" s="7"/>
      <c r="S8" s="7"/>
      <c r="T8" s="7"/>
      <c r="U8" s="7"/>
      <c r="V8" s="7"/>
    </row>
    <row r="9" spans="1:26" ht="15.75" customHeight="1">
      <c r="A9" s="8" t="s">
        <v>203</v>
      </c>
      <c r="B9" s="3"/>
      <c r="C9" s="3" t="s">
        <v>17</v>
      </c>
      <c r="D9" s="9" t="s">
        <v>17</v>
      </c>
      <c r="E9" s="9" t="s">
        <v>17</v>
      </c>
      <c r="F9" s="9" t="s">
        <v>17</v>
      </c>
      <c r="G9" s="12" t="s">
        <v>17</v>
      </c>
      <c r="H9" s="12" t="s">
        <v>17</v>
      </c>
      <c r="I9" s="12">
        <f t="shared" si="1"/>
        <v>2</v>
      </c>
      <c r="J9" s="12">
        <f t="shared" si="2"/>
        <v>2</v>
      </c>
      <c r="K9" s="12">
        <f t="shared" si="3"/>
        <v>2</v>
      </c>
      <c r="L9" s="12">
        <f t="shared" si="4"/>
        <v>2</v>
      </c>
      <c r="M9" s="12">
        <f t="shared" si="5"/>
        <v>2</v>
      </c>
      <c r="N9" s="7"/>
      <c r="O9" s="7"/>
      <c r="P9" s="7"/>
      <c r="Q9" s="7"/>
      <c r="R9" s="7"/>
      <c r="S9" s="7"/>
      <c r="T9" s="7"/>
      <c r="U9" s="7"/>
      <c r="V9" s="7"/>
    </row>
    <row r="10" spans="1:26" ht="15.75" customHeight="1">
      <c r="A10" s="8" t="s">
        <v>204</v>
      </c>
      <c r="B10" s="3"/>
      <c r="C10" s="3" t="s">
        <v>21</v>
      </c>
      <c r="D10" s="9" t="s">
        <v>21</v>
      </c>
      <c r="E10" s="9" t="s">
        <v>21</v>
      </c>
      <c r="F10" s="9" t="s">
        <v>21</v>
      </c>
      <c r="G10" s="12" t="s">
        <v>205</v>
      </c>
      <c r="H10" s="12" t="s">
        <v>21</v>
      </c>
      <c r="I10" s="12">
        <f t="shared" si="1"/>
        <v>2</v>
      </c>
      <c r="J10" s="12">
        <f t="shared" si="2"/>
        <v>2</v>
      </c>
      <c r="K10" s="12">
        <f t="shared" si="3"/>
        <v>2</v>
      </c>
      <c r="L10" s="12">
        <f t="shared" si="4"/>
        <v>0</v>
      </c>
      <c r="M10" s="12">
        <f t="shared" si="5"/>
        <v>2</v>
      </c>
      <c r="N10" s="7"/>
      <c r="O10" s="7"/>
      <c r="P10" s="7"/>
      <c r="Q10" s="7"/>
      <c r="R10" s="7"/>
      <c r="S10" s="7"/>
      <c r="T10" s="7"/>
      <c r="U10" s="7"/>
      <c r="V10" s="7"/>
    </row>
    <row r="11" spans="1:26" ht="15.75" customHeight="1">
      <c r="A11" s="8" t="s">
        <v>206</v>
      </c>
      <c r="B11" s="3"/>
      <c r="C11" s="3" t="s">
        <v>19</v>
      </c>
      <c r="D11" s="9" t="s">
        <v>19</v>
      </c>
      <c r="E11" s="9" t="s">
        <v>19</v>
      </c>
      <c r="F11" s="9" t="s">
        <v>19</v>
      </c>
      <c r="G11" s="12" t="s">
        <v>19</v>
      </c>
      <c r="H11" s="12" t="s">
        <v>19</v>
      </c>
      <c r="I11" s="12">
        <f t="shared" si="1"/>
        <v>2</v>
      </c>
      <c r="J11" s="12">
        <f t="shared" si="2"/>
        <v>2</v>
      </c>
      <c r="K11" s="12">
        <f t="shared" si="3"/>
        <v>2</v>
      </c>
      <c r="L11" s="12">
        <f t="shared" si="4"/>
        <v>2</v>
      </c>
      <c r="M11" s="12">
        <f t="shared" si="5"/>
        <v>2</v>
      </c>
      <c r="N11" s="7"/>
      <c r="O11" s="7"/>
      <c r="P11" s="7"/>
      <c r="Q11" s="7"/>
      <c r="R11" s="7"/>
      <c r="S11" s="7"/>
      <c r="T11" s="7"/>
      <c r="U11" s="7"/>
      <c r="V11" s="7"/>
    </row>
    <row r="12" spans="1:26" ht="15.75" customHeight="1">
      <c r="A12" s="8" t="s">
        <v>207</v>
      </c>
      <c r="B12" s="3"/>
      <c r="C12" s="3" t="s">
        <v>22</v>
      </c>
      <c r="D12" s="9" t="s">
        <v>22</v>
      </c>
      <c r="E12" s="9" t="s">
        <v>22</v>
      </c>
      <c r="F12" s="9" t="s">
        <v>22</v>
      </c>
      <c r="G12" s="3" t="s">
        <v>22</v>
      </c>
      <c r="H12" s="12" t="s">
        <v>22</v>
      </c>
      <c r="I12" s="12">
        <f t="shared" si="1"/>
        <v>2</v>
      </c>
      <c r="J12" s="12">
        <f t="shared" si="2"/>
        <v>2</v>
      </c>
      <c r="K12" s="12">
        <f t="shared" si="3"/>
        <v>2</v>
      </c>
      <c r="L12" s="12">
        <f t="shared" si="4"/>
        <v>2</v>
      </c>
      <c r="M12" s="12">
        <f t="shared" si="5"/>
        <v>2</v>
      </c>
      <c r="N12" s="7"/>
      <c r="O12" s="7"/>
      <c r="P12" s="7"/>
      <c r="Q12" s="7"/>
      <c r="R12" s="7"/>
      <c r="S12" s="7"/>
      <c r="T12" s="7"/>
      <c r="U12" s="7"/>
      <c r="V12" s="7"/>
    </row>
    <row r="13" spans="1:26" ht="15.75" customHeight="1">
      <c r="A13" s="8" t="s">
        <v>208</v>
      </c>
      <c r="B13" s="3"/>
      <c r="C13" s="3" t="s">
        <v>19</v>
      </c>
      <c r="D13" s="9" t="s">
        <v>14</v>
      </c>
      <c r="E13" s="9" t="s">
        <v>19</v>
      </c>
      <c r="F13" s="9" t="s">
        <v>19</v>
      </c>
      <c r="G13" s="3" t="s">
        <v>19</v>
      </c>
      <c r="H13" s="12" t="s">
        <v>19</v>
      </c>
      <c r="I13" s="12">
        <f t="shared" si="1"/>
        <v>0</v>
      </c>
      <c r="J13" s="12">
        <f t="shared" si="2"/>
        <v>2</v>
      </c>
      <c r="K13" s="12">
        <f t="shared" si="3"/>
        <v>2</v>
      </c>
      <c r="L13" s="12">
        <f t="shared" si="4"/>
        <v>2</v>
      </c>
      <c r="M13" s="12">
        <f t="shared" si="5"/>
        <v>2</v>
      </c>
      <c r="N13" s="7"/>
      <c r="O13" s="7"/>
      <c r="P13" s="7"/>
      <c r="Q13" s="7"/>
      <c r="R13" s="7"/>
      <c r="S13" s="7"/>
      <c r="T13" s="7"/>
      <c r="U13" s="7"/>
      <c r="V13" s="7"/>
    </row>
    <row r="14" spans="1:26" ht="15.75" customHeight="1">
      <c r="A14" s="8" t="s">
        <v>209</v>
      </c>
      <c r="B14" s="3"/>
      <c r="C14" s="3" t="s">
        <v>19</v>
      </c>
      <c r="D14" s="9" t="s">
        <v>22</v>
      </c>
      <c r="E14" s="9" t="s">
        <v>19</v>
      </c>
      <c r="F14" s="9" t="s">
        <v>19</v>
      </c>
      <c r="G14" s="3" t="s">
        <v>19</v>
      </c>
      <c r="H14" s="12" t="s">
        <v>17</v>
      </c>
      <c r="I14" s="12">
        <f t="shared" si="1"/>
        <v>0</v>
      </c>
      <c r="J14" s="12">
        <f t="shared" si="2"/>
        <v>2</v>
      </c>
      <c r="K14" s="12">
        <f t="shared" si="3"/>
        <v>2</v>
      </c>
      <c r="L14" s="12">
        <f t="shared" si="4"/>
        <v>2</v>
      </c>
      <c r="M14" s="12">
        <f t="shared" si="5"/>
        <v>0</v>
      </c>
      <c r="N14" s="7"/>
      <c r="O14" s="7"/>
      <c r="P14" s="7"/>
      <c r="Q14" s="7"/>
      <c r="R14" s="7"/>
      <c r="S14" s="7"/>
      <c r="T14" s="7"/>
      <c r="U14" s="7"/>
      <c r="V14" s="7"/>
    </row>
    <row r="15" spans="1:26" ht="15.75" customHeight="1">
      <c r="A15" s="8" t="s">
        <v>210</v>
      </c>
      <c r="B15" s="3"/>
      <c r="C15" s="3" t="s">
        <v>17</v>
      </c>
      <c r="D15" s="9" t="s">
        <v>17</v>
      </c>
      <c r="E15" s="9" t="s">
        <v>17</v>
      </c>
      <c r="F15" s="9" t="s">
        <v>17</v>
      </c>
      <c r="G15" s="3" t="s">
        <v>17</v>
      </c>
      <c r="H15" s="12" t="s">
        <v>19</v>
      </c>
      <c r="I15" s="12">
        <f t="shared" si="1"/>
        <v>2</v>
      </c>
      <c r="J15" s="12">
        <f t="shared" si="2"/>
        <v>2</v>
      </c>
      <c r="K15" s="12">
        <f t="shared" si="3"/>
        <v>2</v>
      </c>
      <c r="L15" s="12">
        <f t="shared" si="4"/>
        <v>2</v>
      </c>
      <c r="M15" s="12">
        <f t="shared" si="5"/>
        <v>0</v>
      </c>
      <c r="N15" s="7"/>
      <c r="O15" s="7"/>
      <c r="P15" s="7"/>
      <c r="Q15" s="7"/>
      <c r="R15" s="7"/>
      <c r="S15" s="7"/>
      <c r="T15" s="7"/>
      <c r="U15" s="7"/>
      <c r="V15" s="7"/>
    </row>
    <row r="16" spans="1:26" ht="15.75" customHeight="1">
      <c r="A16" s="8" t="s">
        <v>211</v>
      </c>
      <c r="B16" s="3"/>
      <c r="C16" s="3" t="s">
        <v>19</v>
      </c>
      <c r="D16" s="9" t="s">
        <v>19</v>
      </c>
      <c r="E16" s="9" t="s">
        <v>19</v>
      </c>
      <c r="F16" s="9" t="s">
        <v>19</v>
      </c>
      <c r="G16" s="3" t="s">
        <v>19</v>
      </c>
      <c r="H16" s="12" t="s">
        <v>17</v>
      </c>
      <c r="I16" s="12">
        <f t="shared" si="1"/>
        <v>2</v>
      </c>
      <c r="J16" s="12">
        <f t="shared" si="2"/>
        <v>2</v>
      </c>
      <c r="K16" s="12">
        <f t="shared" si="3"/>
        <v>2</v>
      </c>
      <c r="L16" s="12">
        <f t="shared" si="4"/>
        <v>2</v>
      </c>
      <c r="M16" s="12">
        <f t="shared" si="5"/>
        <v>0</v>
      </c>
      <c r="N16" s="7"/>
      <c r="O16" s="7"/>
      <c r="P16" s="7"/>
      <c r="Q16" s="7"/>
      <c r="R16" s="7"/>
      <c r="S16" s="7"/>
      <c r="T16" s="7"/>
      <c r="U16" s="7"/>
      <c r="V16" s="7"/>
    </row>
    <row r="17" spans="1:26" ht="15.75" customHeight="1">
      <c r="A17" s="17" t="s">
        <v>212</v>
      </c>
      <c r="B17" s="18"/>
      <c r="C17" s="18"/>
      <c r="D17" s="24"/>
      <c r="E17" s="24"/>
      <c r="F17" s="24"/>
      <c r="G17" s="24"/>
      <c r="H17" s="35" t="s">
        <v>28</v>
      </c>
      <c r="I17" s="24"/>
      <c r="J17" s="24"/>
      <c r="K17" s="24"/>
      <c r="L17" s="24"/>
      <c r="M17" s="24"/>
      <c r="N17" s="7"/>
      <c r="O17" s="7"/>
      <c r="P17" s="7"/>
      <c r="Q17" s="7"/>
      <c r="R17" s="7"/>
      <c r="S17" s="7"/>
      <c r="T17" s="7"/>
      <c r="U17" s="7"/>
      <c r="V17" s="7"/>
    </row>
    <row r="18" spans="1:26" ht="15.75" customHeight="1">
      <c r="A18" s="8" t="s">
        <v>213</v>
      </c>
      <c r="B18" s="3" t="s">
        <v>16</v>
      </c>
      <c r="C18" s="3" t="s">
        <v>14</v>
      </c>
      <c r="D18" s="10" t="s">
        <v>14</v>
      </c>
      <c r="E18" s="10" t="s">
        <v>14</v>
      </c>
      <c r="F18" s="10" t="s">
        <v>14</v>
      </c>
      <c r="G18" s="11" t="s">
        <v>14</v>
      </c>
      <c r="H18" s="11" t="s">
        <v>14</v>
      </c>
      <c r="I18" s="12">
        <f t="shared" ref="I18:I24" si="6">_xlfn.LET(
_xlpm.full,2,
_xlpm.ans,UPPER(SUBSTITUTE(SUBSTITUTE(SUBSTITUTE(SUBSTITUTE(SUBSTITUTE(SUBSTITUTE($C18&amp;"","，",""),",",""),"、","")," ",""),"　",""),CHAR(10),"")),
_xlpm.resp,UPPER(SUBSTITUTE(SUBSTITUTE(SUBSTITUTE(SUBSTITUTE(SUBSTITUTE(SUBSTITUTE(D18&amp;"","，",""),",",""),"、","")," ",""),"　",""),CHAR(10),"")),
IF(OR(_xlpm.resp="",LEN(_xlpm.resp)&lt;&gt;1),0,IF(_xlpm.resp=_xlpm.ans,_xlpm.full,0))
)</f>
        <v>2</v>
      </c>
      <c r="J18" s="12">
        <f t="shared" ref="J18:J24" si="7">_xlfn.LET(
_xlpm.full,2,
_xlpm.ans,UPPER(SUBSTITUTE(SUBSTITUTE(SUBSTITUTE(SUBSTITUTE(SUBSTITUTE(SUBSTITUTE($C18&amp;"","，",""),",",""),"、","")," ",""),"　",""),CHAR(10),"")),
_xlpm.resp,UPPER(SUBSTITUTE(SUBSTITUTE(SUBSTITUTE(SUBSTITUTE(SUBSTITUTE(SUBSTITUTE(E18&amp;"","，",""),",",""),"、","")," ",""),"　",""),CHAR(10),"")),
IF(OR(_xlpm.resp="",LEN(_xlpm.resp)&lt;&gt;1),0,IF(_xlpm.resp=_xlpm.ans,_xlpm.full,0))
)</f>
        <v>2</v>
      </c>
      <c r="K18" s="12">
        <f t="shared" ref="K18:K24" si="8">_xlfn.LET(
_xlpm.full,2,
_xlpm.ans,UPPER(SUBSTITUTE(SUBSTITUTE(SUBSTITUTE(SUBSTITUTE(SUBSTITUTE(SUBSTITUTE($C18&amp;"","，",""),",",""),"、","")," ",""),"　",""),CHAR(10),"")),
_xlpm.resp,UPPER(SUBSTITUTE(SUBSTITUTE(SUBSTITUTE(SUBSTITUTE(SUBSTITUTE(SUBSTITUTE(F18&amp;"","，",""),",",""),"、","")," ",""),"　",""),CHAR(10),"")),
IF(OR(_xlpm.resp="",LEN(_xlpm.resp)&lt;&gt;1),0,IF(_xlpm.resp=_xlpm.ans,_xlpm.full,0))
)</f>
        <v>2</v>
      </c>
      <c r="L18" s="12">
        <f t="shared" ref="L18:L24" si="9">_xlfn.LET(
_xlpm.full,2,
_xlpm.ans,UPPER(SUBSTITUTE(SUBSTITUTE(SUBSTITUTE(SUBSTITUTE(SUBSTITUTE(SUBSTITUTE($C18&amp;"","，",""),",",""),"、","")," ",""),"　",""),CHAR(10),"")),
_xlpm.resp,UPPER(SUBSTITUTE(SUBSTITUTE(SUBSTITUTE(SUBSTITUTE(SUBSTITUTE(SUBSTITUTE(G18&amp;"","，",""),",",""),"、","")," ",""),"　",""),CHAR(10),"")),
IF(OR(_xlpm.resp="",LEN(_xlpm.resp)&lt;&gt;1),0,IF(_xlpm.resp=_xlpm.ans,_xlpm.full,0))
)</f>
        <v>2</v>
      </c>
      <c r="M18" s="12">
        <f t="shared" ref="M18:M24" si="10">_xlfn.LET(
_xlpm.full,2,
_xlpm.ans,UPPER(SUBSTITUTE(SUBSTITUTE(SUBSTITUTE(SUBSTITUTE(SUBSTITUTE(SUBSTITUTE($C18&amp;"","，",""),",",""),"、","")," ",""),"　",""),CHAR(10),"")),
_xlpm.resp,UPPER(SUBSTITUTE(SUBSTITUTE(SUBSTITUTE(SUBSTITUTE(SUBSTITUTE(SUBSTITUTE(H18&amp;"","，",""),",",""),"、","")," ",""),"　",""),CHAR(10),"")),
IF(OR(_xlpm.resp="",LEN(_xlpm.resp)&lt;&gt;1),0,IF(_xlpm.resp=_xlpm.ans,_xlpm.full,0))
)</f>
        <v>2</v>
      </c>
      <c r="N18" s="7"/>
      <c r="O18" s="7"/>
      <c r="P18" s="7"/>
      <c r="Q18" s="7"/>
      <c r="R18" s="7"/>
      <c r="S18" s="7"/>
      <c r="T18" s="7"/>
      <c r="U18" s="7"/>
      <c r="V18" s="7"/>
    </row>
    <row r="19" spans="1:26" ht="15.75" customHeight="1">
      <c r="A19" s="8" t="s">
        <v>214</v>
      </c>
      <c r="B19" s="3" t="s">
        <v>16</v>
      </c>
      <c r="C19" s="3" t="s">
        <v>22</v>
      </c>
      <c r="D19" s="10" t="s">
        <v>14</v>
      </c>
      <c r="E19" s="10" t="s">
        <v>22</v>
      </c>
      <c r="F19" s="10" t="s">
        <v>22</v>
      </c>
      <c r="G19" s="11" t="s">
        <v>22</v>
      </c>
      <c r="H19" s="11" t="s">
        <v>22</v>
      </c>
      <c r="I19" s="12">
        <f t="shared" si="6"/>
        <v>0</v>
      </c>
      <c r="J19" s="12">
        <f t="shared" si="7"/>
        <v>2</v>
      </c>
      <c r="K19" s="12">
        <f t="shared" si="8"/>
        <v>2</v>
      </c>
      <c r="L19" s="12">
        <f t="shared" si="9"/>
        <v>2</v>
      </c>
      <c r="M19" s="12">
        <f t="shared" si="10"/>
        <v>2</v>
      </c>
      <c r="N19" s="6"/>
      <c r="O19" s="7"/>
      <c r="P19" s="7"/>
      <c r="Q19" s="7"/>
      <c r="R19" s="7"/>
      <c r="S19" s="7"/>
      <c r="T19" s="7"/>
      <c r="U19" s="7"/>
      <c r="V19" s="7"/>
      <c r="W19" s="7"/>
      <c r="X19" s="7"/>
      <c r="Y19" s="7"/>
      <c r="Z19" s="7"/>
    </row>
    <row r="20" spans="1:26" ht="15.75" customHeight="1">
      <c r="A20" s="8" t="s">
        <v>215</v>
      </c>
      <c r="B20" s="3"/>
      <c r="C20" s="3" t="s">
        <v>22</v>
      </c>
      <c r="D20" s="10" t="s">
        <v>22</v>
      </c>
      <c r="E20" s="10" t="s">
        <v>22</v>
      </c>
      <c r="F20" s="10" t="s">
        <v>22</v>
      </c>
      <c r="G20" s="11" t="s">
        <v>22</v>
      </c>
      <c r="H20" s="11" t="s">
        <v>22</v>
      </c>
      <c r="I20" s="12">
        <f t="shared" si="6"/>
        <v>2</v>
      </c>
      <c r="J20" s="12">
        <f t="shared" si="7"/>
        <v>2</v>
      </c>
      <c r="K20" s="12">
        <f t="shared" si="8"/>
        <v>2</v>
      </c>
      <c r="L20" s="12">
        <f t="shared" si="9"/>
        <v>2</v>
      </c>
      <c r="M20" s="12">
        <f t="shared" si="10"/>
        <v>2</v>
      </c>
      <c r="N20" s="6"/>
      <c r="O20" s="7"/>
      <c r="P20" s="7"/>
      <c r="Q20" s="7"/>
      <c r="R20" s="7"/>
      <c r="S20" s="7"/>
      <c r="T20" s="7"/>
      <c r="U20" s="7"/>
      <c r="V20" s="7"/>
      <c r="W20" s="7"/>
      <c r="X20" s="7"/>
      <c r="Y20" s="7"/>
      <c r="Z20" s="7"/>
    </row>
    <row r="21" spans="1:26" ht="15.75" customHeight="1">
      <c r="A21" s="8" t="s">
        <v>216</v>
      </c>
      <c r="B21" s="3"/>
      <c r="C21" s="3" t="s">
        <v>21</v>
      </c>
      <c r="D21" s="10" t="s">
        <v>21</v>
      </c>
      <c r="E21" s="10" t="s">
        <v>21</v>
      </c>
      <c r="F21" s="10" t="s">
        <v>21</v>
      </c>
      <c r="G21" s="11" t="s">
        <v>21</v>
      </c>
      <c r="H21" s="11" t="s">
        <v>21</v>
      </c>
      <c r="I21" s="12">
        <f t="shared" si="6"/>
        <v>2</v>
      </c>
      <c r="J21" s="12">
        <f t="shared" si="7"/>
        <v>2</v>
      </c>
      <c r="K21" s="12">
        <f t="shared" si="8"/>
        <v>2</v>
      </c>
      <c r="L21" s="12">
        <f t="shared" si="9"/>
        <v>2</v>
      </c>
      <c r="M21" s="12">
        <f t="shared" si="10"/>
        <v>2</v>
      </c>
      <c r="N21" s="6"/>
      <c r="O21" s="7"/>
      <c r="P21" s="7"/>
      <c r="Q21" s="7"/>
      <c r="R21" s="7"/>
      <c r="S21" s="7"/>
      <c r="T21" s="7"/>
      <c r="U21" s="7"/>
      <c r="V21" s="7"/>
      <c r="W21" s="7"/>
      <c r="X21" s="7"/>
      <c r="Y21" s="7"/>
      <c r="Z21" s="7"/>
    </row>
    <row r="22" spans="1:26" ht="15.75" customHeight="1">
      <c r="A22" s="8" t="s">
        <v>217</v>
      </c>
      <c r="B22" s="3" t="s">
        <v>16</v>
      </c>
      <c r="C22" s="3" t="s">
        <v>21</v>
      </c>
      <c r="D22" s="10" t="s">
        <v>21</v>
      </c>
      <c r="E22" s="10" t="s">
        <v>21</v>
      </c>
      <c r="F22" s="10" t="s">
        <v>21</v>
      </c>
      <c r="G22" s="11" t="s">
        <v>21</v>
      </c>
      <c r="H22" s="11" t="s">
        <v>21</v>
      </c>
      <c r="I22" s="12">
        <f t="shared" si="6"/>
        <v>2</v>
      </c>
      <c r="J22" s="12">
        <f t="shared" si="7"/>
        <v>2</v>
      </c>
      <c r="K22" s="12">
        <f t="shared" si="8"/>
        <v>2</v>
      </c>
      <c r="L22" s="12">
        <f t="shared" si="9"/>
        <v>2</v>
      </c>
      <c r="M22" s="12">
        <f t="shared" si="10"/>
        <v>2</v>
      </c>
      <c r="N22" s="6"/>
      <c r="O22" s="7"/>
      <c r="P22" s="7"/>
      <c r="Q22" s="7"/>
      <c r="R22" s="7"/>
      <c r="S22" s="7"/>
      <c r="T22" s="7"/>
      <c r="U22" s="7"/>
      <c r="V22" s="7"/>
      <c r="W22" s="7"/>
      <c r="X22" s="7"/>
      <c r="Y22" s="7"/>
      <c r="Z22" s="7"/>
    </row>
    <row r="23" spans="1:26" ht="15.75" customHeight="1">
      <c r="A23" s="8" t="s">
        <v>218</v>
      </c>
      <c r="B23" s="3"/>
      <c r="C23" s="3" t="s">
        <v>17</v>
      </c>
      <c r="D23" s="10" t="s">
        <v>14</v>
      </c>
      <c r="E23" s="10" t="s">
        <v>17</v>
      </c>
      <c r="F23" s="10" t="s">
        <v>14</v>
      </c>
      <c r="G23" s="11" t="s">
        <v>17</v>
      </c>
      <c r="H23" s="11" t="s">
        <v>17</v>
      </c>
      <c r="I23" s="12">
        <f t="shared" si="6"/>
        <v>0</v>
      </c>
      <c r="J23" s="12">
        <f t="shared" si="7"/>
        <v>2</v>
      </c>
      <c r="K23" s="12">
        <f t="shared" si="8"/>
        <v>0</v>
      </c>
      <c r="L23" s="12">
        <f t="shared" si="9"/>
        <v>2</v>
      </c>
      <c r="M23" s="12">
        <f t="shared" si="10"/>
        <v>2</v>
      </c>
      <c r="N23" s="13"/>
      <c r="O23" s="7"/>
      <c r="P23" s="7"/>
      <c r="Q23" s="7"/>
      <c r="R23" s="7"/>
      <c r="S23" s="7"/>
      <c r="T23" s="7"/>
      <c r="U23" s="7"/>
      <c r="V23" s="7"/>
      <c r="W23" s="7"/>
      <c r="X23" s="7"/>
      <c r="Y23" s="7"/>
      <c r="Z23" s="7"/>
    </row>
    <row r="24" spans="1:26" ht="15.75" customHeight="1">
      <c r="A24" s="8" t="s">
        <v>219</v>
      </c>
      <c r="B24" s="3"/>
      <c r="C24" s="3" t="s">
        <v>19</v>
      </c>
      <c r="D24" s="10" t="s">
        <v>19</v>
      </c>
      <c r="E24" s="10" t="s">
        <v>19</v>
      </c>
      <c r="F24" s="10" t="s">
        <v>19</v>
      </c>
      <c r="G24" s="11" t="s">
        <v>19</v>
      </c>
      <c r="H24" s="11" t="s">
        <v>19</v>
      </c>
      <c r="I24" s="12">
        <f t="shared" si="6"/>
        <v>2</v>
      </c>
      <c r="J24" s="12">
        <f t="shared" si="7"/>
        <v>2</v>
      </c>
      <c r="K24" s="12">
        <f t="shared" si="8"/>
        <v>2</v>
      </c>
      <c r="L24" s="12">
        <f t="shared" si="9"/>
        <v>2</v>
      </c>
      <c r="M24" s="12">
        <f t="shared" si="10"/>
        <v>2</v>
      </c>
      <c r="N24" s="13"/>
      <c r="O24" s="7"/>
      <c r="P24" s="7"/>
      <c r="Q24" s="7"/>
      <c r="R24" s="7"/>
      <c r="S24" s="7"/>
      <c r="T24" s="7"/>
      <c r="U24" s="7"/>
      <c r="V24" s="7"/>
      <c r="W24" s="7"/>
      <c r="X24" s="7"/>
      <c r="Y24" s="7"/>
      <c r="Z24" s="7"/>
    </row>
    <row r="25" spans="1:26" ht="15.75" customHeight="1">
      <c r="A25" s="8" t="s">
        <v>220</v>
      </c>
      <c r="B25" s="3"/>
      <c r="C25" s="3" t="s">
        <v>53</v>
      </c>
      <c r="D25" s="10" t="s">
        <v>53</v>
      </c>
      <c r="E25" s="10" t="s">
        <v>53</v>
      </c>
      <c r="F25" s="10" t="s">
        <v>53</v>
      </c>
      <c r="G25" s="11" t="s">
        <v>53</v>
      </c>
      <c r="H25" s="11" t="s">
        <v>53</v>
      </c>
      <c r="I25" s="22">
        <f>_xlfn.LET(
_xlpm.full,2,
_xlpm.ans0,$C25&amp;"",
_xlpm.resp0,D25&amp;"",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J25" s="22">
        <f t="shared" ref="J25:M25" si="11">_xlfn.LET(
_xlpm.full,2,
_xlpm.ans0,$C25&amp;"",
_xlpm.resp0,E25&amp;"",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K25" s="22">
        <f t="shared" si="11"/>
        <v>2</v>
      </c>
      <c r="L25" s="22">
        <f t="shared" si="11"/>
        <v>2</v>
      </c>
      <c r="M25" s="22">
        <f t="shared" si="11"/>
        <v>2</v>
      </c>
      <c r="N25" s="13"/>
      <c r="O25" s="7"/>
      <c r="P25" s="7"/>
      <c r="Q25" s="7"/>
      <c r="R25" s="7"/>
      <c r="S25" s="7"/>
      <c r="T25" s="7"/>
      <c r="U25" s="7"/>
      <c r="V25" s="7"/>
      <c r="W25" s="7"/>
      <c r="X25" s="7"/>
      <c r="Y25" s="7"/>
      <c r="Z25" s="7"/>
    </row>
    <row r="26" spans="1:26" ht="15.75" customHeight="1">
      <c r="A26" s="8" t="s">
        <v>221</v>
      </c>
      <c r="B26" s="3" t="s">
        <v>16</v>
      </c>
      <c r="C26" s="3" t="s">
        <v>72</v>
      </c>
      <c r="D26" s="10" t="s">
        <v>50</v>
      </c>
      <c r="E26" s="10" t="s">
        <v>50</v>
      </c>
      <c r="F26" s="10" t="s">
        <v>104</v>
      </c>
      <c r="G26" s="11" t="s">
        <v>104</v>
      </c>
      <c r="H26" s="11" t="s">
        <v>50</v>
      </c>
      <c r="I26" s="22">
        <f t="shared" ref="I26:I38" si="12">_xlfn.LET(
_xlpm.full,2,
_xlpm.ans0,$C26&amp;"",
_xlpm.resp0,D26&amp;"",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0</v>
      </c>
      <c r="J26" s="22">
        <f t="shared" ref="J26:J38" si="13">_xlfn.LET(
_xlpm.full,2,
_xlpm.ans0,$C26&amp;"",
_xlpm.resp0,E26&amp;"",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0</v>
      </c>
      <c r="K26" s="22">
        <f t="shared" ref="K26:K38" si="14">_xlfn.LET(
_xlpm.full,2,
_xlpm.ans0,$C26&amp;"",
_xlpm.resp0,F26&amp;"",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0.4</v>
      </c>
      <c r="L26" s="22">
        <f t="shared" ref="L26:L38" si="15">_xlfn.LET(
_xlpm.full,2,
_xlpm.ans0,$C26&amp;"",
_xlpm.resp0,G26&amp;"",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0.4</v>
      </c>
      <c r="M26" s="22">
        <f t="shared" ref="M26:M38" si="16">_xlfn.LET(
_xlpm.full,2,
_xlpm.ans0,$C26&amp;"",
_xlpm.resp0,H26&amp;"",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0</v>
      </c>
      <c r="N26" s="13"/>
      <c r="O26" s="7"/>
      <c r="P26" s="7"/>
      <c r="Q26" s="7"/>
      <c r="R26" s="7"/>
      <c r="S26" s="7"/>
      <c r="T26" s="7"/>
      <c r="U26" s="7"/>
      <c r="V26" s="7"/>
      <c r="W26" s="7"/>
      <c r="X26" s="7"/>
      <c r="Y26" s="7"/>
      <c r="Z26" s="7"/>
    </row>
    <row r="27" spans="1:26" ht="15.75" customHeight="1">
      <c r="A27" s="8" t="s">
        <v>222</v>
      </c>
      <c r="B27" s="3"/>
      <c r="C27" s="3" t="s">
        <v>55</v>
      </c>
      <c r="D27" s="10" t="s">
        <v>58</v>
      </c>
      <c r="E27" s="10" t="s">
        <v>55</v>
      </c>
      <c r="F27" s="10" t="s">
        <v>58</v>
      </c>
      <c r="G27" s="11" t="s">
        <v>55</v>
      </c>
      <c r="H27" s="11" t="s">
        <v>55</v>
      </c>
      <c r="I27" s="22">
        <f t="shared" si="12"/>
        <v>0.4</v>
      </c>
      <c r="J27" s="22">
        <f t="shared" si="13"/>
        <v>2</v>
      </c>
      <c r="K27" s="22">
        <f t="shared" si="14"/>
        <v>0.4</v>
      </c>
      <c r="L27" s="22">
        <f t="shared" si="15"/>
        <v>2</v>
      </c>
      <c r="M27" s="22">
        <f t="shared" si="16"/>
        <v>2</v>
      </c>
      <c r="N27" s="13"/>
      <c r="O27" s="7"/>
      <c r="P27" s="7"/>
      <c r="Q27" s="7"/>
      <c r="R27" s="7"/>
      <c r="S27" s="7"/>
      <c r="T27" s="7"/>
      <c r="U27" s="7"/>
      <c r="V27" s="7"/>
      <c r="W27" s="7"/>
      <c r="X27" s="7"/>
      <c r="Y27" s="7"/>
      <c r="Z27" s="7"/>
    </row>
    <row r="28" spans="1:26" ht="15.75" customHeight="1">
      <c r="A28" s="8" t="s">
        <v>223</v>
      </c>
      <c r="B28" s="3"/>
      <c r="C28" s="3" t="s">
        <v>104</v>
      </c>
      <c r="D28" s="10" t="s">
        <v>96</v>
      </c>
      <c r="E28" s="10" t="s">
        <v>50</v>
      </c>
      <c r="F28" s="10" t="s">
        <v>50</v>
      </c>
      <c r="G28" s="11" t="s">
        <v>94</v>
      </c>
      <c r="H28" s="11" t="s">
        <v>104</v>
      </c>
      <c r="I28" s="22">
        <f t="shared" si="12"/>
        <v>0.4</v>
      </c>
      <c r="J28" s="22">
        <f t="shared" si="13"/>
        <v>0.4</v>
      </c>
      <c r="K28" s="22">
        <f t="shared" si="14"/>
        <v>0.4</v>
      </c>
      <c r="L28" s="22">
        <f t="shared" si="15"/>
        <v>0</v>
      </c>
      <c r="M28" s="22">
        <f t="shared" si="16"/>
        <v>2</v>
      </c>
      <c r="N28" s="13"/>
      <c r="O28" s="7"/>
      <c r="P28" s="7"/>
      <c r="Q28" s="7"/>
      <c r="R28" s="7"/>
      <c r="S28" s="7"/>
      <c r="T28" s="7"/>
      <c r="U28" s="7"/>
      <c r="V28" s="7"/>
      <c r="W28" s="7"/>
      <c r="X28" s="7"/>
      <c r="Y28" s="7"/>
      <c r="Z28" s="7"/>
    </row>
    <row r="29" spans="1:26" ht="15.75" customHeight="1">
      <c r="A29" s="8" t="s">
        <v>224</v>
      </c>
      <c r="B29" s="3" t="s">
        <v>16</v>
      </c>
      <c r="C29" s="3" t="s">
        <v>60</v>
      </c>
      <c r="D29" s="10" t="s">
        <v>60</v>
      </c>
      <c r="E29" s="10" t="s">
        <v>60</v>
      </c>
      <c r="F29" s="10" t="s">
        <v>60</v>
      </c>
      <c r="G29" s="11" t="s">
        <v>60</v>
      </c>
      <c r="H29" s="11" t="s">
        <v>60</v>
      </c>
      <c r="I29" s="22">
        <f t="shared" si="12"/>
        <v>2</v>
      </c>
      <c r="J29" s="22">
        <f t="shared" si="13"/>
        <v>2</v>
      </c>
      <c r="K29" s="22">
        <f t="shared" si="14"/>
        <v>2</v>
      </c>
      <c r="L29" s="22">
        <f t="shared" si="15"/>
        <v>2</v>
      </c>
      <c r="M29" s="22">
        <f t="shared" si="16"/>
        <v>2</v>
      </c>
      <c r="N29" s="13"/>
      <c r="O29" s="7"/>
      <c r="P29" s="7"/>
      <c r="Q29" s="7"/>
      <c r="R29" s="7"/>
      <c r="S29" s="7"/>
      <c r="T29" s="7"/>
      <c r="U29" s="7"/>
      <c r="V29" s="7"/>
      <c r="W29" s="7"/>
      <c r="X29" s="7"/>
      <c r="Y29" s="7"/>
      <c r="Z29" s="7"/>
    </row>
    <row r="30" spans="1:26" ht="15.75" customHeight="1">
      <c r="A30" s="8" t="s">
        <v>225</v>
      </c>
      <c r="B30" s="3"/>
      <c r="C30" s="3" t="s">
        <v>55</v>
      </c>
      <c r="D30" s="10" t="s">
        <v>55</v>
      </c>
      <c r="E30" s="10" t="s">
        <v>55</v>
      </c>
      <c r="F30" s="10" t="s">
        <v>60</v>
      </c>
      <c r="G30" s="11" t="s">
        <v>55</v>
      </c>
      <c r="H30" s="11" t="s">
        <v>55</v>
      </c>
      <c r="I30" s="22">
        <f t="shared" si="12"/>
        <v>2</v>
      </c>
      <c r="J30" s="22">
        <f t="shared" si="13"/>
        <v>2</v>
      </c>
      <c r="K30" s="22">
        <f t="shared" si="14"/>
        <v>0.4</v>
      </c>
      <c r="L30" s="22">
        <f t="shared" si="15"/>
        <v>2</v>
      </c>
      <c r="M30" s="22">
        <f t="shared" si="16"/>
        <v>2</v>
      </c>
      <c r="N30" s="13"/>
      <c r="O30" s="7"/>
      <c r="P30" s="7"/>
      <c r="Q30" s="7"/>
      <c r="R30" s="7"/>
      <c r="S30" s="7"/>
      <c r="T30" s="7"/>
      <c r="U30" s="7"/>
      <c r="V30" s="7"/>
      <c r="W30" s="7"/>
      <c r="X30" s="7"/>
      <c r="Y30" s="7"/>
      <c r="Z30" s="7"/>
    </row>
    <row r="31" spans="1:26" ht="15.75" customHeight="1">
      <c r="A31" s="8" t="s">
        <v>226</v>
      </c>
      <c r="B31" s="3" t="s">
        <v>16</v>
      </c>
      <c r="C31" s="3" t="s">
        <v>96</v>
      </c>
      <c r="D31" s="10" t="s">
        <v>46</v>
      </c>
      <c r="E31" s="10" t="s">
        <v>96</v>
      </c>
      <c r="F31" s="10" t="s">
        <v>96</v>
      </c>
      <c r="G31" s="11" t="s">
        <v>96</v>
      </c>
      <c r="H31" s="11" t="s">
        <v>96</v>
      </c>
      <c r="I31" s="22">
        <f t="shared" si="12"/>
        <v>0.4</v>
      </c>
      <c r="J31" s="22">
        <f t="shared" si="13"/>
        <v>2</v>
      </c>
      <c r="K31" s="22">
        <f t="shared" si="14"/>
        <v>2</v>
      </c>
      <c r="L31" s="22">
        <f t="shared" si="15"/>
        <v>2</v>
      </c>
      <c r="M31" s="22">
        <f t="shared" si="16"/>
        <v>2</v>
      </c>
      <c r="N31" s="13"/>
      <c r="O31" s="7"/>
      <c r="P31" s="7"/>
      <c r="Q31" s="7"/>
      <c r="R31" s="7"/>
      <c r="S31" s="7"/>
      <c r="T31" s="7"/>
      <c r="U31" s="7"/>
      <c r="V31" s="7"/>
      <c r="W31" s="7"/>
      <c r="X31" s="7"/>
      <c r="Y31" s="7"/>
      <c r="Z31" s="7"/>
    </row>
    <row r="32" spans="1:26" ht="15.75" customHeight="1">
      <c r="A32" s="8" t="s">
        <v>227</v>
      </c>
      <c r="B32" s="3"/>
      <c r="C32" s="3" t="s">
        <v>96</v>
      </c>
      <c r="D32" s="10" t="s">
        <v>96</v>
      </c>
      <c r="E32" s="10" t="s">
        <v>96</v>
      </c>
      <c r="F32" s="10" t="s">
        <v>96</v>
      </c>
      <c r="G32" s="11" t="s">
        <v>96</v>
      </c>
      <c r="H32" s="11" t="s">
        <v>96</v>
      </c>
      <c r="I32" s="22">
        <f t="shared" si="12"/>
        <v>2</v>
      </c>
      <c r="J32" s="22">
        <f t="shared" si="13"/>
        <v>2</v>
      </c>
      <c r="K32" s="22">
        <f t="shared" si="14"/>
        <v>2</v>
      </c>
      <c r="L32" s="22">
        <f t="shared" si="15"/>
        <v>2</v>
      </c>
      <c r="M32" s="22">
        <f t="shared" si="16"/>
        <v>2</v>
      </c>
      <c r="N32" s="13"/>
      <c r="O32" s="7"/>
      <c r="P32" s="7"/>
      <c r="Q32" s="7"/>
      <c r="R32" s="7"/>
      <c r="S32" s="7"/>
      <c r="T32" s="7"/>
      <c r="U32" s="7"/>
      <c r="V32" s="7"/>
      <c r="W32" s="7"/>
      <c r="X32" s="7"/>
      <c r="Y32" s="7"/>
      <c r="Z32" s="7"/>
    </row>
    <row r="33" spans="1:26" ht="15.75" customHeight="1">
      <c r="A33" s="8" t="s">
        <v>228</v>
      </c>
      <c r="B33" s="3"/>
      <c r="C33" s="3" t="s">
        <v>57</v>
      </c>
      <c r="D33" s="10" t="s">
        <v>57</v>
      </c>
      <c r="E33" s="10" t="s">
        <v>57</v>
      </c>
      <c r="F33" s="10" t="s">
        <v>57</v>
      </c>
      <c r="G33" s="10" t="s">
        <v>57</v>
      </c>
      <c r="H33" s="11" t="s">
        <v>57</v>
      </c>
      <c r="I33" s="22">
        <f t="shared" si="12"/>
        <v>2</v>
      </c>
      <c r="J33" s="22">
        <f t="shared" si="13"/>
        <v>2</v>
      </c>
      <c r="K33" s="22">
        <f t="shared" si="14"/>
        <v>2</v>
      </c>
      <c r="L33" s="22">
        <f t="shared" si="15"/>
        <v>2</v>
      </c>
      <c r="M33" s="22">
        <f t="shared" si="16"/>
        <v>2</v>
      </c>
      <c r="N33" s="13"/>
      <c r="O33" s="7"/>
      <c r="P33" s="7"/>
      <c r="Q33" s="7"/>
      <c r="R33" s="7"/>
      <c r="S33" s="7"/>
      <c r="T33" s="7"/>
      <c r="U33" s="7"/>
      <c r="V33" s="7"/>
      <c r="W33" s="7"/>
      <c r="X33" s="7"/>
      <c r="Y33" s="7"/>
      <c r="Z33" s="7"/>
    </row>
    <row r="34" spans="1:26" ht="15.75" customHeight="1">
      <c r="A34" s="8" t="s">
        <v>229</v>
      </c>
      <c r="B34" s="3"/>
      <c r="C34" s="3" t="s">
        <v>102</v>
      </c>
      <c r="D34" s="10" t="s">
        <v>102</v>
      </c>
      <c r="E34" s="10" t="s">
        <v>102</v>
      </c>
      <c r="F34" s="10" t="s">
        <v>102</v>
      </c>
      <c r="G34" s="10" t="s">
        <v>102</v>
      </c>
      <c r="H34" s="11" t="s">
        <v>102</v>
      </c>
      <c r="I34" s="22">
        <f t="shared" si="12"/>
        <v>2</v>
      </c>
      <c r="J34" s="22">
        <f t="shared" si="13"/>
        <v>2</v>
      </c>
      <c r="K34" s="22">
        <f t="shared" si="14"/>
        <v>2</v>
      </c>
      <c r="L34" s="22">
        <f t="shared" si="15"/>
        <v>2</v>
      </c>
      <c r="M34" s="22">
        <f t="shared" si="16"/>
        <v>2</v>
      </c>
      <c r="N34" s="13"/>
      <c r="O34" s="7"/>
      <c r="P34" s="7"/>
      <c r="Q34" s="7"/>
      <c r="R34" s="7"/>
      <c r="S34" s="7"/>
      <c r="T34" s="7"/>
      <c r="U34" s="7"/>
      <c r="V34" s="7"/>
      <c r="W34" s="7"/>
      <c r="X34" s="7"/>
      <c r="Y34" s="7"/>
      <c r="Z34" s="7"/>
    </row>
    <row r="35" spans="1:26" ht="15.75" customHeight="1">
      <c r="A35" s="8" t="s">
        <v>230</v>
      </c>
      <c r="B35" s="3"/>
      <c r="C35" s="3" t="s">
        <v>48</v>
      </c>
      <c r="D35" s="10" t="s">
        <v>48</v>
      </c>
      <c r="E35" s="10" t="s">
        <v>48</v>
      </c>
      <c r="F35" s="10" t="s">
        <v>52</v>
      </c>
      <c r="G35" s="10" t="s">
        <v>48</v>
      </c>
      <c r="H35" s="11" t="s">
        <v>48</v>
      </c>
      <c r="I35" s="22">
        <f t="shared" si="12"/>
        <v>2</v>
      </c>
      <c r="J35" s="22">
        <f t="shared" si="13"/>
        <v>2</v>
      </c>
      <c r="K35" s="22">
        <f t="shared" si="14"/>
        <v>0.4</v>
      </c>
      <c r="L35" s="22">
        <f t="shared" si="15"/>
        <v>2</v>
      </c>
      <c r="M35" s="22">
        <f t="shared" si="16"/>
        <v>2</v>
      </c>
      <c r="N35" s="13"/>
      <c r="O35" s="7"/>
      <c r="P35" s="7"/>
      <c r="Q35" s="7"/>
      <c r="R35" s="7"/>
      <c r="S35" s="7"/>
      <c r="T35" s="7"/>
      <c r="U35" s="7"/>
      <c r="V35" s="7"/>
      <c r="W35" s="7"/>
      <c r="X35" s="7"/>
      <c r="Y35" s="7"/>
      <c r="Z35" s="7"/>
    </row>
    <row r="36" spans="1:26" ht="15.75" customHeight="1">
      <c r="A36" s="8" t="s">
        <v>231</v>
      </c>
      <c r="B36" s="3"/>
      <c r="C36" s="3" t="s">
        <v>53</v>
      </c>
      <c r="D36" s="10" t="s">
        <v>53</v>
      </c>
      <c r="E36" s="10" t="s">
        <v>53</v>
      </c>
      <c r="F36" s="10" t="s">
        <v>53</v>
      </c>
      <c r="G36" s="10" t="s">
        <v>53</v>
      </c>
      <c r="H36" s="11" t="s">
        <v>53</v>
      </c>
      <c r="I36" s="22">
        <f t="shared" si="12"/>
        <v>2</v>
      </c>
      <c r="J36" s="22">
        <f t="shared" si="13"/>
        <v>2</v>
      </c>
      <c r="K36" s="22">
        <f t="shared" si="14"/>
        <v>2</v>
      </c>
      <c r="L36" s="22">
        <f t="shared" si="15"/>
        <v>2</v>
      </c>
      <c r="M36" s="22">
        <f t="shared" si="16"/>
        <v>2</v>
      </c>
      <c r="N36" s="13"/>
      <c r="O36" s="7"/>
      <c r="P36" s="7"/>
      <c r="Q36" s="7"/>
      <c r="R36" s="7"/>
      <c r="S36" s="7"/>
      <c r="T36" s="7"/>
      <c r="U36" s="7"/>
      <c r="V36" s="7"/>
      <c r="W36" s="7"/>
      <c r="X36" s="7"/>
      <c r="Y36" s="7"/>
      <c r="Z36" s="7"/>
    </row>
    <row r="37" spans="1:26" ht="15.75" customHeight="1">
      <c r="A37" s="8" t="s">
        <v>232</v>
      </c>
      <c r="B37" s="3"/>
      <c r="C37" s="3" t="s">
        <v>94</v>
      </c>
      <c r="D37" s="10" t="s">
        <v>94</v>
      </c>
      <c r="E37" s="10" t="s">
        <v>94</v>
      </c>
      <c r="F37" s="10" t="s">
        <v>94</v>
      </c>
      <c r="G37" s="10" t="s">
        <v>94</v>
      </c>
      <c r="H37" s="11" t="s">
        <v>94</v>
      </c>
      <c r="I37" s="22">
        <f t="shared" si="12"/>
        <v>2</v>
      </c>
      <c r="J37" s="22">
        <f t="shared" si="13"/>
        <v>2</v>
      </c>
      <c r="K37" s="22">
        <f t="shared" si="14"/>
        <v>2</v>
      </c>
      <c r="L37" s="22">
        <f t="shared" si="15"/>
        <v>2</v>
      </c>
      <c r="M37" s="22">
        <f t="shared" si="16"/>
        <v>2</v>
      </c>
      <c r="N37" s="13"/>
      <c r="O37" s="7"/>
      <c r="P37" s="7"/>
      <c r="Q37" s="7"/>
      <c r="R37" s="7"/>
      <c r="S37" s="7"/>
      <c r="T37" s="7"/>
      <c r="U37" s="7"/>
      <c r="V37" s="7"/>
      <c r="W37" s="7"/>
      <c r="X37" s="7"/>
      <c r="Y37" s="7"/>
      <c r="Z37" s="7"/>
    </row>
    <row r="38" spans="1:26" ht="15.75" customHeight="1">
      <c r="A38" s="8" t="s">
        <v>233</v>
      </c>
      <c r="B38" s="3"/>
      <c r="C38" s="3" t="s">
        <v>50</v>
      </c>
      <c r="D38" s="10" t="s">
        <v>50</v>
      </c>
      <c r="E38" s="10" t="s">
        <v>50</v>
      </c>
      <c r="F38" s="10" t="s">
        <v>50</v>
      </c>
      <c r="G38" s="3" t="s">
        <v>50</v>
      </c>
      <c r="H38" s="11" t="s">
        <v>50</v>
      </c>
      <c r="I38" s="22">
        <f t="shared" si="12"/>
        <v>2</v>
      </c>
      <c r="J38" s="22">
        <f t="shared" si="13"/>
        <v>2</v>
      </c>
      <c r="K38" s="22">
        <f t="shared" si="14"/>
        <v>2</v>
      </c>
      <c r="L38" s="22">
        <f t="shared" si="15"/>
        <v>2</v>
      </c>
      <c r="M38" s="22">
        <f t="shared" si="16"/>
        <v>2</v>
      </c>
      <c r="N38" s="13"/>
      <c r="O38" s="7"/>
      <c r="P38" s="7"/>
      <c r="Q38" s="7"/>
      <c r="R38" s="7"/>
      <c r="S38" s="7"/>
      <c r="T38" s="7"/>
      <c r="U38" s="7"/>
      <c r="V38" s="7"/>
      <c r="W38" s="7"/>
      <c r="X38" s="7"/>
      <c r="Y38" s="7"/>
      <c r="Z38" s="7"/>
    </row>
    <row r="39" spans="1:26" ht="15.75" customHeight="1">
      <c r="A39" s="23" t="s">
        <v>234</v>
      </c>
      <c r="B39" s="18"/>
      <c r="C39" s="18"/>
      <c r="D39" s="24"/>
      <c r="E39" s="24"/>
      <c r="F39" s="24"/>
      <c r="G39" s="18"/>
      <c r="H39" s="24"/>
      <c r="I39" s="19"/>
      <c r="J39" s="19"/>
      <c r="K39" s="19"/>
      <c r="L39" s="19"/>
      <c r="M39" s="19"/>
      <c r="N39" s="13"/>
      <c r="O39" s="7"/>
      <c r="P39" s="7"/>
      <c r="Q39" s="7"/>
      <c r="R39" s="7"/>
      <c r="S39" s="7"/>
      <c r="T39" s="7"/>
      <c r="U39" s="7"/>
      <c r="V39" s="7"/>
      <c r="W39" s="7"/>
      <c r="X39" s="7"/>
      <c r="Y39" s="7"/>
      <c r="Z39" s="7"/>
    </row>
    <row r="40" spans="1:26" ht="15.75" customHeight="1">
      <c r="A40" s="34" t="s">
        <v>235</v>
      </c>
      <c r="B40" s="3" t="s">
        <v>16</v>
      </c>
      <c r="C40" s="3" t="s">
        <v>21</v>
      </c>
      <c r="D40" s="10" t="s">
        <v>21</v>
      </c>
      <c r="E40" s="10" t="s">
        <v>21</v>
      </c>
      <c r="F40" s="10" t="s">
        <v>21</v>
      </c>
      <c r="G40" s="3" t="s">
        <v>21</v>
      </c>
      <c r="H40" s="11" t="s">
        <v>21</v>
      </c>
      <c r="I40" s="25">
        <f>_xlfn.LET(
_xlpm.full,2,
_xlpm.ans0,$C40&amp;"",
_xlpm.resp0,D40&amp;"",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0" s="25">
        <f t="shared" ref="J40:M40" si="17">_xlfn.LET(
_xlpm.full,2,
_xlpm.ans0,$C40&amp;"",
_xlpm.resp0,E40&amp;"",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40" s="25">
        <f t="shared" si="17"/>
        <v>2</v>
      </c>
      <c r="L40" s="25">
        <f t="shared" si="17"/>
        <v>2</v>
      </c>
      <c r="M40" s="25">
        <f t="shared" si="17"/>
        <v>2</v>
      </c>
      <c r="N40" s="13"/>
      <c r="O40" s="7"/>
      <c r="P40" s="7"/>
      <c r="Q40" s="7"/>
      <c r="R40" s="7"/>
      <c r="S40" s="7"/>
      <c r="T40" s="7"/>
      <c r="U40" s="7"/>
      <c r="V40" s="7"/>
      <c r="W40" s="7"/>
      <c r="X40" s="7"/>
      <c r="Y40" s="7"/>
      <c r="Z40" s="7"/>
    </row>
    <row r="41" spans="1:26" ht="15.75" customHeight="1">
      <c r="A41" s="34" t="s">
        <v>236</v>
      </c>
      <c r="B41" s="3" t="s">
        <v>16</v>
      </c>
      <c r="C41" s="3" t="s">
        <v>17</v>
      </c>
      <c r="D41" s="10" t="s">
        <v>17</v>
      </c>
      <c r="E41" s="10" t="s">
        <v>17</v>
      </c>
      <c r="F41" s="10" t="s">
        <v>17</v>
      </c>
      <c r="G41" s="3" t="s">
        <v>17</v>
      </c>
      <c r="H41" s="11" t="s">
        <v>17</v>
      </c>
      <c r="I41" s="25">
        <f t="shared" ref="I41:M44" si="18">_xlfn.LET(
_xlpm.full,2,
_xlpm.ans0,$C41&amp;"",
_xlpm.resp0,D41&amp;"",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1" s="25">
        <f t="shared" ref="J41:J43" si="19">_xlfn.LET(
_xlpm.full,2,
_xlpm.ans0,$C41&amp;"",
_xlpm.resp0,E41&amp;"",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41" s="25">
        <f t="shared" ref="K41:K43" si="20">_xlfn.LET(
_xlpm.full,2,
_xlpm.ans0,$C41&amp;"",
_xlpm.resp0,F41&amp;"",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41" s="25">
        <f t="shared" ref="L41:L43" si="21">_xlfn.LET(
_xlpm.full,2,
_xlpm.ans0,$C41&amp;"",
_xlpm.resp0,G41&amp;"",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41" s="25">
        <f t="shared" ref="M41:M43" si="22">_xlfn.LET(
_xlpm.full,2,
_xlpm.ans0,$C41&amp;"",
_xlpm.resp0,H41&amp;"",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41" s="13"/>
      <c r="O41" s="7"/>
      <c r="P41" s="7"/>
      <c r="Q41" s="7"/>
      <c r="R41" s="7"/>
      <c r="S41" s="7"/>
      <c r="T41" s="7"/>
      <c r="U41" s="7"/>
      <c r="V41" s="7"/>
      <c r="W41" s="7"/>
      <c r="X41" s="7"/>
      <c r="Y41" s="7"/>
      <c r="Z41" s="7"/>
    </row>
    <row r="42" spans="1:26" ht="15.75" customHeight="1">
      <c r="A42" s="8" t="s">
        <v>237</v>
      </c>
      <c r="B42" s="3" t="s">
        <v>16</v>
      </c>
      <c r="C42" s="3" t="s">
        <v>21</v>
      </c>
      <c r="D42" s="10" t="s">
        <v>21</v>
      </c>
      <c r="E42" s="10" t="s">
        <v>22</v>
      </c>
      <c r="F42" s="10" t="s">
        <v>14</v>
      </c>
      <c r="G42" s="3" t="s">
        <v>21</v>
      </c>
      <c r="H42" s="11" t="s">
        <v>17</v>
      </c>
      <c r="I42" s="25">
        <f t="shared" si="18"/>
        <v>2</v>
      </c>
      <c r="J42" s="25">
        <f t="shared" si="19"/>
        <v>0</v>
      </c>
      <c r="K42" s="25">
        <f t="shared" si="20"/>
        <v>0</v>
      </c>
      <c r="L42" s="25">
        <f t="shared" si="21"/>
        <v>2</v>
      </c>
      <c r="M42" s="25">
        <f t="shared" si="22"/>
        <v>0</v>
      </c>
      <c r="N42" s="13"/>
      <c r="O42" s="7"/>
      <c r="P42" s="7"/>
      <c r="Q42" s="7"/>
      <c r="R42" s="7"/>
      <c r="S42" s="7"/>
      <c r="T42" s="7"/>
      <c r="U42" s="7"/>
      <c r="V42" s="7"/>
      <c r="W42" s="7"/>
      <c r="X42" s="7"/>
      <c r="Y42" s="7"/>
      <c r="Z42" s="7"/>
    </row>
    <row r="43" spans="1:26" ht="15.75" customHeight="1">
      <c r="A43" s="8" t="s">
        <v>238</v>
      </c>
      <c r="B43" s="3" t="s">
        <v>16</v>
      </c>
      <c r="C43" s="3" t="s">
        <v>88</v>
      </c>
      <c r="D43" s="10" t="s">
        <v>88</v>
      </c>
      <c r="E43" s="10" t="s">
        <v>88</v>
      </c>
      <c r="F43" s="10" t="s">
        <v>88</v>
      </c>
      <c r="G43" s="3" t="s">
        <v>88</v>
      </c>
      <c r="H43" s="11" t="s">
        <v>88</v>
      </c>
      <c r="I43" s="25">
        <f t="shared" si="18"/>
        <v>2</v>
      </c>
      <c r="J43" s="25">
        <f t="shared" si="19"/>
        <v>2</v>
      </c>
      <c r="K43" s="25">
        <f t="shared" si="20"/>
        <v>2</v>
      </c>
      <c r="L43" s="25">
        <f t="shared" si="21"/>
        <v>2</v>
      </c>
      <c r="M43" s="25">
        <f t="shared" si="22"/>
        <v>2</v>
      </c>
      <c r="N43" s="13"/>
      <c r="O43" s="7"/>
      <c r="P43" s="7"/>
      <c r="Q43" s="7"/>
      <c r="R43" s="7"/>
      <c r="S43" s="7"/>
      <c r="T43" s="7"/>
      <c r="U43" s="7"/>
      <c r="V43" s="7"/>
      <c r="W43" s="7"/>
      <c r="X43" s="7"/>
      <c r="Y43" s="7"/>
      <c r="Z43" s="7"/>
    </row>
    <row r="44" spans="1:26" ht="15.75" customHeight="1">
      <c r="A44" s="8" t="s">
        <v>239</v>
      </c>
      <c r="B44" s="3"/>
      <c r="C44" s="3" t="s">
        <v>60</v>
      </c>
      <c r="D44" s="10" t="s">
        <v>60</v>
      </c>
      <c r="E44" s="10" t="s">
        <v>60</v>
      </c>
      <c r="F44" s="10" t="s">
        <v>57</v>
      </c>
      <c r="G44" s="3" t="s">
        <v>60</v>
      </c>
      <c r="H44" s="11" t="s">
        <v>60</v>
      </c>
      <c r="I44" s="26">
        <f t="shared" si="18"/>
        <v>2</v>
      </c>
      <c r="J44" s="26">
        <f t="shared" si="18"/>
        <v>2</v>
      </c>
      <c r="K44" s="26">
        <f t="shared" si="18"/>
        <v>0.4</v>
      </c>
      <c r="L44" s="26">
        <f t="shared" si="18"/>
        <v>2</v>
      </c>
      <c r="M44" s="26">
        <f t="shared" si="18"/>
        <v>2</v>
      </c>
      <c r="N44" s="13"/>
      <c r="O44" s="7"/>
      <c r="P44" s="7"/>
      <c r="Q44" s="7"/>
      <c r="R44" s="7"/>
      <c r="S44" s="7"/>
      <c r="T44" s="7"/>
      <c r="U44" s="7"/>
      <c r="V44" s="7"/>
      <c r="W44" s="7"/>
      <c r="X44" s="7"/>
      <c r="Y44" s="7"/>
      <c r="Z44" s="7"/>
    </row>
    <row r="45" spans="1:26" ht="15.75" customHeight="1">
      <c r="A45" s="8" t="s">
        <v>240</v>
      </c>
      <c r="B45" s="3"/>
      <c r="C45" s="3" t="s">
        <v>50</v>
      </c>
      <c r="D45" s="10" t="s">
        <v>96</v>
      </c>
      <c r="E45" s="10" t="s">
        <v>96</v>
      </c>
      <c r="F45" s="10" t="s">
        <v>94</v>
      </c>
      <c r="G45" s="3" t="s">
        <v>50</v>
      </c>
      <c r="H45" s="11" t="s">
        <v>50</v>
      </c>
      <c r="I45" s="26">
        <f t="shared" ref="I45:I57" si="23">_xlfn.LET(
_xlpm.full,2,
_xlpm.ans0,$C45&amp;"",
_xlpm.resp0,D45&amp;"",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45" s="26">
        <f t="shared" ref="J45:J57" si="24">_xlfn.LET(
_xlpm.full,2,
_xlpm.ans0,$C45&amp;"",
_xlpm.resp0,E45&amp;"",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K45" s="26">
        <f t="shared" ref="K45:K57" si="25">_xlfn.LET(
_xlpm.full,2,
_xlpm.ans0,$C45&amp;"",
_xlpm.resp0,F45&amp;"",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L45" s="26">
        <f t="shared" ref="L45:L57" si="26">_xlfn.LET(
_xlpm.full,2,
_xlpm.ans0,$C45&amp;"",
_xlpm.resp0,G45&amp;"",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45" s="26">
        <f t="shared" ref="M45:M57" si="27">_xlfn.LET(
_xlpm.full,2,
_xlpm.ans0,$C45&amp;"",
_xlpm.resp0,H45&amp;"",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45" s="13"/>
      <c r="O45" s="7"/>
      <c r="P45" s="7"/>
      <c r="Q45" s="7"/>
      <c r="R45" s="7"/>
      <c r="S45" s="7"/>
      <c r="T45" s="7"/>
      <c r="U45" s="7"/>
      <c r="V45" s="7"/>
      <c r="W45" s="7"/>
      <c r="X45" s="7"/>
      <c r="Y45" s="7"/>
      <c r="Z45" s="7"/>
    </row>
    <row r="46" spans="1:26" ht="15.75" customHeight="1">
      <c r="A46" s="8" t="s">
        <v>241</v>
      </c>
      <c r="B46" s="3"/>
      <c r="C46" s="3" t="s">
        <v>48</v>
      </c>
      <c r="D46" s="10" t="s">
        <v>48</v>
      </c>
      <c r="E46" s="10" t="s">
        <v>48</v>
      </c>
      <c r="F46" s="10" t="s">
        <v>48</v>
      </c>
      <c r="G46" s="3" t="s">
        <v>48</v>
      </c>
      <c r="H46" s="11" t="s">
        <v>48</v>
      </c>
      <c r="I46" s="26">
        <f t="shared" si="23"/>
        <v>2</v>
      </c>
      <c r="J46" s="26">
        <f t="shared" si="24"/>
        <v>2</v>
      </c>
      <c r="K46" s="26">
        <f t="shared" si="25"/>
        <v>2</v>
      </c>
      <c r="L46" s="26">
        <f t="shared" si="26"/>
        <v>2</v>
      </c>
      <c r="M46" s="26">
        <f t="shared" si="27"/>
        <v>2</v>
      </c>
      <c r="N46" s="13"/>
      <c r="O46" s="7"/>
      <c r="P46" s="7"/>
      <c r="Q46" s="7"/>
      <c r="R46" s="7"/>
      <c r="S46" s="7"/>
      <c r="T46" s="7"/>
      <c r="U46" s="7"/>
      <c r="V46" s="7"/>
      <c r="W46" s="7"/>
      <c r="X46" s="7"/>
      <c r="Y46" s="7"/>
      <c r="Z46" s="7"/>
    </row>
    <row r="47" spans="1:26" ht="15.75" customHeight="1">
      <c r="A47" s="8" t="s">
        <v>242</v>
      </c>
      <c r="B47" s="3" t="s">
        <v>16</v>
      </c>
      <c r="C47" s="3" t="s">
        <v>22</v>
      </c>
      <c r="D47" s="10" t="s">
        <v>22</v>
      </c>
      <c r="E47" s="10" t="s">
        <v>22</v>
      </c>
      <c r="F47" s="10" t="s">
        <v>22</v>
      </c>
      <c r="G47" s="3" t="s">
        <v>22</v>
      </c>
      <c r="H47" s="11" t="s">
        <v>22</v>
      </c>
      <c r="I47" s="26">
        <f t="shared" si="23"/>
        <v>2</v>
      </c>
      <c r="J47" s="26">
        <f t="shared" si="24"/>
        <v>2</v>
      </c>
      <c r="K47" s="26">
        <f t="shared" si="25"/>
        <v>2</v>
      </c>
      <c r="L47" s="26">
        <f t="shared" si="26"/>
        <v>2</v>
      </c>
      <c r="M47" s="26">
        <f t="shared" si="27"/>
        <v>2</v>
      </c>
      <c r="N47" s="13"/>
      <c r="O47" s="13"/>
      <c r="P47" s="13"/>
      <c r="Q47" s="13"/>
      <c r="R47" s="13"/>
      <c r="S47" s="13"/>
      <c r="T47" s="13"/>
      <c r="U47" s="13"/>
      <c r="V47" s="13"/>
      <c r="W47" s="13"/>
      <c r="X47" s="13"/>
      <c r="Y47" s="13"/>
      <c r="Z47" s="13"/>
    </row>
    <row r="48" spans="1:26" ht="15.75" customHeight="1">
      <c r="A48" s="8" t="s">
        <v>243</v>
      </c>
      <c r="B48" s="3" t="s">
        <v>16</v>
      </c>
      <c r="C48" s="3" t="s">
        <v>64</v>
      </c>
      <c r="D48" s="10" t="s">
        <v>64</v>
      </c>
      <c r="E48" s="10" t="s">
        <v>64</v>
      </c>
      <c r="F48" s="10" t="s">
        <v>64</v>
      </c>
      <c r="G48" s="3" t="s">
        <v>64</v>
      </c>
      <c r="H48" s="11" t="s">
        <v>64</v>
      </c>
      <c r="I48" s="26">
        <f t="shared" si="23"/>
        <v>2</v>
      </c>
      <c r="J48" s="26">
        <f t="shared" si="24"/>
        <v>2</v>
      </c>
      <c r="K48" s="26">
        <f t="shared" si="25"/>
        <v>2</v>
      </c>
      <c r="L48" s="26">
        <f t="shared" si="26"/>
        <v>2</v>
      </c>
      <c r="M48" s="26">
        <f t="shared" si="27"/>
        <v>2</v>
      </c>
      <c r="N48" s="13"/>
      <c r="O48" s="13"/>
      <c r="P48" s="13"/>
      <c r="Q48" s="13"/>
      <c r="R48" s="13"/>
      <c r="S48" s="13"/>
      <c r="T48" s="13"/>
      <c r="U48" s="13"/>
      <c r="V48" s="13"/>
      <c r="W48" s="13"/>
      <c r="X48" s="13"/>
      <c r="Y48" s="13"/>
      <c r="Z48" s="13"/>
    </row>
    <row r="49" spans="1:26" ht="15.75" customHeight="1">
      <c r="A49" s="8" t="s">
        <v>244</v>
      </c>
      <c r="B49" s="3"/>
      <c r="C49" s="3" t="s">
        <v>14</v>
      </c>
      <c r="D49" s="10" t="s">
        <v>14</v>
      </c>
      <c r="E49" s="10" t="s">
        <v>14</v>
      </c>
      <c r="F49" s="10" t="s">
        <v>21</v>
      </c>
      <c r="G49" s="11" t="s">
        <v>14</v>
      </c>
      <c r="H49" s="11" t="s">
        <v>14</v>
      </c>
      <c r="I49" s="26">
        <f t="shared" si="23"/>
        <v>2</v>
      </c>
      <c r="J49" s="26">
        <f t="shared" si="24"/>
        <v>2</v>
      </c>
      <c r="K49" s="26">
        <f t="shared" si="25"/>
        <v>0</v>
      </c>
      <c r="L49" s="26">
        <f t="shared" si="26"/>
        <v>2</v>
      </c>
      <c r="M49" s="26">
        <f t="shared" si="27"/>
        <v>2</v>
      </c>
      <c r="N49" s="13"/>
      <c r="O49" s="13"/>
      <c r="P49" s="13"/>
      <c r="Q49" s="13"/>
      <c r="R49" s="13"/>
      <c r="S49" s="13"/>
      <c r="T49" s="13"/>
      <c r="U49" s="13"/>
      <c r="V49" s="13"/>
      <c r="W49" s="13"/>
      <c r="X49" s="13"/>
      <c r="Y49" s="13"/>
      <c r="Z49" s="13"/>
    </row>
    <row r="50" spans="1:26" ht="15.75" customHeight="1">
      <c r="A50" s="8" t="s">
        <v>245</v>
      </c>
      <c r="B50" s="3"/>
      <c r="C50" s="3" t="s">
        <v>48</v>
      </c>
      <c r="D50" s="10" t="s">
        <v>52</v>
      </c>
      <c r="E50" s="10" t="s">
        <v>52</v>
      </c>
      <c r="F50" s="10" t="s">
        <v>52</v>
      </c>
      <c r="G50" s="11" t="s">
        <v>52</v>
      </c>
      <c r="H50" s="11" t="s">
        <v>48</v>
      </c>
      <c r="I50" s="26">
        <f t="shared" si="23"/>
        <v>0.4</v>
      </c>
      <c r="J50" s="26">
        <f t="shared" si="24"/>
        <v>0.4</v>
      </c>
      <c r="K50" s="26">
        <f t="shared" si="25"/>
        <v>0.4</v>
      </c>
      <c r="L50" s="26">
        <f t="shared" si="26"/>
        <v>0.4</v>
      </c>
      <c r="M50" s="26">
        <f t="shared" si="27"/>
        <v>2</v>
      </c>
      <c r="N50" s="13"/>
      <c r="O50" s="13"/>
      <c r="P50" s="13"/>
      <c r="Q50" s="13"/>
      <c r="R50" s="13"/>
      <c r="S50" s="13"/>
      <c r="T50" s="13"/>
      <c r="U50" s="13"/>
      <c r="V50" s="13"/>
      <c r="W50" s="13"/>
      <c r="X50" s="13"/>
      <c r="Y50" s="13"/>
      <c r="Z50" s="13"/>
    </row>
    <row r="51" spans="1:26" ht="15.75" customHeight="1">
      <c r="A51" s="8" t="s">
        <v>246</v>
      </c>
      <c r="B51" s="3"/>
      <c r="C51" s="3" t="s">
        <v>17</v>
      </c>
      <c r="D51" s="10" t="s">
        <v>19</v>
      </c>
      <c r="E51" s="10" t="s">
        <v>17</v>
      </c>
      <c r="F51" s="10" t="s">
        <v>17</v>
      </c>
      <c r="G51" s="11" t="s">
        <v>17</v>
      </c>
      <c r="H51" s="11" t="s">
        <v>17</v>
      </c>
      <c r="I51" s="26">
        <f t="shared" si="23"/>
        <v>0</v>
      </c>
      <c r="J51" s="26">
        <f t="shared" si="24"/>
        <v>2</v>
      </c>
      <c r="K51" s="26">
        <f t="shared" si="25"/>
        <v>2</v>
      </c>
      <c r="L51" s="26">
        <f t="shared" si="26"/>
        <v>2</v>
      </c>
      <c r="M51" s="26">
        <f t="shared" si="27"/>
        <v>2</v>
      </c>
      <c r="N51" s="13"/>
      <c r="O51" s="13"/>
      <c r="P51" s="13"/>
      <c r="Q51" s="13"/>
      <c r="R51" s="13"/>
      <c r="S51" s="13"/>
      <c r="T51" s="13"/>
      <c r="U51" s="13"/>
      <c r="V51" s="13"/>
      <c r="W51" s="13"/>
      <c r="X51" s="13"/>
      <c r="Y51" s="13"/>
      <c r="Z51" s="13"/>
    </row>
    <row r="52" spans="1:26" ht="15.75" customHeight="1">
      <c r="A52" s="8" t="s">
        <v>247</v>
      </c>
      <c r="B52" s="3" t="s">
        <v>34</v>
      </c>
      <c r="C52" s="3" t="s">
        <v>50</v>
      </c>
      <c r="D52" s="10" t="s">
        <v>50</v>
      </c>
      <c r="E52" s="10" t="s">
        <v>96</v>
      </c>
      <c r="F52" s="10" t="s">
        <v>50</v>
      </c>
      <c r="G52" s="11" t="s">
        <v>104</v>
      </c>
      <c r="H52" s="11" t="s">
        <v>50</v>
      </c>
      <c r="I52" s="26">
        <f t="shared" si="23"/>
        <v>2</v>
      </c>
      <c r="J52" s="26">
        <f t="shared" si="24"/>
        <v>0.4</v>
      </c>
      <c r="K52" s="26">
        <f t="shared" si="25"/>
        <v>2</v>
      </c>
      <c r="L52" s="26">
        <f t="shared" si="26"/>
        <v>0.4</v>
      </c>
      <c r="M52" s="26">
        <f t="shared" si="27"/>
        <v>2</v>
      </c>
      <c r="N52" s="13"/>
      <c r="O52" s="13"/>
      <c r="P52" s="13"/>
      <c r="Q52" s="13"/>
      <c r="R52" s="13"/>
      <c r="S52" s="13"/>
      <c r="T52" s="13"/>
      <c r="U52" s="13"/>
      <c r="V52" s="13"/>
      <c r="W52" s="13"/>
      <c r="X52" s="13"/>
      <c r="Y52" s="13"/>
      <c r="Z52" s="13"/>
    </row>
    <row r="53" spans="1:26" ht="15.75" customHeight="1">
      <c r="A53" s="8" t="s">
        <v>248</v>
      </c>
      <c r="B53" s="3"/>
      <c r="C53" s="3" t="s">
        <v>55</v>
      </c>
      <c r="D53" s="10" t="s">
        <v>55</v>
      </c>
      <c r="E53" s="10" t="s">
        <v>55</v>
      </c>
      <c r="F53" s="10" t="s">
        <v>55</v>
      </c>
      <c r="G53" s="11" t="s">
        <v>55</v>
      </c>
      <c r="H53" s="11" t="s">
        <v>55</v>
      </c>
      <c r="I53" s="26">
        <f t="shared" si="23"/>
        <v>2</v>
      </c>
      <c r="J53" s="26">
        <f t="shared" si="24"/>
        <v>2</v>
      </c>
      <c r="K53" s="26">
        <f t="shared" si="25"/>
        <v>2</v>
      </c>
      <c r="L53" s="26">
        <f t="shared" si="26"/>
        <v>2</v>
      </c>
      <c r="M53" s="26">
        <f t="shared" si="27"/>
        <v>2</v>
      </c>
      <c r="N53" s="13"/>
      <c r="O53" s="13"/>
      <c r="P53" s="13"/>
      <c r="Q53" s="13"/>
      <c r="R53" s="13"/>
      <c r="S53" s="13"/>
      <c r="T53" s="13"/>
      <c r="U53" s="13"/>
      <c r="V53" s="13"/>
      <c r="W53" s="13"/>
      <c r="X53" s="13"/>
      <c r="Y53" s="13"/>
      <c r="Z53" s="13"/>
    </row>
    <row r="54" spans="1:26" ht="15.75" customHeight="1">
      <c r="A54" s="8" t="s">
        <v>249</v>
      </c>
      <c r="B54" s="3"/>
      <c r="C54" s="3" t="s">
        <v>57</v>
      </c>
      <c r="D54" s="10" t="s">
        <v>57</v>
      </c>
      <c r="E54" s="10" t="s">
        <v>57</v>
      </c>
      <c r="F54" s="10" t="s">
        <v>21</v>
      </c>
      <c r="G54" s="10" t="s">
        <v>57</v>
      </c>
      <c r="H54" s="11" t="s">
        <v>21</v>
      </c>
      <c r="I54" s="26">
        <f t="shared" si="23"/>
        <v>2</v>
      </c>
      <c r="J54" s="26">
        <f t="shared" si="24"/>
        <v>2</v>
      </c>
      <c r="K54" s="26">
        <f t="shared" si="25"/>
        <v>1.2</v>
      </c>
      <c r="L54" s="26">
        <f t="shared" si="26"/>
        <v>2</v>
      </c>
      <c r="M54" s="26">
        <f t="shared" si="27"/>
        <v>1.2</v>
      </c>
      <c r="N54" s="13"/>
      <c r="O54" s="13"/>
      <c r="P54" s="13"/>
      <c r="Q54" s="13"/>
      <c r="R54" s="13"/>
      <c r="S54" s="13"/>
      <c r="T54" s="13"/>
      <c r="U54" s="13"/>
      <c r="V54" s="13"/>
      <c r="W54" s="13"/>
      <c r="X54" s="13"/>
      <c r="Y54" s="13"/>
      <c r="Z54" s="13"/>
    </row>
    <row r="55" spans="1:26" ht="15.75" customHeight="1">
      <c r="A55" s="8" t="s">
        <v>250</v>
      </c>
      <c r="B55" s="3"/>
      <c r="C55" s="3" t="s">
        <v>21</v>
      </c>
      <c r="D55" s="10" t="s">
        <v>21</v>
      </c>
      <c r="E55" s="10" t="s">
        <v>21</v>
      </c>
      <c r="F55" s="10" t="s">
        <v>21</v>
      </c>
      <c r="G55" s="10" t="s">
        <v>21</v>
      </c>
      <c r="H55" s="11" t="s">
        <v>19</v>
      </c>
      <c r="I55" s="26">
        <f t="shared" si="23"/>
        <v>2</v>
      </c>
      <c r="J55" s="26">
        <f t="shared" si="24"/>
        <v>2</v>
      </c>
      <c r="K55" s="26">
        <f t="shared" si="25"/>
        <v>2</v>
      </c>
      <c r="L55" s="26">
        <f t="shared" si="26"/>
        <v>2</v>
      </c>
      <c r="M55" s="26">
        <f t="shared" si="27"/>
        <v>0</v>
      </c>
      <c r="N55" s="13"/>
      <c r="O55" s="13"/>
      <c r="P55" s="13"/>
      <c r="Q55" s="13"/>
      <c r="R55" s="13"/>
      <c r="S55" s="13"/>
      <c r="T55" s="13"/>
      <c r="U55" s="13"/>
      <c r="V55" s="13"/>
      <c r="W55" s="13"/>
      <c r="X55" s="13"/>
      <c r="Y55" s="13"/>
      <c r="Z55" s="13"/>
    </row>
    <row r="56" spans="1:26" ht="15.75" customHeight="1">
      <c r="A56" s="8" t="s">
        <v>251</v>
      </c>
      <c r="B56" s="3"/>
      <c r="C56" s="3" t="s">
        <v>50</v>
      </c>
      <c r="D56" s="10" t="s">
        <v>50</v>
      </c>
      <c r="E56" s="10" t="s">
        <v>50</v>
      </c>
      <c r="F56" s="10" t="s">
        <v>50</v>
      </c>
      <c r="G56" s="10" t="s">
        <v>50</v>
      </c>
      <c r="H56" s="11" t="s">
        <v>50</v>
      </c>
      <c r="I56" s="26">
        <f t="shared" si="23"/>
        <v>2</v>
      </c>
      <c r="J56" s="26">
        <f t="shared" si="24"/>
        <v>2</v>
      </c>
      <c r="K56" s="26">
        <f t="shared" si="25"/>
        <v>2</v>
      </c>
      <c r="L56" s="26">
        <f t="shared" si="26"/>
        <v>2</v>
      </c>
      <c r="M56" s="26">
        <f t="shared" si="27"/>
        <v>2</v>
      </c>
      <c r="N56" s="13"/>
      <c r="O56" s="13"/>
      <c r="P56" s="13"/>
      <c r="Q56" s="13"/>
      <c r="R56" s="13"/>
      <c r="S56" s="13"/>
      <c r="T56" s="13"/>
      <c r="U56" s="13"/>
      <c r="V56" s="13"/>
      <c r="W56" s="13"/>
      <c r="X56" s="13"/>
      <c r="Y56" s="13"/>
      <c r="Z56" s="13"/>
    </row>
    <row r="57" spans="1:26" ht="15.75" customHeight="1">
      <c r="A57" s="8" t="s">
        <v>252</v>
      </c>
      <c r="B57" s="3"/>
      <c r="C57" s="3" t="s">
        <v>19</v>
      </c>
      <c r="D57" s="10" t="s">
        <v>19</v>
      </c>
      <c r="E57" s="10" t="s">
        <v>19</v>
      </c>
      <c r="F57" s="10" t="s">
        <v>19</v>
      </c>
      <c r="G57" s="10" t="s">
        <v>19</v>
      </c>
      <c r="H57" s="11" t="s">
        <v>19</v>
      </c>
      <c r="I57" s="26">
        <f t="shared" si="23"/>
        <v>2</v>
      </c>
      <c r="J57" s="26">
        <f t="shared" si="24"/>
        <v>2</v>
      </c>
      <c r="K57" s="26">
        <f t="shared" si="25"/>
        <v>2</v>
      </c>
      <c r="L57" s="26">
        <f t="shared" si="26"/>
        <v>2</v>
      </c>
      <c r="M57" s="26">
        <f t="shared" si="27"/>
        <v>2</v>
      </c>
      <c r="N57" s="13"/>
      <c r="O57" s="13"/>
      <c r="P57" s="13"/>
      <c r="Q57" s="13"/>
      <c r="R57" s="13"/>
      <c r="S57" s="13"/>
      <c r="T57" s="13"/>
      <c r="U57" s="13"/>
      <c r="V57" s="13"/>
      <c r="W57" s="13"/>
      <c r="X57" s="13"/>
      <c r="Y57" s="13"/>
      <c r="Z57" s="13"/>
    </row>
    <row r="58" spans="1:26" ht="15.75" customHeight="1">
      <c r="A58" s="17" t="s">
        <v>253</v>
      </c>
      <c r="B58" s="18"/>
      <c r="C58" s="18"/>
      <c r="D58" s="24"/>
      <c r="E58" s="24"/>
      <c r="F58" s="24"/>
      <c r="G58" s="24"/>
      <c r="H58" s="35" t="s">
        <v>28</v>
      </c>
      <c r="I58" s="24"/>
      <c r="J58" s="24"/>
      <c r="K58" s="24"/>
      <c r="L58" s="24"/>
      <c r="M58" s="24"/>
      <c r="N58" s="13"/>
      <c r="O58" s="13"/>
      <c r="P58" s="13"/>
      <c r="Q58" s="13"/>
      <c r="R58" s="13"/>
      <c r="S58" s="13"/>
      <c r="T58" s="13"/>
      <c r="U58" s="13"/>
      <c r="V58" s="13"/>
      <c r="W58" s="13"/>
      <c r="X58" s="13"/>
      <c r="Y58" s="13"/>
      <c r="Z58" s="13"/>
    </row>
    <row r="59" spans="1:26" ht="15.75" customHeight="1">
      <c r="A59" s="8" t="s">
        <v>254</v>
      </c>
      <c r="B59" s="3" t="s">
        <v>78</v>
      </c>
      <c r="C59" s="3" t="s">
        <v>19</v>
      </c>
      <c r="D59" s="10" t="s">
        <v>19</v>
      </c>
      <c r="E59" s="10" t="s">
        <v>19</v>
      </c>
      <c r="F59" s="10" t="s">
        <v>19</v>
      </c>
      <c r="G59" s="3" t="s">
        <v>19</v>
      </c>
      <c r="H59" s="11" t="s">
        <v>19</v>
      </c>
      <c r="I59" s="26">
        <f t="shared" ref="I59:I63" si="28">_xlfn.LET(
_xlpm.full,2,
_xlpm.ans0,$C59&amp;"",
_xlpm.resp0,D59&amp;"",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59" s="26">
        <f t="shared" ref="J59:J63" si="29">_xlfn.LET(
_xlpm.full,2,
_xlpm.ans0,$C59&amp;"",
_xlpm.resp0,E59&amp;"",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59" s="26">
        <f t="shared" ref="K59:K63" si="30">_xlfn.LET(
_xlpm.full,2,
_xlpm.ans0,$C59&amp;"",
_xlpm.resp0,F59&amp;"",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59" s="26">
        <f t="shared" ref="L59:L63" si="31">_xlfn.LET(
_xlpm.full,2,
_xlpm.ans0,$C59&amp;"",
_xlpm.resp0,G59&amp;"",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59" s="26">
        <f t="shared" ref="M59:M63" si="32">_xlfn.LET(
_xlpm.full,2,
_xlpm.ans0,$C59&amp;"",
_xlpm.resp0,H59&amp;"",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59" s="13"/>
      <c r="O59" s="13"/>
      <c r="P59" s="13"/>
      <c r="Q59" s="13"/>
      <c r="R59" s="13"/>
      <c r="S59" s="13"/>
      <c r="T59" s="13"/>
      <c r="U59" s="13"/>
      <c r="V59" s="13"/>
      <c r="W59" s="13"/>
      <c r="X59" s="13"/>
      <c r="Y59" s="13"/>
      <c r="Z59" s="13"/>
    </row>
    <row r="60" spans="1:26" ht="15.75" customHeight="1">
      <c r="A60" s="8" t="s">
        <v>255</v>
      </c>
      <c r="B60" s="3" t="s">
        <v>78</v>
      </c>
      <c r="C60" s="3" t="s">
        <v>17</v>
      </c>
      <c r="D60" s="10" t="s">
        <v>17</v>
      </c>
      <c r="E60" s="10" t="s">
        <v>17</v>
      </c>
      <c r="F60" s="10" t="s">
        <v>17</v>
      </c>
      <c r="G60" s="3" t="s">
        <v>17</v>
      </c>
      <c r="H60" s="11" t="s">
        <v>17</v>
      </c>
      <c r="I60" s="26">
        <f t="shared" si="28"/>
        <v>2</v>
      </c>
      <c r="J60" s="26">
        <f t="shared" si="29"/>
        <v>2</v>
      </c>
      <c r="K60" s="26">
        <f t="shared" si="30"/>
        <v>2</v>
      </c>
      <c r="L60" s="26">
        <f t="shared" si="31"/>
        <v>2</v>
      </c>
      <c r="M60" s="26">
        <f t="shared" si="32"/>
        <v>2</v>
      </c>
      <c r="N60" s="13"/>
      <c r="O60" s="13"/>
      <c r="P60" s="13"/>
      <c r="Q60" s="13"/>
      <c r="R60" s="13"/>
      <c r="S60" s="13"/>
      <c r="T60" s="13"/>
      <c r="U60" s="13"/>
      <c r="V60" s="13"/>
      <c r="W60" s="13"/>
      <c r="X60" s="13"/>
      <c r="Y60" s="13"/>
      <c r="Z60" s="13"/>
    </row>
    <row r="61" spans="1:26" ht="15.75" customHeight="1">
      <c r="A61" s="8" t="s">
        <v>256</v>
      </c>
      <c r="B61" s="3" t="s">
        <v>78</v>
      </c>
      <c r="C61" s="3" t="s">
        <v>14</v>
      </c>
      <c r="D61" s="10" t="s">
        <v>14</v>
      </c>
      <c r="E61" s="10" t="s">
        <v>14</v>
      </c>
      <c r="F61" s="10" t="s">
        <v>14</v>
      </c>
      <c r="G61" s="3" t="s">
        <v>14</v>
      </c>
      <c r="H61" s="11" t="s">
        <v>14</v>
      </c>
      <c r="I61" s="26">
        <f t="shared" si="28"/>
        <v>2</v>
      </c>
      <c r="J61" s="26">
        <f t="shared" si="29"/>
        <v>2</v>
      </c>
      <c r="K61" s="26">
        <f t="shared" si="30"/>
        <v>2</v>
      </c>
      <c r="L61" s="26">
        <f t="shared" si="31"/>
        <v>2</v>
      </c>
      <c r="M61" s="26">
        <f t="shared" si="32"/>
        <v>2</v>
      </c>
      <c r="N61" s="13"/>
      <c r="O61" s="13"/>
      <c r="P61" s="13"/>
      <c r="Q61" s="13"/>
      <c r="R61" s="13"/>
      <c r="S61" s="13"/>
      <c r="T61" s="13"/>
      <c r="U61" s="13"/>
      <c r="V61" s="13"/>
      <c r="W61" s="13"/>
      <c r="X61" s="13"/>
      <c r="Y61" s="13"/>
      <c r="Z61" s="13"/>
    </row>
    <row r="62" spans="1:26" ht="15.75" customHeight="1">
      <c r="A62" s="8" t="s">
        <v>257</v>
      </c>
      <c r="B62" s="3"/>
      <c r="C62" s="3" t="s">
        <v>17</v>
      </c>
      <c r="D62" s="10" t="s">
        <v>17</v>
      </c>
      <c r="E62" s="10" t="s">
        <v>17</v>
      </c>
      <c r="F62" s="10" t="s">
        <v>17</v>
      </c>
      <c r="G62" s="3" t="s">
        <v>17</v>
      </c>
      <c r="H62" s="11" t="s">
        <v>17</v>
      </c>
      <c r="I62" s="26">
        <f t="shared" si="28"/>
        <v>2</v>
      </c>
      <c r="J62" s="26">
        <f t="shared" si="29"/>
        <v>2</v>
      </c>
      <c r="K62" s="26">
        <f t="shared" si="30"/>
        <v>2</v>
      </c>
      <c r="L62" s="26">
        <f t="shared" si="31"/>
        <v>2</v>
      </c>
      <c r="M62" s="26">
        <f t="shared" si="32"/>
        <v>2</v>
      </c>
      <c r="N62" s="13"/>
      <c r="O62" s="13"/>
      <c r="P62" s="13"/>
      <c r="Q62" s="13"/>
      <c r="R62" s="13"/>
      <c r="S62" s="13"/>
      <c r="T62" s="13"/>
      <c r="U62" s="13"/>
      <c r="V62" s="13"/>
      <c r="W62" s="13"/>
      <c r="X62" s="13"/>
      <c r="Y62" s="13"/>
      <c r="Z62" s="13"/>
    </row>
    <row r="63" spans="1:26" ht="15.75" customHeight="1">
      <c r="A63" s="8" t="s">
        <v>258</v>
      </c>
      <c r="B63" s="3"/>
      <c r="C63" s="3" t="s">
        <v>60</v>
      </c>
      <c r="D63" s="10" t="s">
        <v>60</v>
      </c>
      <c r="E63" s="10" t="s">
        <v>60</v>
      </c>
      <c r="F63" s="10" t="s">
        <v>60</v>
      </c>
      <c r="G63" s="3" t="s">
        <v>60</v>
      </c>
      <c r="H63" s="11" t="s">
        <v>60</v>
      </c>
      <c r="I63" s="26">
        <f t="shared" si="28"/>
        <v>2</v>
      </c>
      <c r="J63" s="26">
        <f t="shared" si="29"/>
        <v>2</v>
      </c>
      <c r="K63" s="26">
        <f t="shared" si="30"/>
        <v>2</v>
      </c>
      <c r="L63" s="26">
        <f t="shared" si="31"/>
        <v>2</v>
      </c>
      <c r="M63" s="26">
        <f t="shared" si="32"/>
        <v>2</v>
      </c>
      <c r="N63" s="13"/>
      <c r="O63" s="13"/>
      <c r="P63" s="13"/>
      <c r="Q63" s="13"/>
      <c r="R63" s="13"/>
      <c r="S63" s="13"/>
      <c r="T63" s="13"/>
      <c r="U63" s="13"/>
      <c r="V63" s="13"/>
      <c r="W63" s="13"/>
      <c r="X63" s="13"/>
      <c r="Y63" s="13"/>
      <c r="Z63" s="13"/>
    </row>
    <row r="64" spans="1:26" ht="15.75" customHeight="1">
      <c r="A64" s="17" t="s">
        <v>259</v>
      </c>
      <c r="B64" s="18"/>
      <c r="C64" s="24"/>
      <c r="D64" s="24"/>
      <c r="E64" s="24"/>
      <c r="F64" s="24"/>
      <c r="G64" s="24"/>
      <c r="H64" s="24"/>
      <c r="I64" s="24"/>
      <c r="J64" s="24"/>
      <c r="K64" s="24"/>
      <c r="L64" s="24"/>
      <c r="M64" s="24"/>
      <c r="N64" s="13"/>
      <c r="O64" s="13"/>
      <c r="P64" s="13"/>
      <c r="Q64" s="13"/>
      <c r="R64" s="13"/>
      <c r="S64" s="13"/>
      <c r="T64" s="13"/>
      <c r="U64" s="13"/>
      <c r="V64" s="13"/>
      <c r="W64" s="13"/>
      <c r="X64" s="13"/>
      <c r="Y64" s="13"/>
      <c r="Z64" s="13"/>
    </row>
    <row r="65" spans="1:26" ht="15.75" customHeight="1">
      <c r="A65" s="8" t="s">
        <v>260</v>
      </c>
      <c r="B65" s="3" t="s">
        <v>16</v>
      </c>
      <c r="C65" s="3" t="s">
        <v>102</v>
      </c>
      <c r="D65" s="10" t="s">
        <v>48</v>
      </c>
      <c r="E65" s="10" t="s">
        <v>102</v>
      </c>
      <c r="F65" s="10" t="s">
        <v>48</v>
      </c>
      <c r="G65" s="27" t="s">
        <v>205</v>
      </c>
      <c r="H65" s="11" t="s">
        <v>205</v>
      </c>
      <c r="I65" s="26">
        <f t="shared" ref="I65:I67" si="33">_xlfn.LET(
_xlpm.full,2,
_xlpm.ans0,$C65&amp;"",
_xlpm.resp0,D65&amp;"",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65" s="26">
        <f t="shared" ref="J65:J67" si="34">_xlfn.LET(
_xlpm.full,2,
_xlpm.ans0,$C65&amp;"",
_xlpm.resp0,E65&amp;"",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65" s="26">
        <f t="shared" ref="K65:K67" si="35">_xlfn.LET(
_xlpm.full,2,
_xlpm.ans0,$C65&amp;"",
_xlpm.resp0,F65&amp;"",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L65" s="26">
        <f t="shared" ref="L65:L67" si="36">_xlfn.LET(
_xlpm.full,2,
_xlpm.ans0,$C65&amp;"",
_xlpm.resp0,G65&amp;"",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M65" s="26">
        <f t="shared" ref="M65:M67" si="37">_xlfn.LET(
_xlpm.full,2,
_xlpm.ans0,$C65&amp;"",
_xlpm.resp0,H65&amp;"",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N65" s="13"/>
      <c r="O65" s="13"/>
      <c r="P65" s="13"/>
      <c r="Q65" s="13"/>
      <c r="R65" s="13"/>
      <c r="S65" s="13"/>
      <c r="T65" s="13"/>
      <c r="U65" s="13"/>
      <c r="V65" s="13"/>
      <c r="W65" s="13"/>
      <c r="X65" s="13"/>
      <c r="Y65" s="13"/>
      <c r="Z65" s="13"/>
    </row>
    <row r="66" spans="1:26" ht="15.75" customHeight="1">
      <c r="A66" s="8" t="s">
        <v>261</v>
      </c>
      <c r="B66" s="3" t="s">
        <v>16</v>
      </c>
      <c r="C66" s="3" t="s">
        <v>21</v>
      </c>
      <c r="D66" s="3" t="s">
        <v>22</v>
      </c>
      <c r="E66" s="3" t="s">
        <v>21</v>
      </c>
      <c r="F66" s="3" t="s">
        <v>21</v>
      </c>
      <c r="G66" s="27" t="s">
        <v>14</v>
      </c>
      <c r="H66" s="27" t="s">
        <v>21</v>
      </c>
      <c r="I66" s="26">
        <f t="shared" si="33"/>
        <v>0</v>
      </c>
      <c r="J66" s="26">
        <f t="shared" si="34"/>
        <v>2</v>
      </c>
      <c r="K66" s="26">
        <f t="shared" si="35"/>
        <v>2</v>
      </c>
      <c r="L66" s="26">
        <f t="shared" si="36"/>
        <v>0</v>
      </c>
      <c r="M66" s="26">
        <f t="shared" si="37"/>
        <v>2</v>
      </c>
      <c r="N66" s="13"/>
      <c r="O66" s="13"/>
      <c r="P66" s="13"/>
      <c r="Q66" s="13"/>
      <c r="R66" s="13"/>
      <c r="S66" s="13"/>
      <c r="T66" s="13"/>
      <c r="U66" s="13"/>
      <c r="V66" s="13"/>
      <c r="W66" s="13"/>
      <c r="X66" s="13"/>
      <c r="Y66" s="13"/>
      <c r="Z66" s="13"/>
    </row>
    <row r="67" spans="1:26" ht="15.75" customHeight="1">
      <c r="A67" s="8" t="s">
        <v>262</v>
      </c>
      <c r="B67" s="3"/>
      <c r="C67" s="3" t="s">
        <v>88</v>
      </c>
      <c r="D67" s="10" t="s">
        <v>58</v>
      </c>
      <c r="E67" s="10" t="s">
        <v>88</v>
      </c>
      <c r="F67" s="10" t="s">
        <v>58</v>
      </c>
      <c r="G67" s="11" t="s">
        <v>88</v>
      </c>
      <c r="H67" s="11" t="s">
        <v>88</v>
      </c>
      <c r="I67" s="26">
        <f t="shared" si="33"/>
        <v>0.4</v>
      </c>
      <c r="J67" s="26">
        <f t="shared" si="34"/>
        <v>2</v>
      </c>
      <c r="K67" s="26">
        <f t="shared" si="35"/>
        <v>0.4</v>
      </c>
      <c r="L67" s="26">
        <f t="shared" si="36"/>
        <v>2</v>
      </c>
      <c r="M67" s="26">
        <f t="shared" si="37"/>
        <v>2</v>
      </c>
      <c r="N67" s="13"/>
      <c r="O67" s="13"/>
      <c r="P67" s="13"/>
      <c r="Q67" s="13"/>
      <c r="R67" s="13"/>
      <c r="S67" s="13"/>
      <c r="T67" s="13"/>
      <c r="U67" s="13"/>
      <c r="V67" s="13"/>
      <c r="W67" s="13"/>
      <c r="X67" s="13"/>
      <c r="Y67" s="13"/>
      <c r="Z67" s="13"/>
    </row>
    <row r="68" spans="1:26" ht="15.75" customHeight="1">
      <c r="A68" s="17" t="s">
        <v>263</v>
      </c>
      <c r="B68" s="18"/>
      <c r="C68" s="18"/>
      <c r="D68" s="24"/>
      <c r="E68" s="24"/>
      <c r="F68" s="24"/>
      <c r="G68" s="24"/>
      <c r="H68" s="24"/>
      <c r="I68" s="24"/>
      <c r="J68" s="24"/>
      <c r="K68" s="24"/>
      <c r="L68" s="24"/>
      <c r="M68" s="24"/>
      <c r="N68" s="13"/>
      <c r="O68" s="13"/>
      <c r="P68" s="13"/>
      <c r="Q68" s="13"/>
      <c r="R68" s="13"/>
      <c r="S68" s="13"/>
      <c r="T68" s="13"/>
      <c r="U68" s="13"/>
      <c r="V68" s="13"/>
      <c r="W68" s="13"/>
      <c r="X68" s="13"/>
      <c r="Y68" s="13"/>
      <c r="Z68" s="13"/>
    </row>
    <row r="69" spans="1:26" ht="15.75" customHeight="1">
      <c r="A69" s="38" t="s">
        <v>264</v>
      </c>
      <c r="B69" s="3" t="s">
        <v>16</v>
      </c>
      <c r="C69" s="3" t="s">
        <v>95</v>
      </c>
      <c r="D69" s="10" t="s">
        <v>69</v>
      </c>
      <c r="E69" s="10" t="s">
        <v>95</v>
      </c>
      <c r="F69" s="10" t="s">
        <v>95</v>
      </c>
      <c r="G69" s="11" t="s">
        <v>69</v>
      </c>
      <c r="H69" s="11" t="s">
        <v>95</v>
      </c>
      <c r="I69" s="26">
        <f t="shared" ref="I69:I74" si="38">_xlfn.LET(
_xlpm.full,2,
_xlpm.ans0,$C69&amp;"",
_xlpm.resp0,D69&amp;"",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69" s="26">
        <f t="shared" ref="J69:J74" si="39">_xlfn.LET(
_xlpm.full,2,
_xlpm.ans0,$C69&amp;"",
_xlpm.resp0,E69&amp;"",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69" s="26">
        <f t="shared" ref="K69:K74" si="40">_xlfn.LET(
_xlpm.full,2,
_xlpm.ans0,$C69&amp;"",
_xlpm.resp0,F69&amp;"",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69" s="26">
        <f t="shared" ref="L69:L74" si="41">_xlfn.LET(
_xlpm.full,2,
_xlpm.ans0,$C69&amp;"",
_xlpm.resp0,G69&amp;"",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M69" s="26">
        <f t="shared" ref="M69:M74" si="42">_xlfn.LET(
_xlpm.full,2,
_xlpm.ans0,$C69&amp;"",
_xlpm.resp0,H69&amp;"",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69" s="13"/>
      <c r="O69" s="13"/>
      <c r="P69" s="13"/>
      <c r="Q69" s="13"/>
      <c r="R69" s="13"/>
      <c r="S69" s="13"/>
      <c r="T69" s="13"/>
      <c r="U69" s="13"/>
      <c r="V69" s="13"/>
      <c r="W69" s="13"/>
      <c r="X69" s="13"/>
      <c r="Y69" s="13"/>
      <c r="Z69" s="13"/>
    </row>
    <row r="70" spans="1:26" ht="15.75" customHeight="1">
      <c r="A70" s="38" t="s">
        <v>265</v>
      </c>
      <c r="B70" s="3" t="s">
        <v>16</v>
      </c>
      <c r="C70" s="3" t="s">
        <v>64</v>
      </c>
      <c r="D70" s="10" t="s">
        <v>69</v>
      </c>
      <c r="E70" s="10" t="s">
        <v>64</v>
      </c>
      <c r="F70" s="10" t="s">
        <v>72</v>
      </c>
      <c r="G70" s="11" t="s">
        <v>64</v>
      </c>
      <c r="H70" s="11" t="s">
        <v>64</v>
      </c>
      <c r="I70" s="26">
        <f t="shared" si="38"/>
        <v>0.4</v>
      </c>
      <c r="J70" s="26">
        <f t="shared" si="39"/>
        <v>2</v>
      </c>
      <c r="K70" s="26">
        <f t="shared" si="40"/>
        <v>0.4</v>
      </c>
      <c r="L70" s="26">
        <f t="shared" si="41"/>
        <v>2</v>
      </c>
      <c r="M70" s="26">
        <f t="shared" si="42"/>
        <v>2</v>
      </c>
      <c r="N70" s="13"/>
      <c r="O70" s="13"/>
      <c r="P70" s="13"/>
      <c r="Q70" s="13"/>
      <c r="R70" s="13"/>
      <c r="S70" s="13"/>
      <c r="T70" s="13"/>
      <c r="U70" s="13"/>
      <c r="V70" s="13"/>
      <c r="W70" s="13"/>
      <c r="X70" s="13"/>
      <c r="Y70" s="13"/>
      <c r="Z70" s="13"/>
    </row>
    <row r="71" spans="1:26" ht="15.75" customHeight="1">
      <c r="A71" s="38" t="s">
        <v>266</v>
      </c>
      <c r="B71" s="3"/>
      <c r="C71" s="3" t="s">
        <v>64</v>
      </c>
      <c r="D71" s="10" t="s">
        <v>64</v>
      </c>
      <c r="E71" s="10" t="s">
        <v>64</v>
      </c>
      <c r="F71" s="10" t="s">
        <v>64</v>
      </c>
      <c r="G71" s="11" t="s">
        <v>64</v>
      </c>
      <c r="H71" s="11" t="s">
        <v>64</v>
      </c>
      <c r="I71" s="26">
        <f t="shared" si="38"/>
        <v>2</v>
      </c>
      <c r="J71" s="26">
        <f t="shared" si="39"/>
        <v>2</v>
      </c>
      <c r="K71" s="26">
        <f t="shared" si="40"/>
        <v>2</v>
      </c>
      <c r="L71" s="26">
        <f t="shared" si="41"/>
        <v>2</v>
      </c>
      <c r="M71" s="26">
        <f t="shared" si="42"/>
        <v>2</v>
      </c>
      <c r="N71" s="13"/>
      <c r="O71" s="13"/>
      <c r="P71" s="13"/>
      <c r="Q71" s="13"/>
      <c r="R71" s="13"/>
      <c r="S71" s="13"/>
      <c r="T71" s="13"/>
      <c r="U71" s="13"/>
      <c r="V71" s="13"/>
      <c r="W71" s="13"/>
      <c r="X71" s="13"/>
      <c r="Y71" s="13"/>
      <c r="Z71" s="13"/>
    </row>
    <row r="72" spans="1:26" ht="15.75" customHeight="1">
      <c r="A72" s="38" t="s">
        <v>267</v>
      </c>
      <c r="B72" s="3" t="s">
        <v>34</v>
      </c>
      <c r="C72" s="3" t="s">
        <v>19</v>
      </c>
      <c r="D72" s="10" t="s">
        <v>19</v>
      </c>
      <c r="E72" s="10" t="s">
        <v>19</v>
      </c>
      <c r="F72" s="10" t="s">
        <v>19</v>
      </c>
      <c r="G72" s="10" t="s">
        <v>19</v>
      </c>
      <c r="H72" s="11" t="s">
        <v>19</v>
      </c>
      <c r="I72" s="26">
        <f t="shared" si="38"/>
        <v>2</v>
      </c>
      <c r="J72" s="26">
        <f t="shared" si="39"/>
        <v>2</v>
      </c>
      <c r="K72" s="26">
        <f t="shared" si="40"/>
        <v>2</v>
      </c>
      <c r="L72" s="26">
        <f t="shared" si="41"/>
        <v>2</v>
      </c>
      <c r="M72" s="26">
        <f t="shared" si="42"/>
        <v>2</v>
      </c>
      <c r="N72" s="13"/>
      <c r="O72" s="13"/>
      <c r="P72" s="13"/>
      <c r="Q72" s="13"/>
      <c r="R72" s="13"/>
      <c r="S72" s="13"/>
      <c r="T72" s="13"/>
      <c r="U72" s="13"/>
      <c r="V72" s="13"/>
      <c r="W72" s="13"/>
      <c r="X72" s="13"/>
      <c r="Y72" s="13"/>
      <c r="Z72" s="13"/>
    </row>
    <row r="73" spans="1:26" ht="15.75" customHeight="1">
      <c r="A73" s="38" t="s">
        <v>268</v>
      </c>
      <c r="B73" s="3"/>
      <c r="C73" s="3" t="s">
        <v>58</v>
      </c>
      <c r="D73" s="10" t="s">
        <v>58</v>
      </c>
      <c r="E73" s="10" t="s">
        <v>58</v>
      </c>
      <c r="F73" s="10" t="s">
        <v>50</v>
      </c>
      <c r="G73" s="10" t="s">
        <v>58</v>
      </c>
      <c r="H73" s="11" t="s">
        <v>58</v>
      </c>
      <c r="I73" s="26">
        <f t="shared" si="38"/>
        <v>2</v>
      </c>
      <c r="J73" s="26">
        <f t="shared" si="39"/>
        <v>2</v>
      </c>
      <c r="K73" s="26">
        <f t="shared" si="40"/>
        <v>0</v>
      </c>
      <c r="L73" s="26">
        <f t="shared" si="41"/>
        <v>2</v>
      </c>
      <c r="M73" s="26">
        <f t="shared" si="42"/>
        <v>2</v>
      </c>
      <c r="N73" s="13"/>
      <c r="O73" s="13"/>
      <c r="P73" s="13"/>
      <c r="Q73" s="13"/>
      <c r="R73" s="13"/>
      <c r="S73" s="13"/>
      <c r="T73" s="13"/>
      <c r="U73" s="13"/>
      <c r="V73" s="13"/>
      <c r="W73" s="13"/>
      <c r="X73" s="13"/>
      <c r="Y73" s="13"/>
      <c r="Z73" s="13"/>
    </row>
    <row r="74" spans="1:26" ht="15.75" customHeight="1">
      <c r="A74" s="38" t="s">
        <v>269</v>
      </c>
      <c r="B74" s="3" t="s">
        <v>34</v>
      </c>
      <c r="C74" s="3" t="s">
        <v>60</v>
      </c>
      <c r="D74" s="10" t="s">
        <v>60</v>
      </c>
      <c r="E74" s="10" t="s">
        <v>60</v>
      </c>
      <c r="F74" s="10" t="s">
        <v>60</v>
      </c>
      <c r="G74" s="10" t="s">
        <v>60</v>
      </c>
      <c r="H74" s="11" t="s">
        <v>64</v>
      </c>
      <c r="I74" s="26">
        <f t="shared" si="38"/>
        <v>2</v>
      </c>
      <c r="J74" s="26">
        <f t="shared" si="39"/>
        <v>2</v>
      </c>
      <c r="K74" s="26">
        <f t="shared" si="40"/>
        <v>2</v>
      </c>
      <c r="L74" s="26">
        <f t="shared" si="41"/>
        <v>2</v>
      </c>
      <c r="M74" s="26">
        <f t="shared" si="42"/>
        <v>1.2</v>
      </c>
      <c r="N74" s="13"/>
      <c r="O74" s="13"/>
      <c r="P74" s="13"/>
      <c r="Q74" s="13"/>
      <c r="R74" s="13"/>
      <c r="S74" s="13"/>
      <c r="T74" s="13"/>
      <c r="U74" s="13"/>
      <c r="V74" s="13"/>
      <c r="W74" s="13"/>
      <c r="X74" s="13"/>
      <c r="Y74" s="13"/>
      <c r="Z74" s="13"/>
    </row>
    <row r="75" spans="1:26" ht="15.75" customHeight="1">
      <c r="A75" s="45"/>
      <c r="B75" s="30"/>
      <c r="C75" s="30"/>
      <c r="D75" s="31"/>
      <c r="E75" s="31"/>
      <c r="F75" s="31"/>
      <c r="G75" s="31"/>
      <c r="H75" s="31"/>
      <c r="I75" s="10"/>
      <c r="J75" s="10"/>
      <c r="K75" s="10"/>
      <c r="L75" s="31"/>
      <c r="M75" s="31"/>
      <c r="N75" s="13"/>
      <c r="O75" s="13"/>
      <c r="P75" s="13"/>
      <c r="Q75" s="13"/>
      <c r="R75" s="13"/>
      <c r="S75" s="13"/>
      <c r="T75" s="13"/>
      <c r="U75" s="13"/>
      <c r="V75" s="13"/>
      <c r="W75" s="13"/>
      <c r="X75" s="13"/>
      <c r="Y75" s="13"/>
      <c r="Z75" s="13"/>
    </row>
    <row r="76" spans="1:26" ht="15.75" customHeight="1">
      <c r="A76" s="45"/>
      <c r="B76" s="30"/>
      <c r="C76" s="30"/>
      <c r="D76" s="31"/>
      <c r="E76" s="31"/>
      <c r="F76" s="31"/>
      <c r="G76" s="31"/>
      <c r="H76" s="31"/>
      <c r="I76" s="44"/>
      <c r="J76" s="44"/>
      <c r="K76" s="44"/>
      <c r="L76" s="44"/>
      <c r="M76" s="44"/>
      <c r="N76" s="13"/>
      <c r="O76" s="13"/>
      <c r="P76" s="13"/>
      <c r="Q76" s="13"/>
      <c r="R76" s="13"/>
      <c r="S76" s="13"/>
      <c r="T76" s="13"/>
      <c r="U76" s="13"/>
      <c r="V76" s="13"/>
      <c r="W76" s="13"/>
      <c r="X76" s="13"/>
      <c r="Y76" s="13"/>
      <c r="Z76" s="13"/>
    </row>
    <row r="77" spans="1:26" ht="15.75" customHeight="1">
      <c r="A77" s="45"/>
      <c r="B77" s="30"/>
      <c r="C77" s="30"/>
      <c r="D77" s="31"/>
      <c r="E77" s="31"/>
      <c r="F77" s="31"/>
      <c r="G77" s="31"/>
      <c r="H77" s="31"/>
      <c r="I77" s="44"/>
      <c r="J77" s="44"/>
      <c r="K77" s="44"/>
      <c r="L77" s="44"/>
      <c r="M77" s="44"/>
      <c r="N77" s="13"/>
      <c r="O77" s="13"/>
      <c r="P77" s="13"/>
      <c r="Q77" s="13"/>
      <c r="R77" s="13"/>
      <c r="S77" s="13"/>
      <c r="T77" s="13"/>
      <c r="U77" s="13"/>
      <c r="V77" s="13"/>
      <c r="W77" s="13"/>
      <c r="X77" s="13"/>
      <c r="Y77" s="13"/>
      <c r="Z77" s="13"/>
    </row>
    <row r="78" spans="1:26" ht="15.75" customHeight="1">
      <c r="A78" s="46"/>
      <c r="B78" s="30"/>
      <c r="C78" s="30"/>
      <c r="D78" s="31"/>
      <c r="E78" s="31"/>
      <c r="F78" s="31"/>
      <c r="G78" s="31"/>
      <c r="H78" s="31"/>
      <c r="I78" s="44"/>
      <c r="J78" s="44"/>
      <c r="K78" s="44"/>
      <c r="L78" s="44"/>
      <c r="M78" s="44"/>
      <c r="N78" s="13"/>
      <c r="O78" s="13"/>
      <c r="P78" s="13"/>
      <c r="Q78" s="13"/>
      <c r="R78" s="13"/>
      <c r="S78" s="13"/>
      <c r="T78" s="13"/>
      <c r="U78" s="13"/>
      <c r="V78" s="13"/>
      <c r="W78" s="13"/>
      <c r="X78" s="13"/>
      <c r="Y78" s="13"/>
      <c r="Z78" s="13"/>
    </row>
    <row r="79" spans="1:26" ht="15.75" customHeight="1">
      <c r="A79" s="43"/>
      <c r="B79" s="30"/>
      <c r="C79" s="30"/>
      <c r="D79" s="31"/>
      <c r="E79" s="31"/>
      <c r="F79" s="31"/>
      <c r="G79" s="31"/>
      <c r="H79" s="31"/>
      <c r="I79" s="44"/>
      <c r="J79" s="44"/>
      <c r="K79" s="44"/>
      <c r="L79" s="44"/>
      <c r="M79" s="44"/>
      <c r="N79" s="13"/>
      <c r="O79" s="13"/>
      <c r="P79" s="13"/>
      <c r="Q79" s="13"/>
      <c r="R79" s="13"/>
      <c r="S79" s="13"/>
      <c r="T79" s="13"/>
      <c r="U79" s="13"/>
      <c r="V79" s="13"/>
      <c r="W79" s="13"/>
      <c r="X79" s="13"/>
      <c r="Y79" s="13"/>
      <c r="Z79" s="13"/>
    </row>
    <row r="80" spans="1:26" ht="15.75" customHeight="1">
      <c r="A80" s="43"/>
      <c r="B80" s="30"/>
      <c r="C80" s="30"/>
      <c r="D80" s="31"/>
      <c r="E80" s="31"/>
      <c r="F80" s="31"/>
      <c r="G80" s="31"/>
      <c r="H80" s="31"/>
      <c r="I80" s="44"/>
      <c r="J80" s="44"/>
      <c r="K80" s="44"/>
      <c r="L80" s="44"/>
      <c r="M80" s="44"/>
      <c r="N80" s="13"/>
      <c r="O80" s="13"/>
      <c r="P80" s="13"/>
      <c r="Q80" s="13"/>
      <c r="R80" s="13"/>
      <c r="S80" s="13"/>
      <c r="T80" s="13"/>
      <c r="U80" s="13"/>
      <c r="V80" s="13"/>
      <c r="W80" s="13"/>
      <c r="X80" s="13"/>
      <c r="Y80" s="13"/>
      <c r="Z80" s="13"/>
    </row>
    <row r="81" spans="1:26" ht="15.75" customHeight="1">
      <c r="A81" s="43"/>
      <c r="B81" s="30"/>
      <c r="C81" s="30"/>
      <c r="D81" s="31"/>
      <c r="E81" s="31"/>
      <c r="F81" s="31"/>
      <c r="G81" s="31"/>
      <c r="H81" s="31"/>
      <c r="I81" s="44"/>
      <c r="J81" s="44"/>
      <c r="K81" s="44"/>
      <c r="L81" s="44"/>
      <c r="M81" s="44"/>
      <c r="N81" s="13"/>
      <c r="O81" s="13"/>
      <c r="P81" s="13"/>
      <c r="Q81" s="13"/>
      <c r="R81" s="13"/>
      <c r="S81" s="13"/>
      <c r="T81" s="13"/>
      <c r="U81" s="13"/>
      <c r="V81" s="13"/>
      <c r="W81" s="13"/>
      <c r="X81" s="13"/>
      <c r="Y81" s="13"/>
      <c r="Z81" s="13"/>
    </row>
    <row r="82" spans="1:26" ht="15.75" customHeight="1">
      <c r="A82" s="43"/>
      <c r="B82" s="30"/>
      <c r="C82" s="30"/>
      <c r="D82" s="31"/>
      <c r="E82" s="31"/>
      <c r="F82" s="31"/>
      <c r="G82" s="31"/>
      <c r="H82" s="31"/>
      <c r="I82" s="44"/>
      <c r="J82" s="44"/>
      <c r="K82" s="44"/>
      <c r="L82" s="44"/>
      <c r="M82" s="44"/>
      <c r="N82" s="13"/>
      <c r="O82" s="7"/>
      <c r="P82" s="7"/>
      <c r="Q82" s="7"/>
      <c r="R82" s="7"/>
      <c r="S82" s="7"/>
      <c r="T82" s="7"/>
      <c r="U82" s="7"/>
      <c r="V82" s="7"/>
      <c r="W82" s="7"/>
      <c r="X82" s="7"/>
      <c r="Y82" s="7"/>
      <c r="Z82" s="7"/>
    </row>
    <row r="83" spans="1:26" ht="15.75" customHeight="1">
      <c r="A83" s="43"/>
      <c r="B83" s="30"/>
      <c r="C83" s="30"/>
      <c r="D83" s="31"/>
      <c r="E83" s="31"/>
      <c r="F83" s="31"/>
      <c r="G83" s="31"/>
      <c r="H83" s="31"/>
      <c r="I83" s="44"/>
      <c r="J83" s="44"/>
      <c r="K83" s="44"/>
      <c r="L83" s="44"/>
      <c r="M83" s="44"/>
      <c r="N83" s="13"/>
      <c r="O83" s="7"/>
      <c r="P83" s="7"/>
      <c r="Q83" s="7"/>
      <c r="R83" s="7"/>
      <c r="S83" s="7"/>
      <c r="T83" s="7"/>
      <c r="U83" s="7"/>
      <c r="V83" s="7"/>
      <c r="W83" s="7"/>
      <c r="X83" s="7"/>
      <c r="Y83" s="7"/>
      <c r="Z83" s="7"/>
    </row>
    <row r="84" spans="1:26" ht="15.75" customHeight="1">
      <c r="A84" s="43"/>
      <c r="B84" s="30"/>
      <c r="C84" s="30"/>
      <c r="D84" s="31"/>
      <c r="E84" s="31"/>
      <c r="F84" s="31"/>
      <c r="G84" s="31"/>
      <c r="H84" s="31"/>
      <c r="I84" s="44"/>
      <c r="J84" s="44"/>
      <c r="K84" s="44"/>
      <c r="L84" s="44"/>
      <c r="M84" s="44"/>
      <c r="N84" s="13"/>
      <c r="O84" s="7"/>
      <c r="P84" s="7"/>
      <c r="Q84" s="7"/>
      <c r="R84" s="7"/>
      <c r="S84" s="7"/>
      <c r="T84" s="7"/>
      <c r="U84" s="7"/>
      <c r="V84" s="7"/>
      <c r="W84" s="7"/>
      <c r="X84" s="7"/>
      <c r="Y84" s="7"/>
      <c r="Z84" s="7"/>
    </row>
    <row r="85" spans="1:26" ht="15.75" customHeight="1">
      <c r="A85" s="43"/>
      <c r="B85" s="30"/>
      <c r="C85" s="30"/>
      <c r="D85" s="31"/>
      <c r="E85" s="31"/>
      <c r="F85" s="31"/>
      <c r="G85" s="31"/>
      <c r="H85" s="31"/>
      <c r="I85" s="44"/>
      <c r="J85" s="44"/>
      <c r="K85" s="44"/>
      <c r="L85" s="44"/>
      <c r="M85" s="44"/>
      <c r="N85" s="13"/>
      <c r="O85" s="7"/>
      <c r="P85" s="7"/>
      <c r="Q85" s="7"/>
      <c r="R85" s="7"/>
      <c r="S85" s="7"/>
      <c r="T85" s="7"/>
      <c r="U85" s="7"/>
      <c r="V85" s="7"/>
      <c r="W85" s="7"/>
      <c r="X85" s="7"/>
      <c r="Y85" s="7"/>
      <c r="Z85" s="7"/>
    </row>
    <row r="86" spans="1:26" ht="15.75" customHeight="1">
      <c r="A86" s="43"/>
      <c r="B86" s="30"/>
      <c r="C86" s="30"/>
      <c r="D86" s="31"/>
      <c r="E86" s="31"/>
      <c r="F86" s="31"/>
      <c r="G86" s="31"/>
      <c r="H86" s="31"/>
      <c r="I86" s="44"/>
      <c r="J86" s="44"/>
      <c r="K86" s="44"/>
      <c r="L86" s="44"/>
      <c r="M86" s="44"/>
      <c r="N86" s="13"/>
      <c r="O86" s="7"/>
      <c r="P86" s="7"/>
      <c r="Q86" s="7"/>
      <c r="R86" s="7"/>
      <c r="S86" s="7"/>
      <c r="T86" s="7"/>
      <c r="U86" s="7"/>
      <c r="V86" s="7"/>
      <c r="W86" s="7"/>
      <c r="X86" s="7"/>
      <c r="Y86" s="7"/>
      <c r="Z86" s="7"/>
    </row>
    <row r="87" spans="1:26" ht="15.75" customHeight="1">
      <c r="A87" s="43"/>
      <c r="B87" s="30"/>
      <c r="C87" s="30"/>
      <c r="D87" s="31"/>
      <c r="E87" s="31"/>
      <c r="F87" s="31"/>
      <c r="G87" s="31"/>
      <c r="H87" s="31"/>
      <c r="I87" s="44"/>
      <c r="J87" s="44"/>
      <c r="K87" s="44"/>
      <c r="L87" s="44"/>
      <c r="M87" s="44"/>
      <c r="N87" s="13"/>
      <c r="O87" s="7"/>
      <c r="P87" s="7"/>
      <c r="Q87" s="7"/>
      <c r="R87" s="7"/>
      <c r="S87" s="7"/>
      <c r="T87" s="7"/>
      <c r="U87" s="7"/>
      <c r="V87" s="7"/>
      <c r="W87" s="7"/>
      <c r="X87" s="7"/>
      <c r="Y87" s="7"/>
      <c r="Z87" s="7"/>
    </row>
    <row r="88" spans="1:26" ht="15.75" customHeight="1">
      <c r="A88" s="43"/>
      <c r="B88" s="30"/>
      <c r="C88" s="30"/>
      <c r="D88" s="31"/>
      <c r="E88" s="31"/>
      <c r="F88" s="31"/>
      <c r="G88" s="31"/>
      <c r="H88" s="31"/>
      <c r="I88" s="44"/>
      <c r="J88" s="44"/>
      <c r="K88" s="44"/>
      <c r="L88" s="44"/>
      <c r="M88" s="44"/>
      <c r="N88" s="13"/>
      <c r="O88" s="7"/>
      <c r="P88" s="7"/>
      <c r="Q88" s="7"/>
      <c r="R88" s="7"/>
      <c r="S88" s="7"/>
      <c r="T88" s="7"/>
      <c r="U88" s="7"/>
      <c r="V88" s="7"/>
      <c r="W88" s="7"/>
      <c r="X88" s="7"/>
      <c r="Y88" s="7"/>
      <c r="Z88" s="7"/>
    </row>
    <row r="89" spans="1:26" ht="15.75" customHeight="1">
      <c r="A89" s="43"/>
      <c r="B89" s="30"/>
      <c r="C89" s="30"/>
      <c r="D89" s="31"/>
      <c r="E89" s="31"/>
      <c r="F89" s="31"/>
      <c r="G89" s="31"/>
      <c r="H89" s="31"/>
      <c r="I89" s="44"/>
      <c r="J89" s="44"/>
      <c r="K89" s="44"/>
      <c r="L89" s="44"/>
      <c r="M89" s="44"/>
      <c r="N89" s="13"/>
      <c r="O89" s="7"/>
      <c r="P89" s="7"/>
      <c r="Q89" s="7"/>
      <c r="R89" s="7"/>
      <c r="S89" s="7"/>
      <c r="T89" s="7"/>
      <c r="U89" s="7"/>
      <c r="V89" s="7"/>
      <c r="W89" s="7"/>
      <c r="X89" s="7"/>
      <c r="Y89" s="7"/>
      <c r="Z89" s="7"/>
    </row>
    <row r="90" spans="1:26" ht="15.75" customHeight="1">
      <c r="A90" s="43"/>
      <c r="B90" s="30"/>
      <c r="C90" s="30"/>
      <c r="D90" s="31"/>
      <c r="E90" s="31"/>
      <c r="F90" s="31"/>
      <c r="G90" s="31"/>
      <c r="H90" s="31"/>
      <c r="I90" s="44"/>
      <c r="J90" s="44"/>
      <c r="K90" s="44"/>
      <c r="L90" s="44"/>
      <c r="M90" s="44"/>
      <c r="N90" s="13"/>
      <c r="O90" s="7"/>
      <c r="P90" s="7"/>
      <c r="Q90" s="7"/>
      <c r="R90" s="7"/>
      <c r="S90" s="7"/>
      <c r="T90" s="7"/>
      <c r="U90" s="7"/>
      <c r="V90" s="7"/>
      <c r="W90" s="7"/>
      <c r="X90" s="7"/>
      <c r="Y90" s="7"/>
      <c r="Z90" s="7"/>
    </row>
    <row r="91" spans="1:26" ht="15.75" customHeight="1">
      <c r="A91" s="43"/>
      <c r="B91" s="30"/>
      <c r="C91" s="30"/>
      <c r="D91" s="31"/>
      <c r="E91" s="31"/>
      <c r="F91" s="31"/>
      <c r="G91" s="31"/>
      <c r="H91" s="31"/>
      <c r="I91" s="44"/>
      <c r="J91" s="44"/>
      <c r="K91" s="44"/>
      <c r="L91" s="44"/>
      <c r="M91" s="44"/>
      <c r="N91" s="13"/>
      <c r="O91" s="7"/>
      <c r="P91" s="7"/>
      <c r="Q91" s="7"/>
      <c r="R91" s="7"/>
      <c r="S91" s="7"/>
      <c r="T91" s="7"/>
      <c r="U91" s="7"/>
      <c r="V91" s="7"/>
      <c r="W91" s="7"/>
      <c r="X91" s="7"/>
      <c r="Y91" s="7"/>
      <c r="Z91" s="7"/>
    </row>
    <row r="92" spans="1:26" ht="15.75" customHeight="1">
      <c r="A92" s="43"/>
      <c r="B92" s="30"/>
      <c r="C92" s="30"/>
      <c r="D92" s="31"/>
      <c r="E92" s="31"/>
      <c r="F92" s="31"/>
      <c r="G92" s="31"/>
      <c r="H92" s="31"/>
      <c r="I92" s="44"/>
      <c r="J92" s="44"/>
      <c r="K92" s="44"/>
      <c r="L92" s="44"/>
      <c r="M92" s="44"/>
      <c r="N92" s="13"/>
      <c r="O92" s="7"/>
      <c r="P92" s="7"/>
      <c r="Q92" s="7"/>
      <c r="R92" s="7"/>
      <c r="S92" s="7"/>
      <c r="T92" s="7"/>
      <c r="U92" s="7"/>
      <c r="V92" s="7"/>
      <c r="W92" s="7"/>
      <c r="X92" s="7"/>
      <c r="Y92" s="7"/>
      <c r="Z92" s="7"/>
    </row>
    <row r="93" spans="1:26" ht="15.75" customHeight="1">
      <c r="A93" s="43"/>
      <c r="B93" s="30"/>
      <c r="C93" s="30"/>
      <c r="D93" s="31"/>
      <c r="E93" s="31"/>
      <c r="F93" s="31"/>
      <c r="G93" s="31"/>
      <c r="H93" s="31"/>
      <c r="I93" s="44"/>
      <c r="J93" s="44"/>
      <c r="K93" s="44"/>
      <c r="L93" s="44"/>
      <c r="M93" s="44"/>
      <c r="N93" s="13"/>
      <c r="O93" s="7"/>
      <c r="P93" s="7"/>
      <c r="Q93" s="7"/>
      <c r="R93" s="7"/>
      <c r="S93" s="7"/>
      <c r="T93" s="7"/>
      <c r="U93" s="7"/>
      <c r="V93" s="7"/>
      <c r="W93" s="7"/>
      <c r="X93" s="7"/>
      <c r="Y93" s="7"/>
      <c r="Z93" s="7"/>
    </row>
    <row r="94" spans="1:26" ht="15.75" customHeight="1">
      <c r="A94" s="43"/>
      <c r="B94" s="30"/>
      <c r="C94" s="30"/>
      <c r="D94" s="31"/>
      <c r="E94" s="31"/>
      <c r="F94" s="31"/>
      <c r="G94" s="31"/>
      <c r="H94" s="31"/>
      <c r="I94" s="44"/>
      <c r="J94" s="44"/>
      <c r="K94" s="44"/>
      <c r="L94" s="44"/>
      <c r="M94" s="44"/>
      <c r="N94" s="13"/>
      <c r="O94" s="7"/>
      <c r="P94" s="7"/>
      <c r="Q94" s="7"/>
      <c r="R94" s="7"/>
      <c r="S94" s="7"/>
      <c r="T94" s="7"/>
      <c r="U94" s="7"/>
      <c r="V94" s="7"/>
      <c r="W94" s="7"/>
      <c r="X94" s="7"/>
      <c r="Y94" s="7"/>
      <c r="Z94" s="7"/>
    </row>
    <row r="95" spans="1:26" ht="15.75" customHeight="1">
      <c r="A95" s="43"/>
      <c r="B95" s="30"/>
      <c r="C95" s="30"/>
      <c r="D95" s="31"/>
      <c r="E95" s="31"/>
      <c r="F95" s="31"/>
      <c r="G95" s="31"/>
      <c r="H95" s="31"/>
      <c r="I95" s="44"/>
      <c r="J95" s="44"/>
      <c r="K95" s="44"/>
      <c r="L95" s="44"/>
      <c r="M95" s="44"/>
      <c r="N95" s="13"/>
      <c r="O95" s="7"/>
      <c r="P95" s="7"/>
      <c r="Q95" s="7"/>
      <c r="R95" s="7"/>
      <c r="S95" s="7"/>
      <c r="T95" s="7"/>
      <c r="U95" s="7"/>
      <c r="V95" s="7"/>
      <c r="W95" s="7"/>
      <c r="X95" s="7"/>
      <c r="Y95" s="7"/>
      <c r="Z95" s="7"/>
    </row>
    <row r="96" spans="1:26" ht="15.75" customHeight="1">
      <c r="A96" s="43"/>
      <c r="B96" s="30"/>
      <c r="C96" s="30"/>
      <c r="D96" s="31"/>
      <c r="E96" s="31"/>
      <c r="F96" s="31"/>
      <c r="G96" s="31"/>
      <c r="H96" s="31"/>
      <c r="I96" s="44"/>
      <c r="J96" s="44"/>
      <c r="K96" s="44"/>
      <c r="L96" s="44"/>
      <c r="M96" s="44"/>
      <c r="N96" s="13"/>
      <c r="O96" s="7"/>
      <c r="P96" s="7"/>
      <c r="Q96" s="7"/>
      <c r="R96" s="7"/>
      <c r="S96" s="7"/>
      <c r="T96" s="7"/>
      <c r="U96" s="7"/>
      <c r="V96" s="7"/>
      <c r="W96" s="7"/>
      <c r="X96" s="7"/>
      <c r="Y96" s="7"/>
      <c r="Z96" s="7"/>
    </row>
    <row r="97" spans="1:26" ht="15.75" customHeight="1">
      <c r="A97" s="43"/>
      <c r="B97" s="30"/>
      <c r="C97" s="30"/>
      <c r="D97" s="31"/>
      <c r="E97" s="31"/>
      <c r="F97" s="31"/>
      <c r="G97" s="31"/>
      <c r="H97" s="31"/>
      <c r="I97" s="44"/>
      <c r="J97" s="44"/>
      <c r="K97" s="44"/>
      <c r="L97" s="44"/>
      <c r="M97" s="44"/>
      <c r="N97" s="13"/>
      <c r="O97" s="7"/>
      <c r="P97" s="7"/>
      <c r="Q97" s="7"/>
      <c r="R97" s="7"/>
      <c r="S97" s="7"/>
      <c r="T97" s="7"/>
      <c r="U97" s="7"/>
      <c r="V97" s="7"/>
      <c r="W97" s="7"/>
      <c r="X97" s="7"/>
      <c r="Y97" s="7"/>
      <c r="Z97" s="7"/>
    </row>
    <row r="98" spans="1:26" ht="15.75" customHeight="1">
      <c r="A98" s="43"/>
      <c r="B98" s="30"/>
      <c r="C98" s="30"/>
      <c r="D98" s="31"/>
      <c r="E98" s="31"/>
      <c r="F98" s="31"/>
      <c r="G98" s="31"/>
      <c r="H98" s="31"/>
      <c r="I98" s="44"/>
      <c r="J98" s="44"/>
      <c r="K98" s="44"/>
      <c r="L98" s="44"/>
      <c r="M98" s="44"/>
      <c r="N98" s="13"/>
      <c r="O98" s="7"/>
      <c r="P98" s="7"/>
      <c r="Q98" s="7"/>
      <c r="R98" s="7"/>
      <c r="S98" s="7"/>
      <c r="T98" s="7"/>
      <c r="U98" s="7"/>
      <c r="V98" s="7"/>
      <c r="W98" s="7"/>
      <c r="X98" s="7"/>
      <c r="Y98" s="7"/>
      <c r="Z98" s="7"/>
    </row>
    <row r="99" spans="1:26" ht="15.75" customHeight="1">
      <c r="A99" s="43"/>
      <c r="B99" s="30"/>
      <c r="C99" s="30"/>
      <c r="D99" s="31"/>
      <c r="E99" s="31"/>
      <c r="F99" s="31"/>
      <c r="G99" s="31"/>
      <c r="H99" s="31"/>
      <c r="I99" s="44"/>
      <c r="J99" s="44"/>
      <c r="K99" s="44"/>
      <c r="L99" s="44"/>
      <c r="M99" s="44"/>
      <c r="N99" s="13"/>
      <c r="O99" s="7"/>
      <c r="P99" s="7"/>
      <c r="Q99" s="7"/>
      <c r="R99" s="7"/>
      <c r="S99" s="7"/>
      <c r="T99" s="7"/>
      <c r="U99" s="7"/>
      <c r="V99" s="7"/>
      <c r="W99" s="7"/>
      <c r="X99" s="7"/>
      <c r="Y99" s="7"/>
      <c r="Z99" s="7"/>
    </row>
    <row r="100" spans="1:26" ht="15.75" customHeight="1">
      <c r="A100" s="43"/>
      <c r="B100" s="30"/>
      <c r="C100" s="30"/>
      <c r="D100" s="31"/>
      <c r="E100" s="31"/>
      <c r="F100" s="31"/>
      <c r="G100" s="31"/>
      <c r="H100" s="31"/>
      <c r="I100" s="44"/>
      <c r="J100" s="44"/>
      <c r="K100" s="44"/>
      <c r="L100" s="44"/>
      <c r="M100" s="44"/>
      <c r="N100" s="13"/>
      <c r="O100" s="7"/>
      <c r="P100" s="7"/>
      <c r="Q100" s="7"/>
      <c r="R100" s="7"/>
      <c r="S100" s="7"/>
      <c r="T100" s="7"/>
      <c r="U100" s="7"/>
      <c r="V100" s="7"/>
      <c r="W100" s="7"/>
      <c r="X100" s="7"/>
      <c r="Y100" s="7"/>
      <c r="Z100" s="7"/>
    </row>
    <row r="101" spans="1:26" ht="15.75" customHeight="1">
      <c r="A101" s="43"/>
      <c r="B101" s="30"/>
      <c r="C101" s="30"/>
      <c r="D101" s="31"/>
      <c r="E101" s="31"/>
      <c r="F101" s="31"/>
      <c r="G101" s="31"/>
      <c r="H101" s="31"/>
      <c r="I101" s="44"/>
      <c r="J101" s="44"/>
      <c r="K101" s="44"/>
      <c r="L101" s="44"/>
      <c r="M101" s="44"/>
      <c r="N101" s="13"/>
      <c r="O101" s="7"/>
      <c r="P101" s="7"/>
      <c r="Q101" s="7"/>
      <c r="R101" s="7"/>
      <c r="S101" s="7"/>
      <c r="T101" s="7"/>
      <c r="U101" s="7"/>
      <c r="V101" s="7"/>
      <c r="W101" s="7"/>
      <c r="X101" s="7"/>
      <c r="Y101" s="7"/>
      <c r="Z101" s="7"/>
    </row>
    <row r="102" spans="1:26" ht="15.75" customHeight="1">
      <c r="A102" s="43"/>
      <c r="B102" s="30"/>
      <c r="C102" s="30"/>
      <c r="D102" s="31"/>
      <c r="E102" s="31"/>
      <c r="F102" s="31"/>
      <c r="G102" s="31"/>
      <c r="H102" s="31"/>
      <c r="I102" s="44"/>
      <c r="J102" s="44"/>
      <c r="K102" s="44"/>
      <c r="L102" s="44"/>
      <c r="M102" s="44"/>
      <c r="N102" s="13"/>
      <c r="O102" s="7"/>
      <c r="P102" s="7"/>
      <c r="Q102" s="7"/>
      <c r="R102" s="7"/>
      <c r="S102" s="7"/>
      <c r="T102" s="7"/>
      <c r="U102" s="7"/>
      <c r="V102" s="7"/>
      <c r="W102" s="7"/>
      <c r="X102" s="7"/>
      <c r="Y102" s="7"/>
      <c r="Z102" s="7"/>
    </row>
    <row r="103" spans="1:26" ht="15.75" customHeight="1">
      <c r="A103" s="43"/>
      <c r="B103" s="30"/>
      <c r="C103" s="30"/>
      <c r="D103" s="31"/>
      <c r="E103" s="31"/>
      <c r="F103" s="31"/>
      <c r="G103" s="31"/>
      <c r="H103" s="31"/>
      <c r="I103" s="44"/>
      <c r="J103" s="44"/>
      <c r="K103" s="44"/>
      <c r="L103" s="44"/>
      <c r="M103" s="44"/>
      <c r="N103" s="13"/>
      <c r="O103" s="7"/>
      <c r="P103" s="7"/>
      <c r="Q103" s="7"/>
      <c r="R103" s="7"/>
      <c r="S103" s="7"/>
      <c r="T103" s="7"/>
      <c r="U103" s="7"/>
      <c r="V103" s="7"/>
      <c r="W103" s="7"/>
      <c r="X103" s="7"/>
      <c r="Y103" s="7"/>
      <c r="Z103" s="7"/>
    </row>
    <row r="104" spans="1:26" ht="15.75" customHeight="1">
      <c r="A104" s="43"/>
      <c r="B104" s="30"/>
      <c r="C104" s="30"/>
      <c r="D104" s="31"/>
      <c r="E104" s="31"/>
      <c r="F104" s="31"/>
      <c r="G104" s="31"/>
      <c r="H104" s="31"/>
      <c r="I104" s="44"/>
      <c r="J104" s="44"/>
      <c r="K104" s="44"/>
      <c r="L104" s="44"/>
      <c r="M104" s="44"/>
      <c r="N104" s="13"/>
      <c r="O104" s="7"/>
      <c r="P104" s="7"/>
      <c r="Q104" s="7"/>
      <c r="R104" s="7"/>
      <c r="S104" s="7"/>
      <c r="T104" s="7"/>
      <c r="U104" s="7"/>
      <c r="V104" s="7"/>
      <c r="W104" s="7"/>
      <c r="X104" s="7"/>
      <c r="Y104" s="7"/>
      <c r="Z104" s="7"/>
    </row>
    <row r="105" spans="1:26" ht="15.75" customHeight="1">
      <c r="A105" s="43"/>
      <c r="B105" s="30"/>
      <c r="C105" s="30"/>
      <c r="D105" s="31"/>
      <c r="E105" s="31"/>
      <c r="F105" s="31"/>
      <c r="G105" s="31"/>
      <c r="H105" s="31"/>
      <c r="I105" s="44"/>
      <c r="J105" s="44"/>
      <c r="K105" s="44"/>
      <c r="L105" s="44"/>
      <c r="M105" s="44"/>
      <c r="N105" s="13"/>
      <c r="O105" s="7"/>
      <c r="P105" s="7"/>
      <c r="Q105" s="7"/>
      <c r="R105" s="7"/>
      <c r="S105" s="7"/>
      <c r="T105" s="7"/>
      <c r="U105" s="7"/>
      <c r="V105" s="7"/>
      <c r="W105" s="7"/>
      <c r="X105" s="7"/>
      <c r="Y105" s="7"/>
      <c r="Z105" s="7"/>
    </row>
    <row r="106" spans="1:26" ht="15.75" customHeight="1">
      <c r="A106" s="43"/>
      <c r="B106" s="30"/>
      <c r="C106" s="30"/>
      <c r="D106" s="31"/>
      <c r="E106" s="31"/>
      <c r="F106" s="31"/>
      <c r="G106" s="31"/>
      <c r="H106" s="31"/>
      <c r="I106" s="44"/>
      <c r="J106" s="44"/>
      <c r="K106" s="44"/>
      <c r="L106" s="44"/>
      <c r="M106" s="44"/>
      <c r="N106" s="13"/>
      <c r="O106" s="7"/>
      <c r="P106" s="7"/>
      <c r="Q106" s="7"/>
      <c r="R106" s="7"/>
      <c r="S106" s="7"/>
      <c r="T106" s="7"/>
      <c r="U106" s="7"/>
      <c r="V106" s="7"/>
      <c r="W106" s="7"/>
      <c r="X106" s="7"/>
      <c r="Y106" s="7"/>
      <c r="Z106" s="7"/>
    </row>
    <row r="107" spans="1:26" ht="15.75" customHeight="1">
      <c r="A107" s="43"/>
      <c r="B107" s="30"/>
      <c r="C107" s="30"/>
      <c r="D107" s="31"/>
      <c r="E107" s="31"/>
      <c r="F107" s="31"/>
      <c r="G107" s="31"/>
      <c r="H107" s="31"/>
      <c r="I107" s="44"/>
      <c r="J107" s="44"/>
      <c r="K107" s="44"/>
      <c r="L107" s="44"/>
      <c r="M107" s="44"/>
      <c r="N107" s="13"/>
      <c r="O107" s="7"/>
      <c r="P107" s="7"/>
      <c r="Q107" s="7"/>
      <c r="R107" s="7"/>
      <c r="S107" s="7"/>
      <c r="T107" s="7"/>
      <c r="U107" s="7"/>
      <c r="V107" s="7"/>
      <c r="W107" s="7"/>
      <c r="X107" s="7"/>
      <c r="Y107" s="7"/>
      <c r="Z107" s="7"/>
    </row>
    <row r="108" spans="1:26" ht="15.75" customHeight="1">
      <c r="A108" s="43"/>
      <c r="B108" s="30"/>
      <c r="C108" s="30"/>
      <c r="D108" s="31"/>
      <c r="E108" s="31"/>
      <c r="F108" s="31"/>
      <c r="G108" s="31"/>
      <c r="H108" s="31"/>
      <c r="I108" s="44"/>
      <c r="J108" s="44"/>
      <c r="K108" s="44"/>
      <c r="L108" s="44"/>
      <c r="M108" s="44"/>
      <c r="N108" s="13"/>
      <c r="O108" s="7"/>
      <c r="P108" s="7"/>
      <c r="Q108" s="7"/>
      <c r="R108" s="7"/>
      <c r="S108" s="7"/>
      <c r="T108" s="7"/>
      <c r="U108" s="7"/>
      <c r="V108" s="7"/>
      <c r="W108" s="7"/>
      <c r="X108" s="7"/>
      <c r="Y108" s="7"/>
      <c r="Z108" s="7"/>
    </row>
    <row r="109" spans="1:26" ht="15.75" customHeight="1">
      <c r="A109" s="43"/>
      <c r="B109" s="30"/>
      <c r="C109" s="30"/>
      <c r="D109" s="31"/>
      <c r="E109" s="31"/>
      <c r="F109" s="31"/>
      <c r="G109" s="31"/>
      <c r="H109" s="31"/>
      <c r="I109" s="44"/>
      <c r="J109" s="44"/>
      <c r="K109" s="44"/>
      <c r="L109" s="44"/>
      <c r="M109" s="44"/>
      <c r="N109" s="13"/>
      <c r="O109" s="7"/>
      <c r="P109" s="7"/>
      <c r="Q109" s="7"/>
      <c r="R109" s="7"/>
      <c r="S109" s="7"/>
      <c r="T109" s="7"/>
      <c r="U109" s="7"/>
      <c r="V109" s="7"/>
      <c r="W109" s="7"/>
      <c r="X109" s="7"/>
      <c r="Y109" s="7"/>
      <c r="Z109" s="7"/>
    </row>
    <row r="110" spans="1:26" ht="15.75" customHeight="1">
      <c r="A110" s="43"/>
      <c r="B110" s="30"/>
      <c r="C110" s="30"/>
      <c r="D110" s="31"/>
      <c r="E110" s="31"/>
      <c r="F110" s="31"/>
      <c r="G110" s="31"/>
      <c r="H110" s="31"/>
      <c r="I110" s="44"/>
      <c r="J110" s="44"/>
      <c r="K110" s="44"/>
      <c r="L110" s="44"/>
      <c r="M110" s="44"/>
      <c r="N110" s="13"/>
      <c r="O110" s="7"/>
      <c r="P110" s="7"/>
      <c r="Q110" s="7"/>
      <c r="R110" s="7"/>
      <c r="S110" s="7"/>
      <c r="T110" s="7"/>
      <c r="U110" s="7"/>
      <c r="V110" s="7"/>
      <c r="W110" s="7"/>
      <c r="X110" s="7"/>
      <c r="Y110" s="7"/>
      <c r="Z110" s="7"/>
    </row>
    <row r="111" spans="1:26" ht="15.75" customHeight="1">
      <c r="A111" s="43"/>
      <c r="B111" s="30"/>
      <c r="C111" s="30"/>
      <c r="D111" s="31"/>
      <c r="E111" s="31"/>
      <c r="F111" s="31"/>
      <c r="G111" s="31"/>
      <c r="H111" s="31"/>
      <c r="I111" s="44"/>
      <c r="J111" s="44"/>
      <c r="K111" s="44"/>
      <c r="L111" s="44"/>
      <c r="M111" s="44"/>
      <c r="N111" s="13"/>
      <c r="O111" s="7"/>
      <c r="P111" s="7"/>
      <c r="Q111" s="7"/>
      <c r="R111" s="7"/>
      <c r="S111" s="7"/>
      <c r="T111" s="7"/>
      <c r="U111" s="7"/>
      <c r="V111" s="7"/>
      <c r="W111" s="7"/>
      <c r="X111" s="7"/>
      <c r="Y111" s="7"/>
      <c r="Z111" s="7"/>
    </row>
    <row r="112" spans="1:26" ht="15.75" customHeight="1">
      <c r="A112" s="43"/>
      <c r="B112" s="30"/>
      <c r="C112" s="30"/>
      <c r="D112" s="31"/>
      <c r="E112" s="31"/>
      <c r="F112" s="31"/>
      <c r="G112" s="31"/>
      <c r="H112" s="31"/>
      <c r="I112" s="44"/>
      <c r="J112" s="44"/>
      <c r="K112" s="44"/>
      <c r="L112" s="44"/>
      <c r="M112" s="44"/>
      <c r="N112" s="13"/>
      <c r="O112" s="7"/>
      <c r="P112" s="7"/>
      <c r="Q112" s="7"/>
      <c r="R112" s="7"/>
      <c r="S112" s="7"/>
      <c r="T112" s="7"/>
      <c r="U112" s="7"/>
      <c r="V112" s="7"/>
      <c r="W112" s="7"/>
      <c r="X112" s="7"/>
      <c r="Y112" s="7"/>
      <c r="Z112" s="7"/>
    </row>
    <row r="113" spans="1:26" ht="15.75" customHeight="1">
      <c r="A113" s="43"/>
      <c r="B113" s="30"/>
      <c r="C113" s="30"/>
      <c r="D113" s="31"/>
      <c r="E113" s="31"/>
      <c r="F113" s="31"/>
      <c r="G113" s="31"/>
      <c r="H113" s="31"/>
      <c r="I113" s="44"/>
      <c r="J113" s="44"/>
      <c r="K113" s="44"/>
      <c r="L113" s="44"/>
      <c r="M113" s="44"/>
      <c r="N113" s="13"/>
      <c r="O113" s="7"/>
      <c r="P113" s="7"/>
      <c r="Q113" s="7"/>
      <c r="R113" s="7"/>
      <c r="S113" s="7"/>
      <c r="T113" s="7"/>
      <c r="U113" s="7"/>
      <c r="V113" s="7"/>
      <c r="W113" s="7"/>
      <c r="X113" s="7"/>
      <c r="Y113" s="7"/>
      <c r="Z113" s="7"/>
    </row>
    <row r="114" spans="1:26" ht="15.75" customHeight="1">
      <c r="A114" s="43"/>
      <c r="B114" s="30"/>
      <c r="C114" s="30"/>
      <c r="D114" s="31"/>
      <c r="E114" s="31"/>
      <c r="F114" s="31"/>
      <c r="G114" s="31"/>
      <c r="H114" s="31"/>
      <c r="I114" s="44"/>
      <c r="J114" s="44"/>
      <c r="K114" s="44"/>
      <c r="L114" s="44"/>
      <c r="M114" s="44"/>
      <c r="N114" s="13"/>
      <c r="O114" s="7"/>
      <c r="P114" s="7"/>
      <c r="Q114" s="7"/>
      <c r="R114" s="7"/>
      <c r="S114" s="7"/>
      <c r="T114" s="7"/>
      <c r="U114" s="7"/>
      <c r="V114" s="7"/>
      <c r="W114" s="7"/>
      <c r="X114" s="7"/>
      <c r="Y114" s="7"/>
      <c r="Z114" s="7"/>
    </row>
    <row r="115" spans="1:26" ht="15.75" customHeight="1">
      <c r="A115" s="43"/>
      <c r="B115" s="30"/>
      <c r="C115" s="30"/>
      <c r="D115" s="31"/>
      <c r="E115" s="31"/>
      <c r="F115" s="31"/>
      <c r="G115" s="31"/>
      <c r="H115" s="31"/>
      <c r="I115" s="44"/>
      <c r="J115" s="44"/>
      <c r="K115" s="44"/>
      <c r="L115" s="44"/>
      <c r="M115" s="44"/>
      <c r="N115" s="13"/>
      <c r="O115" s="7"/>
      <c r="P115" s="7"/>
      <c r="Q115" s="7"/>
      <c r="R115" s="7"/>
      <c r="S115" s="7"/>
      <c r="T115" s="7"/>
      <c r="U115" s="7"/>
      <c r="V115" s="7"/>
      <c r="W115" s="7"/>
      <c r="X115" s="7"/>
      <c r="Y115" s="7"/>
      <c r="Z115" s="7"/>
    </row>
    <row r="116" spans="1:26" ht="15.75" customHeight="1">
      <c r="A116" s="43"/>
      <c r="B116" s="30"/>
      <c r="C116" s="30"/>
      <c r="D116" s="31"/>
      <c r="E116" s="31"/>
      <c r="F116" s="31"/>
      <c r="G116" s="31"/>
      <c r="H116" s="31"/>
      <c r="I116" s="44"/>
      <c r="J116" s="44"/>
      <c r="K116" s="44"/>
      <c r="L116" s="44"/>
      <c r="M116" s="44"/>
      <c r="N116" s="13"/>
      <c r="O116" s="7"/>
      <c r="P116" s="7"/>
      <c r="Q116" s="7"/>
      <c r="R116" s="7"/>
      <c r="S116" s="7"/>
      <c r="T116" s="7"/>
      <c r="U116" s="7"/>
      <c r="V116" s="7"/>
      <c r="W116" s="7"/>
      <c r="X116" s="7"/>
      <c r="Y116" s="7"/>
      <c r="Z116" s="7"/>
    </row>
    <row r="117" spans="1:26" ht="15.75" customHeight="1">
      <c r="A117" s="43"/>
      <c r="B117" s="30"/>
      <c r="C117" s="30"/>
      <c r="D117" s="31"/>
      <c r="E117" s="31"/>
      <c r="F117" s="31"/>
      <c r="G117" s="31"/>
      <c r="H117" s="31"/>
      <c r="I117" s="44"/>
      <c r="J117" s="44"/>
      <c r="K117" s="44"/>
      <c r="L117" s="44"/>
      <c r="M117" s="44"/>
      <c r="N117" s="13"/>
      <c r="O117" s="7"/>
      <c r="P117" s="7"/>
      <c r="Q117" s="7"/>
      <c r="R117" s="7"/>
      <c r="S117" s="7"/>
      <c r="T117" s="7"/>
      <c r="U117" s="7"/>
      <c r="V117" s="7"/>
      <c r="W117" s="7"/>
      <c r="X117" s="7"/>
      <c r="Y117" s="7"/>
      <c r="Z117" s="7"/>
    </row>
    <row r="118" spans="1:26" ht="15.75" customHeight="1">
      <c r="A118" s="43"/>
      <c r="B118" s="30"/>
      <c r="C118" s="30"/>
      <c r="D118" s="31"/>
      <c r="E118" s="31"/>
      <c r="F118" s="31"/>
      <c r="G118" s="31"/>
      <c r="H118" s="31"/>
      <c r="I118" s="44"/>
      <c r="J118" s="44"/>
      <c r="K118" s="44"/>
      <c r="L118" s="44"/>
      <c r="M118" s="44"/>
      <c r="N118" s="13"/>
      <c r="O118" s="7"/>
      <c r="P118" s="7"/>
      <c r="Q118" s="7"/>
      <c r="R118" s="7"/>
      <c r="S118" s="7"/>
      <c r="T118" s="7"/>
      <c r="U118" s="7"/>
      <c r="V118" s="7"/>
      <c r="W118" s="7"/>
      <c r="X118" s="7"/>
      <c r="Y118" s="7"/>
      <c r="Z118" s="7"/>
    </row>
    <row r="119" spans="1:26" ht="15.75" customHeight="1">
      <c r="A119" s="43"/>
      <c r="B119" s="30"/>
      <c r="C119" s="30"/>
      <c r="D119" s="31"/>
      <c r="E119" s="31"/>
      <c r="F119" s="31"/>
      <c r="G119" s="31"/>
      <c r="H119" s="31"/>
      <c r="I119" s="44"/>
      <c r="J119" s="44"/>
      <c r="K119" s="44"/>
      <c r="L119" s="44"/>
      <c r="M119" s="44"/>
      <c r="N119" s="13"/>
      <c r="O119" s="7"/>
      <c r="P119" s="7"/>
      <c r="Q119" s="7"/>
      <c r="R119" s="7"/>
      <c r="S119" s="7"/>
      <c r="T119" s="7"/>
      <c r="U119" s="7"/>
      <c r="V119" s="7"/>
      <c r="W119" s="7"/>
      <c r="X119" s="7"/>
      <c r="Y119" s="7"/>
      <c r="Z119" s="7"/>
    </row>
    <row r="120" spans="1:26" ht="15.75" customHeight="1">
      <c r="A120" s="43"/>
      <c r="B120" s="30"/>
      <c r="C120" s="30"/>
      <c r="D120" s="31"/>
      <c r="E120" s="31"/>
      <c r="F120" s="31"/>
      <c r="G120" s="31"/>
      <c r="H120" s="31"/>
      <c r="I120" s="44"/>
      <c r="J120" s="44"/>
      <c r="K120" s="44"/>
      <c r="L120" s="44"/>
      <c r="M120" s="44"/>
      <c r="N120" s="13"/>
      <c r="O120" s="7"/>
      <c r="P120" s="7"/>
      <c r="Q120" s="7"/>
      <c r="R120" s="7"/>
      <c r="S120" s="7"/>
      <c r="T120" s="7"/>
      <c r="U120" s="7"/>
      <c r="V120" s="7"/>
      <c r="W120" s="7"/>
      <c r="X120" s="7"/>
      <c r="Y120" s="7"/>
      <c r="Z120" s="7"/>
    </row>
    <row r="121" spans="1:26" ht="15.75" customHeight="1">
      <c r="A121" s="43"/>
      <c r="B121" s="30"/>
      <c r="C121" s="30"/>
      <c r="D121" s="31"/>
      <c r="E121" s="31"/>
      <c r="F121" s="31"/>
      <c r="G121" s="31"/>
      <c r="H121" s="31"/>
      <c r="I121" s="44"/>
      <c r="J121" s="44"/>
      <c r="K121" s="44"/>
      <c r="L121" s="44"/>
      <c r="M121" s="44"/>
      <c r="N121" s="13"/>
      <c r="O121" s="7"/>
      <c r="P121" s="7"/>
      <c r="Q121" s="7"/>
      <c r="R121" s="7"/>
      <c r="S121" s="7"/>
      <c r="T121" s="7"/>
      <c r="U121" s="7"/>
      <c r="V121" s="7"/>
      <c r="W121" s="7"/>
      <c r="X121" s="7"/>
      <c r="Y121" s="7"/>
      <c r="Z121" s="7"/>
    </row>
    <row r="122" spans="1:26" ht="15.75" customHeight="1">
      <c r="A122" s="43"/>
      <c r="B122" s="30"/>
      <c r="C122" s="30"/>
      <c r="D122" s="31"/>
      <c r="E122" s="31"/>
      <c r="F122" s="31"/>
      <c r="G122" s="31"/>
      <c r="H122" s="31"/>
      <c r="I122" s="44"/>
      <c r="J122" s="44"/>
      <c r="K122" s="44"/>
      <c r="L122" s="44"/>
      <c r="M122" s="44"/>
      <c r="N122" s="13"/>
      <c r="O122" s="7"/>
      <c r="P122" s="7"/>
      <c r="Q122" s="7"/>
      <c r="R122" s="7"/>
      <c r="S122" s="7"/>
      <c r="T122" s="7"/>
      <c r="U122" s="7"/>
      <c r="V122" s="7"/>
      <c r="W122" s="7"/>
      <c r="X122" s="7"/>
      <c r="Y122" s="7"/>
      <c r="Z122" s="7"/>
    </row>
    <row r="123" spans="1:26" ht="15.75" customHeight="1">
      <c r="A123" s="43"/>
      <c r="B123" s="30"/>
      <c r="C123" s="30"/>
      <c r="D123" s="31"/>
      <c r="E123" s="31"/>
      <c r="F123" s="31"/>
      <c r="G123" s="31"/>
      <c r="H123" s="31"/>
      <c r="I123" s="44"/>
      <c r="J123" s="44"/>
      <c r="K123" s="44"/>
      <c r="L123" s="44"/>
      <c r="M123" s="44"/>
      <c r="N123" s="13"/>
      <c r="O123" s="7"/>
      <c r="P123" s="7"/>
      <c r="Q123" s="7"/>
      <c r="R123" s="7"/>
      <c r="S123" s="7"/>
      <c r="T123" s="7"/>
      <c r="U123" s="7"/>
      <c r="V123" s="7"/>
      <c r="W123" s="7"/>
      <c r="X123" s="7"/>
      <c r="Y123" s="7"/>
      <c r="Z123" s="7"/>
    </row>
    <row r="124" spans="1:26" ht="15.75" customHeight="1">
      <c r="A124" s="43"/>
      <c r="B124" s="30"/>
      <c r="C124" s="30"/>
      <c r="D124" s="31"/>
      <c r="E124" s="31"/>
      <c r="F124" s="31"/>
      <c r="G124" s="31"/>
      <c r="H124" s="31"/>
      <c r="I124" s="44"/>
      <c r="J124" s="44"/>
      <c r="K124" s="44"/>
      <c r="L124" s="44"/>
      <c r="M124" s="44"/>
      <c r="N124" s="13"/>
      <c r="O124" s="7"/>
      <c r="P124" s="7"/>
      <c r="Q124" s="7"/>
      <c r="R124" s="7"/>
      <c r="S124" s="7"/>
      <c r="T124" s="7"/>
      <c r="U124" s="7"/>
      <c r="V124" s="7"/>
      <c r="W124" s="7"/>
      <c r="X124" s="7"/>
      <c r="Y124" s="7"/>
      <c r="Z124" s="7"/>
    </row>
    <row r="125" spans="1:26" ht="15.75" customHeight="1">
      <c r="A125" s="43"/>
      <c r="B125" s="30"/>
      <c r="C125" s="30"/>
      <c r="D125" s="31"/>
      <c r="E125" s="31"/>
      <c r="F125" s="31"/>
      <c r="G125" s="31"/>
      <c r="H125" s="31"/>
      <c r="I125" s="44"/>
      <c r="J125" s="44"/>
      <c r="K125" s="44"/>
      <c r="L125" s="44"/>
      <c r="M125" s="44"/>
      <c r="N125" s="13"/>
      <c r="O125" s="7"/>
      <c r="P125" s="7"/>
      <c r="Q125" s="7"/>
      <c r="R125" s="7"/>
      <c r="S125" s="7"/>
      <c r="T125" s="7"/>
      <c r="U125" s="7"/>
      <c r="V125" s="7"/>
      <c r="W125" s="7"/>
      <c r="X125" s="7"/>
      <c r="Y125" s="7"/>
      <c r="Z125" s="7"/>
    </row>
    <row r="126" spans="1:26" ht="15.75" customHeight="1">
      <c r="A126" s="43"/>
      <c r="B126" s="30"/>
      <c r="C126" s="30"/>
      <c r="D126" s="31"/>
      <c r="E126" s="31"/>
      <c r="F126" s="31"/>
      <c r="G126" s="31"/>
      <c r="H126" s="31"/>
      <c r="I126" s="44"/>
      <c r="J126" s="44"/>
      <c r="K126" s="44"/>
      <c r="L126" s="44"/>
      <c r="M126" s="44"/>
      <c r="N126" s="13"/>
      <c r="O126" s="7"/>
      <c r="P126" s="7"/>
      <c r="Q126" s="7"/>
      <c r="R126" s="7"/>
      <c r="S126" s="7"/>
      <c r="T126" s="7"/>
      <c r="U126" s="7"/>
      <c r="V126" s="7"/>
      <c r="W126" s="7"/>
      <c r="X126" s="7"/>
      <c r="Y126" s="7"/>
      <c r="Z126" s="7"/>
    </row>
    <row r="127" spans="1:26" ht="15.75" customHeight="1">
      <c r="A127" s="43"/>
      <c r="B127" s="30"/>
      <c r="C127" s="30"/>
      <c r="D127" s="31"/>
      <c r="E127" s="31"/>
      <c r="F127" s="31"/>
      <c r="G127" s="31"/>
      <c r="H127" s="31"/>
      <c r="I127" s="44"/>
      <c r="J127" s="44"/>
      <c r="K127" s="44"/>
      <c r="L127" s="44"/>
      <c r="M127" s="44"/>
      <c r="N127" s="13"/>
      <c r="O127" s="7"/>
      <c r="P127" s="7"/>
      <c r="Q127" s="7"/>
      <c r="R127" s="7"/>
      <c r="S127" s="7"/>
      <c r="T127" s="7"/>
      <c r="U127" s="7"/>
      <c r="V127" s="7"/>
      <c r="W127" s="7"/>
      <c r="X127" s="7"/>
      <c r="Y127" s="7"/>
      <c r="Z127" s="7"/>
    </row>
    <row r="128" spans="1:26" ht="15.75" customHeight="1">
      <c r="A128" s="43"/>
      <c r="B128" s="30"/>
      <c r="C128" s="30"/>
      <c r="D128" s="31"/>
      <c r="E128" s="31"/>
      <c r="F128" s="31"/>
      <c r="G128" s="31"/>
      <c r="H128" s="31"/>
      <c r="I128" s="44"/>
      <c r="J128" s="44"/>
      <c r="K128" s="44"/>
      <c r="L128" s="44"/>
      <c r="M128" s="44"/>
      <c r="N128" s="13"/>
      <c r="O128" s="7"/>
      <c r="P128" s="7"/>
      <c r="Q128" s="7"/>
      <c r="R128" s="7"/>
      <c r="S128" s="7"/>
      <c r="T128" s="7"/>
      <c r="U128" s="7"/>
      <c r="V128" s="7"/>
      <c r="W128" s="7"/>
      <c r="X128" s="7"/>
      <c r="Y128" s="7"/>
      <c r="Z128" s="7"/>
    </row>
    <row r="129" spans="1:26" ht="15.75" customHeight="1">
      <c r="A129" s="43"/>
      <c r="B129" s="30"/>
      <c r="C129" s="30"/>
      <c r="D129" s="31"/>
      <c r="E129" s="31"/>
      <c r="F129" s="31"/>
      <c r="G129" s="31"/>
      <c r="H129" s="31"/>
      <c r="I129" s="44"/>
      <c r="J129" s="44"/>
      <c r="K129" s="44"/>
      <c r="L129" s="44"/>
      <c r="M129" s="44"/>
      <c r="N129" s="13"/>
      <c r="O129" s="7"/>
      <c r="P129" s="7"/>
      <c r="Q129" s="7"/>
      <c r="R129" s="7"/>
      <c r="S129" s="7"/>
      <c r="T129" s="7"/>
      <c r="U129" s="7"/>
      <c r="V129" s="7"/>
      <c r="W129" s="7"/>
      <c r="X129" s="7"/>
      <c r="Y129" s="7"/>
      <c r="Z129" s="7"/>
    </row>
    <row r="130" spans="1:26" ht="15.75" customHeight="1">
      <c r="A130" s="43"/>
      <c r="B130" s="30"/>
      <c r="C130" s="30"/>
      <c r="D130" s="31"/>
      <c r="E130" s="31"/>
      <c r="F130" s="31"/>
      <c r="G130" s="31"/>
      <c r="H130" s="31"/>
      <c r="I130" s="44"/>
      <c r="J130" s="44"/>
      <c r="K130" s="44"/>
      <c r="L130" s="44"/>
      <c r="M130" s="44"/>
      <c r="N130" s="13"/>
      <c r="O130" s="7"/>
      <c r="P130" s="7"/>
      <c r="Q130" s="7"/>
      <c r="R130" s="7"/>
      <c r="S130" s="7"/>
      <c r="T130" s="7"/>
      <c r="U130" s="7"/>
      <c r="V130" s="7"/>
      <c r="W130" s="7"/>
      <c r="X130" s="7"/>
      <c r="Y130" s="7"/>
      <c r="Z130" s="7"/>
    </row>
    <row r="131" spans="1:26" ht="15.75" customHeight="1">
      <c r="A131" s="43"/>
      <c r="B131" s="30"/>
      <c r="C131" s="30"/>
      <c r="D131" s="31"/>
      <c r="E131" s="31"/>
      <c r="F131" s="31"/>
      <c r="G131" s="31"/>
      <c r="H131" s="31"/>
      <c r="I131" s="44"/>
      <c r="J131" s="44"/>
      <c r="K131" s="44"/>
      <c r="L131" s="44"/>
      <c r="M131" s="44"/>
      <c r="N131" s="13"/>
      <c r="O131" s="7"/>
      <c r="P131" s="7"/>
      <c r="Q131" s="7"/>
      <c r="R131" s="7"/>
      <c r="S131" s="7"/>
      <c r="T131" s="7"/>
      <c r="U131" s="7"/>
      <c r="V131" s="7"/>
      <c r="W131" s="7"/>
      <c r="X131" s="7"/>
      <c r="Y131" s="7"/>
      <c r="Z131" s="7"/>
    </row>
    <row r="132" spans="1:26" ht="15.75" customHeight="1">
      <c r="A132" s="43"/>
      <c r="B132" s="30"/>
      <c r="C132" s="30"/>
      <c r="D132" s="31"/>
      <c r="E132" s="31"/>
      <c r="F132" s="31"/>
      <c r="G132" s="31"/>
      <c r="H132" s="31"/>
      <c r="I132" s="44"/>
      <c r="J132" s="44"/>
      <c r="K132" s="44"/>
      <c r="L132" s="44"/>
      <c r="M132" s="44"/>
      <c r="N132" s="13"/>
      <c r="O132" s="7"/>
      <c r="P132" s="7"/>
      <c r="Q132" s="7"/>
      <c r="R132" s="7"/>
      <c r="S132" s="7"/>
      <c r="T132" s="7"/>
      <c r="U132" s="7"/>
      <c r="V132" s="7"/>
      <c r="W132" s="7"/>
      <c r="X132" s="7"/>
      <c r="Y132" s="7"/>
      <c r="Z132" s="7"/>
    </row>
    <row r="133" spans="1:26" ht="15.75" customHeight="1">
      <c r="A133" s="43"/>
      <c r="B133" s="30"/>
      <c r="C133" s="30"/>
      <c r="D133" s="31"/>
      <c r="E133" s="31"/>
      <c r="F133" s="31"/>
      <c r="G133" s="31"/>
      <c r="H133" s="31"/>
      <c r="I133" s="44"/>
      <c r="J133" s="44"/>
      <c r="K133" s="44"/>
      <c r="L133" s="44"/>
      <c r="M133" s="44"/>
      <c r="N133" s="13"/>
      <c r="O133" s="7"/>
      <c r="P133" s="7"/>
      <c r="Q133" s="7"/>
      <c r="R133" s="7"/>
      <c r="S133" s="7"/>
      <c r="T133" s="7"/>
      <c r="U133" s="7"/>
      <c r="V133" s="7"/>
      <c r="W133" s="7"/>
      <c r="X133" s="7"/>
      <c r="Y133" s="7"/>
      <c r="Z133" s="7"/>
    </row>
    <row r="134" spans="1:26" ht="15.75" customHeight="1">
      <c r="A134" s="43"/>
      <c r="B134" s="30"/>
      <c r="C134" s="30"/>
      <c r="D134" s="31"/>
      <c r="E134" s="31"/>
      <c r="F134" s="31"/>
      <c r="G134" s="31"/>
      <c r="H134" s="31"/>
      <c r="I134" s="44"/>
      <c r="J134" s="44"/>
      <c r="K134" s="44"/>
      <c r="L134" s="44"/>
      <c r="M134" s="44"/>
      <c r="N134" s="13"/>
      <c r="O134" s="7"/>
      <c r="P134" s="7"/>
      <c r="Q134" s="7"/>
      <c r="R134" s="7"/>
      <c r="S134" s="7"/>
      <c r="T134" s="7"/>
      <c r="U134" s="7"/>
      <c r="V134" s="7"/>
      <c r="W134" s="7"/>
      <c r="X134" s="7"/>
      <c r="Y134" s="7"/>
      <c r="Z134" s="7"/>
    </row>
    <row r="135" spans="1:26" ht="15.75" customHeight="1">
      <c r="A135" s="43"/>
      <c r="B135" s="30"/>
      <c r="C135" s="30"/>
      <c r="D135" s="31"/>
      <c r="E135" s="31"/>
      <c r="F135" s="31"/>
      <c r="G135" s="31"/>
      <c r="H135" s="31"/>
      <c r="I135" s="44"/>
      <c r="J135" s="44"/>
      <c r="K135" s="44"/>
      <c r="L135" s="44"/>
      <c r="M135" s="44"/>
      <c r="N135" s="13"/>
      <c r="O135" s="7"/>
      <c r="P135" s="7"/>
      <c r="Q135" s="7"/>
      <c r="R135" s="7"/>
      <c r="S135" s="7"/>
      <c r="T135" s="7"/>
      <c r="U135" s="7"/>
      <c r="V135" s="7"/>
      <c r="W135" s="7"/>
      <c r="X135" s="7"/>
      <c r="Y135" s="7"/>
      <c r="Z135" s="7"/>
    </row>
    <row r="136" spans="1:26" ht="15.75" customHeight="1">
      <c r="A136" s="43"/>
      <c r="B136" s="30"/>
      <c r="C136" s="30"/>
      <c r="D136" s="31"/>
      <c r="E136" s="31"/>
      <c r="F136" s="31"/>
      <c r="G136" s="31"/>
      <c r="H136" s="31"/>
      <c r="I136" s="44"/>
      <c r="J136" s="44"/>
      <c r="K136" s="44"/>
      <c r="L136" s="44"/>
      <c r="M136" s="44"/>
      <c r="N136" s="13"/>
      <c r="O136" s="7"/>
      <c r="P136" s="7"/>
      <c r="Q136" s="7"/>
      <c r="R136" s="7"/>
      <c r="S136" s="7"/>
      <c r="T136" s="7"/>
      <c r="U136" s="7"/>
      <c r="V136" s="7"/>
      <c r="W136" s="7"/>
      <c r="X136" s="7"/>
      <c r="Y136" s="7"/>
      <c r="Z136" s="7"/>
    </row>
    <row r="137" spans="1:26" ht="15.75" customHeight="1">
      <c r="A137" s="43"/>
      <c r="B137" s="30"/>
      <c r="C137" s="30"/>
      <c r="D137" s="31"/>
      <c r="E137" s="31"/>
      <c r="F137" s="31"/>
      <c r="G137" s="31"/>
      <c r="H137" s="31"/>
      <c r="I137" s="44"/>
      <c r="J137" s="44"/>
      <c r="K137" s="44"/>
      <c r="L137" s="44"/>
      <c r="M137" s="44"/>
      <c r="N137" s="13"/>
      <c r="O137" s="7"/>
      <c r="P137" s="7"/>
      <c r="Q137" s="7"/>
      <c r="R137" s="7"/>
      <c r="S137" s="7"/>
      <c r="T137" s="7"/>
      <c r="U137" s="7"/>
      <c r="V137" s="7"/>
      <c r="W137" s="7"/>
      <c r="X137" s="7"/>
      <c r="Y137" s="7"/>
      <c r="Z137" s="7"/>
    </row>
    <row r="138" spans="1:26" ht="15.75" customHeight="1">
      <c r="A138" s="43"/>
      <c r="B138" s="30"/>
      <c r="C138" s="30"/>
      <c r="D138" s="31"/>
      <c r="E138" s="31"/>
      <c r="F138" s="31"/>
      <c r="G138" s="31"/>
      <c r="H138" s="31"/>
      <c r="I138" s="44"/>
      <c r="J138" s="44"/>
      <c r="K138" s="44"/>
      <c r="L138" s="44"/>
      <c r="M138" s="44"/>
      <c r="N138" s="13"/>
      <c r="O138" s="7"/>
      <c r="P138" s="7"/>
      <c r="Q138" s="7"/>
      <c r="R138" s="7"/>
      <c r="S138" s="7"/>
      <c r="T138" s="7"/>
      <c r="U138" s="7"/>
      <c r="V138" s="7"/>
      <c r="W138" s="7"/>
      <c r="X138" s="7"/>
      <c r="Y138" s="7"/>
      <c r="Z138" s="7"/>
    </row>
    <row r="139" spans="1:26" ht="15.75" customHeight="1">
      <c r="A139" s="43"/>
      <c r="B139" s="30"/>
      <c r="C139" s="30"/>
      <c r="D139" s="31"/>
      <c r="E139" s="31"/>
      <c r="F139" s="31"/>
      <c r="G139" s="31"/>
      <c r="H139" s="31"/>
      <c r="I139" s="44"/>
      <c r="J139" s="44"/>
      <c r="K139" s="44"/>
      <c r="L139" s="44"/>
      <c r="M139" s="44"/>
      <c r="N139" s="13"/>
      <c r="O139" s="7"/>
      <c r="P139" s="7"/>
      <c r="Q139" s="7"/>
      <c r="R139" s="7"/>
      <c r="S139" s="7"/>
      <c r="T139" s="7"/>
      <c r="U139" s="7"/>
      <c r="V139" s="7"/>
      <c r="W139" s="7"/>
      <c r="X139" s="7"/>
      <c r="Y139" s="7"/>
      <c r="Z139" s="7"/>
    </row>
    <row r="140" spans="1:26" ht="15.75" customHeight="1">
      <c r="A140" s="43"/>
      <c r="B140" s="30"/>
      <c r="C140" s="30"/>
      <c r="D140" s="31"/>
      <c r="E140" s="31"/>
      <c r="F140" s="31"/>
      <c r="G140" s="31"/>
      <c r="H140" s="31"/>
      <c r="I140" s="44"/>
      <c r="J140" s="44"/>
      <c r="K140" s="44"/>
      <c r="L140" s="44"/>
      <c r="M140" s="44"/>
      <c r="N140" s="13"/>
      <c r="O140" s="7"/>
      <c r="P140" s="7"/>
      <c r="Q140" s="7"/>
      <c r="R140" s="7"/>
      <c r="S140" s="7"/>
      <c r="T140" s="7"/>
      <c r="U140" s="7"/>
      <c r="V140" s="7"/>
      <c r="W140" s="7"/>
      <c r="X140" s="7"/>
      <c r="Y140" s="7"/>
      <c r="Z140" s="7"/>
    </row>
    <row r="141" spans="1:26" ht="15.75" customHeight="1">
      <c r="A141" s="43"/>
      <c r="B141" s="30"/>
      <c r="C141" s="30"/>
      <c r="D141" s="31"/>
      <c r="E141" s="31"/>
      <c r="F141" s="31"/>
      <c r="G141" s="31"/>
      <c r="H141" s="31"/>
      <c r="I141" s="44"/>
      <c r="J141" s="44"/>
      <c r="K141" s="44"/>
      <c r="L141" s="44"/>
      <c r="M141" s="44"/>
      <c r="N141" s="13"/>
      <c r="O141" s="7"/>
      <c r="P141" s="7"/>
      <c r="Q141" s="7"/>
      <c r="R141" s="7"/>
      <c r="S141" s="7"/>
      <c r="T141" s="7"/>
      <c r="U141" s="7"/>
      <c r="V141" s="7"/>
      <c r="W141" s="7"/>
      <c r="X141" s="7"/>
      <c r="Y141" s="7"/>
      <c r="Z141" s="7"/>
    </row>
    <row r="142" spans="1:26" ht="15.75" customHeight="1">
      <c r="A142" s="43"/>
      <c r="B142" s="30"/>
      <c r="C142" s="30"/>
      <c r="D142" s="31"/>
      <c r="E142" s="31"/>
      <c r="F142" s="31"/>
      <c r="G142" s="31"/>
      <c r="H142" s="31"/>
      <c r="I142" s="44"/>
      <c r="J142" s="44"/>
      <c r="K142" s="44"/>
      <c r="L142" s="44"/>
      <c r="M142" s="44"/>
      <c r="N142" s="13"/>
      <c r="O142" s="7"/>
      <c r="P142" s="7"/>
      <c r="Q142" s="7"/>
      <c r="R142" s="7"/>
      <c r="S142" s="7"/>
      <c r="T142" s="7"/>
      <c r="U142" s="7"/>
      <c r="V142" s="7"/>
      <c r="W142" s="7"/>
      <c r="X142" s="7"/>
      <c r="Y142" s="7"/>
      <c r="Z142" s="7"/>
    </row>
    <row r="143" spans="1:26" ht="15.75" customHeight="1">
      <c r="A143" s="43"/>
      <c r="B143" s="30"/>
      <c r="C143" s="30"/>
      <c r="D143" s="31"/>
      <c r="E143" s="31"/>
      <c r="F143" s="31"/>
      <c r="G143" s="31"/>
      <c r="H143" s="31"/>
      <c r="I143" s="44"/>
      <c r="J143" s="44"/>
      <c r="K143" s="44"/>
      <c r="L143" s="44"/>
      <c r="M143" s="44"/>
      <c r="N143" s="13"/>
      <c r="O143" s="7"/>
      <c r="P143" s="7"/>
      <c r="Q143" s="7"/>
      <c r="R143" s="7"/>
      <c r="S143" s="7"/>
      <c r="T143" s="7"/>
      <c r="U143" s="7"/>
      <c r="V143" s="7"/>
      <c r="W143" s="7"/>
      <c r="X143" s="7"/>
      <c r="Y143" s="7"/>
      <c r="Z143" s="7"/>
    </row>
    <row r="144" spans="1:26" ht="15.75" customHeight="1">
      <c r="A144" s="43"/>
      <c r="B144" s="30"/>
      <c r="C144" s="30"/>
      <c r="D144" s="31"/>
      <c r="E144" s="31"/>
      <c r="F144" s="31"/>
      <c r="G144" s="31"/>
      <c r="H144" s="31"/>
      <c r="I144" s="44"/>
      <c r="J144" s="44"/>
      <c r="K144" s="44"/>
      <c r="L144" s="44"/>
      <c r="M144" s="44"/>
      <c r="N144" s="13"/>
      <c r="O144" s="7"/>
      <c r="P144" s="7"/>
      <c r="Q144" s="7"/>
      <c r="R144" s="7"/>
      <c r="S144" s="7"/>
      <c r="T144" s="7"/>
      <c r="U144" s="7"/>
      <c r="V144" s="7"/>
      <c r="W144" s="7"/>
      <c r="X144" s="7"/>
      <c r="Y144" s="7"/>
      <c r="Z144" s="7"/>
    </row>
    <row r="145" spans="1:26" ht="15.75" customHeight="1">
      <c r="A145" s="43"/>
      <c r="B145" s="30"/>
      <c r="C145" s="30"/>
      <c r="D145" s="31"/>
      <c r="E145" s="31"/>
      <c r="F145" s="31"/>
      <c r="G145" s="31"/>
      <c r="H145" s="31"/>
      <c r="I145" s="44"/>
      <c r="J145" s="44"/>
      <c r="K145" s="44"/>
      <c r="L145" s="44"/>
      <c r="M145" s="44"/>
      <c r="N145" s="13"/>
      <c r="O145" s="7"/>
      <c r="P145" s="7"/>
      <c r="Q145" s="7"/>
      <c r="R145" s="7"/>
      <c r="S145" s="7"/>
      <c r="T145" s="7"/>
      <c r="U145" s="7"/>
      <c r="V145" s="7"/>
      <c r="W145" s="7"/>
      <c r="X145" s="7"/>
      <c r="Y145" s="7"/>
      <c r="Z145" s="7"/>
    </row>
    <row r="146" spans="1:26" ht="15.75" customHeight="1">
      <c r="A146" s="43"/>
      <c r="B146" s="30"/>
      <c r="C146" s="30"/>
      <c r="D146" s="31"/>
      <c r="E146" s="31"/>
      <c r="F146" s="31"/>
      <c r="G146" s="31"/>
      <c r="H146" s="31"/>
      <c r="I146" s="44"/>
      <c r="J146" s="44"/>
      <c r="K146" s="44"/>
      <c r="L146" s="44"/>
      <c r="M146" s="44"/>
      <c r="N146" s="13"/>
      <c r="O146" s="7"/>
      <c r="P146" s="7"/>
      <c r="Q146" s="7"/>
      <c r="R146" s="7"/>
      <c r="S146" s="7"/>
      <c r="T146" s="7"/>
      <c r="U146" s="7"/>
      <c r="V146" s="7"/>
      <c r="W146" s="7"/>
      <c r="X146" s="7"/>
      <c r="Y146" s="7"/>
      <c r="Z146" s="7"/>
    </row>
    <row r="147" spans="1:26" ht="15.75" customHeight="1">
      <c r="A147" s="43"/>
      <c r="B147" s="30"/>
      <c r="C147" s="30"/>
      <c r="D147" s="31"/>
      <c r="E147" s="31"/>
      <c r="F147" s="31"/>
      <c r="G147" s="31"/>
      <c r="H147" s="31"/>
      <c r="I147" s="44"/>
      <c r="J147" s="44"/>
      <c r="K147" s="44"/>
      <c r="L147" s="44"/>
      <c r="M147" s="44"/>
      <c r="N147" s="13"/>
      <c r="O147" s="7"/>
      <c r="P147" s="7"/>
      <c r="Q147" s="7"/>
      <c r="R147" s="7"/>
      <c r="S147" s="7"/>
      <c r="T147" s="7"/>
      <c r="U147" s="7"/>
      <c r="V147" s="7"/>
      <c r="W147" s="7"/>
      <c r="X147" s="7"/>
      <c r="Y147" s="7"/>
      <c r="Z147" s="7"/>
    </row>
    <row r="148" spans="1:26" ht="15.75" customHeight="1">
      <c r="A148" s="43"/>
      <c r="B148" s="30"/>
      <c r="C148" s="30"/>
      <c r="D148" s="31"/>
      <c r="E148" s="31"/>
      <c r="F148" s="31"/>
      <c r="G148" s="31"/>
      <c r="H148" s="31"/>
      <c r="I148" s="44"/>
      <c r="J148" s="44"/>
      <c r="K148" s="44"/>
      <c r="L148" s="44"/>
      <c r="M148" s="44"/>
      <c r="N148" s="13"/>
      <c r="O148" s="7"/>
      <c r="P148" s="7"/>
      <c r="Q148" s="7"/>
      <c r="R148" s="7"/>
      <c r="S148" s="7"/>
      <c r="T148" s="7"/>
      <c r="U148" s="7"/>
      <c r="V148" s="7"/>
      <c r="W148" s="7"/>
      <c r="X148" s="7"/>
      <c r="Y148" s="7"/>
      <c r="Z148" s="7"/>
    </row>
    <row r="149" spans="1:26" ht="15.75" customHeight="1">
      <c r="A149" s="43"/>
      <c r="B149" s="30"/>
      <c r="C149" s="30"/>
      <c r="D149" s="31"/>
      <c r="E149" s="31"/>
      <c r="F149" s="31"/>
      <c r="G149" s="31"/>
      <c r="H149" s="31"/>
      <c r="I149" s="44"/>
      <c r="J149" s="44"/>
      <c r="K149" s="44"/>
      <c r="L149" s="44"/>
      <c r="M149" s="44"/>
      <c r="N149" s="13"/>
      <c r="O149" s="7"/>
      <c r="P149" s="7"/>
      <c r="Q149" s="7"/>
      <c r="R149" s="7"/>
      <c r="S149" s="7"/>
      <c r="T149" s="7"/>
      <c r="U149" s="7"/>
      <c r="V149" s="7"/>
      <c r="W149" s="7"/>
      <c r="X149" s="7"/>
      <c r="Y149" s="7"/>
      <c r="Z149" s="7"/>
    </row>
    <row r="150" spans="1:26" ht="15.75" customHeight="1">
      <c r="A150" s="43"/>
      <c r="B150" s="30"/>
      <c r="C150" s="30"/>
      <c r="D150" s="31"/>
      <c r="E150" s="31"/>
      <c r="F150" s="31"/>
      <c r="G150" s="31"/>
      <c r="H150" s="31"/>
      <c r="I150" s="44"/>
      <c r="J150" s="44"/>
      <c r="K150" s="44"/>
      <c r="L150" s="44"/>
      <c r="M150" s="44"/>
      <c r="N150" s="13"/>
      <c r="O150" s="7"/>
      <c r="P150" s="7"/>
      <c r="Q150" s="7"/>
      <c r="R150" s="7"/>
      <c r="S150" s="7"/>
      <c r="T150" s="7"/>
      <c r="U150" s="7"/>
      <c r="V150" s="7"/>
      <c r="W150" s="7"/>
      <c r="X150" s="7"/>
      <c r="Y150" s="7"/>
      <c r="Z150" s="7"/>
    </row>
    <row r="151" spans="1:26" ht="15.75" customHeight="1">
      <c r="A151" s="43"/>
      <c r="B151" s="30"/>
      <c r="C151" s="30"/>
      <c r="D151" s="31"/>
      <c r="E151" s="31"/>
      <c r="F151" s="31"/>
      <c r="G151" s="31"/>
      <c r="H151" s="31"/>
      <c r="I151" s="44"/>
      <c r="J151" s="44"/>
      <c r="K151" s="44"/>
      <c r="L151" s="44"/>
      <c r="M151" s="44"/>
      <c r="N151" s="13"/>
      <c r="O151" s="7"/>
      <c r="P151" s="7"/>
      <c r="Q151" s="7"/>
      <c r="R151" s="7"/>
      <c r="S151" s="7"/>
      <c r="T151" s="7"/>
      <c r="U151" s="7"/>
      <c r="V151" s="7"/>
      <c r="W151" s="7"/>
      <c r="X151" s="7"/>
      <c r="Y151" s="7"/>
      <c r="Z151" s="7"/>
    </row>
    <row r="152" spans="1:26" ht="15.75" customHeight="1">
      <c r="A152" s="43"/>
      <c r="B152" s="30"/>
      <c r="C152" s="30"/>
      <c r="D152" s="31"/>
      <c r="E152" s="31"/>
      <c r="F152" s="31"/>
      <c r="G152" s="31"/>
      <c r="H152" s="31"/>
      <c r="I152" s="44"/>
      <c r="J152" s="44"/>
      <c r="K152" s="44"/>
      <c r="L152" s="44"/>
      <c r="M152" s="44"/>
      <c r="N152" s="13"/>
      <c r="O152" s="7"/>
      <c r="P152" s="7"/>
      <c r="Q152" s="7"/>
      <c r="R152" s="7"/>
      <c r="S152" s="7"/>
      <c r="T152" s="7"/>
      <c r="U152" s="7"/>
      <c r="V152" s="7"/>
      <c r="W152" s="7"/>
      <c r="X152" s="7"/>
      <c r="Y152" s="7"/>
      <c r="Z152" s="7"/>
    </row>
    <row r="153" spans="1:26" ht="15.75" customHeight="1">
      <c r="A153" s="43"/>
      <c r="B153" s="30"/>
      <c r="C153" s="30"/>
      <c r="D153" s="31"/>
      <c r="E153" s="31"/>
      <c r="F153" s="31"/>
      <c r="G153" s="31"/>
      <c r="H153" s="31"/>
      <c r="I153" s="44"/>
      <c r="J153" s="44"/>
      <c r="K153" s="44"/>
      <c r="L153" s="44"/>
      <c r="M153" s="44"/>
      <c r="N153" s="13"/>
      <c r="O153" s="7"/>
      <c r="P153" s="7"/>
      <c r="Q153" s="7"/>
      <c r="R153" s="7"/>
      <c r="S153" s="7"/>
      <c r="T153" s="7"/>
      <c r="U153" s="7"/>
      <c r="V153" s="7"/>
      <c r="W153" s="7"/>
      <c r="X153" s="7"/>
      <c r="Y153" s="7"/>
      <c r="Z153" s="7"/>
    </row>
    <row r="154" spans="1:26" ht="15.75" customHeight="1">
      <c r="A154" s="43"/>
      <c r="B154" s="30"/>
      <c r="C154" s="30"/>
      <c r="D154" s="31"/>
      <c r="E154" s="31"/>
      <c r="F154" s="31"/>
      <c r="G154" s="31"/>
      <c r="H154" s="31"/>
      <c r="I154" s="44"/>
      <c r="J154" s="44"/>
      <c r="K154" s="44"/>
      <c r="L154" s="44"/>
      <c r="M154" s="44"/>
      <c r="N154" s="13"/>
      <c r="O154" s="7"/>
      <c r="P154" s="7"/>
      <c r="Q154" s="7"/>
      <c r="R154" s="7"/>
      <c r="S154" s="7"/>
      <c r="T154" s="7"/>
      <c r="U154" s="7"/>
      <c r="V154" s="7"/>
      <c r="W154" s="7"/>
      <c r="X154" s="7"/>
      <c r="Y154" s="7"/>
      <c r="Z154" s="7"/>
    </row>
    <row r="155" spans="1:26" ht="15.75" customHeight="1">
      <c r="A155" s="43"/>
      <c r="B155" s="30"/>
      <c r="C155" s="30"/>
      <c r="D155" s="31"/>
      <c r="E155" s="31"/>
      <c r="F155" s="31"/>
      <c r="G155" s="31"/>
      <c r="H155" s="31"/>
      <c r="I155" s="44"/>
      <c r="J155" s="44"/>
      <c r="K155" s="44"/>
      <c r="L155" s="44"/>
      <c r="M155" s="44"/>
      <c r="N155" s="13"/>
      <c r="O155" s="7"/>
      <c r="P155" s="7"/>
      <c r="Q155" s="7"/>
      <c r="R155" s="7"/>
      <c r="S155" s="7"/>
      <c r="T155" s="7"/>
      <c r="U155" s="7"/>
      <c r="V155" s="7"/>
      <c r="W155" s="7"/>
      <c r="X155" s="7"/>
      <c r="Y155" s="7"/>
      <c r="Z155" s="7"/>
    </row>
    <row r="156" spans="1:26" ht="15.75" customHeight="1">
      <c r="A156" s="43"/>
      <c r="B156" s="30"/>
      <c r="C156" s="30"/>
      <c r="D156" s="31"/>
      <c r="E156" s="31"/>
      <c r="F156" s="31"/>
      <c r="G156" s="31"/>
      <c r="H156" s="31"/>
      <c r="I156" s="44"/>
      <c r="J156" s="44"/>
      <c r="K156" s="44"/>
      <c r="L156" s="44"/>
      <c r="M156" s="44"/>
      <c r="N156" s="13"/>
      <c r="O156" s="7"/>
      <c r="P156" s="7"/>
      <c r="Q156" s="7"/>
      <c r="R156" s="7"/>
      <c r="S156" s="7"/>
      <c r="T156" s="7"/>
      <c r="U156" s="7"/>
      <c r="V156" s="7"/>
      <c r="W156" s="7"/>
      <c r="X156" s="7"/>
      <c r="Y156" s="7"/>
      <c r="Z156" s="7"/>
    </row>
    <row r="157" spans="1:26" ht="15.75" customHeight="1">
      <c r="A157" s="43"/>
      <c r="B157" s="30"/>
      <c r="C157" s="30"/>
      <c r="D157" s="31"/>
      <c r="E157" s="31"/>
      <c r="F157" s="31"/>
      <c r="G157" s="31"/>
      <c r="H157" s="31"/>
      <c r="I157" s="44"/>
      <c r="J157" s="44"/>
      <c r="K157" s="44"/>
      <c r="L157" s="44"/>
      <c r="M157" s="44"/>
      <c r="N157" s="13"/>
      <c r="O157" s="7"/>
      <c r="P157" s="7"/>
      <c r="Q157" s="7"/>
      <c r="R157" s="7"/>
      <c r="S157" s="7"/>
      <c r="T157" s="7"/>
      <c r="U157" s="7"/>
      <c r="V157" s="7"/>
      <c r="W157" s="7"/>
      <c r="X157" s="7"/>
      <c r="Y157" s="7"/>
      <c r="Z157" s="7"/>
    </row>
    <row r="158" spans="1:26" ht="15.75" customHeight="1">
      <c r="A158" s="43"/>
      <c r="B158" s="30"/>
      <c r="C158" s="30"/>
      <c r="D158" s="31"/>
      <c r="E158" s="31"/>
      <c r="F158" s="31"/>
      <c r="G158" s="31"/>
      <c r="H158" s="31"/>
      <c r="I158" s="44"/>
      <c r="J158" s="44"/>
      <c r="K158" s="44"/>
      <c r="L158" s="44"/>
      <c r="M158" s="44"/>
      <c r="N158" s="13"/>
      <c r="O158" s="7"/>
      <c r="P158" s="7"/>
      <c r="Q158" s="7"/>
      <c r="R158" s="7"/>
      <c r="S158" s="7"/>
      <c r="T158" s="7"/>
      <c r="U158" s="7"/>
      <c r="V158" s="7"/>
      <c r="W158" s="7"/>
      <c r="X158" s="7"/>
      <c r="Y158" s="7"/>
      <c r="Z158" s="7"/>
    </row>
    <row r="159" spans="1:26" ht="15.75" customHeight="1">
      <c r="A159" s="43"/>
      <c r="B159" s="30"/>
      <c r="C159" s="30"/>
      <c r="D159" s="31"/>
      <c r="E159" s="31"/>
      <c r="F159" s="31"/>
      <c r="G159" s="31"/>
      <c r="H159" s="31"/>
      <c r="I159" s="44"/>
      <c r="J159" s="44"/>
      <c r="K159" s="44"/>
      <c r="L159" s="44"/>
      <c r="M159" s="44"/>
      <c r="N159" s="13"/>
      <c r="O159" s="7"/>
      <c r="P159" s="7"/>
      <c r="Q159" s="7"/>
      <c r="R159" s="7"/>
      <c r="S159" s="7"/>
      <c r="T159" s="7"/>
      <c r="U159" s="7"/>
      <c r="V159" s="7"/>
      <c r="W159" s="7"/>
      <c r="X159" s="7"/>
      <c r="Y159" s="7"/>
      <c r="Z159" s="7"/>
    </row>
    <row r="160" spans="1:26" ht="15.75" customHeight="1">
      <c r="A160" s="43"/>
      <c r="B160" s="30"/>
      <c r="C160" s="30"/>
      <c r="D160" s="31"/>
      <c r="E160" s="31"/>
      <c r="F160" s="31"/>
      <c r="G160" s="31"/>
      <c r="H160" s="31"/>
      <c r="I160" s="44"/>
      <c r="J160" s="44"/>
      <c r="K160" s="44"/>
      <c r="L160" s="44"/>
      <c r="M160" s="44"/>
      <c r="N160" s="13"/>
      <c r="O160" s="7"/>
      <c r="P160" s="7"/>
      <c r="Q160" s="7"/>
      <c r="R160" s="7"/>
      <c r="S160" s="7"/>
      <c r="T160" s="7"/>
      <c r="U160" s="7"/>
      <c r="V160" s="7"/>
      <c r="W160" s="7"/>
      <c r="X160" s="7"/>
      <c r="Y160" s="7"/>
      <c r="Z160" s="7"/>
    </row>
    <row r="161" spans="1:26" ht="15.75" customHeight="1">
      <c r="A161" s="43"/>
      <c r="B161" s="30"/>
      <c r="C161" s="30"/>
      <c r="D161" s="31"/>
      <c r="E161" s="31"/>
      <c r="F161" s="31"/>
      <c r="G161" s="31"/>
      <c r="H161" s="31"/>
      <c r="I161" s="44"/>
      <c r="J161" s="44"/>
      <c r="K161" s="44"/>
      <c r="L161" s="44"/>
      <c r="M161" s="44"/>
      <c r="N161" s="13"/>
      <c r="O161" s="7"/>
      <c r="P161" s="7"/>
      <c r="Q161" s="7"/>
      <c r="R161" s="7"/>
      <c r="S161" s="7"/>
      <c r="T161" s="7"/>
      <c r="U161" s="7"/>
      <c r="V161" s="7"/>
      <c r="W161" s="7"/>
      <c r="X161" s="7"/>
      <c r="Y161" s="7"/>
      <c r="Z161" s="7"/>
    </row>
    <row r="162" spans="1:26" ht="15.75" customHeight="1">
      <c r="A162" s="43"/>
      <c r="B162" s="30"/>
      <c r="C162" s="30"/>
      <c r="D162" s="31"/>
      <c r="E162" s="31"/>
      <c r="F162" s="31"/>
      <c r="G162" s="31"/>
      <c r="H162" s="31"/>
      <c r="I162" s="44"/>
      <c r="J162" s="44"/>
      <c r="K162" s="44"/>
      <c r="L162" s="44"/>
      <c r="M162" s="44"/>
      <c r="N162" s="13"/>
      <c r="O162" s="7"/>
      <c r="P162" s="7"/>
      <c r="Q162" s="7"/>
      <c r="R162" s="7"/>
      <c r="S162" s="7"/>
      <c r="T162" s="7"/>
      <c r="U162" s="7"/>
      <c r="V162" s="7"/>
      <c r="W162" s="7"/>
      <c r="X162" s="7"/>
      <c r="Y162" s="7"/>
      <c r="Z162" s="7"/>
    </row>
    <row r="163" spans="1:26" ht="15.75" customHeight="1">
      <c r="A163" s="43"/>
      <c r="B163" s="30"/>
      <c r="C163" s="30"/>
      <c r="D163" s="31"/>
      <c r="E163" s="31"/>
      <c r="F163" s="31"/>
      <c r="G163" s="31"/>
      <c r="H163" s="31"/>
      <c r="I163" s="44"/>
      <c r="J163" s="44"/>
      <c r="K163" s="44"/>
      <c r="L163" s="44"/>
      <c r="M163" s="44"/>
      <c r="N163" s="13"/>
      <c r="O163" s="7"/>
      <c r="P163" s="7"/>
      <c r="Q163" s="7"/>
      <c r="R163" s="7"/>
      <c r="S163" s="7"/>
      <c r="T163" s="7"/>
      <c r="U163" s="7"/>
      <c r="V163" s="7"/>
      <c r="W163" s="7"/>
      <c r="X163" s="7"/>
      <c r="Y163" s="7"/>
      <c r="Z163" s="7"/>
    </row>
    <row r="164" spans="1:26" ht="15.75" customHeight="1">
      <c r="A164" s="43"/>
      <c r="B164" s="30"/>
      <c r="C164" s="30"/>
      <c r="D164" s="31"/>
      <c r="E164" s="31"/>
      <c r="F164" s="31"/>
      <c r="G164" s="31"/>
      <c r="H164" s="31"/>
      <c r="I164" s="44"/>
      <c r="J164" s="44"/>
      <c r="K164" s="44"/>
      <c r="L164" s="44"/>
      <c r="M164" s="44"/>
      <c r="N164" s="13"/>
      <c r="O164" s="7"/>
      <c r="P164" s="7"/>
      <c r="Q164" s="7"/>
      <c r="R164" s="7"/>
      <c r="S164" s="7"/>
      <c r="T164" s="7"/>
      <c r="U164" s="7"/>
      <c r="V164" s="7"/>
      <c r="W164" s="7"/>
      <c r="X164" s="7"/>
      <c r="Y164" s="7"/>
      <c r="Z164" s="7"/>
    </row>
    <row r="165" spans="1:26" ht="15.75" customHeight="1">
      <c r="A165" s="43"/>
      <c r="B165" s="30"/>
      <c r="C165" s="30"/>
      <c r="D165" s="31"/>
      <c r="E165" s="31"/>
      <c r="F165" s="31"/>
      <c r="G165" s="31"/>
      <c r="H165" s="31"/>
      <c r="I165" s="44"/>
      <c r="J165" s="44"/>
      <c r="K165" s="44"/>
      <c r="L165" s="44"/>
      <c r="M165" s="44"/>
      <c r="N165" s="13"/>
      <c r="O165" s="7"/>
      <c r="P165" s="7"/>
      <c r="Q165" s="7"/>
      <c r="R165" s="7"/>
      <c r="S165" s="7"/>
      <c r="T165" s="7"/>
      <c r="U165" s="7"/>
      <c r="V165" s="7"/>
      <c r="W165" s="7"/>
      <c r="X165" s="7"/>
      <c r="Y165" s="7"/>
      <c r="Z165" s="7"/>
    </row>
    <row r="166" spans="1:26" ht="15.75" customHeight="1">
      <c r="A166" s="43"/>
      <c r="B166" s="30"/>
      <c r="C166" s="30"/>
      <c r="D166" s="31"/>
      <c r="E166" s="31"/>
      <c r="F166" s="31"/>
      <c r="G166" s="31"/>
      <c r="H166" s="31"/>
      <c r="I166" s="44"/>
      <c r="J166" s="44"/>
      <c r="K166" s="44"/>
      <c r="L166" s="44"/>
      <c r="M166" s="44"/>
      <c r="N166" s="13"/>
      <c r="O166" s="7"/>
      <c r="P166" s="7"/>
      <c r="Q166" s="7"/>
      <c r="R166" s="7"/>
      <c r="S166" s="7"/>
      <c r="T166" s="7"/>
      <c r="U166" s="7"/>
      <c r="V166" s="7"/>
      <c r="W166" s="7"/>
      <c r="X166" s="7"/>
      <c r="Y166" s="7"/>
      <c r="Z166" s="7"/>
    </row>
    <row r="167" spans="1:26" ht="15.75" customHeight="1">
      <c r="A167" s="43"/>
      <c r="B167" s="30"/>
      <c r="C167" s="30"/>
      <c r="D167" s="31"/>
      <c r="E167" s="31"/>
      <c r="F167" s="31"/>
      <c r="G167" s="31"/>
      <c r="H167" s="31"/>
      <c r="I167" s="44"/>
      <c r="J167" s="44"/>
      <c r="K167" s="44"/>
      <c r="L167" s="44"/>
      <c r="M167" s="44"/>
      <c r="N167" s="13"/>
      <c r="O167" s="7"/>
      <c r="P167" s="7"/>
      <c r="Q167" s="7"/>
      <c r="R167" s="7"/>
      <c r="S167" s="7"/>
      <c r="T167" s="7"/>
      <c r="U167" s="7"/>
      <c r="V167" s="7"/>
      <c r="W167" s="7"/>
      <c r="X167" s="7"/>
      <c r="Y167" s="7"/>
      <c r="Z167" s="7"/>
    </row>
    <row r="168" spans="1:26" ht="15.75" customHeight="1">
      <c r="A168" s="43"/>
      <c r="B168" s="30"/>
      <c r="C168" s="30"/>
      <c r="D168" s="31"/>
      <c r="E168" s="31"/>
      <c r="F168" s="31"/>
      <c r="G168" s="31"/>
      <c r="H168" s="31"/>
      <c r="I168" s="44"/>
      <c r="J168" s="44"/>
      <c r="K168" s="44"/>
      <c r="L168" s="44"/>
      <c r="M168" s="44"/>
      <c r="N168" s="13"/>
      <c r="O168" s="7"/>
      <c r="P168" s="7"/>
      <c r="Q168" s="7"/>
      <c r="R168" s="7"/>
      <c r="S168" s="7"/>
      <c r="T168" s="7"/>
      <c r="U168" s="7"/>
      <c r="V168" s="7"/>
      <c r="W168" s="7"/>
      <c r="X168" s="7"/>
      <c r="Y168" s="7"/>
      <c r="Z168" s="7"/>
    </row>
    <row r="169" spans="1:26" ht="15.75" customHeight="1">
      <c r="A169" s="43"/>
      <c r="B169" s="30"/>
      <c r="C169" s="30"/>
      <c r="D169" s="31"/>
      <c r="E169" s="31"/>
      <c r="F169" s="31"/>
      <c r="G169" s="31"/>
      <c r="H169" s="31"/>
      <c r="I169" s="44"/>
      <c r="J169" s="44"/>
      <c r="K169" s="44"/>
      <c r="L169" s="44"/>
      <c r="M169" s="44"/>
      <c r="N169" s="13"/>
      <c r="O169" s="7"/>
      <c r="P169" s="7"/>
      <c r="Q169" s="7"/>
      <c r="R169" s="7"/>
      <c r="S169" s="7"/>
      <c r="T169" s="7"/>
      <c r="U169" s="7"/>
      <c r="V169" s="7"/>
      <c r="W169" s="7"/>
      <c r="X169" s="7"/>
      <c r="Y169" s="7"/>
      <c r="Z169" s="7"/>
    </row>
    <row r="170" spans="1:26" ht="15.75" customHeight="1">
      <c r="A170" s="43"/>
      <c r="B170" s="30"/>
      <c r="C170" s="30"/>
      <c r="D170" s="31"/>
      <c r="E170" s="31"/>
      <c r="F170" s="31"/>
      <c r="G170" s="31"/>
      <c r="H170" s="31"/>
      <c r="I170" s="44"/>
      <c r="J170" s="44"/>
      <c r="K170" s="44"/>
      <c r="L170" s="44"/>
      <c r="M170" s="44"/>
      <c r="N170" s="13"/>
      <c r="O170" s="7"/>
      <c r="P170" s="7"/>
      <c r="Q170" s="7"/>
      <c r="R170" s="7"/>
      <c r="S170" s="7"/>
      <c r="T170" s="7"/>
      <c r="U170" s="7"/>
      <c r="V170" s="7"/>
      <c r="W170" s="7"/>
      <c r="X170" s="7"/>
      <c r="Y170" s="7"/>
      <c r="Z170" s="7"/>
    </row>
    <row r="171" spans="1:26" ht="15.75" customHeight="1">
      <c r="A171" s="43"/>
      <c r="B171" s="30"/>
      <c r="C171" s="30"/>
      <c r="D171" s="31"/>
      <c r="E171" s="31"/>
      <c r="F171" s="31"/>
      <c r="G171" s="31"/>
      <c r="H171" s="31"/>
      <c r="I171" s="44"/>
      <c r="J171" s="44"/>
      <c r="K171" s="44"/>
      <c r="L171" s="44"/>
      <c r="M171" s="44"/>
      <c r="N171" s="13"/>
      <c r="O171" s="7"/>
      <c r="P171" s="7"/>
      <c r="Q171" s="7"/>
      <c r="R171" s="7"/>
      <c r="S171" s="7"/>
      <c r="T171" s="7"/>
      <c r="U171" s="7"/>
      <c r="V171" s="7"/>
      <c r="W171" s="7"/>
      <c r="X171" s="7"/>
      <c r="Y171" s="7"/>
      <c r="Z171" s="7"/>
    </row>
    <row r="172" spans="1:26" ht="15.75" customHeight="1">
      <c r="A172" s="43"/>
      <c r="B172" s="30"/>
      <c r="C172" s="30"/>
      <c r="D172" s="31"/>
      <c r="E172" s="31"/>
      <c r="F172" s="31"/>
      <c r="G172" s="31"/>
      <c r="H172" s="31"/>
      <c r="I172" s="44"/>
      <c r="J172" s="44"/>
      <c r="K172" s="44"/>
      <c r="L172" s="44"/>
      <c r="M172" s="44"/>
      <c r="N172" s="13"/>
      <c r="O172" s="7"/>
      <c r="P172" s="7"/>
      <c r="Q172" s="7"/>
      <c r="R172" s="7"/>
      <c r="S172" s="7"/>
      <c r="T172" s="7"/>
      <c r="U172" s="7"/>
      <c r="V172" s="7"/>
      <c r="W172" s="7"/>
      <c r="X172" s="7"/>
      <c r="Y172" s="7"/>
      <c r="Z172" s="7"/>
    </row>
    <row r="173" spans="1:26" ht="15.75" customHeight="1">
      <c r="A173" s="43"/>
      <c r="B173" s="30"/>
      <c r="C173" s="30"/>
      <c r="D173" s="31"/>
      <c r="E173" s="31"/>
      <c r="F173" s="31"/>
      <c r="G173" s="31"/>
      <c r="H173" s="31"/>
      <c r="I173" s="44"/>
      <c r="J173" s="44"/>
      <c r="K173" s="44"/>
      <c r="L173" s="44"/>
      <c r="M173" s="44"/>
      <c r="N173" s="13"/>
      <c r="O173" s="7"/>
      <c r="P173" s="7"/>
      <c r="Q173" s="7"/>
      <c r="R173" s="7"/>
      <c r="S173" s="7"/>
      <c r="T173" s="7"/>
      <c r="U173" s="7"/>
      <c r="V173" s="7"/>
      <c r="W173" s="7"/>
      <c r="X173" s="7"/>
      <c r="Y173" s="7"/>
      <c r="Z173" s="7"/>
    </row>
    <row r="174" spans="1:26" ht="15.75" customHeight="1">
      <c r="A174" s="43"/>
      <c r="B174" s="30"/>
      <c r="C174" s="30"/>
      <c r="D174" s="31"/>
      <c r="E174" s="31"/>
      <c r="F174" s="31"/>
      <c r="G174" s="31"/>
      <c r="H174" s="31"/>
      <c r="I174" s="44"/>
      <c r="J174" s="44"/>
      <c r="K174" s="44"/>
      <c r="L174" s="44"/>
      <c r="M174" s="44"/>
      <c r="N174" s="13"/>
      <c r="O174" s="7"/>
      <c r="P174" s="7"/>
      <c r="Q174" s="7"/>
      <c r="R174" s="7"/>
      <c r="S174" s="7"/>
      <c r="T174" s="7"/>
      <c r="U174" s="7"/>
      <c r="V174" s="7"/>
      <c r="W174" s="7"/>
      <c r="X174" s="7"/>
      <c r="Y174" s="7"/>
      <c r="Z174" s="7"/>
    </row>
    <row r="175" spans="1:26" ht="15.75" customHeight="1">
      <c r="A175" s="43"/>
      <c r="B175" s="30"/>
      <c r="C175" s="30"/>
      <c r="D175" s="31"/>
      <c r="E175" s="31"/>
      <c r="F175" s="31"/>
      <c r="G175" s="31"/>
      <c r="H175" s="31"/>
      <c r="I175" s="44"/>
      <c r="J175" s="44"/>
      <c r="K175" s="44"/>
      <c r="L175" s="44"/>
      <c r="M175" s="44"/>
      <c r="N175" s="13"/>
      <c r="O175" s="7"/>
      <c r="P175" s="7"/>
      <c r="Q175" s="7"/>
      <c r="R175" s="7"/>
      <c r="S175" s="7"/>
      <c r="T175" s="7"/>
      <c r="U175" s="7"/>
      <c r="V175" s="7"/>
      <c r="W175" s="7"/>
      <c r="X175" s="7"/>
      <c r="Y175" s="7"/>
      <c r="Z175" s="7"/>
    </row>
    <row r="176" spans="1:26" ht="15.75" customHeight="1">
      <c r="A176" s="43"/>
      <c r="B176" s="30"/>
      <c r="C176" s="30"/>
      <c r="D176" s="31"/>
      <c r="E176" s="31"/>
      <c r="F176" s="31"/>
      <c r="G176" s="31"/>
      <c r="H176" s="31"/>
      <c r="I176" s="44"/>
      <c r="J176" s="44"/>
      <c r="K176" s="44"/>
      <c r="L176" s="44"/>
      <c r="M176" s="44"/>
      <c r="N176" s="13"/>
      <c r="O176" s="7"/>
      <c r="P176" s="7"/>
      <c r="Q176" s="7"/>
      <c r="R176" s="7"/>
      <c r="S176" s="7"/>
      <c r="T176" s="7"/>
      <c r="U176" s="7"/>
      <c r="V176" s="7"/>
      <c r="W176" s="7"/>
      <c r="X176" s="7"/>
      <c r="Y176" s="7"/>
      <c r="Z176" s="7"/>
    </row>
    <row r="177" spans="1:26" ht="15.75" customHeight="1">
      <c r="A177" s="43"/>
      <c r="B177" s="30"/>
      <c r="C177" s="30"/>
      <c r="D177" s="31"/>
      <c r="E177" s="31"/>
      <c r="F177" s="31"/>
      <c r="G177" s="31"/>
      <c r="H177" s="31"/>
      <c r="I177" s="44"/>
      <c r="J177" s="44"/>
      <c r="K177" s="44"/>
      <c r="L177" s="44"/>
      <c r="M177" s="44"/>
      <c r="N177" s="13"/>
      <c r="O177" s="7"/>
      <c r="P177" s="7"/>
      <c r="Q177" s="7"/>
      <c r="R177" s="7"/>
      <c r="S177" s="7"/>
      <c r="T177" s="7"/>
      <c r="U177" s="7"/>
      <c r="V177" s="7"/>
      <c r="W177" s="7"/>
      <c r="X177" s="7"/>
      <c r="Y177" s="7"/>
      <c r="Z177" s="7"/>
    </row>
    <row r="178" spans="1:26" ht="15.75" customHeight="1">
      <c r="A178" s="43"/>
      <c r="B178" s="30"/>
      <c r="C178" s="30"/>
      <c r="D178" s="31"/>
      <c r="E178" s="31"/>
      <c r="F178" s="31"/>
      <c r="G178" s="31"/>
      <c r="H178" s="31"/>
      <c r="I178" s="44"/>
      <c r="J178" s="44"/>
      <c r="K178" s="44"/>
      <c r="L178" s="44"/>
      <c r="M178" s="44"/>
      <c r="N178" s="13"/>
      <c r="O178" s="7"/>
      <c r="P178" s="7"/>
      <c r="Q178" s="7"/>
      <c r="R178" s="7"/>
      <c r="S178" s="7"/>
      <c r="T178" s="7"/>
      <c r="U178" s="7"/>
      <c r="V178" s="7"/>
      <c r="W178" s="7"/>
      <c r="X178" s="7"/>
      <c r="Y178" s="7"/>
      <c r="Z178" s="7"/>
    </row>
    <row r="179" spans="1:26" ht="15.75" customHeight="1">
      <c r="A179" s="43"/>
      <c r="B179" s="30"/>
      <c r="C179" s="30"/>
      <c r="D179" s="31"/>
      <c r="E179" s="31"/>
      <c r="F179" s="31"/>
      <c r="G179" s="31"/>
      <c r="H179" s="31"/>
      <c r="I179" s="44"/>
      <c r="J179" s="44"/>
      <c r="K179" s="44"/>
      <c r="L179" s="44"/>
      <c r="M179" s="44"/>
      <c r="N179" s="13"/>
      <c r="O179" s="7"/>
      <c r="P179" s="7"/>
      <c r="Q179" s="7"/>
      <c r="R179" s="7"/>
      <c r="S179" s="7"/>
      <c r="T179" s="7"/>
      <c r="U179" s="7"/>
      <c r="V179" s="7"/>
      <c r="W179" s="7"/>
      <c r="X179" s="7"/>
      <c r="Y179" s="7"/>
      <c r="Z179" s="7"/>
    </row>
    <row r="180" spans="1:26" ht="15.75" customHeight="1">
      <c r="A180" s="43"/>
      <c r="B180" s="30"/>
      <c r="C180" s="30"/>
      <c r="D180" s="31"/>
      <c r="E180" s="31"/>
      <c r="F180" s="31"/>
      <c r="G180" s="31"/>
      <c r="H180" s="31"/>
      <c r="I180" s="44"/>
      <c r="J180" s="44"/>
      <c r="K180" s="44"/>
      <c r="L180" s="44"/>
      <c r="M180" s="44"/>
      <c r="N180" s="13"/>
      <c r="O180" s="7"/>
      <c r="P180" s="7"/>
      <c r="Q180" s="7"/>
      <c r="R180" s="7"/>
      <c r="S180" s="7"/>
      <c r="T180" s="7"/>
      <c r="U180" s="7"/>
      <c r="V180" s="7"/>
      <c r="W180" s="7"/>
      <c r="X180" s="7"/>
      <c r="Y180" s="7"/>
      <c r="Z180" s="7"/>
    </row>
    <row r="181" spans="1:26" ht="15.75" customHeight="1">
      <c r="A181" s="43"/>
      <c r="B181" s="30"/>
      <c r="C181" s="30"/>
      <c r="D181" s="31"/>
      <c r="E181" s="31"/>
      <c r="F181" s="31"/>
      <c r="G181" s="31"/>
      <c r="H181" s="31"/>
      <c r="I181" s="44"/>
      <c r="J181" s="44"/>
      <c r="K181" s="44"/>
      <c r="L181" s="44"/>
      <c r="M181" s="44"/>
      <c r="N181" s="13"/>
      <c r="O181" s="7"/>
      <c r="P181" s="7"/>
      <c r="Q181" s="7"/>
      <c r="R181" s="7"/>
      <c r="S181" s="7"/>
      <c r="T181" s="7"/>
      <c r="U181" s="7"/>
      <c r="V181" s="7"/>
      <c r="W181" s="7"/>
      <c r="X181" s="7"/>
      <c r="Y181" s="7"/>
      <c r="Z181" s="7"/>
    </row>
    <row r="182" spans="1:26" ht="15.75" customHeight="1">
      <c r="A182" s="43"/>
      <c r="B182" s="30"/>
      <c r="C182" s="30"/>
      <c r="D182" s="31"/>
      <c r="E182" s="31"/>
      <c r="F182" s="31"/>
      <c r="G182" s="31"/>
      <c r="H182" s="31"/>
      <c r="I182" s="44"/>
      <c r="J182" s="44"/>
      <c r="K182" s="44"/>
      <c r="L182" s="44"/>
      <c r="M182" s="44"/>
      <c r="N182" s="13"/>
      <c r="O182" s="7"/>
      <c r="P182" s="7"/>
      <c r="Q182" s="7"/>
      <c r="R182" s="7"/>
      <c r="S182" s="7"/>
      <c r="T182" s="7"/>
      <c r="U182" s="7"/>
      <c r="V182" s="7"/>
      <c r="W182" s="7"/>
      <c r="X182" s="7"/>
      <c r="Y182" s="7"/>
      <c r="Z182" s="7"/>
    </row>
    <row r="183" spans="1:26" ht="15.75" customHeight="1">
      <c r="A183" s="43"/>
      <c r="B183" s="30"/>
      <c r="C183" s="30"/>
      <c r="D183" s="31"/>
      <c r="E183" s="31"/>
      <c r="F183" s="31"/>
      <c r="G183" s="31"/>
      <c r="H183" s="31"/>
      <c r="I183" s="44"/>
      <c r="J183" s="44"/>
      <c r="K183" s="44"/>
      <c r="L183" s="44"/>
      <c r="M183" s="44"/>
      <c r="N183" s="13"/>
      <c r="O183" s="7"/>
      <c r="P183" s="7"/>
      <c r="Q183" s="7"/>
      <c r="R183" s="7"/>
      <c r="S183" s="7"/>
      <c r="T183" s="7"/>
      <c r="U183" s="7"/>
      <c r="V183" s="7"/>
      <c r="W183" s="7"/>
      <c r="X183" s="7"/>
      <c r="Y183" s="7"/>
      <c r="Z183" s="7"/>
    </row>
    <row r="184" spans="1:26" ht="15.75" customHeight="1">
      <c r="A184" s="43"/>
      <c r="B184" s="30"/>
      <c r="C184" s="30"/>
      <c r="D184" s="31"/>
      <c r="E184" s="31"/>
      <c r="F184" s="31"/>
      <c r="G184" s="31"/>
      <c r="H184" s="31"/>
      <c r="I184" s="44"/>
      <c r="J184" s="44"/>
      <c r="K184" s="44"/>
      <c r="L184" s="44"/>
      <c r="M184" s="44"/>
      <c r="N184" s="13"/>
      <c r="O184" s="7"/>
      <c r="P184" s="7"/>
      <c r="Q184" s="7"/>
      <c r="R184" s="7"/>
      <c r="S184" s="7"/>
      <c r="T184" s="7"/>
      <c r="U184" s="7"/>
      <c r="V184" s="7"/>
      <c r="W184" s="7"/>
      <c r="X184" s="7"/>
      <c r="Y184" s="7"/>
      <c r="Z184" s="7"/>
    </row>
    <row r="185" spans="1:26" ht="15.75" customHeight="1">
      <c r="A185" s="43"/>
      <c r="B185" s="30"/>
      <c r="C185" s="30"/>
      <c r="D185" s="31"/>
      <c r="E185" s="31"/>
      <c r="F185" s="31"/>
      <c r="G185" s="31"/>
      <c r="H185" s="31"/>
      <c r="I185" s="44"/>
      <c r="J185" s="44"/>
      <c r="K185" s="44"/>
      <c r="L185" s="44"/>
      <c r="M185" s="44"/>
      <c r="N185" s="13"/>
      <c r="O185" s="7"/>
      <c r="P185" s="7"/>
      <c r="Q185" s="7"/>
      <c r="R185" s="7"/>
      <c r="S185" s="7"/>
      <c r="T185" s="7"/>
      <c r="U185" s="7"/>
      <c r="V185" s="7"/>
      <c r="W185" s="7"/>
      <c r="X185" s="7"/>
      <c r="Y185" s="7"/>
      <c r="Z185" s="7"/>
    </row>
    <row r="186" spans="1:26" ht="15.75" customHeight="1">
      <c r="A186" s="43"/>
      <c r="B186" s="30"/>
      <c r="C186" s="30"/>
      <c r="D186" s="31"/>
      <c r="E186" s="31"/>
      <c r="F186" s="31"/>
      <c r="G186" s="31"/>
      <c r="H186" s="31"/>
      <c r="I186" s="44"/>
      <c r="J186" s="44"/>
      <c r="K186" s="44"/>
      <c r="L186" s="44"/>
      <c r="M186" s="44"/>
      <c r="N186" s="13"/>
      <c r="O186" s="7"/>
      <c r="P186" s="7"/>
      <c r="Q186" s="7"/>
      <c r="R186" s="7"/>
      <c r="S186" s="7"/>
      <c r="T186" s="7"/>
      <c r="U186" s="7"/>
      <c r="V186" s="7"/>
      <c r="W186" s="7"/>
      <c r="X186" s="7"/>
      <c r="Y186" s="7"/>
      <c r="Z186" s="7"/>
    </row>
    <row r="187" spans="1:26" ht="15.75" customHeight="1">
      <c r="A187" s="43"/>
      <c r="B187" s="30"/>
      <c r="C187" s="30"/>
      <c r="D187" s="31"/>
      <c r="E187" s="31"/>
      <c r="F187" s="31"/>
      <c r="G187" s="31"/>
      <c r="H187" s="31"/>
      <c r="I187" s="44"/>
      <c r="J187" s="44"/>
      <c r="K187" s="44"/>
      <c r="L187" s="44"/>
      <c r="M187" s="44"/>
      <c r="N187" s="13"/>
      <c r="O187" s="7"/>
      <c r="P187" s="7"/>
      <c r="Q187" s="7"/>
      <c r="R187" s="7"/>
      <c r="S187" s="7"/>
      <c r="T187" s="7"/>
      <c r="U187" s="7"/>
      <c r="V187" s="7"/>
      <c r="W187" s="7"/>
      <c r="X187" s="7"/>
      <c r="Y187" s="7"/>
      <c r="Z187" s="7"/>
    </row>
    <row r="188" spans="1:26" ht="15.75" customHeight="1">
      <c r="A188" s="43"/>
      <c r="B188" s="30"/>
      <c r="C188" s="30"/>
      <c r="D188" s="31"/>
      <c r="E188" s="31"/>
      <c r="F188" s="31"/>
      <c r="G188" s="31"/>
      <c r="H188" s="31"/>
      <c r="I188" s="44"/>
      <c r="J188" s="44"/>
      <c r="K188" s="44"/>
      <c r="L188" s="44"/>
      <c r="M188" s="44"/>
      <c r="N188" s="13"/>
      <c r="O188" s="7"/>
      <c r="P188" s="7"/>
      <c r="Q188" s="7"/>
      <c r="R188" s="7"/>
      <c r="S188" s="7"/>
      <c r="T188" s="7"/>
      <c r="U188" s="7"/>
      <c r="V188" s="7"/>
      <c r="W188" s="7"/>
      <c r="X188" s="7"/>
      <c r="Y188" s="7"/>
      <c r="Z188" s="7"/>
    </row>
    <row r="189" spans="1:26" ht="15.75" customHeight="1">
      <c r="A189" s="43"/>
      <c r="B189" s="30"/>
      <c r="C189" s="30"/>
      <c r="D189" s="31"/>
      <c r="E189" s="31"/>
      <c r="F189" s="31"/>
      <c r="G189" s="31"/>
      <c r="H189" s="31"/>
      <c r="I189" s="44"/>
      <c r="J189" s="44"/>
      <c r="K189" s="44"/>
      <c r="L189" s="44"/>
      <c r="M189" s="44"/>
      <c r="N189" s="13"/>
      <c r="O189" s="7"/>
      <c r="P189" s="7"/>
      <c r="Q189" s="7"/>
      <c r="R189" s="7"/>
      <c r="S189" s="7"/>
      <c r="T189" s="7"/>
      <c r="U189" s="7"/>
      <c r="V189" s="7"/>
      <c r="W189" s="7"/>
      <c r="X189" s="7"/>
      <c r="Y189" s="7"/>
      <c r="Z189" s="7"/>
    </row>
    <row r="190" spans="1:26" ht="15.75" customHeight="1">
      <c r="A190" s="43"/>
      <c r="B190" s="30"/>
      <c r="C190" s="30"/>
      <c r="D190" s="31"/>
      <c r="E190" s="31"/>
      <c r="F190" s="31"/>
      <c r="G190" s="31"/>
      <c r="H190" s="31"/>
      <c r="I190" s="44"/>
      <c r="J190" s="44"/>
      <c r="K190" s="44"/>
      <c r="L190" s="44"/>
      <c r="M190" s="44"/>
      <c r="N190" s="13"/>
      <c r="O190" s="7"/>
      <c r="P190" s="7"/>
      <c r="Q190" s="7"/>
      <c r="R190" s="7"/>
      <c r="S190" s="7"/>
      <c r="T190" s="7"/>
      <c r="U190" s="7"/>
      <c r="V190" s="7"/>
      <c r="W190" s="7"/>
      <c r="X190" s="7"/>
      <c r="Y190" s="7"/>
      <c r="Z190" s="7"/>
    </row>
    <row r="191" spans="1:26" ht="15.75" customHeight="1">
      <c r="A191" s="43"/>
      <c r="B191" s="30"/>
      <c r="C191" s="30"/>
      <c r="D191" s="31"/>
      <c r="E191" s="31"/>
      <c r="F191" s="31"/>
      <c r="G191" s="31"/>
      <c r="H191" s="31"/>
      <c r="I191" s="44"/>
      <c r="J191" s="44"/>
      <c r="K191" s="44"/>
      <c r="L191" s="44"/>
      <c r="M191" s="44"/>
      <c r="N191" s="13"/>
      <c r="O191" s="7"/>
      <c r="P191" s="7"/>
      <c r="Q191" s="7"/>
      <c r="R191" s="7"/>
      <c r="S191" s="7"/>
      <c r="T191" s="7"/>
      <c r="U191" s="7"/>
      <c r="V191" s="7"/>
      <c r="W191" s="7"/>
      <c r="X191" s="7"/>
      <c r="Y191" s="7"/>
      <c r="Z191" s="7"/>
    </row>
    <row r="192" spans="1:26" ht="15.75" customHeight="1">
      <c r="A192" s="43"/>
      <c r="B192" s="30"/>
      <c r="C192" s="30"/>
      <c r="D192" s="31"/>
      <c r="E192" s="31"/>
      <c r="F192" s="31"/>
      <c r="G192" s="31"/>
      <c r="H192" s="31"/>
      <c r="I192" s="44"/>
      <c r="J192" s="44"/>
      <c r="K192" s="44"/>
      <c r="L192" s="44"/>
      <c r="M192" s="44"/>
      <c r="N192" s="13"/>
      <c r="O192" s="7"/>
      <c r="P192" s="7"/>
      <c r="Q192" s="7"/>
      <c r="R192" s="7"/>
      <c r="S192" s="7"/>
      <c r="T192" s="7"/>
      <c r="U192" s="7"/>
      <c r="V192" s="7"/>
      <c r="W192" s="7"/>
      <c r="X192" s="7"/>
      <c r="Y192" s="7"/>
      <c r="Z192" s="7"/>
    </row>
    <row r="193" spans="1:26" ht="15.75" customHeight="1">
      <c r="A193" s="43"/>
      <c r="B193" s="30"/>
      <c r="C193" s="30"/>
      <c r="D193" s="31"/>
      <c r="E193" s="31"/>
      <c r="F193" s="31"/>
      <c r="G193" s="31"/>
      <c r="H193" s="31"/>
      <c r="I193" s="44"/>
      <c r="J193" s="44"/>
      <c r="K193" s="44"/>
      <c r="L193" s="44"/>
      <c r="M193" s="44"/>
      <c r="N193" s="13"/>
      <c r="O193" s="7"/>
      <c r="P193" s="7"/>
      <c r="Q193" s="7"/>
      <c r="R193" s="7"/>
      <c r="S193" s="7"/>
      <c r="T193" s="7"/>
      <c r="U193" s="7"/>
      <c r="V193" s="7"/>
      <c r="W193" s="7"/>
      <c r="X193" s="7"/>
      <c r="Y193" s="7"/>
      <c r="Z193" s="7"/>
    </row>
    <row r="194" spans="1:26" ht="15.75" customHeight="1">
      <c r="A194" s="43"/>
      <c r="B194" s="30"/>
      <c r="C194" s="30"/>
      <c r="D194" s="31"/>
      <c r="E194" s="31"/>
      <c r="F194" s="31"/>
      <c r="G194" s="31"/>
      <c r="H194" s="31"/>
      <c r="I194" s="44"/>
      <c r="J194" s="44"/>
      <c r="K194" s="44"/>
      <c r="L194" s="44"/>
      <c r="M194" s="44"/>
      <c r="N194" s="13"/>
      <c r="O194" s="7"/>
      <c r="P194" s="7"/>
      <c r="Q194" s="7"/>
      <c r="R194" s="7"/>
      <c r="S194" s="7"/>
      <c r="T194" s="7"/>
      <c r="U194" s="7"/>
      <c r="V194" s="7"/>
      <c r="W194" s="7"/>
      <c r="X194" s="7"/>
      <c r="Y194" s="7"/>
      <c r="Z194" s="7"/>
    </row>
    <row r="195" spans="1:26" ht="15.75" customHeight="1">
      <c r="A195" s="43"/>
      <c r="B195" s="30"/>
      <c r="C195" s="30"/>
      <c r="D195" s="31"/>
      <c r="E195" s="31"/>
      <c r="F195" s="31"/>
      <c r="G195" s="31"/>
      <c r="H195" s="31"/>
      <c r="I195" s="44"/>
      <c r="J195" s="44"/>
      <c r="K195" s="44"/>
      <c r="L195" s="44"/>
      <c r="M195" s="44"/>
      <c r="N195" s="13"/>
      <c r="O195" s="7"/>
      <c r="P195" s="7"/>
      <c r="Q195" s="7"/>
      <c r="R195" s="7"/>
      <c r="S195" s="7"/>
      <c r="T195" s="7"/>
      <c r="U195" s="7"/>
      <c r="V195" s="7"/>
      <c r="W195" s="7"/>
      <c r="X195" s="7"/>
      <c r="Y195" s="7"/>
      <c r="Z195" s="7"/>
    </row>
    <row r="196" spans="1:26" ht="15.75" customHeight="1">
      <c r="A196" s="43"/>
      <c r="B196" s="30"/>
      <c r="C196" s="30"/>
      <c r="D196" s="31"/>
      <c r="E196" s="31"/>
      <c r="F196" s="31"/>
      <c r="G196" s="31"/>
      <c r="H196" s="31"/>
      <c r="I196" s="44"/>
      <c r="J196" s="44"/>
      <c r="K196" s="44"/>
      <c r="L196" s="44"/>
      <c r="M196" s="44"/>
      <c r="N196" s="13"/>
      <c r="O196" s="7"/>
      <c r="P196" s="7"/>
      <c r="Q196" s="7"/>
      <c r="R196" s="7"/>
      <c r="S196" s="7"/>
      <c r="T196" s="7"/>
      <c r="U196" s="7"/>
      <c r="V196" s="7"/>
      <c r="W196" s="7"/>
      <c r="X196" s="7"/>
      <c r="Y196" s="7"/>
      <c r="Z196" s="7"/>
    </row>
    <row r="197" spans="1:26" ht="15.75" customHeight="1">
      <c r="A197" s="43"/>
      <c r="B197" s="30"/>
      <c r="C197" s="30"/>
      <c r="D197" s="31"/>
      <c r="E197" s="31"/>
      <c r="F197" s="31"/>
      <c r="G197" s="31"/>
      <c r="H197" s="31"/>
      <c r="I197" s="44"/>
      <c r="J197" s="44"/>
      <c r="K197" s="44"/>
      <c r="L197" s="44"/>
      <c r="M197" s="44"/>
      <c r="N197" s="13"/>
      <c r="O197" s="7"/>
      <c r="P197" s="7"/>
      <c r="Q197" s="7"/>
      <c r="R197" s="7"/>
      <c r="S197" s="7"/>
      <c r="T197" s="7"/>
      <c r="U197" s="7"/>
      <c r="V197" s="7"/>
      <c r="W197" s="7"/>
      <c r="X197" s="7"/>
      <c r="Y197" s="7"/>
      <c r="Z197" s="7"/>
    </row>
    <row r="198" spans="1:26" ht="15.75" customHeight="1">
      <c r="A198" s="43"/>
      <c r="B198" s="30"/>
      <c r="C198" s="30"/>
      <c r="D198" s="31"/>
      <c r="E198" s="31"/>
      <c r="F198" s="31"/>
      <c r="G198" s="31"/>
      <c r="H198" s="31"/>
      <c r="I198" s="44"/>
      <c r="J198" s="44"/>
      <c r="K198" s="44"/>
      <c r="L198" s="44"/>
      <c r="M198" s="44"/>
      <c r="N198" s="13"/>
      <c r="O198" s="7"/>
      <c r="P198" s="7"/>
      <c r="Q198" s="7"/>
      <c r="R198" s="7"/>
      <c r="S198" s="7"/>
      <c r="T198" s="7"/>
      <c r="U198" s="7"/>
      <c r="V198" s="7"/>
      <c r="W198" s="7"/>
      <c r="X198" s="7"/>
      <c r="Y198" s="7"/>
      <c r="Z198" s="7"/>
    </row>
    <row r="199" spans="1:26" ht="15.75" customHeight="1">
      <c r="A199" s="43"/>
      <c r="B199" s="30"/>
      <c r="C199" s="30"/>
      <c r="D199" s="31"/>
      <c r="E199" s="31"/>
      <c r="F199" s="31"/>
      <c r="G199" s="31"/>
      <c r="H199" s="31"/>
      <c r="I199" s="44"/>
      <c r="J199" s="44"/>
      <c r="K199" s="44"/>
      <c r="L199" s="44"/>
      <c r="M199" s="44"/>
      <c r="N199" s="13"/>
      <c r="O199" s="7"/>
      <c r="P199" s="7"/>
      <c r="Q199" s="7"/>
      <c r="R199" s="7"/>
      <c r="S199" s="7"/>
      <c r="T199" s="7"/>
      <c r="U199" s="7"/>
      <c r="V199" s="7"/>
      <c r="W199" s="7"/>
      <c r="X199" s="7"/>
      <c r="Y199" s="7"/>
      <c r="Z199" s="7"/>
    </row>
    <row r="200" spans="1:26" ht="15.75" customHeight="1">
      <c r="A200" s="43"/>
      <c r="B200" s="30"/>
      <c r="C200" s="30"/>
      <c r="D200" s="31"/>
      <c r="E200" s="31"/>
      <c r="F200" s="31"/>
      <c r="G200" s="31"/>
      <c r="H200" s="31"/>
      <c r="I200" s="44"/>
      <c r="J200" s="44"/>
      <c r="K200" s="44"/>
      <c r="L200" s="44"/>
      <c r="M200" s="44"/>
      <c r="N200" s="13"/>
      <c r="O200" s="7"/>
      <c r="P200" s="7"/>
      <c r="Q200" s="7"/>
      <c r="R200" s="7"/>
      <c r="S200" s="7"/>
      <c r="T200" s="7"/>
      <c r="U200" s="7"/>
      <c r="V200" s="7"/>
      <c r="W200" s="7"/>
      <c r="X200" s="7"/>
      <c r="Y200" s="7"/>
      <c r="Z200" s="7"/>
    </row>
    <row r="201" spans="1:26" ht="15.75" customHeight="1">
      <c r="A201" s="43"/>
      <c r="B201" s="30"/>
      <c r="C201" s="30"/>
      <c r="D201" s="31"/>
      <c r="E201" s="31"/>
      <c r="F201" s="31"/>
      <c r="G201" s="31"/>
      <c r="H201" s="31"/>
      <c r="I201" s="44"/>
      <c r="J201" s="44"/>
      <c r="K201" s="44"/>
      <c r="L201" s="44"/>
      <c r="M201" s="44"/>
      <c r="N201" s="13"/>
      <c r="O201" s="7"/>
      <c r="P201" s="7"/>
      <c r="Q201" s="7"/>
      <c r="R201" s="7"/>
      <c r="S201" s="7"/>
      <c r="T201" s="7"/>
      <c r="U201" s="7"/>
      <c r="V201" s="7"/>
      <c r="W201" s="7"/>
      <c r="X201" s="7"/>
      <c r="Y201" s="7"/>
      <c r="Z201" s="7"/>
    </row>
    <row r="202" spans="1:26" ht="15.75" customHeight="1">
      <c r="A202" s="43"/>
      <c r="B202" s="30"/>
      <c r="C202" s="30"/>
      <c r="D202" s="31"/>
      <c r="E202" s="31"/>
      <c r="F202" s="31"/>
      <c r="G202" s="31"/>
      <c r="H202" s="31"/>
      <c r="I202" s="44"/>
      <c r="J202" s="44"/>
      <c r="K202" s="44"/>
      <c r="L202" s="44"/>
      <c r="M202" s="44"/>
      <c r="N202" s="13"/>
      <c r="O202" s="7"/>
      <c r="P202" s="7"/>
      <c r="Q202" s="7"/>
      <c r="R202" s="7"/>
      <c r="S202" s="7"/>
      <c r="T202" s="7"/>
      <c r="U202" s="7"/>
      <c r="V202" s="7"/>
      <c r="W202" s="7"/>
      <c r="X202" s="7"/>
      <c r="Y202" s="7"/>
      <c r="Z202" s="7"/>
    </row>
    <row r="203" spans="1:26" ht="15.75" customHeight="1">
      <c r="A203" s="43"/>
      <c r="B203" s="30"/>
      <c r="C203" s="30"/>
      <c r="D203" s="31"/>
      <c r="E203" s="31"/>
      <c r="F203" s="31"/>
      <c r="G203" s="31"/>
      <c r="H203" s="31"/>
      <c r="I203" s="44"/>
      <c r="J203" s="44"/>
      <c r="K203" s="44"/>
      <c r="L203" s="44"/>
      <c r="M203" s="44"/>
      <c r="N203" s="13"/>
      <c r="O203" s="7"/>
      <c r="P203" s="7"/>
      <c r="Q203" s="7"/>
      <c r="R203" s="7"/>
      <c r="S203" s="7"/>
      <c r="T203" s="7"/>
      <c r="U203" s="7"/>
      <c r="V203" s="7"/>
      <c r="W203" s="7"/>
      <c r="X203" s="7"/>
      <c r="Y203" s="7"/>
      <c r="Z203" s="7"/>
    </row>
    <row r="204" spans="1:26" ht="15.75" customHeight="1">
      <c r="A204" s="43"/>
      <c r="B204" s="30"/>
      <c r="C204" s="30"/>
      <c r="D204" s="31"/>
      <c r="E204" s="31"/>
      <c r="F204" s="31"/>
      <c r="G204" s="31"/>
      <c r="H204" s="31"/>
      <c r="I204" s="44"/>
      <c r="J204" s="44"/>
      <c r="K204" s="44"/>
      <c r="L204" s="44"/>
      <c r="M204" s="44"/>
      <c r="N204" s="13"/>
      <c r="O204" s="7"/>
      <c r="P204" s="7"/>
      <c r="Q204" s="7"/>
      <c r="R204" s="7"/>
      <c r="S204" s="7"/>
      <c r="T204" s="7"/>
      <c r="U204" s="7"/>
      <c r="V204" s="7"/>
      <c r="W204" s="7"/>
      <c r="X204" s="7"/>
      <c r="Y204" s="7"/>
      <c r="Z204" s="7"/>
    </row>
    <row r="205" spans="1:26" ht="15.75" customHeight="1">
      <c r="A205" s="43"/>
      <c r="B205" s="30"/>
      <c r="C205" s="30"/>
      <c r="D205" s="31"/>
      <c r="E205" s="31"/>
      <c r="F205" s="31"/>
      <c r="G205" s="31"/>
      <c r="H205" s="31"/>
      <c r="I205" s="44"/>
      <c r="J205" s="44"/>
      <c r="K205" s="44"/>
      <c r="L205" s="44"/>
      <c r="M205" s="44"/>
      <c r="N205" s="13"/>
      <c r="O205" s="7"/>
      <c r="P205" s="7"/>
      <c r="Q205" s="7"/>
      <c r="R205" s="7"/>
      <c r="S205" s="7"/>
      <c r="T205" s="7"/>
      <c r="U205" s="7"/>
      <c r="V205" s="7"/>
      <c r="W205" s="7"/>
      <c r="X205" s="7"/>
      <c r="Y205" s="7"/>
      <c r="Z205" s="7"/>
    </row>
    <row r="206" spans="1:26" ht="15.75" customHeight="1">
      <c r="A206" s="43"/>
      <c r="B206" s="30"/>
      <c r="C206" s="30"/>
      <c r="D206" s="31"/>
      <c r="E206" s="31"/>
      <c r="F206" s="31"/>
      <c r="G206" s="31"/>
      <c r="H206" s="31"/>
      <c r="I206" s="44"/>
      <c r="J206" s="44"/>
      <c r="K206" s="44"/>
      <c r="L206" s="44"/>
      <c r="M206" s="44"/>
      <c r="N206" s="13"/>
      <c r="O206" s="7"/>
      <c r="P206" s="7"/>
      <c r="Q206" s="7"/>
      <c r="R206" s="7"/>
      <c r="S206" s="7"/>
      <c r="T206" s="7"/>
      <c r="U206" s="7"/>
      <c r="V206" s="7"/>
      <c r="W206" s="7"/>
      <c r="X206" s="7"/>
      <c r="Y206" s="7"/>
      <c r="Z206" s="7"/>
    </row>
    <row r="207" spans="1:26" ht="15.75" customHeight="1">
      <c r="A207" s="43"/>
      <c r="B207" s="30"/>
      <c r="C207" s="30"/>
      <c r="D207" s="31"/>
      <c r="E207" s="31"/>
      <c r="F207" s="31"/>
      <c r="G207" s="31"/>
      <c r="H207" s="31"/>
      <c r="I207" s="44"/>
      <c r="J207" s="44"/>
      <c r="K207" s="44"/>
      <c r="L207" s="44"/>
      <c r="M207" s="44"/>
      <c r="N207" s="13"/>
      <c r="O207" s="7"/>
      <c r="P207" s="7"/>
      <c r="Q207" s="7"/>
      <c r="R207" s="7"/>
      <c r="S207" s="7"/>
      <c r="T207" s="7"/>
      <c r="U207" s="7"/>
      <c r="V207" s="7"/>
      <c r="W207" s="7"/>
      <c r="X207" s="7"/>
      <c r="Y207" s="7"/>
      <c r="Z207" s="7"/>
    </row>
    <row r="208" spans="1:26" ht="15.75" customHeight="1">
      <c r="A208" s="43"/>
      <c r="B208" s="30"/>
      <c r="C208" s="30"/>
      <c r="D208" s="31"/>
      <c r="E208" s="31"/>
      <c r="F208" s="31"/>
      <c r="G208" s="31"/>
      <c r="H208" s="31"/>
      <c r="I208" s="44"/>
      <c r="J208" s="44"/>
      <c r="K208" s="44"/>
      <c r="L208" s="44"/>
      <c r="M208" s="44"/>
      <c r="N208" s="13"/>
      <c r="O208" s="7"/>
      <c r="P208" s="7"/>
      <c r="Q208" s="7"/>
      <c r="R208" s="7"/>
      <c r="S208" s="7"/>
      <c r="T208" s="7"/>
      <c r="U208" s="7"/>
      <c r="V208" s="7"/>
      <c r="W208" s="7"/>
      <c r="X208" s="7"/>
      <c r="Y208" s="7"/>
      <c r="Z208" s="7"/>
    </row>
    <row r="209" spans="1:26" ht="15.75" customHeight="1">
      <c r="A209" s="43"/>
      <c r="B209" s="30"/>
      <c r="C209" s="30"/>
      <c r="D209" s="31"/>
      <c r="E209" s="31"/>
      <c r="F209" s="31"/>
      <c r="G209" s="31"/>
      <c r="H209" s="31"/>
      <c r="I209" s="44"/>
      <c r="J209" s="44"/>
      <c r="K209" s="44"/>
      <c r="L209" s="44"/>
      <c r="M209" s="44"/>
      <c r="N209" s="13"/>
      <c r="O209" s="7"/>
      <c r="P209" s="7"/>
      <c r="Q209" s="7"/>
      <c r="R209" s="7"/>
      <c r="S209" s="7"/>
      <c r="T209" s="7"/>
      <c r="U209" s="7"/>
      <c r="V209" s="7"/>
      <c r="W209" s="7"/>
      <c r="X209" s="7"/>
      <c r="Y209" s="7"/>
      <c r="Z209" s="7"/>
    </row>
    <row r="210" spans="1:26" ht="15.75" customHeight="1">
      <c r="A210" s="43"/>
      <c r="B210" s="30"/>
      <c r="C210" s="30"/>
      <c r="D210" s="31"/>
      <c r="E210" s="31"/>
      <c r="F210" s="31"/>
      <c r="G210" s="31"/>
      <c r="H210" s="31"/>
      <c r="I210" s="44"/>
      <c r="J210" s="44"/>
      <c r="K210" s="44"/>
      <c r="L210" s="44"/>
      <c r="M210" s="44"/>
      <c r="N210" s="13"/>
      <c r="O210" s="7"/>
      <c r="P210" s="7"/>
      <c r="Q210" s="7"/>
      <c r="R210" s="7"/>
      <c r="S210" s="7"/>
      <c r="T210" s="7"/>
      <c r="U210" s="7"/>
      <c r="V210" s="7"/>
      <c r="W210" s="7"/>
      <c r="X210" s="7"/>
      <c r="Y210" s="7"/>
      <c r="Z210" s="7"/>
    </row>
    <row r="211" spans="1:26" ht="15.75" customHeight="1">
      <c r="A211" s="43"/>
      <c r="B211" s="30"/>
      <c r="C211" s="30"/>
      <c r="D211" s="31"/>
      <c r="E211" s="31"/>
      <c r="F211" s="31"/>
      <c r="G211" s="31"/>
      <c r="H211" s="31"/>
      <c r="I211" s="44"/>
      <c r="J211" s="44"/>
      <c r="K211" s="44"/>
      <c r="L211" s="44"/>
      <c r="M211" s="44"/>
      <c r="N211" s="13"/>
      <c r="O211" s="7"/>
      <c r="P211" s="7"/>
      <c r="Q211" s="7"/>
      <c r="R211" s="7"/>
      <c r="S211" s="7"/>
      <c r="T211" s="7"/>
      <c r="U211" s="7"/>
      <c r="V211" s="7"/>
      <c r="W211" s="7"/>
      <c r="X211" s="7"/>
      <c r="Y211" s="7"/>
      <c r="Z211" s="7"/>
    </row>
    <row r="212" spans="1:26" ht="15.75" customHeight="1">
      <c r="A212" s="43"/>
      <c r="B212" s="30"/>
      <c r="C212" s="30"/>
      <c r="D212" s="31"/>
      <c r="E212" s="31"/>
      <c r="F212" s="31"/>
      <c r="G212" s="31"/>
      <c r="H212" s="31"/>
      <c r="I212" s="44"/>
      <c r="J212" s="44"/>
      <c r="K212" s="44"/>
      <c r="L212" s="44"/>
      <c r="M212" s="44"/>
      <c r="N212" s="13"/>
      <c r="O212" s="7"/>
      <c r="P212" s="7"/>
      <c r="Q212" s="7"/>
      <c r="R212" s="7"/>
      <c r="S212" s="7"/>
      <c r="T212" s="7"/>
      <c r="U212" s="7"/>
      <c r="V212" s="7"/>
      <c r="W212" s="7"/>
      <c r="X212" s="7"/>
      <c r="Y212" s="7"/>
      <c r="Z212" s="7"/>
    </row>
    <row r="213" spans="1:26" ht="15.75" customHeight="1">
      <c r="A213" s="43"/>
      <c r="B213" s="30"/>
      <c r="C213" s="30"/>
      <c r="D213" s="31"/>
      <c r="E213" s="31"/>
      <c r="F213" s="31"/>
      <c r="G213" s="31"/>
      <c r="H213" s="31"/>
      <c r="I213" s="44"/>
      <c r="J213" s="44"/>
      <c r="K213" s="44"/>
      <c r="L213" s="44"/>
      <c r="M213" s="44"/>
      <c r="N213" s="13"/>
      <c r="O213" s="7"/>
      <c r="P213" s="7"/>
      <c r="Q213" s="7"/>
      <c r="R213" s="7"/>
      <c r="S213" s="7"/>
      <c r="T213" s="7"/>
      <c r="U213" s="7"/>
      <c r="V213" s="7"/>
      <c r="W213" s="7"/>
      <c r="X213" s="7"/>
      <c r="Y213" s="7"/>
      <c r="Z213" s="7"/>
    </row>
    <row r="214" spans="1:26" ht="15.75" customHeight="1">
      <c r="A214" s="43"/>
      <c r="B214" s="30"/>
      <c r="C214" s="30"/>
      <c r="D214" s="31"/>
      <c r="E214" s="31"/>
      <c r="F214" s="31"/>
      <c r="G214" s="31"/>
      <c r="H214" s="31"/>
      <c r="I214" s="44"/>
      <c r="J214" s="44"/>
      <c r="K214" s="44"/>
      <c r="L214" s="44"/>
      <c r="M214" s="44"/>
      <c r="N214" s="13"/>
      <c r="O214" s="7"/>
      <c r="P214" s="7"/>
      <c r="Q214" s="7"/>
      <c r="R214" s="7"/>
      <c r="S214" s="7"/>
      <c r="T214" s="7"/>
      <c r="U214" s="7"/>
      <c r="V214" s="7"/>
      <c r="W214" s="7"/>
      <c r="X214" s="7"/>
      <c r="Y214" s="7"/>
      <c r="Z214" s="7"/>
    </row>
    <row r="215" spans="1:26" ht="15.75" customHeight="1">
      <c r="A215" s="43"/>
      <c r="B215" s="30"/>
      <c r="C215" s="30"/>
      <c r="D215" s="31"/>
      <c r="E215" s="31"/>
      <c r="F215" s="31"/>
      <c r="G215" s="31"/>
      <c r="H215" s="31"/>
      <c r="I215" s="44"/>
      <c r="J215" s="44"/>
      <c r="K215" s="44"/>
      <c r="L215" s="44"/>
      <c r="M215" s="44"/>
      <c r="N215" s="13"/>
      <c r="O215" s="7"/>
      <c r="P215" s="7"/>
      <c r="Q215" s="7"/>
      <c r="R215" s="7"/>
      <c r="S215" s="7"/>
      <c r="T215" s="7"/>
      <c r="U215" s="7"/>
      <c r="V215" s="7"/>
      <c r="W215" s="7"/>
      <c r="X215" s="7"/>
      <c r="Y215" s="7"/>
      <c r="Z215" s="7"/>
    </row>
    <row r="216" spans="1:26" ht="15.75" customHeight="1">
      <c r="A216" s="43"/>
      <c r="B216" s="30"/>
      <c r="C216" s="30"/>
      <c r="D216" s="31"/>
      <c r="E216" s="31"/>
      <c r="F216" s="31"/>
      <c r="G216" s="31"/>
      <c r="H216" s="31"/>
      <c r="I216" s="44"/>
      <c r="J216" s="44"/>
      <c r="K216" s="44"/>
      <c r="L216" s="44"/>
      <c r="M216" s="44"/>
      <c r="N216" s="13"/>
      <c r="O216" s="7"/>
      <c r="P216" s="7"/>
      <c r="Q216" s="7"/>
      <c r="R216" s="7"/>
      <c r="S216" s="7"/>
      <c r="T216" s="7"/>
      <c r="U216" s="7"/>
      <c r="V216" s="7"/>
      <c r="W216" s="7"/>
      <c r="X216" s="7"/>
      <c r="Y216" s="7"/>
      <c r="Z216" s="7"/>
    </row>
    <row r="217" spans="1:26" ht="15.75" customHeight="1">
      <c r="A217" s="43"/>
      <c r="B217" s="30"/>
      <c r="C217" s="30"/>
      <c r="D217" s="31"/>
      <c r="E217" s="31"/>
      <c r="F217" s="31"/>
      <c r="G217" s="31"/>
      <c r="H217" s="31"/>
      <c r="I217" s="44"/>
      <c r="J217" s="44"/>
      <c r="K217" s="44"/>
      <c r="L217" s="44"/>
      <c r="M217" s="44"/>
      <c r="N217" s="13"/>
      <c r="O217" s="7"/>
      <c r="P217" s="7"/>
      <c r="Q217" s="7"/>
      <c r="R217" s="7"/>
      <c r="S217" s="7"/>
      <c r="T217" s="7"/>
      <c r="U217" s="7"/>
      <c r="V217" s="7"/>
      <c r="W217" s="7"/>
      <c r="X217" s="7"/>
      <c r="Y217" s="7"/>
      <c r="Z217" s="7"/>
    </row>
    <row r="218" spans="1:26" ht="15.75" customHeight="1">
      <c r="A218" s="43"/>
      <c r="B218" s="30"/>
      <c r="C218" s="30"/>
      <c r="D218" s="31"/>
      <c r="E218" s="31"/>
      <c r="F218" s="31"/>
      <c r="G218" s="31"/>
      <c r="H218" s="31"/>
      <c r="I218" s="44"/>
      <c r="J218" s="44"/>
      <c r="K218" s="44"/>
      <c r="L218" s="44"/>
      <c r="M218" s="44"/>
      <c r="N218" s="13"/>
      <c r="O218" s="7"/>
      <c r="P218" s="7"/>
      <c r="Q218" s="7"/>
      <c r="R218" s="7"/>
      <c r="S218" s="7"/>
      <c r="T218" s="7"/>
      <c r="U218" s="7"/>
      <c r="V218" s="7"/>
      <c r="W218" s="7"/>
      <c r="X218" s="7"/>
      <c r="Y218" s="7"/>
      <c r="Z218" s="7"/>
    </row>
    <row r="219" spans="1:26" ht="15.75" customHeight="1">
      <c r="A219" s="43"/>
      <c r="B219" s="30"/>
      <c r="C219" s="30"/>
      <c r="D219" s="31"/>
      <c r="E219" s="31"/>
      <c r="F219" s="31"/>
      <c r="G219" s="31"/>
      <c r="H219" s="31"/>
      <c r="I219" s="44"/>
      <c r="J219" s="44"/>
      <c r="K219" s="44"/>
      <c r="L219" s="44"/>
      <c r="M219" s="44"/>
      <c r="N219" s="13"/>
      <c r="O219" s="7"/>
      <c r="P219" s="7"/>
      <c r="Q219" s="7"/>
      <c r="R219" s="7"/>
      <c r="S219" s="7"/>
      <c r="T219" s="7"/>
      <c r="U219" s="7"/>
      <c r="V219" s="7"/>
      <c r="W219" s="7"/>
      <c r="X219" s="7"/>
      <c r="Y219" s="7"/>
      <c r="Z219" s="7"/>
    </row>
    <row r="220" spans="1:26" ht="15.75" customHeight="1">
      <c r="A220" s="43"/>
      <c r="B220" s="30"/>
      <c r="C220" s="30"/>
      <c r="D220" s="31"/>
      <c r="E220" s="31"/>
      <c r="F220" s="31"/>
      <c r="G220" s="31"/>
      <c r="H220" s="31"/>
      <c r="I220" s="44"/>
      <c r="J220" s="44"/>
      <c r="K220" s="44"/>
      <c r="L220" s="44"/>
      <c r="M220" s="44"/>
      <c r="N220" s="13"/>
      <c r="O220" s="7"/>
      <c r="P220" s="7"/>
      <c r="Q220" s="7"/>
      <c r="R220" s="7"/>
      <c r="S220" s="7"/>
      <c r="T220" s="7"/>
      <c r="U220" s="7"/>
      <c r="V220" s="7"/>
      <c r="W220" s="7"/>
      <c r="X220" s="7"/>
      <c r="Y220" s="7"/>
      <c r="Z220" s="7"/>
    </row>
    <row r="221" spans="1:26" ht="15.75" customHeight="1">
      <c r="A221" s="43"/>
      <c r="B221" s="30"/>
      <c r="C221" s="30"/>
      <c r="D221" s="31"/>
      <c r="E221" s="31"/>
      <c r="F221" s="31"/>
      <c r="G221" s="31"/>
      <c r="H221" s="31"/>
      <c r="I221" s="44"/>
      <c r="J221" s="44"/>
      <c r="K221" s="44"/>
      <c r="L221" s="44"/>
      <c r="M221" s="44"/>
      <c r="N221" s="13"/>
      <c r="O221" s="7"/>
      <c r="P221" s="7"/>
      <c r="Q221" s="7"/>
      <c r="R221" s="7"/>
      <c r="S221" s="7"/>
      <c r="T221" s="7"/>
      <c r="U221" s="7"/>
      <c r="V221" s="7"/>
      <c r="W221" s="7"/>
      <c r="X221" s="7"/>
      <c r="Y221" s="7"/>
      <c r="Z221" s="7"/>
    </row>
    <row r="222" spans="1:26" ht="15.75" customHeight="1">
      <c r="A222" s="43"/>
      <c r="B222" s="30"/>
      <c r="C222" s="30"/>
      <c r="D222" s="31"/>
      <c r="E222" s="31"/>
      <c r="F222" s="31"/>
      <c r="G222" s="31"/>
      <c r="H222" s="31"/>
      <c r="I222" s="44"/>
      <c r="J222" s="44"/>
      <c r="K222" s="44"/>
      <c r="L222" s="44"/>
      <c r="M222" s="44"/>
      <c r="N222" s="13"/>
      <c r="O222" s="7"/>
      <c r="P222" s="7"/>
      <c r="Q222" s="7"/>
      <c r="R222" s="7"/>
      <c r="S222" s="7"/>
      <c r="T222" s="7"/>
      <c r="U222" s="7"/>
      <c r="V222" s="7"/>
      <c r="W222" s="7"/>
      <c r="X222" s="7"/>
      <c r="Y222" s="7"/>
      <c r="Z222" s="7"/>
    </row>
    <row r="223" spans="1:26" ht="15.75" customHeight="1">
      <c r="A223" s="43"/>
      <c r="B223" s="30"/>
      <c r="C223" s="30"/>
      <c r="D223" s="31"/>
      <c r="E223" s="31"/>
      <c r="F223" s="31"/>
      <c r="G223" s="31"/>
      <c r="H223" s="31"/>
      <c r="I223" s="44"/>
      <c r="J223" s="44"/>
      <c r="K223" s="44"/>
      <c r="L223" s="44"/>
      <c r="M223" s="44"/>
      <c r="N223" s="13"/>
      <c r="O223" s="7"/>
      <c r="P223" s="7"/>
      <c r="Q223" s="7"/>
      <c r="R223" s="7"/>
      <c r="S223" s="7"/>
      <c r="T223" s="7"/>
      <c r="U223" s="7"/>
      <c r="V223" s="7"/>
      <c r="W223" s="7"/>
      <c r="X223" s="7"/>
      <c r="Y223" s="7"/>
      <c r="Z223" s="7"/>
    </row>
    <row r="224" spans="1:26" ht="15.75" customHeight="1">
      <c r="A224" s="43"/>
      <c r="B224" s="30"/>
      <c r="C224" s="30"/>
      <c r="D224" s="31"/>
      <c r="E224" s="31"/>
      <c r="F224" s="31"/>
      <c r="G224" s="31"/>
      <c r="H224" s="31"/>
      <c r="I224" s="44"/>
      <c r="J224" s="44"/>
      <c r="K224" s="44"/>
      <c r="L224" s="44"/>
      <c r="M224" s="44"/>
      <c r="N224" s="13"/>
      <c r="O224" s="7"/>
      <c r="P224" s="7"/>
      <c r="Q224" s="7"/>
      <c r="R224" s="7"/>
      <c r="S224" s="7"/>
      <c r="T224" s="7"/>
      <c r="U224" s="7"/>
      <c r="V224" s="7"/>
      <c r="W224" s="7"/>
      <c r="X224" s="7"/>
      <c r="Y224" s="7"/>
      <c r="Z224" s="7"/>
    </row>
    <row r="225" spans="1:26" ht="15.75" customHeight="1">
      <c r="A225" s="43"/>
      <c r="B225" s="30"/>
      <c r="C225" s="30"/>
      <c r="D225" s="31"/>
      <c r="E225" s="31"/>
      <c r="F225" s="31"/>
      <c r="G225" s="31"/>
      <c r="H225" s="31"/>
      <c r="I225" s="44"/>
      <c r="J225" s="44"/>
      <c r="K225" s="44"/>
      <c r="L225" s="44"/>
      <c r="M225" s="44"/>
      <c r="N225" s="13"/>
      <c r="O225" s="7"/>
      <c r="P225" s="7"/>
      <c r="Q225" s="7"/>
      <c r="R225" s="7"/>
      <c r="S225" s="7"/>
      <c r="T225" s="7"/>
      <c r="U225" s="7"/>
      <c r="V225" s="7"/>
      <c r="W225" s="7"/>
      <c r="X225" s="7"/>
      <c r="Y225" s="7"/>
      <c r="Z225" s="7"/>
    </row>
    <row r="226" spans="1:26" ht="15.75" customHeight="1">
      <c r="A226" s="43"/>
      <c r="B226" s="30"/>
      <c r="C226" s="30"/>
      <c r="D226" s="31"/>
      <c r="E226" s="31"/>
      <c r="F226" s="31"/>
      <c r="G226" s="31"/>
      <c r="H226" s="31"/>
      <c r="I226" s="44"/>
      <c r="J226" s="44"/>
      <c r="K226" s="44"/>
      <c r="L226" s="44"/>
      <c r="M226" s="44"/>
      <c r="N226" s="13"/>
      <c r="O226" s="7"/>
      <c r="P226" s="7"/>
      <c r="Q226" s="7"/>
      <c r="R226" s="7"/>
      <c r="S226" s="7"/>
      <c r="T226" s="7"/>
      <c r="U226" s="7"/>
      <c r="V226" s="7"/>
      <c r="W226" s="7"/>
      <c r="X226" s="7"/>
      <c r="Y226" s="7"/>
      <c r="Z226" s="7"/>
    </row>
    <row r="227" spans="1:26" ht="15.75" customHeight="1">
      <c r="A227" s="43"/>
      <c r="B227" s="30"/>
      <c r="C227" s="30"/>
      <c r="D227" s="31"/>
      <c r="E227" s="31"/>
      <c r="F227" s="31"/>
      <c r="G227" s="31"/>
      <c r="H227" s="31"/>
      <c r="I227" s="44"/>
      <c r="J227" s="44"/>
      <c r="K227" s="44"/>
      <c r="L227" s="44"/>
      <c r="M227" s="44"/>
      <c r="N227" s="13"/>
      <c r="O227" s="7"/>
      <c r="P227" s="7"/>
      <c r="Q227" s="7"/>
      <c r="R227" s="7"/>
      <c r="S227" s="7"/>
      <c r="T227" s="7"/>
      <c r="U227" s="7"/>
      <c r="V227" s="7"/>
      <c r="W227" s="7"/>
      <c r="X227" s="7"/>
      <c r="Y227" s="7"/>
      <c r="Z227" s="7"/>
    </row>
    <row r="228" spans="1:26" ht="15.75" customHeight="1">
      <c r="A228" s="43"/>
      <c r="B228" s="30"/>
      <c r="C228" s="30"/>
      <c r="D228" s="31"/>
      <c r="E228" s="31"/>
      <c r="F228" s="31"/>
      <c r="G228" s="31"/>
      <c r="H228" s="31"/>
      <c r="I228" s="44"/>
      <c r="J228" s="44"/>
      <c r="K228" s="44"/>
      <c r="L228" s="44"/>
      <c r="M228" s="44"/>
      <c r="N228" s="13"/>
      <c r="O228" s="7"/>
      <c r="P228" s="7"/>
      <c r="Q228" s="7"/>
      <c r="R228" s="7"/>
      <c r="S228" s="7"/>
      <c r="T228" s="7"/>
      <c r="U228" s="7"/>
      <c r="V228" s="7"/>
      <c r="W228" s="7"/>
      <c r="X228" s="7"/>
      <c r="Y228" s="7"/>
      <c r="Z228" s="7"/>
    </row>
    <row r="229" spans="1:26" ht="15.75" customHeight="1">
      <c r="A229" s="43"/>
      <c r="B229" s="30"/>
      <c r="C229" s="30"/>
      <c r="D229" s="31"/>
      <c r="E229" s="31"/>
      <c r="F229" s="31"/>
      <c r="G229" s="31"/>
      <c r="H229" s="31"/>
      <c r="I229" s="44"/>
      <c r="J229" s="44"/>
      <c r="K229" s="44"/>
      <c r="L229" s="44"/>
      <c r="M229" s="44"/>
      <c r="N229" s="13"/>
      <c r="O229" s="7"/>
      <c r="P229" s="7"/>
      <c r="Q229" s="7"/>
      <c r="R229" s="7"/>
      <c r="S229" s="7"/>
      <c r="T229" s="7"/>
      <c r="U229" s="7"/>
      <c r="V229" s="7"/>
      <c r="W229" s="7"/>
      <c r="X229" s="7"/>
      <c r="Y229" s="7"/>
      <c r="Z229" s="7"/>
    </row>
    <row r="230" spans="1:26" ht="15.75" customHeight="1">
      <c r="A230" s="43"/>
      <c r="B230" s="30"/>
      <c r="C230" s="30"/>
      <c r="D230" s="31"/>
      <c r="E230" s="31"/>
      <c r="F230" s="31"/>
      <c r="G230" s="31"/>
      <c r="H230" s="31"/>
      <c r="I230" s="44"/>
      <c r="J230" s="44"/>
      <c r="K230" s="44"/>
      <c r="L230" s="44"/>
      <c r="M230" s="44"/>
      <c r="N230" s="13"/>
      <c r="O230" s="7"/>
      <c r="P230" s="7"/>
      <c r="Q230" s="7"/>
      <c r="R230" s="7"/>
      <c r="S230" s="7"/>
      <c r="T230" s="7"/>
      <c r="U230" s="7"/>
      <c r="V230" s="7"/>
      <c r="W230" s="7"/>
      <c r="X230" s="7"/>
      <c r="Y230" s="7"/>
      <c r="Z230" s="7"/>
    </row>
    <row r="231" spans="1:26" ht="15.75" customHeight="1">
      <c r="A231" s="43"/>
      <c r="B231" s="30"/>
      <c r="C231" s="30"/>
      <c r="D231" s="31"/>
      <c r="E231" s="31"/>
      <c r="F231" s="31"/>
      <c r="G231" s="31"/>
      <c r="H231" s="31"/>
      <c r="I231" s="44"/>
      <c r="J231" s="44"/>
      <c r="K231" s="44"/>
      <c r="L231" s="44"/>
      <c r="M231" s="44"/>
      <c r="N231" s="13"/>
      <c r="O231" s="7"/>
      <c r="P231" s="7"/>
      <c r="Q231" s="7"/>
      <c r="R231" s="7"/>
      <c r="S231" s="7"/>
      <c r="T231" s="7"/>
      <c r="U231" s="7"/>
      <c r="V231" s="7"/>
      <c r="W231" s="7"/>
      <c r="X231" s="7"/>
      <c r="Y231" s="7"/>
      <c r="Z231" s="7"/>
    </row>
    <row r="232" spans="1:26" ht="15.75" customHeight="1">
      <c r="A232" s="43"/>
      <c r="B232" s="30"/>
      <c r="C232" s="30"/>
      <c r="D232" s="31"/>
      <c r="E232" s="31"/>
      <c r="F232" s="31"/>
      <c r="G232" s="31"/>
      <c r="H232" s="31"/>
      <c r="I232" s="44"/>
      <c r="J232" s="44"/>
      <c r="K232" s="44"/>
      <c r="L232" s="44"/>
      <c r="M232" s="44"/>
      <c r="N232" s="13"/>
      <c r="O232" s="7"/>
      <c r="P232" s="7"/>
      <c r="Q232" s="7"/>
      <c r="R232" s="7"/>
      <c r="S232" s="7"/>
      <c r="T232" s="7"/>
      <c r="U232" s="7"/>
      <c r="V232" s="7"/>
      <c r="W232" s="7"/>
      <c r="X232" s="7"/>
      <c r="Y232" s="7"/>
      <c r="Z232" s="7"/>
    </row>
    <row r="233" spans="1:26" ht="15.75" customHeight="1">
      <c r="A233" s="43"/>
      <c r="B233" s="30"/>
      <c r="C233" s="30"/>
      <c r="D233" s="31"/>
      <c r="E233" s="31"/>
      <c r="F233" s="31"/>
      <c r="G233" s="31"/>
      <c r="H233" s="31"/>
      <c r="I233" s="44"/>
      <c r="J233" s="44"/>
      <c r="K233" s="44"/>
      <c r="L233" s="44"/>
      <c r="M233" s="44"/>
      <c r="N233" s="13"/>
      <c r="O233" s="7"/>
      <c r="P233" s="7"/>
      <c r="Q233" s="7"/>
      <c r="R233" s="7"/>
      <c r="S233" s="7"/>
      <c r="T233" s="7"/>
      <c r="U233" s="7"/>
      <c r="V233" s="7"/>
      <c r="W233" s="7"/>
      <c r="X233" s="7"/>
      <c r="Y233" s="7"/>
      <c r="Z233" s="7"/>
    </row>
    <row r="234" spans="1:26" ht="15.75" customHeight="1">
      <c r="A234" s="43"/>
      <c r="B234" s="30"/>
      <c r="C234" s="30"/>
      <c r="D234" s="31"/>
      <c r="E234" s="31"/>
      <c r="F234" s="31"/>
      <c r="G234" s="31"/>
      <c r="H234" s="31"/>
      <c r="I234" s="44"/>
      <c r="J234" s="44"/>
      <c r="K234" s="44"/>
      <c r="L234" s="44"/>
      <c r="M234" s="44"/>
      <c r="N234" s="13"/>
      <c r="O234" s="7"/>
      <c r="P234" s="7"/>
      <c r="Q234" s="7"/>
      <c r="R234" s="7"/>
      <c r="S234" s="7"/>
      <c r="T234" s="7"/>
      <c r="U234" s="7"/>
      <c r="V234" s="7"/>
      <c r="W234" s="7"/>
      <c r="X234" s="7"/>
      <c r="Y234" s="7"/>
      <c r="Z234" s="7"/>
    </row>
    <row r="235" spans="1:26" ht="15.75" customHeight="1">
      <c r="A235" s="43"/>
      <c r="B235" s="30"/>
      <c r="C235" s="30"/>
      <c r="D235" s="31"/>
      <c r="E235" s="31"/>
      <c r="F235" s="31"/>
      <c r="G235" s="31"/>
      <c r="H235" s="31"/>
      <c r="I235" s="44"/>
      <c r="J235" s="44"/>
      <c r="K235" s="44"/>
      <c r="L235" s="44"/>
      <c r="M235" s="44"/>
      <c r="N235" s="13"/>
      <c r="O235" s="7"/>
      <c r="P235" s="7"/>
      <c r="Q235" s="7"/>
      <c r="R235" s="7"/>
      <c r="S235" s="7"/>
      <c r="T235" s="7"/>
      <c r="U235" s="7"/>
      <c r="V235" s="7"/>
      <c r="W235" s="7"/>
      <c r="X235" s="7"/>
      <c r="Y235" s="7"/>
      <c r="Z235" s="7"/>
    </row>
    <row r="236" spans="1:26" ht="15.75" customHeight="1">
      <c r="A236" s="43"/>
      <c r="B236" s="30"/>
      <c r="C236" s="30"/>
      <c r="D236" s="31"/>
      <c r="E236" s="31"/>
      <c r="F236" s="31"/>
      <c r="G236" s="31"/>
      <c r="H236" s="31"/>
      <c r="I236" s="44"/>
      <c r="J236" s="44"/>
      <c r="K236" s="44"/>
      <c r="L236" s="44"/>
      <c r="M236" s="44"/>
      <c r="N236" s="13"/>
      <c r="O236" s="7"/>
      <c r="P236" s="7"/>
      <c r="Q236" s="7"/>
      <c r="R236" s="7"/>
      <c r="S236" s="7"/>
      <c r="T236" s="7"/>
      <c r="U236" s="7"/>
      <c r="V236" s="7"/>
      <c r="W236" s="7"/>
      <c r="X236" s="7"/>
      <c r="Y236" s="7"/>
      <c r="Z236" s="7"/>
    </row>
    <row r="237" spans="1:26" ht="15.75" customHeight="1">
      <c r="A237" s="43"/>
      <c r="B237" s="30"/>
      <c r="C237" s="30"/>
      <c r="D237" s="31"/>
      <c r="E237" s="31"/>
      <c r="F237" s="31"/>
      <c r="G237" s="31"/>
      <c r="H237" s="31"/>
      <c r="I237" s="44"/>
      <c r="J237" s="44"/>
      <c r="K237" s="44"/>
      <c r="L237" s="44"/>
      <c r="M237" s="44"/>
      <c r="N237" s="13"/>
      <c r="O237" s="7"/>
      <c r="P237" s="7"/>
      <c r="Q237" s="7"/>
      <c r="R237" s="7"/>
      <c r="S237" s="7"/>
      <c r="T237" s="7"/>
      <c r="U237" s="7"/>
      <c r="V237" s="7"/>
      <c r="W237" s="7"/>
      <c r="X237" s="7"/>
      <c r="Y237" s="7"/>
      <c r="Z237" s="7"/>
    </row>
    <row r="238" spans="1:26" ht="15.75" customHeight="1">
      <c r="A238" s="43"/>
      <c r="B238" s="30"/>
      <c r="C238" s="30"/>
      <c r="D238" s="31"/>
      <c r="E238" s="31"/>
      <c r="F238" s="31"/>
      <c r="G238" s="31"/>
      <c r="H238" s="31"/>
      <c r="I238" s="44"/>
      <c r="J238" s="44"/>
      <c r="K238" s="44"/>
      <c r="L238" s="44"/>
      <c r="M238" s="44"/>
      <c r="N238" s="13"/>
      <c r="O238" s="7"/>
      <c r="P238" s="7"/>
      <c r="Q238" s="7"/>
      <c r="R238" s="7"/>
      <c r="S238" s="7"/>
      <c r="T238" s="7"/>
      <c r="U238" s="7"/>
      <c r="V238" s="7"/>
      <c r="W238" s="7"/>
      <c r="X238" s="7"/>
      <c r="Y238" s="7"/>
      <c r="Z238" s="7"/>
    </row>
    <row r="239" spans="1:26" ht="15.75" customHeight="1">
      <c r="A239" s="43"/>
      <c r="B239" s="30"/>
      <c r="C239" s="30"/>
      <c r="D239" s="31"/>
      <c r="E239" s="31"/>
      <c r="F239" s="31"/>
      <c r="G239" s="31"/>
      <c r="H239" s="31"/>
      <c r="I239" s="44"/>
      <c r="J239" s="44"/>
      <c r="K239" s="44"/>
      <c r="L239" s="44"/>
      <c r="M239" s="44"/>
      <c r="N239" s="13"/>
      <c r="O239" s="7"/>
      <c r="P239" s="7"/>
      <c r="Q239" s="7"/>
      <c r="R239" s="7"/>
      <c r="S239" s="7"/>
      <c r="T239" s="7"/>
      <c r="U239" s="7"/>
      <c r="V239" s="7"/>
      <c r="W239" s="7"/>
      <c r="X239" s="7"/>
      <c r="Y239" s="7"/>
      <c r="Z239" s="7"/>
    </row>
    <row r="240" spans="1:26" ht="15.75" customHeight="1">
      <c r="A240" s="43"/>
      <c r="B240" s="30"/>
      <c r="C240" s="30"/>
      <c r="D240" s="31"/>
      <c r="E240" s="31"/>
      <c r="F240" s="31"/>
      <c r="G240" s="31"/>
      <c r="H240" s="31"/>
      <c r="I240" s="44"/>
      <c r="J240" s="44"/>
      <c r="K240" s="44"/>
      <c r="L240" s="44"/>
      <c r="M240" s="44"/>
      <c r="N240" s="13"/>
      <c r="O240" s="7"/>
      <c r="P240" s="7"/>
      <c r="Q240" s="7"/>
      <c r="R240" s="7"/>
      <c r="S240" s="7"/>
      <c r="T240" s="7"/>
      <c r="U240" s="7"/>
      <c r="V240" s="7"/>
      <c r="W240" s="7"/>
      <c r="X240" s="7"/>
      <c r="Y240" s="7"/>
      <c r="Z240" s="7"/>
    </row>
    <row r="241" spans="1:26" ht="15.75" customHeight="1">
      <c r="A241" s="43"/>
      <c r="B241" s="30"/>
      <c r="C241" s="30"/>
      <c r="D241" s="31"/>
      <c r="E241" s="31"/>
      <c r="F241" s="31"/>
      <c r="G241" s="31"/>
      <c r="H241" s="31"/>
      <c r="I241" s="44"/>
      <c r="J241" s="44"/>
      <c r="K241" s="44"/>
      <c r="L241" s="44"/>
      <c r="M241" s="44"/>
      <c r="N241" s="13"/>
      <c r="O241" s="7"/>
      <c r="P241" s="7"/>
      <c r="Q241" s="7"/>
      <c r="R241" s="7"/>
      <c r="S241" s="7"/>
      <c r="T241" s="7"/>
      <c r="U241" s="7"/>
      <c r="V241" s="7"/>
      <c r="W241" s="7"/>
      <c r="X241" s="7"/>
      <c r="Y241" s="7"/>
      <c r="Z241" s="7"/>
    </row>
    <row r="242" spans="1:26" ht="15.75" customHeight="1">
      <c r="A242" s="43"/>
      <c r="B242" s="30"/>
      <c r="C242" s="30"/>
      <c r="D242" s="31"/>
      <c r="E242" s="31"/>
      <c r="F242" s="31"/>
      <c r="G242" s="31"/>
      <c r="H242" s="31"/>
      <c r="I242" s="44"/>
      <c r="J242" s="44"/>
      <c r="K242" s="44"/>
      <c r="L242" s="44"/>
      <c r="M242" s="44"/>
      <c r="N242" s="13"/>
      <c r="O242" s="7"/>
      <c r="P242" s="7"/>
      <c r="Q242" s="7"/>
      <c r="R242" s="7"/>
      <c r="S242" s="7"/>
      <c r="T242" s="7"/>
      <c r="U242" s="7"/>
      <c r="V242" s="7"/>
      <c r="W242" s="7"/>
      <c r="X242" s="7"/>
      <c r="Y242" s="7"/>
      <c r="Z242" s="7"/>
    </row>
    <row r="243" spans="1:26" ht="15.75" customHeight="1">
      <c r="A243" s="43"/>
      <c r="B243" s="30"/>
      <c r="C243" s="30"/>
      <c r="D243" s="31"/>
      <c r="E243" s="31"/>
      <c r="F243" s="31"/>
      <c r="G243" s="31"/>
      <c r="H243" s="31"/>
      <c r="I243" s="44"/>
      <c r="J243" s="44"/>
      <c r="K243" s="44"/>
      <c r="L243" s="44"/>
      <c r="M243" s="44"/>
      <c r="N243" s="13"/>
      <c r="O243" s="7"/>
      <c r="P243" s="7"/>
      <c r="Q243" s="7"/>
      <c r="R243" s="7"/>
      <c r="S243" s="7"/>
      <c r="T243" s="7"/>
      <c r="U243" s="7"/>
      <c r="V243" s="7"/>
      <c r="W243" s="7"/>
      <c r="X243" s="7"/>
      <c r="Y243" s="7"/>
      <c r="Z243" s="7"/>
    </row>
    <row r="244" spans="1:26" ht="15.75" customHeight="1">
      <c r="A244" s="43"/>
      <c r="B244" s="30"/>
      <c r="C244" s="30"/>
      <c r="D244" s="31"/>
      <c r="E244" s="31"/>
      <c r="F244" s="31"/>
      <c r="G244" s="31"/>
      <c r="H244" s="31"/>
      <c r="I244" s="44"/>
      <c r="J244" s="44"/>
      <c r="K244" s="44"/>
      <c r="L244" s="44"/>
      <c r="M244" s="44"/>
      <c r="N244" s="13"/>
      <c r="O244" s="7"/>
      <c r="P244" s="7"/>
      <c r="Q244" s="7"/>
      <c r="R244" s="7"/>
      <c r="S244" s="7"/>
      <c r="T244" s="7"/>
      <c r="U244" s="7"/>
      <c r="V244" s="7"/>
      <c r="W244" s="7"/>
      <c r="X244" s="7"/>
      <c r="Y244" s="7"/>
      <c r="Z244" s="7"/>
    </row>
    <row r="245" spans="1:26" ht="15.75" customHeight="1">
      <c r="A245" s="43"/>
      <c r="B245" s="30"/>
      <c r="C245" s="30"/>
      <c r="D245" s="31"/>
      <c r="E245" s="31"/>
      <c r="F245" s="31"/>
      <c r="G245" s="31"/>
      <c r="H245" s="31"/>
      <c r="I245" s="44"/>
      <c r="J245" s="44"/>
      <c r="K245" s="44"/>
      <c r="L245" s="44"/>
      <c r="M245" s="44"/>
      <c r="N245" s="13"/>
      <c r="O245" s="7"/>
      <c r="P245" s="7"/>
      <c r="Q245" s="7"/>
      <c r="R245" s="7"/>
      <c r="S245" s="7"/>
      <c r="T245" s="7"/>
      <c r="U245" s="7"/>
      <c r="V245" s="7"/>
      <c r="W245" s="7"/>
      <c r="X245" s="7"/>
      <c r="Y245" s="7"/>
      <c r="Z245" s="7"/>
    </row>
    <row r="246" spans="1:26" ht="15.75" customHeight="1">
      <c r="A246" s="43"/>
      <c r="B246" s="30"/>
      <c r="C246" s="30"/>
      <c r="D246" s="31"/>
      <c r="E246" s="31"/>
      <c r="F246" s="31"/>
      <c r="G246" s="31"/>
      <c r="H246" s="31"/>
      <c r="I246" s="44"/>
      <c r="J246" s="44"/>
      <c r="K246" s="44"/>
      <c r="L246" s="44"/>
      <c r="M246" s="44"/>
      <c r="N246" s="13"/>
      <c r="O246" s="7"/>
      <c r="P246" s="7"/>
      <c r="Q246" s="7"/>
      <c r="R246" s="7"/>
      <c r="S246" s="7"/>
      <c r="T246" s="7"/>
      <c r="U246" s="7"/>
      <c r="V246" s="7"/>
      <c r="W246" s="7"/>
      <c r="X246" s="7"/>
      <c r="Y246" s="7"/>
      <c r="Z246" s="7"/>
    </row>
    <row r="247" spans="1:26" ht="15.75" customHeight="1">
      <c r="A247" s="43"/>
      <c r="B247" s="30"/>
      <c r="C247" s="30"/>
      <c r="D247" s="31"/>
      <c r="E247" s="31"/>
      <c r="F247" s="31"/>
      <c r="G247" s="31"/>
      <c r="H247" s="31"/>
      <c r="I247" s="44"/>
      <c r="J247" s="44"/>
      <c r="K247" s="44"/>
      <c r="L247" s="44"/>
      <c r="M247" s="44"/>
      <c r="N247" s="13"/>
      <c r="O247" s="7"/>
      <c r="P247" s="7"/>
      <c r="Q247" s="7"/>
      <c r="R247" s="7"/>
      <c r="S247" s="7"/>
      <c r="T247" s="7"/>
      <c r="U247" s="7"/>
      <c r="V247" s="7"/>
      <c r="W247" s="7"/>
      <c r="X247" s="7"/>
      <c r="Y247" s="7"/>
      <c r="Z247" s="7"/>
    </row>
    <row r="248" spans="1:26" ht="15.75" customHeight="1">
      <c r="A248" s="43"/>
      <c r="B248" s="30"/>
      <c r="C248" s="30"/>
      <c r="D248" s="31"/>
      <c r="E248" s="31"/>
      <c r="F248" s="31"/>
      <c r="G248" s="31"/>
      <c r="H248" s="31"/>
      <c r="I248" s="44"/>
      <c r="J248" s="44"/>
      <c r="K248" s="44"/>
      <c r="L248" s="44"/>
      <c r="M248" s="44"/>
      <c r="N248" s="13"/>
      <c r="O248" s="7"/>
      <c r="P248" s="7"/>
      <c r="Q248" s="7"/>
      <c r="R248" s="7"/>
      <c r="S248" s="7"/>
      <c r="T248" s="7"/>
      <c r="U248" s="7"/>
      <c r="V248" s="7"/>
      <c r="W248" s="7"/>
      <c r="X248" s="7"/>
      <c r="Y248" s="7"/>
      <c r="Z248" s="7"/>
    </row>
    <row r="249" spans="1:26" ht="15.75" customHeight="1">
      <c r="A249" s="43"/>
      <c r="B249" s="30"/>
      <c r="C249" s="30"/>
      <c r="D249" s="31"/>
      <c r="E249" s="31"/>
      <c r="F249" s="31"/>
      <c r="G249" s="31"/>
      <c r="H249" s="31"/>
      <c r="I249" s="44"/>
      <c r="J249" s="44"/>
      <c r="K249" s="44"/>
      <c r="L249" s="44"/>
      <c r="M249" s="44"/>
      <c r="N249" s="13"/>
      <c r="O249" s="7"/>
      <c r="P249" s="7"/>
      <c r="Q249" s="7"/>
      <c r="R249" s="7"/>
      <c r="S249" s="7"/>
      <c r="T249" s="7"/>
      <c r="U249" s="7"/>
      <c r="V249" s="7"/>
      <c r="W249" s="7"/>
      <c r="X249" s="7"/>
      <c r="Y249" s="7"/>
      <c r="Z249" s="7"/>
    </row>
    <row r="250" spans="1:26" ht="15.75" customHeight="1">
      <c r="A250" s="43"/>
      <c r="B250" s="30"/>
      <c r="C250" s="30"/>
      <c r="D250" s="31"/>
      <c r="E250" s="31"/>
      <c r="F250" s="31"/>
      <c r="G250" s="31"/>
      <c r="H250" s="31"/>
      <c r="I250" s="44"/>
      <c r="J250" s="44"/>
      <c r="K250" s="44"/>
      <c r="L250" s="44"/>
      <c r="M250" s="44"/>
      <c r="N250" s="13"/>
      <c r="O250" s="7"/>
      <c r="P250" s="7"/>
      <c r="Q250" s="7"/>
      <c r="R250" s="7"/>
      <c r="S250" s="7"/>
      <c r="T250" s="7"/>
      <c r="U250" s="7"/>
      <c r="V250" s="7"/>
      <c r="W250" s="7"/>
      <c r="X250" s="7"/>
      <c r="Y250" s="7"/>
      <c r="Z250" s="7"/>
    </row>
    <row r="251" spans="1:26" ht="15.75" customHeight="1">
      <c r="A251" s="43"/>
      <c r="B251" s="30"/>
      <c r="C251" s="30"/>
      <c r="D251" s="31"/>
      <c r="E251" s="31"/>
      <c r="F251" s="31"/>
      <c r="G251" s="31"/>
      <c r="H251" s="31"/>
      <c r="I251" s="44"/>
      <c r="J251" s="44"/>
      <c r="K251" s="44"/>
      <c r="L251" s="44"/>
      <c r="M251" s="44"/>
      <c r="N251" s="13"/>
      <c r="O251" s="7"/>
      <c r="P251" s="7"/>
      <c r="Q251" s="7"/>
      <c r="R251" s="7"/>
      <c r="S251" s="7"/>
      <c r="T251" s="7"/>
      <c r="U251" s="7"/>
      <c r="V251" s="7"/>
      <c r="W251" s="7"/>
      <c r="X251" s="7"/>
      <c r="Y251" s="7"/>
      <c r="Z251" s="7"/>
    </row>
    <row r="252" spans="1:26" ht="15.75" customHeight="1">
      <c r="A252" s="43"/>
      <c r="B252" s="30"/>
      <c r="C252" s="30"/>
      <c r="D252" s="31"/>
      <c r="E252" s="31"/>
      <c r="F252" s="31"/>
      <c r="G252" s="31"/>
      <c r="H252" s="31"/>
      <c r="I252" s="44"/>
      <c r="J252" s="44"/>
      <c r="K252" s="44"/>
      <c r="L252" s="44"/>
      <c r="M252" s="44"/>
      <c r="N252" s="13"/>
      <c r="O252" s="7"/>
      <c r="P252" s="7"/>
      <c r="Q252" s="7"/>
      <c r="R252" s="7"/>
      <c r="S252" s="7"/>
      <c r="T252" s="7"/>
      <c r="U252" s="7"/>
      <c r="V252" s="7"/>
      <c r="W252" s="7"/>
      <c r="X252" s="7"/>
      <c r="Y252" s="7"/>
      <c r="Z252" s="7"/>
    </row>
    <row r="253" spans="1:26" ht="15.75" customHeight="1">
      <c r="A253" s="43"/>
      <c r="B253" s="30"/>
      <c r="C253" s="30"/>
      <c r="D253" s="31"/>
      <c r="E253" s="31"/>
      <c r="F253" s="31"/>
      <c r="G253" s="31"/>
      <c r="H253" s="31"/>
      <c r="I253" s="44"/>
      <c r="J253" s="44"/>
      <c r="K253" s="44"/>
      <c r="L253" s="44"/>
      <c r="M253" s="44"/>
      <c r="N253" s="13"/>
      <c r="O253" s="7"/>
      <c r="P253" s="7"/>
      <c r="Q253" s="7"/>
      <c r="R253" s="7"/>
      <c r="S253" s="7"/>
      <c r="T253" s="7"/>
      <c r="U253" s="7"/>
      <c r="V253" s="7"/>
      <c r="W253" s="7"/>
      <c r="X253" s="7"/>
      <c r="Y253" s="7"/>
      <c r="Z253" s="7"/>
    </row>
    <row r="254" spans="1:26" ht="15.75" customHeight="1">
      <c r="A254" s="43"/>
      <c r="B254" s="30"/>
      <c r="C254" s="30"/>
      <c r="D254" s="31"/>
      <c r="E254" s="31"/>
      <c r="F254" s="31"/>
      <c r="G254" s="31"/>
      <c r="H254" s="31"/>
      <c r="I254" s="44"/>
      <c r="J254" s="44"/>
      <c r="K254" s="44"/>
      <c r="L254" s="44"/>
      <c r="M254" s="44"/>
      <c r="N254" s="13"/>
      <c r="O254" s="7"/>
      <c r="P254" s="7"/>
      <c r="Q254" s="7"/>
      <c r="R254" s="7"/>
      <c r="S254" s="7"/>
      <c r="T254" s="7"/>
      <c r="U254" s="7"/>
      <c r="V254" s="7"/>
      <c r="W254" s="7"/>
      <c r="X254" s="7"/>
      <c r="Y254" s="7"/>
      <c r="Z254" s="7"/>
    </row>
    <row r="255" spans="1:26" ht="15.75" customHeight="1">
      <c r="A255" s="43"/>
      <c r="B255" s="30"/>
      <c r="C255" s="30"/>
      <c r="D255" s="31"/>
      <c r="E255" s="31"/>
      <c r="F255" s="31"/>
      <c r="G255" s="31"/>
      <c r="H255" s="31"/>
      <c r="I255" s="44"/>
      <c r="J255" s="44"/>
      <c r="K255" s="44"/>
      <c r="L255" s="44"/>
      <c r="M255" s="44"/>
      <c r="N255" s="13"/>
      <c r="O255" s="7"/>
      <c r="P255" s="7"/>
      <c r="Q255" s="7"/>
      <c r="R255" s="7"/>
      <c r="S255" s="7"/>
      <c r="T255" s="7"/>
      <c r="U255" s="7"/>
      <c r="V255" s="7"/>
      <c r="W255" s="7"/>
      <c r="X255" s="7"/>
      <c r="Y255" s="7"/>
      <c r="Z255" s="7"/>
    </row>
    <row r="256" spans="1:26" ht="15.75" customHeight="1">
      <c r="A256" s="43"/>
      <c r="B256" s="30"/>
      <c r="C256" s="30"/>
      <c r="D256" s="31"/>
      <c r="E256" s="31"/>
      <c r="F256" s="31"/>
      <c r="G256" s="31"/>
      <c r="H256" s="31"/>
      <c r="I256" s="44"/>
      <c r="J256" s="44"/>
      <c r="K256" s="44"/>
      <c r="L256" s="44"/>
      <c r="M256" s="44"/>
      <c r="N256" s="13"/>
      <c r="O256" s="7"/>
      <c r="P256" s="7"/>
      <c r="Q256" s="7"/>
      <c r="R256" s="7"/>
      <c r="S256" s="7"/>
      <c r="T256" s="7"/>
      <c r="U256" s="7"/>
      <c r="V256" s="7"/>
      <c r="W256" s="7"/>
      <c r="X256" s="7"/>
      <c r="Y256" s="7"/>
      <c r="Z256" s="7"/>
    </row>
    <row r="257" spans="1:26" ht="15.75" customHeight="1">
      <c r="A257" s="43"/>
      <c r="B257" s="30"/>
      <c r="C257" s="30"/>
      <c r="D257" s="31"/>
      <c r="E257" s="31"/>
      <c r="F257" s="31"/>
      <c r="G257" s="31"/>
      <c r="H257" s="31"/>
      <c r="I257" s="44"/>
      <c r="J257" s="44"/>
      <c r="K257" s="44"/>
      <c r="L257" s="44"/>
      <c r="M257" s="44"/>
      <c r="N257" s="13"/>
      <c r="O257" s="7"/>
      <c r="P257" s="7"/>
      <c r="Q257" s="7"/>
      <c r="R257" s="7"/>
      <c r="S257" s="7"/>
      <c r="T257" s="7"/>
      <c r="U257" s="7"/>
      <c r="V257" s="7"/>
      <c r="W257" s="7"/>
      <c r="X257" s="7"/>
      <c r="Y257" s="7"/>
      <c r="Z257" s="7"/>
    </row>
    <row r="258" spans="1:26" ht="15.75" customHeight="1">
      <c r="A258" s="43"/>
      <c r="B258" s="30"/>
      <c r="C258" s="30"/>
      <c r="D258" s="31"/>
      <c r="E258" s="31"/>
      <c r="F258" s="31"/>
      <c r="G258" s="31"/>
      <c r="H258" s="31"/>
      <c r="I258" s="44"/>
      <c r="J258" s="44"/>
      <c r="K258" s="44"/>
      <c r="L258" s="44"/>
      <c r="M258" s="44"/>
      <c r="N258" s="13"/>
      <c r="O258" s="7"/>
      <c r="P258" s="7"/>
      <c r="Q258" s="7"/>
      <c r="R258" s="7"/>
      <c r="S258" s="7"/>
      <c r="T258" s="7"/>
      <c r="U258" s="7"/>
      <c r="V258" s="7"/>
      <c r="W258" s="7"/>
      <c r="X258" s="7"/>
      <c r="Y258" s="7"/>
      <c r="Z258" s="7"/>
    </row>
    <row r="259" spans="1:26" ht="15.75" customHeight="1">
      <c r="A259" s="43"/>
      <c r="B259" s="30"/>
      <c r="C259" s="30"/>
      <c r="D259" s="31"/>
      <c r="E259" s="31"/>
      <c r="F259" s="31"/>
      <c r="G259" s="31"/>
      <c r="H259" s="31"/>
      <c r="I259" s="44"/>
      <c r="J259" s="44"/>
      <c r="K259" s="44"/>
      <c r="L259" s="44"/>
      <c r="M259" s="44"/>
      <c r="N259" s="13"/>
      <c r="O259" s="7"/>
      <c r="P259" s="7"/>
      <c r="Q259" s="7"/>
      <c r="R259" s="7"/>
      <c r="S259" s="7"/>
      <c r="T259" s="7"/>
      <c r="U259" s="7"/>
      <c r="V259" s="7"/>
      <c r="W259" s="7"/>
      <c r="X259" s="7"/>
      <c r="Y259" s="7"/>
      <c r="Z259" s="7"/>
    </row>
    <row r="260" spans="1:26" ht="15.75" customHeight="1">
      <c r="A260" s="43"/>
      <c r="B260" s="30"/>
      <c r="C260" s="30"/>
      <c r="D260" s="31"/>
      <c r="E260" s="31"/>
      <c r="F260" s="31"/>
      <c r="G260" s="31"/>
      <c r="H260" s="31"/>
      <c r="I260" s="44"/>
      <c r="J260" s="44"/>
      <c r="K260" s="44"/>
      <c r="L260" s="44"/>
      <c r="M260" s="44"/>
      <c r="N260" s="13"/>
      <c r="O260" s="7"/>
      <c r="P260" s="7"/>
      <c r="Q260" s="7"/>
      <c r="R260" s="7"/>
      <c r="S260" s="7"/>
      <c r="T260" s="7"/>
      <c r="U260" s="7"/>
      <c r="V260" s="7"/>
      <c r="W260" s="7"/>
      <c r="X260" s="7"/>
      <c r="Y260" s="7"/>
      <c r="Z260" s="7"/>
    </row>
    <row r="261" spans="1:26" ht="15.75" customHeight="1">
      <c r="A261" s="43"/>
      <c r="B261" s="30"/>
      <c r="C261" s="30"/>
      <c r="D261" s="31"/>
      <c r="E261" s="31"/>
      <c r="F261" s="31"/>
      <c r="G261" s="31"/>
      <c r="H261" s="31"/>
      <c r="I261" s="44"/>
      <c r="J261" s="44"/>
      <c r="K261" s="44"/>
      <c r="L261" s="44"/>
      <c r="M261" s="44"/>
      <c r="N261" s="13"/>
      <c r="O261" s="7"/>
      <c r="P261" s="7"/>
      <c r="Q261" s="7"/>
      <c r="R261" s="7"/>
      <c r="S261" s="7"/>
      <c r="T261" s="7"/>
      <c r="U261" s="7"/>
      <c r="V261" s="7"/>
      <c r="W261" s="7"/>
      <c r="X261" s="7"/>
      <c r="Y261" s="7"/>
      <c r="Z261" s="7"/>
    </row>
    <row r="262" spans="1:26" ht="15.75" customHeight="1">
      <c r="A262" s="43"/>
      <c r="B262" s="30"/>
      <c r="C262" s="30"/>
      <c r="D262" s="31"/>
      <c r="E262" s="31"/>
      <c r="F262" s="31"/>
      <c r="G262" s="31"/>
      <c r="H262" s="31"/>
      <c r="I262" s="44"/>
      <c r="J262" s="44"/>
      <c r="K262" s="44"/>
      <c r="L262" s="44"/>
      <c r="M262" s="44"/>
      <c r="N262" s="13"/>
      <c r="O262" s="7"/>
      <c r="P262" s="7"/>
      <c r="Q262" s="7"/>
      <c r="R262" s="7"/>
      <c r="S262" s="7"/>
      <c r="T262" s="7"/>
      <c r="U262" s="7"/>
      <c r="V262" s="7"/>
      <c r="W262" s="7"/>
      <c r="X262" s="7"/>
      <c r="Y262" s="7"/>
      <c r="Z262" s="7"/>
    </row>
    <row r="263" spans="1:26" ht="15.75" customHeight="1">
      <c r="A263" s="43"/>
      <c r="B263" s="30"/>
      <c r="C263" s="30"/>
      <c r="D263" s="31"/>
      <c r="E263" s="31"/>
      <c r="F263" s="31"/>
      <c r="G263" s="31"/>
      <c r="H263" s="31"/>
      <c r="I263" s="44"/>
      <c r="J263" s="44"/>
      <c r="K263" s="44"/>
      <c r="L263" s="44"/>
      <c r="M263" s="44"/>
      <c r="N263" s="13"/>
      <c r="O263" s="7"/>
      <c r="P263" s="7"/>
      <c r="Q263" s="7"/>
      <c r="R263" s="7"/>
      <c r="S263" s="7"/>
      <c r="T263" s="7"/>
      <c r="U263" s="7"/>
      <c r="V263" s="7"/>
      <c r="W263" s="7"/>
      <c r="X263" s="7"/>
      <c r="Y263" s="7"/>
      <c r="Z263" s="7"/>
    </row>
    <row r="264" spans="1:26" ht="15.75" customHeight="1">
      <c r="A264" s="43"/>
      <c r="B264" s="30"/>
      <c r="C264" s="30"/>
      <c r="D264" s="31"/>
      <c r="E264" s="31"/>
      <c r="F264" s="31"/>
      <c r="G264" s="31"/>
      <c r="H264" s="31"/>
      <c r="I264" s="44"/>
      <c r="J264" s="44"/>
      <c r="K264" s="44"/>
      <c r="L264" s="44"/>
      <c r="M264" s="44"/>
      <c r="N264" s="13"/>
      <c r="O264" s="7"/>
      <c r="P264" s="7"/>
      <c r="Q264" s="7"/>
      <c r="R264" s="7"/>
      <c r="S264" s="7"/>
      <c r="T264" s="7"/>
      <c r="U264" s="7"/>
      <c r="V264" s="7"/>
      <c r="W264" s="7"/>
      <c r="X264" s="7"/>
      <c r="Y264" s="7"/>
      <c r="Z264" s="7"/>
    </row>
    <row r="265" spans="1:26" ht="15.75" customHeight="1">
      <c r="A265" s="43"/>
      <c r="B265" s="30"/>
      <c r="C265" s="30"/>
      <c r="D265" s="31"/>
      <c r="E265" s="31"/>
      <c r="F265" s="31"/>
      <c r="G265" s="31"/>
      <c r="H265" s="31"/>
      <c r="I265" s="44"/>
      <c r="J265" s="44"/>
      <c r="K265" s="44"/>
      <c r="L265" s="44"/>
      <c r="M265" s="44"/>
      <c r="N265" s="13"/>
      <c r="O265" s="7"/>
      <c r="P265" s="7"/>
      <c r="Q265" s="7"/>
      <c r="R265" s="7"/>
      <c r="S265" s="7"/>
      <c r="T265" s="7"/>
      <c r="U265" s="7"/>
      <c r="V265" s="7"/>
      <c r="W265" s="7"/>
      <c r="X265" s="7"/>
      <c r="Y265" s="7"/>
      <c r="Z265" s="7"/>
    </row>
    <row r="266" spans="1:26" ht="15.75" customHeight="1">
      <c r="A266" s="43"/>
      <c r="B266" s="30"/>
      <c r="C266" s="30"/>
      <c r="D266" s="31"/>
      <c r="E266" s="31"/>
      <c r="F266" s="31"/>
      <c r="G266" s="31"/>
      <c r="H266" s="31"/>
      <c r="I266" s="44"/>
      <c r="J266" s="44"/>
      <c r="K266" s="44"/>
      <c r="L266" s="44"/>
      <c r="M266" s="44"/>
      <c r="N266" s="13"/>
      <c r="O266" s="7"/>
      <c r="P266" s="7"/>
      <c r="Q266" s="7"/>
      <c r="R266" s="7"/>
      <c r="S266" s="7"/>
      <c r="T266" s="7"/>
      <c r="U266" s="7"/>
      <c r="V266" s="7"/>
      <c r="W266" s="7"/>
      <c r="X266" s="7"/>
      <c r="Y266" s="7"/>
      <c r="Z266" s="7"/>
    </row>
    <row r="267" spans="1:26" ht="15.75" customHeight="1">
      <c r="A267" s="43"/>
      <c r="B267" s="30"/>
      <c r="C267" s="30"/>
      <c r="D267" s="31"/>
      <c r="E267" s="31"/>
      <c r="F267" s="31"/>
      <c r="G267" s="31"/>
      <c r="H267" s="31"/>
      <c r="I267" s="44"/>
      <c r="J267" s="44"/>
      <c r="K267" s="44"/>
      <c r="L267" s="44"/>
      <c r="M267" s="44"/>
      <c r="N267" s="13"/>
      <c r="O267" s="7"/>
      <c r="P267" s="7"/>
      <c r="Q267" s="7"/>
      <c r="R267" s="7"/>
      <c r="S267" s="7"/>
      <c r="T267" s="7"/>
      <c r="U267" s="7"/>
      <c r="V267" s="7"/>
      <c r="W267" s="7"/>
      <c r="X267" s="7"/>
      <c r="Y267" s="7"/>
      <c r="Z267" s="7"/>
    </row>
    <row r="268" spans="1:26" ht="15.75" customHeight="1">
      <c r="A268" s="43"/>
      <c r="B268" s="30"/>
      <c r="C268" s="30"/>
      <c r="D268" s="31"/>
      <c r="E268" s="31"/>
      <c r="F268" s="31"/>
      <c r="G268" s="31"/>
      <c r="H268" s="31"/>
      <c r="I268" s="44"/>
      <c r="J268" s="44"/>
      <c r="K268" s="44"/>
      <c r="L268" s="44"/>
      <c r="M268" s="44"/>
      <c r="N268" s="13"/>
      <c r="O268" s="7"/>
      <c r="P268" s="7"/>
      <c r="Q268" s="7"/>
      <c r="R268" s="7"/>
      <c r="S268" s="7"/>
      <c r="T268" s="7"/>
      <c r="U268" s="7"/>
      <c r="V268" s="7"/>
      <c r="W268" s="7"/>
      <c r="X268" s="7"/>
      <c r="Y268" s="7"/>
      <c r="Z268" s="7"/>
    </row>
    <row r="269" spans="1:26" ht="15.75" customHeight="1">
      <c r="A269" s="43"/>
      <c r="B269" s="30"/>
      <c r="C269" s="30"/>
      <c r="D269" s="31"/>
      <c r="E269" s="31"/>
      <c r="F269" s="31"/>
      <c r="G269" s="31"/>
      <c r="H269" s="31"/>
      <c r="I269" s="44"/>
      <c r="J269" s="44"/>
      <c r="K269" s="44"/>
      <c r="L269" s="44"/>
      <c r="M269" s="44"/>
      <c r="N269" s="13"/>
      <c r="O269" s="7"/>
      <c r="P269" s="7"/>
      <c r="Q269" s="7"/>
      <c r="R269" s="7"/>
      <c r="S269" s="7"/>
      <c r="T269" s="7"/>
      <c r="U269" s="7"/>
      <c r="V269" s="7"/>
      <c r="W269" s="7"/>
      <c r="X269" s="7"/>
      <c r="Y269" s="7"/>
      <c r="Z269" s="7"/>
    </row>
    <row r="270" spans="1:26" ht="15.75" customHeight="1">
      <c r="A270" s="43"/>
      <c r="B270" s="30"/>
      <c r="C270" s="30"/>
      <c r="D270" s="31"/>
      <c r="E270" s="31"/>
      <c r="F270" s="31"/>
      <c r="G270" s="31"/>
      <c r="H270" s="31"/>
      <c r="I270" s="44"/>
      <c r="J270" s="44"/>
      <c r="K270" s="44"/>
      <c r="L270" s="44"/>
      <c r="M270" s="44"/>
      <c r="N270" s="13"/>
      <c r="O270" s="7"/>
      <c r="P270" s="7"/>
      <c r="Q270" s="7"/>
      <c r="R270" s="7"/>
      <c r="S270" s="7"/>
      <c r="T270" s="7"/>
      <c r="U270" s="7"/>
      <c r="V270" s="7"/>
      <c r="W270" s="7"/>
      <c r="X270" s="7"/>
      <c r="Y270" s="7"/>
      <c r="Z270" s="7"/>
    </row>
    <row r="271" spans="1:26" ht="15.75" customHeight="1">
      <c r="A271" s="43"/>
      <c r="B271" s="30"/>
      <c r="C271" s="30"/>
      <c r="D271" s="31"/>
      <c r="E271" s="31"/>
      <c r="F271" s="31"/>
      <c r="G271" s="31"/>
      <c r="H271" s="31"/>
      <c r="I271" s="44"/>
      <c r="J271" s="44"/>
      <c r="K271" s="44"/>
      <c r="L271" s="44"/>
      <c r="M271" s="44"/>
      <c r="N271" s="13"/>
      <c r="O271" s="7"/>
      <c r="P271" s="7"/>
      <c r="Q271" s="7"/>
      <c r="R271" s="7"/>
      <c r="S271" s="7"/>
      <c r="T271" s="7"/>
      <c r="U271" s="7"/>
      <c r="V271" s="7"/>
      <c r="W271" s="7"/>
      <c r="X271" s="7"/>
      <c r="Y271" s="7"/>
      <c r="Z271" s="7"/>
    </row>
    <row r="272" spans="1:26" ht="15.75" customHeight="1">
      <c r="A272" s="43"/>
      <c r="B272" s="30"/>
      <c r="C272" s="30"/>
      <c r="D272" s="31"/>
      <c r="E272" s="31"/>
      <c r="F272" s="31"/>
      <c r="G272" s="31"/>
      <c r="H272" s="31"/>
      <c r="I272" s="44"/>
      <c r="J272" s="44"/>
      <c r="K272" s="44"/>
      <c r="L272" s="44"/>
      <c r="M272" s="44"/>
      <c r="N272" s="13"/>
      <c r="O272" s="7"/>
      <c r="P272" s="7"/>
      <c r="Q272" s="7"/>
      <c r="R272" s="7"/>
      <c r="S272" s="7"/>
      <c r="T272" s="7"/>
      <c r="U272" s="7"/>
      <c r="V272" s="7"/>
      <c r="W272" s="7"/>
      <c r="X272" s="7"/>
      <c r="Y272" s="7"/>
      <c r="Z272" s="7"/>
    </row>
    <row r="273" spans="1:26" ht="15.75" customHeight="1">
      <c r="A273" s="43"/>
      <c r="B273" s="30"/>
      <c r="C273" s="30"/>
      <c r="D273" s="31"/>
      <c r="E273" s="31"/>
      <c r="F273" s="31"/>
      <c r="G273" s="31"/>
      <c r="H273" s="31"/>
      <c r="I273" s="44"/>
      <c r="J273" s="44"/>
      <c r="K273" s="44"/>
      <c r="L273" s="44"/>
      <c r="M273" s="44"/>
      <c r="N273" s="13"/>
      <c r="O273" s="7"/>
      <c r="P273" s="7"/>
      <c r="Q273" s="7"/>
      <c r="R273" s="7"/>
      <c r="S273" s="7"/>
      <c r="T273" s="7"/>
      <c r="U273" s="7"/>
      <c r="V273" s="7"/>
      <c r="W273" s="7"/>
      <c r="X273" s="7"/>
      <c r="Y273" s="7"/>
      <c r="Z273" s="7"/>
    </row>
    <row r="274" spans="1:26" ht="15.75" customHeight="1">
      <c r="A274" s="43"/>
      <c r="B274" s="30"/>
      <c r="C274" s="30"/>
      <c r="D274" s="31"/>
      <c r="E274" s="31"/>
      <c r="F274" s="31"/>
      <c r="G274" s="31"/>
      <c r="H274" s="31"/>
      <c r="I274" s="44"/>
      <c r="J274" s="44"/>
      <c r="K274" s="44"/>
      <c r="L274" s="44"/>
      <c r="M274" s="44"/>
      <c r="N274" s="13"/>
      <c r="O274" s="7"/>
      <c r="P274" s="7"/>
      <c r="Q274" s="7"/>
      <c r="R274" s="7"/>
      <c r="S274" s="7"/>
      <c r="T274" s="7"/>
      <c r="U274" s="7"/>
      <c r="V274" s="7"/>
      <c r="W274" s="7"/>
      <c r="X274" s="7"/>
      <c r="Y274" s="7"/>
      <c r="Z274" s="7"/>
    </row>
    <row r="275" spans="1:26" ht="15.75" customHeight="1"/>
    <row r="276" spans="1:26" ht="15.75" customHeight="1"/>
    <row r="277" spans="1:26" ht="15.75" customHeight="1"/>
    <row r="278" spans="1:26" ht="15.75" customHeight="1"/>
    <row r="279" spans="1:26" ht="15.75" customHeight="1"/>
    <row r="280" spans="1:26" ht="15.75" customHeight="1"/>
    <row r="281" spans="1:26" ht="15.75" customHeight="1"/>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K74" xr:uid="{00000000-0009-0000-0000-000003000000}"/>
  <phoneticPr fontId="22" type="noConversion"/>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998"/>
  <sheetViews>
    <sheetView workbookViewId="0">
      <pane ySplit="1" topLeftCell="A26" activePane="bottomLeft" state="frozen"/>
      <selection pane="bottomLeft" activeCell="A49" sqref="A49"/>
    </sheetView>
  </sheetViews>
  <sheetFormatPr defaultColWidth="14.42578125" defaultRowHeight="15" customHeight="1"/>
  <cols>
    <col min="1" max="1" width="67.28515625" customWidth="1"/>
    <col min="2" max="2" width="16.85546875" customWidth="1"/>
    <col min="3" max="3" width="16.42578125" customWidth="1"/>
    <col min="4" max="4" width="12.85546875" customWidth="1"/>
    <col min="5" max="5" width="15.5703125" customWidth="1"/>
    <col min="6" max="6" width="12.7109375" customWidth="1"/>
    <col min="7" max="7" width="24.85546875" customWidth="1"/>
    <col min="8" max="8" width="34.28515625" customWidth="1"/>
    <col min="9" max="9" width="18.85546875" customWidth="1"/>
    <col min="10" max="10" width="21.7109375" customWidth="1"/>
    <col min="11" max="11" width="18.7109375" customWidth="1"/>
    <col min="12" max="12" width="24.42578125" customWidth="1"/>
    <col min="13" max="13" width="37.42578125" customWidth="1"/>
    <col min="14" max="14" width="9.140625" customWidth="1"/>
    <col min="15" max="25" width="8.7109375" customWidth="1"/>
  </cols>
  <sheetData>
    <row r="1" spans="1:14" ht="15.75" customHeight="1">
      <c r="A1" s="47" t="s">
        <v>270</v>
      </c>
      <c r="B1" s="2" t="s">
        <v>5</v>
      </c>
      <c r="C1" s="3" t="s">
        <v>6</v>
      </c>
      <c r="D1" s="4" t="s">
        <v>0</v>
      </c>
      <c r="E1" s="4" t="s">
        <v>1</v>
      </c>
      <c r="F1" s="4" t="s">
        <v>2</v>
      </c>
      <c r="G1" s="4" t="s">
        <v>7</v>
      </c>
      <c r="H1" s="4" t="s">
        <v>3</v>
      </c>
      <c r="I1" s="5" t="s">
        <v>8</v>
      </c>
      <c r="J1" s="5" t="s">
        <v>9</v>
      </c>
      <c r="K1" s="5" t="s">
        <v>10</v>
      </c>
      <c r="L1" s="48" t="s">
        <v>11</v>
      </c>
      <c r="M1" s="48" t="s">
        <v>12</v>
      </c>
      <c r="N1" s="6"/>
    </row>
    <row r="2" spans="1:14" ht="15.75" customHeight="1">
      <c r="A2" s="49" t="s">
        <v>271</v>
      </c>
      <c r="B2" s="3" t="s">
        <v>34</v>
      </c>
      <c r="C2" s="3" t="s">
        <v>14</v>
      </c>
      <c r="D2" s="9" t="s">
        <v>21</v>
      </c>
      <c r="E2" s="9" t="s">
        <v>14</v>
      </c>
      <c r="F2" s="9" t="s">
        <v>14</v>
      </c>
      <c r="G2" s="12" t="s">
        <v>14</v>
      </c>
      <c r="H2" s="12" t="s">
        <v>14</v>
      </c>
      <c r="I2" s="12">
        <f t="shared" ref="I2:M17" si="0">_xlfn.LET(
_xlpm.full,2,
_xlpm.ans,UPPER(SUBSTITUTE(SUBSTITUTE(SUBSTITUTE(SUBSTITUTE(SUBSTITUTE(SUBSTITUTE($C2&amp;"","，",""),",",""),"、","")," ",""),"　",""),CHAR(10),"")),
_xlpm.resp,UPPER(SUBSTITUTE(SUBSTITUTE(SUBSTITUTE(SUBSTITUTE(SUBSTITUTE(SUBSTITUTE(D2&amp;"","，",""),",",""),"、","")," ",""),"　",""),CHAR(10),"")),
IF(OR(_xlpm.resp="",LEN(_xlpm.resp)&lt;&gt;1),0,IF(_xlpm.resp=_xlpm.ans,_xlpm.full,0))
)</f>
        <v>0</v>
      </c>
      <c r="J2" s="12">
        <f t="shared" si="0"/>
        <v>2</v>
      </c>
      <c r="K2" s="12">
        <f t="shared" si="0"/>
        <v>2</v>
      </c>
      <c r="L2" s="12">
        <f t="shared" si="0"/>
        <v>2</v>
      </c>
      <c r="M2" s="12">
        <f t="shared" si="0"/>
        <v>2</v>
      </c>
      <c r="N2" s="6"/>
    </row>
    <row r="3" spans="1:14" ht="15.75" customHeight="1">
      <c r="A3" s="49" t="s">
        <v>272</v>
      </c>
      <c r="B3" s="3" t="s">
        <v>34</v>
      </c>
      <c r="C3" s="3" t="s">
        <v>21</v>
      </c>
      <c r="D3" s="9" t="s">
        <v>21</v>
      </c>
      <c r="E3" s="9" t="s">
        <v>21</v>
      </c>
      <c r="F3" s="9" t="s">
        <v>21</v>
      </c>
      <c r="G3" s="12" t="s">
        <v>21</v>
      </c>
      <c r="H3" s="12" t="s">
        <v>21</v>
      </c>
      <c r="I3" s="12">
        <f t="shared" si="0"/>
        <v>2</v>
      </c>
      <c r="J3" s="12">
        <f t="shared" si="0"/>
        <v>2</v>
      </c>
      <c r="K3" s="12">
        <f t="shared" si="0"/>
        <v>2</v>
      </c>
      <c r="L3" s="12">
        <f t="shared" si="0"/>
        <v>2</v>
      </c>
      <c r="M3" s="12">
        <f t="shared" si="0"/>
        <v>2</v>
      </c>
      <c r="N3" s="50"/>
    </row>
    <row r="4" spans="1:14" ht="15.75" customHeight="1">
      <c r="A4" s="49" t="s">
        <v>273</v>
      </c>
      <c r="B4" s="3" t="s">
        <v>274</v>
      </c>
      <c r="C4" s="3" t="s">
        <v>22</v>
      </c>
      <c r="D4" s="9" t="s">
        <v>22</v>
      </c>
      <c r="E4" s="9" t="s">
        <v>22</v>
      </c>
      <c r="F4" s="9" t="s">
        <v>19</v>
      </c>
      <c r="G4" s="12" t="s">
        <v>22</v>
      </c>
      <c r="H4" s="12" t="s">
        <v>22</v>
      </c>
      <c r="I4" s="12">
        <f t="shared" si="0"/>
        <v>2</v>
      </c>
      <c r="J4" s="12">
        <f t="shared" si="0"/>
        <v>2</v>
      </c>
      <c r="K4" s="12">
        <f t="shared" si="0"/>
        <v>0</v>
      </c>
      <c r="L4" s="12">
        <f t="shared" si="0"/>
        <v>2</v>
      </c>
      <c r="M4" s="12">
        <f t="shared" si="0"/>
        <v>2</v>
      </c>
      <c r="N4" s="50"/>
    </row>
    <row r="5" spans="1:14" ht="15.75" customHeight="1">
      <c r="A5" s="49" t="s">
        <v>275</v>
      </c>
      <c r="B5" s="3"/>
      <c r="C5" s="3" t="s">
        <v>19</v>
      </c>
      <c r="D5" s="9" t="s">
        <v>21</v>
      </c>
      <c r="E5" s="9" t="s">
        <v>19</v>
      </c>
      <c r="F5" s="9" t="s">
        <v>19</v>
      </c>
      <c r="G5" s="12" t="s">
        <v>19</v>
      </c>
      <c r="H5" s="12" t="s">
        <v>19</v>
      </c>
      <c r="I5" s="12">
        <f t="shared" si="0"/>
        <v>0</v>
      </c>
      <c r="J5" s="12">
        <f t="shared" si="0"/>
        <v>2</v>
      </c>
      <c r="K5" s="12">
        <f t="shared" si="0"/>
        <v>2</v>
      </c>
      <c r="L5" s="12">
        <f t="shared" si="0"/>
        <v>2</v>
      </c>
      <c r="M5" s="12">
        <f t="shared" si="0"/>
        <v>2</v>
      </c>
      <c r="N5" s="6"/>
    </row>
    <row r="6" spans="1:14" ht="15.75" customHeight="1">
      <c r="A6" s="49" t="s">
        <v>276</v>
      </c>
      <c r="B6" s="3" t="s">
        <v>34</v>
      </c>
      <c r="C6" s="3" t="s">
        <v>17</v>
      </c>
      <c r="D6" s="9" t="s">
        <v>22</v>
      </c>
      <c r="E6" s="9" t="s">
        <v>17</v>
      </c>
      <c r="F6" s="3" t="s">
        <v>17</v>
      </c>
      <c r="G6" s="27" t="s">
        <v>17</v>
      </c>
      <c r="H6" s="27" t="s">
        <v>17</v>
      </c>
      <c r="I6" s="12">
        <f t="shared" si="0"/>
        <v>0</v>
      </c>
      <c r="J6" s="12">
        <f t="shared" si="0"/>
        <v>2</v>
      </c>
      <c r="K6" s="12">
        <f t="shared" si="0"/>
        <v>2</v>
      </c>
      <c r="L6" s="12">
        <f t="shared" si="0"/>
        <v>2</v>
      </c>
      <c r="M6" s="12">
        <f t="shared" si="0"/>
        <v>2</v>
      </c>
      <c r="N6" s="6"/>
    </row>
    <row r="7" spans="1:14" ht="15.75" customHeight="1">
      <c r="A7" s="49" t="s">
        <v>277</v>
      </c>
      <c r="B7" s="3"/>
      <c r="C7" s="3" t="s">
        <v>14</v>
      </c>
      <c r="D7" s="9" t="s">
        <v>22</v>
      </c>
      <c r="E7" s="9" t="s">
        <v>14</v>
      </c>
      <c r="F7" s="3" t="s">
        <v>14</v>
      </c>
      <c r="G7" s="27" t="s">
        <v>14</v>
      </c>
      <c r="H7" s="27" t="s">
        <v>14</v>
      </c>
      <c r="I7" s="12">
        <f t="shared" si="0"/>
        <v>0</v>
      </c>
      <c r="J7" s="12">
        <f t="shared" si="0"/>
        <v>2</v>
      </c>
      <c r="K7" s="12">
        <f t="shared" si="0"/>
        <v>2</v>
      </c>
      <c r="L7" s="12">
        <f t="shared" si="0"/>
        <v>2</v>
      </c>
      <c r="M7" s="12">
        <f t="shared" si="0"/>
        <v>2</v>
      </c>
      <c r="N7" s="6"/>
    </row>
    <row r="8" spans="1:14" ht="15.75" customHeight="1">
      <c r="A8" s="49" t="s">
        <v>278</v>
      </c>
      <c r="B8" s="3"/>
      <c r="C8" s="3" t="s">
        <v>22</v>
      </c>
      <c r="D8" s="9" t="s">
        <v>22</v>
      </c>
      <c r="E8" s="9" t="s">
        <v>22</v>
      </c>
      <c r="F8" s="9" t="s">
        <v>22</v>
      </c>
      <c r="G8" s="12" t="s">
        <v>22</v>
      </c>
      <c r="H8" s="12" t="s">
        <v>22</v>
      </c>
      <c r="I8" s="12">
        <f t="shared" si="0"/>
        <v>2</v>
      </c>
      <c r="J8" s="12">
        <f t="shared" si="0"/>
        <v>2</v>
      </c>
      <c r="K8" s="12">
        <f t="shared" si="0"/>
        <v>2</v>
      </c>
      <c r="L8" s="12">
        <f t="shared" si="0"/>
        <v>2</v>
      </c>
      <c r="M8" s="12">
        <f t="shared" si="0"/>
        <v>2</v>
      </c>
      <c r="N8" s="6"/>
    </row>
    <row r="9" spans="1:14" ht="15.75" customHeight="1">
      <c r="A9" s="49" t="s">
        <v>279</v>
      </c>
      <c r="B9" s="3"/>
      <c r="C9" s="3" t="s">
        <v>22</v>
      </c>
      <c r="D9" s="9" t="s">
        <v>22</v>
      </c>
      <c r="E9" s="9" t="s">
        <v>22</v>
      </c>
      <c r="F9" s="9" t="s">
        <v>22</v>
      </c>
      <c r="G9" s="12" t="s">
        <v>22</v>
      </c>
      <c r="H9" s="12" t="s">
        <v>22</v>
      </c>
      <c r="I9" s="12">
        <f t="shared" si="0"/>
        <v>2</v>
      </c>
      <c r="J9" s="12">
        <f t="shared" si="0"/>
        <v>2</v>
      </c>
      <c r="K9" s="12">
        <f t="shared" si="0"/>
        <v>2</v>
      </c>
      <c r="L9" s="12">
        <f t="shared" si="0"/>
        <v>2</v>
      </c>
      <c r="M9" s="12">
        <f t="shared" si="0"/>
        <v>2</v>
      </c>
      <c r="N9" s="6"/>
    </row>
    <row r="10" spans="1:14" ht="15.75" customHeight="1">
      <c r="A10" s="49" t="s">
        <v>280</v>
      </c>
      <c r="B10" s="3"/>
      <c r="C10" s="3" t="s">
        <v>21</v>
      </c>
      <c r="D10" s="9" t="s">
        <v>21</v>
      </c>
      <c r="E10" s="9" t="s">
        <v>21</v>
      </c>
      <c r="F10" s="9" t="s">
        <v>21</v>
      </c>
      <c r="G10" s="12" t="s">
        <v>21</v>
      </c>
      <c r="H10" s="12" t="s">
        <v>21</v>
      </c>
      <c r="I10" s="12">
        <f t="shared" si="0"/>
        <v>2</v>
      </c>
      <c r="J10" s="12">
        <f t="shared" si="0"/>
        <v>2</v>
      </c>
      <c r="K10" s="12">
        <f t="shared" si="0"/>
        <v>2</v>
      </c>
      <c r="L10" s="12">
        <f t="shared" si="0"/>
        <v>2</v>
      </c>
      <c r="M10" s="12">
        <f t="shared" si="0"/>
        <v>2</v>
      </c>
      <c r="N10" s="6"/>
    </row>
    <row r="11" spans="1:14" ht="15.75" customHeight="1">
      <c r="A11" s="49" t="s">
        <v>281</v>
      </c>
      <c r="B11" s="3" t="s">
        <v>274</v>
      </c>
      <c r="C11" s="3" t="s">
        <v>19</v>
      </c>
      <c r="D11" s="9" t="s">
        <v>17</v>
      </c>
      <c r="E11" s="9" t="s">
        <v>17</v>
      </c>
      <c r="F11" s="9" t="s">
        <v>17</v>
      </c>
      <c r="G11" s="12" t="s">
        <v>17</v>
      </c>
      <c r="H11" s="12" t="s">
        <v>17</v>
      </c>
      <c r="I11" s="12">
        <f t="shared" si="0"/>
        <v>0</v>
      </c>
      <c r="J11" s="12">
        <f t="shared" si="0"/>
        <v>0</v>
      </c>
      <c r="K11" s="12">
        <f t="shared" si="0"/>
        <v>0</v>
      </c>
      <c r="L11" s="12">
        <f t="shared" si="0"/>
        <v>0</v>
      </c>
      <c r="M11" s="12">
        <f t="shared" si="0"/>
        <v>0</v>
      </c>
      <c r="N11" s="6"/>
    </row>
    <row r="12" spans="1:14" ht="15.75" customHeight="1">
      <c r="A12" s="49" t="s">
        <v>282</v>
      </c>
      <c r="B12" s="3"/>
      <c r="C12" s="3" t="s">
        <v>14</v>
      </c>
      <c r="D12" s="9" t="s">
        <v>19</v>
      </c>
      <c r="E12" s="9" t="s">
        <v>19</v>
      </c>
      <c r="F12" s="9" t="s">
        <v>14</v>
      </c>
      <c r="G12" s="27" t="s">
        <v>14</v>
      </c>
      <c r="H12" s="27" t="s">
        <v>14</v>
      </c>
      <c r="I12" s="12">
        <f t="shared" si="0"/>
        <v>0</v>
      </c>
      <c r="J12" s="12">
        <f t="shared" si="0"/>
        <v>0</v>
      </c>
      <c r="K12" s="12">
        <f t="shared" si="0"/>
        <v>2</v>
      </c>
      <c r="L12" s="12">
        <f t="shared" si="0"/>
        <v>2</v>
      </c>
      <c r="M12" s="12">
        <f t="shared" si="0"/>
        <v>2</v>
      </c>
      <c r="N12" s="6"/>
    </row>
    <row r="13" spans="1:14" ht="15.75" customHeight="1">
      <c r="A13" s="49" t="s">
        <v>283</v>
      </c>
      <c r="B13" s="3" t="s">
        <v>34</v>
      </c>
      <c r="C13" s="3" t="s">
        <v>17</v>
      </c>
      <c r="D13" s="9" t="s">
        <v>17</v>
      </c>
      <c r="E13" s="9" t="s">
        <v>17</v>
      </c>
      <c r="F13" s="9" t="s">
        <v>14</v>
      </c>
      <c r="G13" s="12" t="s">
        <v>17</v>
      </c>
      <c r="H13" s="12" t="s">
        <v>17</v>
      </c>
      <c r="I13" s="12">
        <f t="shared" si="0"/>
        <v>2</v>
      </c>
      <c r="J13" s="12">
        <f t="shared" si="0"/>
        <v>2</v>
      </c>
      <c r="K13" s="12">
        <f t="shared" si="0"/>
        <v>0</v>
      </c>
      <c r="L13" s="12">
        <f t="shared" si="0"/>
        <v>2</v>
      </c>
      <c r="M13" s="12">
        <f t="shared" si="0"/>
        <v>2</v>
      </c>
      <c r="N13" s="6"/>
    </row>
    <row r="14" spans="1:14" ht="15.75" customHeight="1">
      <c r="A14" s="49" t="s">
        <v>284</v>
      </c>
      <c r="B14" s="3" t="s">
        <v>34</v>
      </c>
      <c r="C14" s="3" t="s">
        <v>22</v>
      </c>
      <c r="D14" s="9" t="s">
        <v>22</v>
      </c>
      <c r="E14" s="9" t="s">
        <v>22</v>
      </c>
      <c r="F14" s="9" t="s">
        <v>22</v>
      </c>
      <c r="G14" s="12" t="s">
        <v>22</v>
      </c>
      <c r="H14" s="12" t="s">
        <v>22</v>
      </c>
      <c r="I14" s="12">
        <f t="shared" si="0"/>
        <v>2</v>
      </c>
      <c r="J14" s="12">
        <f t="shared" si="0"/>
        <v>2</v>
      </c>
      <c r="K14" s="12">
        <f t="shared" si="0"/>
        <v>2</v>
      </c>
      <c r="L14" s="12">
        <f t="shared" si="0"/>
        <v>2</v>
      </c>
      <c r="M14" s="12">
        <f t="shared" si="0"/>
        <v>2</v>
      </c>
      <c r="N14" s="6"/>
    </row>
    <row r="15" spans="1:14" ht="15.75" customHeight="1">
      <c r="A15" s="49" t="s">
        <v>285</v>
      </c>
      <c r="B15" s="3"/>
      <c r="C15" s="3" t="s">
        <v>21</v>
      </c>
      <c r="D15" s="9" t="s">
        <v>21</v>
      </c>
      <c r="E15" s="9" t="s">
        <v>21</v>
      </c>
      <c r="F15" s="9" t="s">
        <v>21</v>
      </c>
      <c r="G15" s="12" t="s">
        <v>21</v>
      </c>
      <c r="H15" s="12" t="s">
        <v>21</v>
      </c>
      <c r="I15" s="12">
        <f t="shared" si="0"/>
        <v>2</v>
      </c>
      <c r="J15" s="12">
        <f t="shared" si="0"/>
        <v>2</v>
      </c>
      <c r="K15" s="12">
        <f t="shared" si="0"/>
        <v>2</v>
      </c>
      <c r="L15" s="12">
        <f t="shared" si="0"/>
        <v>2</v>
      </c>
      <c r="M15" s="12">
        <f t="shared" si="0"/>
        <v>2</v>
      </c>
      <c r="N15" s="6"/>
    </row>
    <row r="16" spans="1:14" ht="15.75" customHeight="1">
      <c r="A16" s="49" t="s">
        <v>286</v>
      </c>
      <c r="B16" s="3"/>
      <c r="C16" s="3" t="s">
        <v>17</v>
      </c>
      <c r="D16" s="9" t="s">
        <v>17</v>
      </c>
      <c r="E16" s="9" t="s">
        <v>17</v>
      </c>
      <c r="F16" s="9" t="s">
        <v>17</v>
      </c>
      <c r="G16" s="12" t="s">
        <v>17</v>
      </c>
      <c r="H16" s="12" t="s">
        <v>17</v>
      </c>
      <c r="I16" s="12">
        <f t="shared" si="0"/>
        <v>2</v>
      </c>
      <c r="J16" s="12">
        <f t="shared" si="0"/>
        <v>2</v>
      </c>
      <c r="K16" s="12">
        <f t="shared" si="0"/>
        <v>2</v>
      </c>
      <c r="L16" s="12">
        <f t="shared" si="0"/>
        <v>2</v>
      </c>
      <c r="M16" s="12">
        <f t="shared" si="0"/>
        <v>2</v>
      </c>
      <c r="N16" s="6"/>
    </row>
    <row r="17" spans="1:14" ht="15.75" customHeight="1">
      <c r="A17" s="49" t="s">
        <v>287</v>
      </c>
      <c r="B17" s="3" t="s">
        <v>274</v>
      </c>
      <c r="C17" s="3" t="s">
        <v>17</v>
      </c>
      <c r="D17" s="10" t="s">
        <v>17</v>
      </c>
      <c r="E17" s="10" t="s">
        <v>17</v>
      </c>
      <c r="F17" s="10" t="s">
        <v>17</v>
      </c>
      <c r="G17" s="11" t="s">
        <v>17</v>
      </c>
      <c r="H17" s="11" t="s">
        <v>17</v>
      </c>
      <c r="I17" s="12">
        <f t="shared" si="0"/>
        <v>2</v>
      </c>
      <c r="J17" s="12">
        <f t="shared" si="0"/>
        <v>2</v>
      </c>
      <c r="K17" s="12">
        <f t="shared" si="0"/>
        <v>2</v>
      </c>
      <c r="L17" s="12">
        <f t="shared" si="0"/>
        <v>2</v>
      </c>
      <c r="M17" s="12">
        <f t="shared" si="0"/>
        <v>2</v>
      </c>
      <c r="N17" s="6"/>
    </row>
    <row r="18" spans="1:14" ht="15.75" customHeight="1">
      <c r="A18" s="49" t="s">
        <v>288</v>
      </c>
      <c r="B18" s="3" t="s">
        <v>274</v>
      </c>
      <c r="C18" s="3" t="s">
        <v>21</v>
      </c>
      <c r="D18" s="10" t="s">
        <v>17</v>
      </c>
      <c r="E18" s="10" t="s">
        <v>19</v>
      </c>
      <c r="F18" s="10" t="s">
        <v>17</v>
      </c>
      <c r="G18" s="11" t="s">
        <v>14</v>
      </c>
      <c r="H18" s="11" t="s">
        <v>21</v>
      </c>
      <c r="I18" s="12">
        <f t="shared" ref="I18:M22" si="1">_xlfn.LET(
_xlpm.full,2,
_xlpm.ans,UPPER(SUBSTITUTE(SUBSTITUTE(SUBSTITUTE(SUBSTITUTE(SUBSTITUTE(SUBSTITUTE($C18&amp;"","，",""),",",""),"、","")," ",""),"　",""),CHAR(10),"")),
_xlpm.resp,UPPER(SUBSTITUTE(SUBSTITUTE(SUBSTITUTE(SUBSTITUTE(SUBSTITUTE(SUBSTITUTE(D18&amp;"","，",""),",",""),"、","")," ",""),"　",""),CHAR(10),"")),
IF(OR(_xlpm.resp="",LEN(_xlpm.resp)&lt;&gt;1),0,IF(_xlpm.resp=_xlpm.ans,_xlpm.full,0))
)</f>
        <v>0</v>
      </c>
      <c r="J18" s="12">
        <f t="shared" si="1"/>
        <v>0</v>
      </c>
      <c r="K18" s="12">
        <f t="shared" si="1"/>
        <v>0</v>
      </c>
      <c r="L18" s="12">
        <f t="shared" si="1"/>
        <v>0</v>
      </c>
      <c r="M18" s="12">
        <f t="shared" si="1"/>
        <v>2</v>
      </c>
      <c r="N18" s="6"/>
    </row>
    <row r="19" spans="1:14" ht="15.75" customHeight="1">
      <c r="A19" s="49" t="s">
        <v>289</v>
      </c>
      <c r="B19" s="3"/>
      <c r="C19" s="3" t="s">
        <v>14</v>
      </c>
      <c r="D19" s="10" t="s">
        <v>14</v>
      </c>
      <c r="E19" s="10" t="s">
        <v>14</v>
      </c>
      <c r="F19" s="10" t="s">
        <v>14</v>
      </c>
      <c r="G19" s="11" t="s">
        <v>14</v>
      </c>
      <c r="H19" s="11" t="s">
        <v>14</v>
      </c>
      <c r="I19" s="12">
        <f t="shared" si="1"/>
        <v>2</v>
      </c>
      <c r="J19" s="12">
        <f t="shared" si="1"/>
        <v>2</v>
      </c>
      <c r="K19" s="12">
        <f t="shared" si="1"/>
        <v>2</v>
      </c>
      <c r="L19" s="12">
        <f t="shared" si="1"/>
        <v>2</v>
      </c>
      <c r="M19" s="12">
        <f t="shared" si="1"/>
        <v>2</v>
      </c>
      <c r="N19" s="6"/>
    </row>
    <row r="20" spans="1:14" ht="15.75" customHeight="1">
      <c r="A20" s="49" t="s">
        <v>290</v>
      </c>
      <c r="B20" s="3"/>
      <c r="C20" s="3" t="s">
        <v>21</v>
      </c>
      <c r="D20" s="10" t="s">
        <v>21</v>
      </c>
      <c r="E20" s="10" t="s">
        <v>21</v>
      </c>
      <c r="F20" s="10" t="s">
        <v>21</v>
      </c>
      <c r="G20" s="11" t="s">
        <v>21</v>
      </c>
      <c r="H20" s="11" t="s">
        <v>21</v>
      </c>
      <c r="I20" s="12">
        <f t="shared" si="1"/>
        <v>2</v>
      </c>
      <c r="J20" s="12">
        <f t="shared" si="1"/>
        <v>2</v>
      </c>
      <c r="K20" s="12">
        <f t="shared" si="1"/>
        <v>2</v>
      </c>
      <c r="L20" s="12">
        <f t="shared" si="1"/>
        <v>2</v>
      </c>
      <c r="M20" s="12">
        <f t="shared" si="1"/>
        <v>2</v>
      </c>
      <c r="N20" s="6"/>
    </row>
    <row r="21" spans="1:14" ht="15.75" customHeight="1">
      <c r="A21" s="49" t="s">
        <v>291</v>
      </c>
      <c r="B21" s="3" t="s">
        <v>274</v>
      </c>
      <c r="C21" s="3" t="s">
        <v>21</v>
      </c>
      <c r="D21" s="10" t="s">
        <v>17</v>
      </c>
      <c r="E21" s="10" t="s">
        <v>21</v>
      </c>
      <c r="F21" s="10" t="s">
        <v>22</v>
      </c>
      <c r="G21" s="11" t="s">
        <v>22</v>
      </c>
      <c r="H21" s="11" t="s">
        <v>21</v>
      </c>
      <c r="I21" s="12">
        <f t="shared" si="1"/>
        <v>0</v>
      </c>
      <c r="J21" s="12">
        <f t="shared" si="1"/>
        <v>2</v>
      </c>
      <c r="K21" s="12">
        <f t="shared" si="1"/>
        <v>0</v>
      </c>
      <c r="L21" s="12">
        <f t="shared" si="1"/>
        <v>0</v>
      </c>
      <c r="M21" s="12">
        <f t="shared" si="1"/>
        <v>2</v>
      </c>
      <c r="N21" s="6"/>
    </row>
    <row r="22" spans="1:14" ht="15.75" customHeight="1">
      <c r="A22" s="49" t="s">
        <v>292</v>
      </c>
      <c r="B22" s="3"/>
      <c r="C22" s="3" t="s">
        <v>14</v>
      </c>
      <c r="D22" s="10" t="s">
        <v>14</v>
      </c>
      <c r="E22" s="10" t="s">
        <v>14</v>
      </c>
      <c r="F22" s="10" t="s">
        <v>14</v>
      </c>
      <c r="G22" s="11" t="s">
        <v>14</v>
      </c>
      <c r="H22" s="11" t="s">
        <v>14</v>
      </c>
      <c r="I22" s="12">
        <f t="shared" si="1"/>
        <v>2</v>
      </c>
      <c r="J22" s="12">
        <f t="shared" si="1"/>
        <v>2</v>
      </c>
      <c r="K22" s="12">
        <f t="shared" si="1"/>
        <v>2</v>
      </c>
      <c r="L22" s="12">
        <f t="shared" si="1"/>
        <v>2</v>
      </c>
      <c r="M22" s="12">
        <f t="shared" si="1"/>
        <v>2</v>
      </c>
      <c r="N22" s="6"/>
    </row>
    <row r="23" spans="1:14" ht="15.75" customHeight="1">
      <c r="A23" s="51" t="s">
        <v>293</v>
      </c>
      <c r="B23" s="18"/>
      <c r="C23" s="18" t="s">
        <v>294</v>
      </c>
      <c r="D23" s="24" t="s">
        <v>294</v>
      </c>
      <c r="E23" s="24"/>
      <c r="F23" s="24" t="s">
        <v>294</v>
      </c>
      <c r="G23" s="24"/>
      <c r="H23" s="24"/>
      <c r="I23" s="19"/>
      <c r="J23" s="19"/>
      <c r="K23" s="19"/>
      <c r="L23" s="19"/>
      <c r="M23" s="19"/>
      <c r="N23" s="50"/>
    </row>
    <row r="24" spans="1:14" ht="15.75" customHeight="1">
      <c r="A24" s="49" t="s">
        <v>295</v>
      </c>
      <c r="B24" s="3" t="s">
        <v>274</v>
      </c>
      <c r="C24" s="3" t="s">
        <v>14</v>
      </c>
      <c r="D24" s="10" t="s">
        <v>14</v>
      </c>
      <c r="E24" s="10" t="s">
        <v>14</v>
      </c>
      <c r="F24" s="10" t="s">
        <v>22</v>
      </c>
      <c r="G24" s="11" t="s">
        <v>21</v>
      </c>
      <c r="H24" s="11" t="s">
        <v>21</v>
      </c>
      <c r="I24" s="12">
        <f t="shared" ref="I24:M25" si="2">_xlfn.LET(
_xlpm.full,2,
_xlpm.ans,UPPER(SUBSTITUTE(SUBSTITUTE(SUBSTITUTE(SUBSTITUTE(SUBSTITUTE(SUBSTITUTE($C24&amp;"","，",""),",",""),"、","")," ",""),"　",""),CHAR(10),"")),
_xlpm.resp,UPPER(SUBSTITUTE(SUBSTITUTE(SUBSTITUTE(SUBSTITUTE(SUBSTITUTE(SUBSTITUTE(D24&amp;"","，",""),",",""),"、","")," ",""),"　",""),CHAR(10),"")),
IF(OR(_xlpm.resp="",LEN(_xlpm.resp)&lt;&gt;1),0,IF(_xlpm.resp=_xlpm.ans,_xlpm.full,0))
)</f>
        <v>2</v>
      </c>
      <c r="J24" s="12">
        <f t="shared" si="2"/>
        <v>2</v>
      </c>
      <c r="K24" s="12">
        <f t="shared" si="2"/>
        <v>0</v>
      </c>
      <c r="L24" s="12">
        <f t="shared" si="2"/>
        <v>0</v>
      </c>
      <c r="M24" s="12">
        <f t="shared" si="2"/>
        <v>0</v>
      </c>
      <c r="N24" s="50"/>
    </row>
    <row r="25" spans="1:14" ht="15.75" customHeight="1">
      <c r="A25" s="49" t="s">
        <v>296</v>
      </c>
      <c r="B25" s="3" t="s">
        <v>274</v>
      </c>
      <c r="C25" s="3" t="s">
        <v>21</v>
      </c>
      <c r="D25" s="10" t="s">
        <v>21</v>
      </c>
      <c r="E25" s="10" t="s">
        <v>21</v>
      </c>
      <c r="F25" s="10" t="s">
        <v>21</v>
      </c>
      <c r="G25" s="11" t="s">
        <v>21</v>
      </c>
      <c r="H25" s="11" t="s">
        <v>21</v>
      </c>
      <c r="I25" s="12">
        <f t="shared" si="2"/>
        <v>2</v>
      </c>
      <c r="J25" s="12">
        <f t="shared" si="2"/>
        <v>2</v>
      </c>
      <c r="K25" s="12">
        <f t="shared" si="2"/>
        <v>2</v>
      </c>
      <c r="L25" s="12">
        <f t="shared" si="2"/>
        <v>2</v>
      </c>
      <c r="M25" s="12">
        <f t="shared" si="2"/>
        <v>2</v>
      </c>
      <c r="N25" s="50"/>
    </row>
    <row r="26" spans="1:14" ht="15.75" customHeight="1">
      <c r="A26" s="49" t="s">
        <v>297</v>
      </c>
      <c r="B26" s="3" t="s">
        <v>274</v>
      </c>
      <c r="C26" s="3" t="s">
        <v>88</v>
      </c>
      <c r="D26" s="10" t="s">
        <v>88</v>
      </c>
      <c r="E26" s="10" t="s">
        <v>88</v>
      </c>
      <c r="F26" s="10" t="s">
        <v>14</v>
      </c>
      <c r="G26" s="11" t="s">
        <v>88</v>
      </c>
      <c r="H26" s="11" t="s">
        <v>88</v>
      </c>
      <c r="I26" s="22">
        <f>_xlfn.LET(
_xlpm.full,2,
_xlpm.ans0,$C26&amp;"",
_xlpm.resp0,D26&amp;"",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J26" s="22">
        <f t="shared" ref="J26:M30" si="3">_xlfn.LET(
_xlpm.full,2,
_xlpm.ans0,$C26&amp;"",
_xlpm.resp0,E26&amp;"",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K26" s="22">
        <f t="shared" si="3"/>
        <v>1.2</v>
      </c>
      <c r="L26" s="22">
        <f t="shared" si="3"/>
        <v>2</v>
      </c>
      <c r="M26" s="22">
        <f t="shared" si="3"/>
        <v>2</v>
      </c>
      <c r="N26" s="50"/>
    </row>
    <row r="27" spans="1:14" ht="15.75" customHeight="1">
      <c r="A27" s="8" t="s">
        <v>298</v>
      </c>
      <c r="B27" s="3"/>
      <c r="C27" s="3" t="s">
        <v>96</v>
      </c>
      <c r="D27" s="10" t="s">
        <v>96</v>
      </c>
      <c r="E27" s="10" t="s">
        <v>96</v>
      </c>
      <c r="F27" s="10" t="s">
        <v>21</v>
      </c>
      <c r="G27" s="11" t="s">
        <v>96</v>
      </c>
      <c r="H27" s="11" t="s">
        <v>96</v>
      </c>
      <c r="I27" s="22">
        <f>_xlfn.LET(
_xlpm.full,2,
_xlpm.ans0,$C27&amp;"",
_xlpm.resp0,D27&amp;"",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J27" s="22">
        <f t="shared" si="3"/>
        <v>2</v>
      </c>
      <c r="K27" s="22">
        <f t="shared" si="3"/>
        <v>0.4</v>
      </c>
      <c r="L27" s="22">
        <f t="shared" si="3"/>
        <v>2</v>
      </c>
      <c r="M27" s="22">
        <f t="shared" si="3"/>
        <v>2</v>
      </c>
      <c r="N27" s="50"/>
    </row>
    <row r="28" spans="1:14" ht="15.75" customHeight="1">
      <c r="A28" s="8" t="s">
        <v>299</v>
      </c>
      <c r="B28" s="3"/>
      <c r="C28" s="3" t="s">
        <v>57</v>
      </c>
      <c r="D28" s="10" t="s">
        <v>57</v>
      </c>
      <c r="E28" s="10" t="s">
        <v>57</v>
      </c>
      <c r="F28" s="10" t="s">
        <v>60</v>
      </c>
      <c r="G28" s="11" t="s">
        <v>57</v>
      </c>
      <c r="H28" s="11" t="s">
        <v>57</v>
      </c>
      <c r="I28" s="22">
        <f>_xlfn.LET(
_xlpm.full,2,
_xlpm.ans0,$C28&amp;"",
_xlpm.resp0,D28&amp;"",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J28" s="22">
        <f t="shared" si="3"/>
        <v>2</v>
      </c>
      <c r="K28" s="22">
        <f t="shared" si="3"/>
        <v>0.4</v>
      </c>
      <c r="L28" s="22">
        <f t="shared" si="3"/>
        <v>2</v>
      </c>
      <c r="M28" s="22">
        <f t="shared" si="3"/>
        <v>2</v>
      </c>
      <c r="N28" s="50"/>
    </row>
    <row r="29" spans="1:14" ht="15.75" customHeight="1">
      <c r="A29" s="8" t="s">
        <v>300</v>
      </c>
      <c r="B29" s="3"/>
      <c r="C29" s="3" t="s">
        <v>72</v>
      </c>
      <c r="D29" s="10" t="s">
        <v>72</v>
      </c>
      <c r="E29" s="10" t="s">
        <v>72</v>
      </c>
      <c r="F29" s="10" t="s">
        <v>64</v>
      </c>
      <c r="G29" s="11" t="s">
        <v>72</v>
      </c>
      <c r="H29" s="11" t="s">
        <v>72</v>
      </c>
      <c r="I29" s="22">
        <f>_xlfn.LET(
_xlpm.full,2,
_xlpm.ans0,$C29&amp;"",
_xlpm.resp0,D29&amp;"",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J29" s="22">
        <f t="shared" si="3"/>
        <v>2</v>
      </c>
      <c r="K29" s="22">
        <f t="shared" si="3"/>
        <v>0.4</v>
      </c>
      <c r="L29" s="22">
        <f t="shared" si="3"/>
        <v>2</v>
      </c>
      <c r="M29" s="22">
        <f t="shared" si="3"/>
        <v>2</v>
      </c>
      <c r="N29" s="50"/>
    </row>
    <row r="30" spans="1:14" ht="15.75" customHeight="1">
      <c r="A30" s="8" t="s">
        <v>301</v>
      </c>
      <c r="B30" s="3"/>
      <c r="C30" s="3" t="s">
        <v>88</v>
      </c>
      <c r="D30" s="10" t="s">
        <v>88</v>
      </c>
      <c r="E30" s="10" t="s">
        <v>88</v>
      </c>
      <c r="F30" s="10" t="s">
        <v>14</v>
      </c>
      <c r="G30" s="11" t="s">
        <v>88</v>
      </c>
      <c r="H30" s="11" t="s">
        <v>88</v>
      </c>
      <c r="I30" s="22">
        <f>_xlfn.LET(
_xlpm.full,2,
_xlpm.ans0,$C30&amp;"",
_xlpm.resp0,D30&amp;"",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J30" s="22">
        <f t="shared" si="3"/>
        <v>2</v>
      </c>
      <c r="K30" s="22">
        <f t="shared" si="3"/>
        <v>1.2</v>
      </c>
      <c r="L30" s="22">
        <f t="shared" si="3"/>
        <v>2</v>
      </c>
      <c r="M30" s="22">
        <f t="shared" si="3"/>
        <v>2</v>
      </c>
      <c r="N30" s="50"/>
    </row>
    <row r="31" spans="1:14" ht="15.75" customHeight="1">
      <c r="A31" s="51" t="s">
        <v>302</v>
      </c>
      <c r="B31" s="18"/>
      <c r="C31" s="18" t="s">
        <v>294</v>
      </c>
      <c r="D31" s="24" t="s">
        <v>294</v>
      </c>
      <c r="E31" s="24"/>
      <c r="F31" s="24" t="s">
        <v>294</v>
      </c>
      <c r="G31" s="24"/>
      <c r="H31" s="24"/>
      <c r="I31" s="19"/>
      <c r="J31" s="19"/>
      <c r="K31" s="19"/>
      <c r="L31" s="19"/>
      <c r="M31" s="19"/>
      <c r="N31" s="50"/>
    </row>
    <row r="32" spans="1:14" ht="15.75" customHeight="1">
      <c r="A32" s="8" t="s">
        <v>303</v>
      </c>
      <c r="B32" s="3" t="s">
        <v>274</v>
      </c>
      <c r="C32" s="3" t="s">
        <v>55</v>
      </c>
      <c r="D32" s="10" t="s">
        <v>60</v>
      </c>
      <c r="E32" s="10" t="s">
        <v>55</v>
      </c>
      <c r="F32" s="10" t="s">
        <v>55</v>
      </c>
      <c r="G32" s="11" t="s">
        <v>55</v>
      </c>
      <c r="H32" s="11" t="s">
        <v>55</v>
      </c>
      <c r="I32" s="22">
        <f t="shared" ref="I32:I38" si="4">_xlfn.LET(
_xlpm.full,2,
_xlpm.ans0,$C32&amp;"",
_xlpm.resp0,D32&amp;"",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0.4</v>
      </c>
      <c r="J32" s="22">
        <f t="shared" ref="J32:M38" si="5">_xlfn.LET(
_xlpm.full,2,
_xlpm.ans0,$C32&amp;"",
_xlpm.resp0,E32&amp;"",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K32" s="22">
        <f t="shared" si="5"/>
        <v>2</v>
      </c>
      <c r="L32" s="22">
        <f t="shared" si="5"/>
        <v>2</v>
      </c>
      <c r="M32" s="22">
        <f t="shared" si="5"/>
        <v>2</v>
      </c>
      <c r="N32" s="50"/>
    </row>
    <row r="33" spans="1:25" ht="15.75" customHeight="1">
      <c r="A33" s="8" t="s">
        <v>304</v>
      </c>
      <c r="B33" s="3" t="s">
        <v>274</v>
      </c>
      <c r="C33" s="3" t="s">
        <v>54</v>
      </c>
      <c r="D33" s="10" t="s">
        <v>58</v>
      </c>
      <c r="E33" s="10" t="s">
        <v>54</v>
      </c>
      <c r="F33" s="10" t="s">
        <v>19</v>
      </c>
      <c r="G33" s="11" t="s">
        <v>54</v>
      </c>
      <c r="H33" s="11" t="s">
        <v>54</v>
      </c>
      <c r="I33" s="22">
        <f t="shared" si="4"/>
        <v>0.4</v>
      </c>
      <c r="J33" s="22">
        <f t="shared" si="5"/>
        <v>2</v>
      </c>
      <c r="K33" s="22">
        <f t="shared" si="5"/>
        <v>0</v>
      </c>
      <c r="L33" s="22">
        <f t="shared" si="5"/>
        <v>2</v>
      </c>
      <c r="M33" s="22">
        <f t="shared" si="5"/>
        <v>2</v>
      </c>
      <c r="N33" s="50"/>
    </row>
    <row r="34" spans="1:25" ht="15.75" customHeight="1">
      <c r="A34" s="8" t="s">
        <v>305</v>
      </c>
      <c r="B34" s="3" t="s">
        <v>274</v>
      </c>
      <c r="C34" s="3" t="s">
        <v>60</v>
      </c>
      <c r="D34" s="10" t="s">
        <v>60</v>
      </c>
      <c r="E34" s="10" t="s">
        <v>60</v>
      </c>
      <c r="F34" s="10" t="s">
        <v>60</v>
      </c>
      <c r="G34" s="11" t="s">
        <v>60</v>
      </c>
      <c r="H34" s="11" t="s">
        <v>60</v>
      </c>
      <c r="I34" s="22">
        <f t="shared" si="4"/>
        <v>2</v>
      </c>
      <c r="J34" s="22">
        <f t="shared" si="5"/>
        <v>2</v>
      </c>
      <c r="K34" s="22">
        <f t="shared" si="5"/>
        <v>2</v>
      </c>
      <c r="L34" s="22">
        <f t="shared" si="5"/>
        <v>2</v>
      </c>
      <c r="M34" s="22">
        <f t="shared" si="5"/>
        <v>2</v>
      </c>
      <c r="N34" s="50"/>
    </row>
    <row r="35" spans="1:25" ht="15.75" customHeight="1">
      <c r="A35" s="8" t="s">
        <v>306</v>
      </c>
      <c r="B35" s="3" t="s">
        <v>274</v>
      </c>
      <c r="C35" s="3" t="s">
        <v>54</v>
      </c>
      <c r="D35" s="10" t="s">
        <v>58</v>
      </c>
      <c r="E35" s="10" t="s">
        <v>54</v>
      </c>
      <c r="F35" s="10" t="s">
        <v>54</v>
      </c>
      <c r="G35" s="11" t="s">
        <v>54</v>
      </c>
      <c r="H35" s="11" t="s">
        <v>54</v>
      </c>
      <c r="I35" s="22">
        <f t="shared" si="4"/>
        <v>0.4</v>
      </c>
      <c r="J35" s="22">
        <f t="shared" si="5"/>
        <v>2</v>
      </c>
      <c r="K35" s="22">
        <f t="shared" si="5"/>
        <v>2</v>
      </c>
      <c r="L35" s="22">
        <f t="shared" si="5"/>
        <v>2</v>
      </c>
      <c r="M35" s="22">
        <f t="shared" si="5"/>
        <v>2</v>
      </c>
      <c r="N35" s="50"/>
      <c r="O35" s="50"/>
      <c r="P35" s="50"/>
      <c r="Q35" s="50"/>
      <c r="R35" s="50"/>
      <c r="S35" s="50"/>
      <c r="T35" s="50"/>
      <c r="U35" s="50"/>
      <c r="V35" s="50"/>
      <c r="W35" s="50"/>
      <c r="X35" s="50"/>
      <c r="Y35" s="50"/>
    </row>
    <row r="36" spans="1:25" ht="15.75" customHeight="1">
      <c r="A36" s="8" t="s">
        <v>307</v>
      </c>
      <c r="B36" s="3" t="s">
        <v>274</v>
      </c>
      <c r="C36" s="3" t="s">
        <v>102</v>
      </c>
      <c r="D36" s="10" t="s">
        <v>102</v>
      </c>
      <c r="E36" s="10" t="s">
        <v>102</v>
      </c>
      <c r="F36" s="10" t="s">
        <v>102</v>
      </c>
      <c r="G36" s="11" t="s">
        <v>102</v>
      </c>
      <c r="H36" s="11" t="s">
        <v>102</v>
      </c>
      <c r="I36" s="22">
        <f t="shared" si="4"/>
        <v>2</v>
      </c>
      <c r="J36" s="22">
        <f t="shared" si="5"/>
        <v>2</v>
      </c>
      <c r="K36" s="22">
        <f t="shared" si="5"/>
        <v>2</v>
      </c>
      <c r="L36" s="22">
        <f t="shared" si="5"/>
        <v>2</v>
      </c>
      <c r="M36" s="22">
        <f t="shared" si="5"/>
        <v>2</v>
      </c>
      <c r="N36" s="50"/>
      <c r="O36" s="50"/>
      <c r="P36" s="50"/>
      <c r="Q36" s="50"/>
      <c r="R36" s="50"/>
      <c r="S36" s="50"/>
      <c r="T36" s="50"/>
      <c r="U36" s="50"/>
      <c r="V36" s="50"/>
      <c r="W36" s="50"/>
      <c r="X36" s="50"/>
      <c r="Y36" s="50"/>
    </row>
    <row r="37" spans="1:25" ht="15.75" customHeight="1">
      <c r="A37" s="8" t="s">
        <v>308</v>
      </c>
      <c r="B37" s="3"/>
      <c r="C37" s="3" t="s">
        <v>64</v>
      </c>
      <c r="D37" s="10" t="s">
        <v>64</v>
      </c>
      <c r="E37" s="10" t="s">
        <v>64</v>
      </c>
      <c r="F37" s="10" t="s">
        <v>64</v>
      </c>
      <c r="G37" s="11" t="s">
        <v>64</v>
      </c>
      <c r="H37" s="11" t="s">
        <v>64</v>
      </c>
      <c r="I37" s="22">
        <f t="shared" si="4"/>
        <v>2</v>
      </c>
      <c r="J37" s="22">
        <f t="shared" si="5"/>
        <v>2</v>
      </c>
      <c r="K37" s="22">
        <f t="shared" si="5"/>
        <v>2</v>
      </c>
      <c r="L37" s="22">
        <f t="shared" si="5"/>
        <v>2</v>
      </c>
      <c r="M37" s="22">
        <f t="shared" si="5"/>
        <v>2</v>
      </c>
      <c r="N37" s="50"/>
      <c r="O37" s="50"/>
      <c r="P37" s="50"/>
      <c r="Q37" s="50"/>
      <c r="R37" s="50"/>
      <c r="S37" s="50"/>
      <c r="T37" s="50"/>
      <c r="U37" s="50"/>
      <c r="V37" s="50"/>
      <c r="W37" s="50"/>
      <c r="X37" s="50"/>
      <c r="Y37" s="50"/>
    </row>
    <row r="38" spans="1:25" ht="15.75" customHeight="1">
      <c r="A38" s="8" t="s">
        <v>309</v>
      </c>
      <c r="B38" s="3" t="s">
        <v>274</v>
      </c>
      <c r="C38" s="3" t="s">
        <v>58</v>
      </c>
      <c r="D38" s="10" t="s">
        <v>58</v>
      </c>
      <c r="E38" s="10" t="s">
        <v>55</v>
      </c>
      <c r="F38" s="10" t="s">
        <v>55</v>
      </c>
      <c r="G38" s="11" t="s">
        <v>55</v>
      </c>
      <c r="H38" s="11" t="s">
        <v>55</v>
      </c>
      <c r="I38" s="22">
        <f t="shared" si="4"/>
        <v>2</v>
      </c>
      <c r="J38" s="22">
        <f t="shared" si="5"/>
        <v>0.4</v>
      </c>
      <c r="K38" s="22">
        <f t="shared" si="5"/>
        <v>0.4</v>
      </c>
      <c r="L38" s="22">
        <f t="shared" si="5"/>
        <v>0.4</v>
      </c>
      <c r="M38" s="22">
        <f t="shared" si="5"/>
        <v>0.4</v>
      </c>
      <c r="N38" s="50"/>
      <c r="O38" s="50"/>
      <c r="P38" s="50"/>
      <c r="Q38" s="50"/>
      <c r="R38" s="50"/>
      <c r="S38" s="50"/>
      <c r="T38" s="50"/>
      <c r="U38" s="50"/>
      <c r="V38" s="50"/>
      <c r="W38" s="50"/>
      <c r="X38" s="50"/>
      <c r="Y38" s="50"/>
    </row>
    <row r="39" spans="1:25" ht="15.75" customHeight="1">
      <c r="A39" s="8" t="s">
        <v>310</v>
      </c>
      <c r="B39" s="3"/>
      <c r="C39" s="3" t="s">
        <v>94</v>
      </c>
      <c r="D39" s="10" t="s">
        <v>94</v>
      </c>
      <c r="E39" s="10" t="s">
        <v>94</v>
      </c>
      <c r="F39" s="10" t="s">
        <v>58</v>
      </c>
      <c r="G39" s="11" t="s">
        <v>58</v>
      </c>
      <c r="H39" s="11" t="s">
        <v>94</v>
      </c>
      <c r="I39" s="25">
        <f>_xlfn.LET(
_xlpm.full,2,
_xlpm.ans0,$C39&amp;"",
_xlpm.resp0,D39&amp;"",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39" s="25">
        <f t="shared" ref="J39:M39" si="6">_xlfn.LET(
_xlpm.full,2,
_xlpm.ans0,$C39&amp;"",
_xlpm.resp0,E39&amp;"",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39" s="25">
        <f t="shared" si="6"/>
        <v>1.2</v>
      </c>
      <c r="L39" s="25">
        <f t="shared" si="6"/>
        <v>1.2</v>
      </c>
      <c r="M39" s="25">
        <f t="shared" si="6"/>
        <v>2</v>
      </c>
      <c r="N39" s="50"/>
      <c r="O39" s="50"/>
      <c r="P39" s="50"/>
      <c r="Q39" s="50"/>
      <c r="R39" s="50"/>
      <c r="S39" s="50"/>
      <c r="T39" s="50"/>
      <c r="U39" s="50"/>
      <c r="V39" s="50"/>
      <c r="W39" s="50"/>
      <c r="X39" s="50"/>
      <c r="Y39" s="50"/>
    </row>
    <row r="40" spans="1:25" ht="15.75" customHeight="1">
      <c r="A40" s="51" t="s">
        <v>311</v>
      </c>
      <c r="B40" s="18"/>
      <c r="C40" s="18" t="s">
        <v>294</v>
      </c>
      <c r="D40" s="24" t="s">
        <v>294</v>
      </c>
      <c r="E40" s="24"/>
      <c r="F40" s="24" t="s">
        <v>294</v>
      </c>
      <c r="G40" s="24"/>
      <c r="H40" s="24"/>
      <c r="I40" s="19"/>
      <c r="J40" s="19"/>
      <c r="K40" s="19"/>
      <c r="L40" s="19"/>
      <c r="M40" s="19"/>
      <c r="N40" s="50"/>
      <c r="O40" s="50"/>
      <c r="P40" s="50"/>
      <c r="Q40" s="50"/>
      <c r="R40" s="50"/>
      <c r="S40" s="50"/>
      <c r="T40" s="50"/>
      <c r="U40" s="50"/>
      <c r="V40" s="50"/>
      <c r="W40" s="50"/>
      <c r="X40" s="50"/>
      <c r="Y40" s="50"/>
    </row>
    <row r="41" spans="1:25" ht="15.75" customHeight="1">
      <c r="A41" s="8" t="s">
        <v>312</v>
      </c>
      <c r="B41" s="3"/>
      <c r="C41" s="3" t="s">
        <v>17</v>
      </c>
      <c r="D41" s="10" t="s">
        <v>53</v>
      </c>
      <c r="E41" s="10" t="s">
        <v>22</v>
      </c>
      <c r="F41" s="10" t="s">
        <v>72</v>
      </c>
      <c r="G41" s="11" t="s">
        <v>22</v>
      </c>
      <c r="H41" s="11" t="s">
        <v>22</v>
      </c>
      <c r="I41" s="25">
        <f>_xlfn.LET(
_xlpm.full,2,
_xlpm.ans0,$C41&amp;"",
_xlpm.resp0,D41&amp;"",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41" s="25">
        <f t="shared" ref="J41:M44" si="7">_xlfn.LET(
_xlpm.full,2,
_xlpm.ans0,$C41&amp;"",
_xlpm.resp0,E41&amp;"",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K41" s="25">
        <f t="shared" si="7"/>
        <v>0</v>
      </c>
      <c r="L41" s="25">
        <f t="shared" si="7"/>
        <v>0</v>
      </c>
      <c r="M41" s="25">
        <f t="shared" si="7"/>
        <v>0</v>
      </c>
      <c r="N41" s="50"/>
      <c r="O41" s="50"/>
      <c r="P41" s="50"/>
      <c r="Q41" s="50"/>
      <c r="R41" s="50"/>
      <c r="S41" s="50"/>
      <c r="T41" s="50"/>
      <c r="U41" s="50"/>
      <c r="V41" s="50"/>
      <c r="W41" s="50"/>
      <c r="X41" s="50"/>
      <c r="Y41" s="50"/>
    </row>
    <row r="42" spans="1:25" ht="15.75" customHeight="1">
      <c r="A42" s="8" t="s">
        <v>313</v>
      </c>
      <c r="B42" s="3"/>
      <c r="C42" s="3" t="s">
        <v>22</v>
      </c>
      <c r="D42" s="10" t="s">
        <v>55</v>
      </c>
      <c r="E42" s="10" t="s">
        <v>22</v>
      </c>
      <c r="F42" s="10" t="s">
        <v>50</v>
      </c>
      <c r="G42" s="11" t="s">
        <v>22</v>
      </c>
      <c r="H42" s="11" t="s">
        <v>22</v>
      </c>
      <c r="I42" s="25">
        <f>_xlfn.LET(
_xlpm.full,2,
_xlpm.ans0,$C42&amp;"",
_xlpm.resp0,D42&amp;"",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42" s="25">
        <f t="shared" si="7"/>
        <v>2</v>
      </c>
      <c r="K42" s="25">
        <f t="shared" si="7"/>
        <v>0</v>
      </c>
      <c r="L42" s="25">
        <f t="shared" si="7"/>
        <v>2</v>
      </c>
      <c r="M42" s="25">
        <f t="shared" si="7"/>
        <v>2</v>
      </c>
      <c r="N42" s="50"/>
      <c r="O42" s="50"/>
      <c r="P42" s="50"/>
      <c r="Q42" s="50"/>
      <c r="R42" s="50"/>
      <c r="S42" s="50"/>
      <c r="T42" s="50"/>
      <c r="U42" s="50"/>
      <c r="V42" s="50"/>
      <c r="W42" s="50"/>
      <c r="X42" s="50"/>
      <c r="Y42" s="50"/>
    </row>
    <row r="43" spans="1:25" ht="15.75" customHeight="1">
      <c r="A43" s="8" t="s">
        <v>314</v>
      </c>
      <c r="B43" s="3"/>
      <c r="C43" s="3" t="s">
        <v>21</v>
      </c>
      <c r="D43" s="10" t="s">
        <v>21</v>
      </c>
      <c r="E43" s="10" t="s">
        <v>21</v>
      </c>
      <c r="F43" s="10" t="s">
        <v>21</v>
      </c>
      <c r="G43" s="11" t="s">
        <v>21</v>
      </c>
      <c r="H43" s="11" t="s">
        <v>21</v>
      </c>
      <c r="I43" s="25">
        <f>_xlfn.LET(
_xlpm.full,2,
_xlpm.ans0,$C43&amp;"",
_xlpm.resp0,D43&amp;"",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3" s="25">
        <f t="shared" si="7"/>
        <v>2</v>
      </c>
      <c r="K43" s="25">
        <f t="shared" si="7"/>
        <v>2</v>
      </c>
      <c r="L43" s="25">
        <f t="shared" si="7"/>
        <v>2</v>
      </c>
      <c r="M43" s="25">
        <f t="shared" si="7"/>
        <v>2</v>
      </c>
      <c r="N43" s="50"/>
      <c r="O43" s="50"/>
      <c r="P43" s="50"/>
      <c r="Q43" s="50"/>
      <c r="R43" s="50"/>
      <c r="S43" s="50"/>
      <c r="T43" s="50"/>
      <c r="U43" s="50"/>
      <c r="V43" s="50"/>
      <c r="W43" s="50"/>
      <c r="X43" s="50"/>
      <c r="Y43" s="50"/>
    </row>
    <row r="44" spans="1:25" ht="15.75" customHeight="1">
      <c r="A44" s="8" t="s">
        <v>315</v>
      </c>
      <c r="B44" s="3"/>
      <c r="C44" s="3" t="s">
        <v>52</v>
      </c>
      <c r="D44" s="10" t="s">
        <v>57</v>
      </c>
      <c r="E44" s="10" t="s">
        <v>52</v>
      </c>
      <c r="F44" s="10" t="s">
        <v>52</v>
      </c>
      <c r="G44" s="11" t="s">
        <v>52</v>
      </c>
      <c r="H44" s="11" t="s">
        <v>52</v>
      </c>
      <c r="I44" s="25">
        <f>_xlfn.LET(
_xlpm.full,2,
_xlpm.ans0,$C44&amp;"",
_xlpm.resp0,D44&amp;"",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44" s="25">
        <f t="shared" si="7"/>
        <v>2</v>
      </c>
      <c r="K44" s="25">
        <f t="shared" si="7"/>
        <v>2</v>
      </c>
      <c r="L44" s="25">
        <f t="shared" si="7"/>
        <v>2</v>
      </c>
      <c r="M44" s="25">
        <f t="shared" si="7"/>
        <v>2</v>
      </c>
      <c r="N44" s="50"/>
      <c r="O44" s="50"/>
      <c r="P44" s="50"/>
      <c r="Q44" s="50"/>
      <c r="R44" s="50"/>
      <c r="S44" s="50"/>
      <c r="T44" s="50"/>
      <c r="U44" s="50"/>
      <c r="V44" s="50"/>
      <c r="W44" s="50"/>
      <c r="X44" s="50"/>
      <c r="Y44" s="50"/>
    </row>
    <row r="45" spans="1:25" ht="15.75" customHeight="1">
      <c r="A45" s="51" t="s">
        <v>316</v>
      </c>
      <c r="B45" s="18"/>
      <c r="C45" s="18" t="s">
        <v>294</v>
      </c>
      <c r="D45" s="24" t="s">
        <v>294</v>
      </c>
      <c r="E45" s="24"/>
      <c r="F45" s="24" t="s">
        <v>294</v>
      </c>
      <c r="G45" s="24"/>
      <c r="H45" s="24"/>
      <c r="I45" s="24"/>
      <c r="J45" s="24"/>
      <c r="K45" s="24"/>
      <c r="L45" s="24"/>
      <c r="M45" s="24"/>
      <c r="N45" s="50"/>
      <c r="O45" s="50"/>
      <c r="P45" s="50"/>
      <c r="Q45" s="50"/>
      <c r="R45" s="50"/>
      <c r="S45" s="50"/>
      <c r="T45" s="50"/>
      <c r="U45" s="50"/>
      <c r="V45" s="50"/>
      <c r="W45" s="50"/>
      <c r="X45" s="50"/>
      <c r="Y45" s="50"/>
    </row>
    <row r="46" spans="1:25" ht="15.75" customHeight="1">
      <c r="A46" s="49" t="s">
        <v>317</v>
      </c>
      <c r="B46" s="3"/>
      <c r="C46" s="3" t="s">
        <v>17</v>
      </c>
      <c r="D46" s="10" t="s">
        <v>17</v>
      </c>
      <c r="E46" s="10" t="s">
        <v>22</v>
      </c>
      <c r="F46" s="10" t="s">
        <v>22</v>
      </c>
      <c r="G46" s="11" t="s">
        <v>17</v>
      </c>
      <c r="H46" s="11" t="s">
        <v>17</v>
      </c>
      <c r="I46" s="26">
        <f t="shared" ref="I46:M59" si="8">_xlfn.LET(
_xlpm.full,2,
_xlpm.ans0,$C46&amp;"",
_xlpm.resp0,D46&amp;"",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6" s="26">
        <f t="shared" si="8"/>
        <v>0</v>
      </c>
      <c r="K46" s="26">
        <f t="shared" si="8"/>
        <v>0</v>
      </c>
      <c r="L46" s="26">
        <f t="shared" si="8"/>
        <v>2</v>
      </c>
      <c r="M46" s="26">
        <f t="shared" si="8"/>
        <v>2</v>
      </c>
      <c r="N46" s="50"/>
      <c r="O46" s="50"/>
      <c r="P46" s="50"/>
      <c r="Q46" s="50"/>
      <c r="R46" s="50"/>
      <c r="S46" s="50"/>
      <c r="T46" s="50"/>
      <c r="U46" s="50"/>
      <c r="V46" s="50"/>
      <c r="W46" s="50"/>
      <c r="X46" s="50"/>
      <c r="Y46" s="50"/>
    </row>
    <row r="47" spans="1:25" ht="15.75" customHeight="1">
      <c r="A47" s="49" t="s">
        <v>318</v>
      </c>
      <c r="B47" s="3"/>
      <c r="C47" s="3" t="s">
        <v>19</v>
      </c>
      <c r="D47" s="10" t="s">
        <v>17</v>
      </c>
      <c r="E47" s="10" t="s">
        <v>19</v>
      </c>
      <c r="F47" s="10" t="s">
        <v>17</v>
      </c>
      <c r="G47" s="11" t="s">
        <v>19</v>
      </c>
      <c r="H47" s="11" t="s">
        <v>19</v>
      </c>
      <c r="I47" s="26">
        <f t="shared" si="8"/>
        <v>0</v>
      </c>
      <c r="J47" s="26">
        <f t="shared" si="8"/>
        <v>2</v>
      </c>
      <c r="K47" s="26">
        <f t="shared" si="8"/>
        <v>0</v>
      </c>
      <c r="L47" s="26">
        <f t="shared" si="8"/>
        <v>2</v>
      </c>
      <c r="M47" s="26">
        <f t="shared" si="8"/>
        <v>2</v>
      </c>
      <c r="N47" s="50"/>
      <c r="O47" s="50"/>
      <c r="P47" s="50"/>
      <c r="Q47" s="50"/>
      <c r="R47" s="50"/>
      <c r="S47" s="50"/>
      <c r="T47" s="50"/>
      <c r="U47" s="50"/>
      <c r="V47" s="50"/>
      <c r="W47" s="50"/>
      <c r="X47" s="50"/>
      <c r="Y47" s="50"/>
    </row>
    <row r="48" spans="1:25" ht="15.75" customHeight="1">
      <c r="A48" s="49" t="s">
        <v>927</v>
      </c>
      <c r="B48" s="3"/>
      <c r="C48" s="3" t="s">
        <v>21</v>
      </c>
      <c r="D48" s="10" t="s">
        <v>21</v>
      </c>
      <c r="E48" s="10" t="s">
        <v>21</v>
      </c>
      <c r="F48" s="10" t="s">
        <v>22</v>
      </c>
      <c r="G48" s="11" t="s">
        <v>21</v>
      </c>
      <c r="H48" s="11" t="s">
        <v>21</v>
      </c>
      <c r="I48" s="26">
        <f t="shared" si="8"/>
        <v>2</v>
      </c>
      <c r="J48" s="26">
        <f t="shared" si="8"/>
        <v>2</v>
      </c>
      <c r="K48" s="26">
        <f t="shared" si="8"/>
        <v>0</v>
      </c>
      <c r="L48" s="26">
        <f t="shared" si="8"/>
        <v>2</v>
      </c>
      <c r="M48" s="26">
        <f t="shared" si="8"/>
        <v>2</v>
      </c>
      <c r="N48" s="50"/>
      <c r="O48" s="50"/>
      <c r="P48" s="50"/>
      <c r="Q48" s="50"/>
      <c r="R48" s="50"/>
      <c r="S48" s="50"/>
      <c r="T48" s="50"/>
      <c r="U48" s="50"/>
      <c r="V48" s="50"/>
      <c r="W48" s="50"/>
      <c r="X48" s="50"/>
      <c r="Y48" s="50"/>
    </row>
    <row r="49" spans="1:25" ht="15.75" customHeight="1">
      <c r="A49" s="8" t="s">
        <v>319</v>
      </c>
      <c r="B49" s="3"/>
      <c r="C49" s="3" t="s">
        <v>19</v>
      </c>
      <c r="D49" s="10" t="s">
        <v>14</v>
      </c>
      <c r="E49" s="10" t="s">
        <v>19</v>
      </c>
      <c r="F49" s="10" t="s">
        <v>19</v>
      </c>
      <c r="G49" s="11" t="s">
        <v>19</v>
      </c>
      <c r="H49" s="11" t="s">
        <v>19</v>
      </c>
      <c r="I49" s="26">
        <f t="shared" si="8"/>
        <v>0</v>
      </c>
      <c r="J49" s="26">
        <f t="shared" si="8"/>
        <v>2</v>
      </c>
      <c r="K49" s="26">
        <f t="shared" si="8"/>
        <v>2</v>
      </c>
      <c r="L49" s="26">
        <f t="shared" si="8"/>
        <v>2</v>
      </c>
      <c r="M49" s="26">
        <f t="shared" si="8"/>
        <v>2</v>
      </c>
      <c r="N49" s="50"/>
      <c r="O49" s="50"/>
      <c r="P49" s="50"/>
      <c r="Q49" s="50"/>
      <c r="R49" s="50"/>
      <c r="S49" s="50"/>
      <c r="T49" s="50"/>
      <c r="U49" s="50"/>
      <c r="V49" s="50"/>
      <c r="W49" s="50"/>
      <c r="X49" s="50"/>
      <c r="Y49" s="50"/>
    </row>
    <row r="50" spans="1:25" ht="15.75" customHeight="1">
      <c r="A50" s="8" t="s">
        <v>320</v>
      </c>
      <c r="B50" s="3"/>
      <c r="C50" s="3" t="s">
        <v>95</v>
      </c>
      <c r="D50" s="10" t="s">
        <v>95</v>
      </c>
      <c r="E50" s="10" t="s">
        <v>95</v>
      </c>
      <c r="F50" s="10" t="s">
        <v>95</v>
      </c>
      <c r="G50" s="11" t="s">
        <v>95</v>
      </c>
      <c r="H50" s="11" t="s">
        <v>95</v>
      </c>
      <c r="I50" s="26">
        <f t="shared" si="8"/>
        <v>2</v>
      </c>
      <c r="J50" s="26">
        <f t="shared" si="8"/>
        <v>2</v>
      </c>
      <c r="K50" s="26">
        <f t="shared" si="8"/>
        <v>2</v>
      </c>
      <c r="L50" s="26">
        <f t="shared" si="8"/>
        <v>2</v>
      </c>
      <c r="M50" s="26">
        <f t="shared" si="8"/>
        <v>2</v>
      </c>
      <c r="N50" s="50"/>
      <c r="O50" s="50"/>
      <c r="P50" s="50"/>
      <c r="Q50" s="50"/>
      <c r="R50" s="50"/>
      <c r="S50" s="50"/>
      <c r="T50" s="50"/>
      <c r="U50" s="50"/>
      <c r="V50" s="50"/>
      <c r="W50" s="50"/>
      <c r="X50" s="50"/>
      <c r="Y50" s="50"/>
    </row>
    <row r="51" spans="1:25" ht="15.75" customHeight="1">
      <c r="A51" s="8" t="s">
        <v>321</v>
      </c>
      <c r="B51" s="3"/>
      <c r="C51" s="3" t="s">
        <v>50</v>
      </c>
      <c r="D51" s="10" t="s">
        <v>50</v>
      </c>
      <c r="E51" s="10" t="s">
        <v>50</v>
      </c>
      <c r="F51" s="10" t="s">
        <v>21</v>
      </c>
      <c r="G51" s="11" t="s">
        <v>50</v>
      </c>
      <c r="H51" s="11" t="s">
        <v>50</v>
      </c>
      <c r="I51" s="26">
        <f t="shared" si="8"/>
        <v>2</v>
      </c>
      <c r="J51" s="26">
        <f t="shared" si="8"/>
        <v>2</v>
      </c>
      <c r="K51" s="26">
        <f t="shared" si="8"/>
        <v>0.4</v>
      </c>
      <c r="L51" s="26">
        <f t="shared" si="8"/>
        <v>2</v>
      </c>
      <c r="M51" s="26">
        <f t="shared" si="8"/>
        <v>2</v>
      </c>
      <c r="N51" s="50"/>
      <c r="O51" s="50"/>
      <c r="P51" s="50"/>
      <c r="Q51" s="50"/>
      <c r="R51" s="50"/>
      <c r="S51" s="50"/>
      <c r="T51" s="50"/>
      <c r="U51" s="50"/>
      <c r="V51" s="50"/>
      <c r="W51" s="50"/>
      <c r="X51" s="50"/>
      <c r="Y51" s="50"/>
    </row>
    <row r="52" spans="1:25" ht="15.75" customHeight="1">
      <c r="A52" s="8" t="s">
        <v>322</v>
      </c>
      <c r="B52" s="3"/>
      <c r="C52" s="3" t="s">
        <v>52</v>
      </c>
      <c r="D52" s="10" t="s">
        <v>52</v>
      </c>
      <c r="E52" s="10" t="s">
        <v>52</v>
      </c>
      <c r="F52" s="10" t="s">
        <v>52</v>
      </c>
      <c r="G52" s="11" t="s">
        <v>52</v>
      </c>
      <c r="H52" s="11" t="s">
        <v>52</v>
      </c>
      <c r="I52" s="26">
        <f t="shared" si="8"/>
        <v>2</v>
      </c>
      <c r="J52" s="26">
        <f t="shared" si="8"/>
        <v>2</v>
      </c>
      <c r="K52" s="26">
        <f t="shared" si="8"/>
        <v>2</v>
      </c>
      <c r="L52" s="26">
        <f t="shared" si="8"/>
        <v>2</v>
      </c>
      <c r="M52" s="26">
        <f t="shared" si="8"/>
        <v>2</v>
      </c>
      <c r="N52" s="50"/>
      <c r="O52" s="50"/>
      <c r="P52" s="50"/>
      <c r="Q52" s="50"/>
      <c r="R52" s="50"/>
      <c r="S52" s="50"/>
      <c r="T52" s="50"/>
      <c r="U52" s="50"/>
      <c r="V52" s="50"/>
      <c r="W52" s="50"/>
      <c r="X52" s="50"/>
      <c r="Y52" s="50"/>
    </row>
    <row r="53" spans="1:25" ht="15.75" customHeight="1">
      <c r="A53" s="8" t="s">
        <v>323</v>
      </c>
      <c r="B53" s="3"/>
      <c r="C53" s="3" t="s">
        <v>72</v>
      </c>
      <c r="D53" s="10" t="s">
        <v>94</v>
      </c>
      <c r="E53" s="10" t="s">
        <v>72</v>
      </c>
      <c r="F53" s="10" t="s">
        <v>72</v>
      </c>
      <c r="G53" s="11" t="s">
        <v>72</v>
      </c>
      <c r="H53" s="11" t="s">
        <v>72</v>
      </c>
      <c r="I53" s="26">
        <f t="shared" si="8"/>
        <v>0.4</v>
      </c>
      <c r="J53" s="26">
        <f t="shared" si="8"/>
        <v>2</v>
      </c>
      <c r="K53" s="26">
        <f t="shared" si="8"/>
        <v>2</v>
      </c>
      <c r="L53" s="26">
        <f t="shared" si="8"/>
        <v>2</v>
      </c>
      <c r="M53" s="26">
        <f t="shared" si="8"/>
        <v>2</v>
      </c>
      <c r="N53" s="50"/>
      <c r="O53" s="50"/>
      <c r="P53" s="50"/>
      <c r="Q53" s="50"/>
      <c r="R53" s="50"/>
      <c r="S53" s="50"/>
      <c r="T53" s="50"/>
      <c r="U53" s="50"/>
      <c r="V53" s="50"/>
      <c r="W53" s="50"/>
      <c r="X53" s="50"/>
      <c r="Y53" s="50"/>
    </row>
    <row r="54" spans="1:25" ht="15.75" customHeight="1">
      <c r="A54" s="8" t="s">
        <v>324</v>
      </c>
      <c r="B54" s="3" t="s">
        <v>274</v>
      </c>
      <c r="C54" s="3" t="s">
        <v>54</v>
      </c>
      <c r="D54" s="10" t="s">
        <v>55</v>
      </c>
      <c r="E54" s="10" t="s">
        <v>54</v>
      </c>
      <c r="F54" s="10" t="s">
        <v>54</v>
      </c>
      <c r="G54" s="11" t="s">
        <v>54</v>
      </c>
      <c r="H54" s="11" t="s">
        <v>54</v>
      </c>
      <c r="I54" s="26">
        <f t="shared" si="8"/>
        <v>0.4</v>
      </c>
      <c r="J54" s="26">
        <f t="shared" si="8"/>
        <v>2</v>
      </c>
      <c r="K54" s="26">
        <f t="shared" si="8"/>
        <v>2</v>
      </c>
      <c r="L54" s="26">
        <f t="shared" si="8"/>
        <v>2</v>
      </c>
      <c r="M54" s="26">
        <f t="shared" si="8"/>
        <v>2</v>
      </c>
      <c r="N54" s="50"/>
      <c r="O54" s="50"/>
      <c r="P54" s="50"/>
      <c r="Q54" s="50"/>
      <c r="R54" s="50"/>
      <c r="S54" s="50"/>
      <c r="T54" s="50"/>
      <c r="U54" s="50"/>
      <c r="V54" s="50"/>
      <c r="W54" s="50"/>
      <c r="X54" s="50"/>
      <c r="Y54" s="50"/>
    </row>
    <row r="55" spans="1:25" ht="15.75" customHeight="1">
      <c r="A55" s="8" t="s">
        <v>325</v>
      </c>
      <c r="B55" s="3"/>
      <c r="C55" s="3" t="s">
        <v>14</v>
      </c>
      <c r="D55" s="10" t="s">
        <v>14</v>
      </c>
      <c r="E55" s="10" t="s">
        <v>14</v>
      </c>
      <c r="F55" s="10" t="s">
        <v>14</v>
      </c>
      <c r="G55" s="11" t="s">
        <v>14</v>
      </c>
      <c r="H55" s="11" t="s">
        <v>14</v>
      </c>
      <c r="I55" s="26">
        <f t="shared" si="8"/>
        <v>2</v>
      </c>
      <c r="J55" s="26">
        <f t="shared" si="8"/>
        <v>2</v>
      </c>
      <c r="K55" s="26">
        <f t="shared" si="8"/>
        <v>2</v>
      </c>
      <c r="L55" s="26">
        <f t="shared" si="8"/>
        <v>2</v>
      </c>
      <c r="M55" s="26">
        <f t="shared" si="8"/>
        <v>2</v>
      </c>
      <c r="N55" s="50"/>
      <c r="O55" s="50"/>
      <c r="P55" s="50"/>
      <c r="Q55" s="50"/>
      <c r="R55" s="50"/>
      <c r="S55" s="50"/>
      <c r="T55" s="50"/>
      <c r="U55" s="50"/>
      <c r="V55" s="50"/>
      <c r="W55" s="50"/>
      <c r="X55" s="50"/>
      <c r="Y55" s="50"/>
    </row>
    <row r="56" spans="1:25" ht="15.75" customHeight="1">
      <c r="A56" s="8" t="s">
        <v>326</v>
      </c>
      <c r="B56" s="3"/>
      <c r="C56" s="3" t="s">
        <v>46</v>
      </c>
      <c r="D56" s="10" t="s">
        <v>96</v>
      </c>
      <c r="E56" s="10" t="s">
        <v>174</v>
      </c>
      <c r="F56" s="10" t="s">
        <v>174</v>
      </c>
      <c r="G56" s="11" t="s">
        <v>174</v>
      </c>
      <c r="H56" s="11" t="s">
        <v>174</v>
      </c>
      <c r="I56" s="26">
        <f t="shared" si="8"/>
        <v>0.4</v>
      </c>
      <c r="J56" s="26">
        <f t="shared" si="8"/>
        <v>0.4</v>
      </c>
      <c r="K56" s="26">
        <f t="shared" si="8"/>
        <v>0.4</v>
      </c>
      <c r="L56" s="26">
        <f t="shared" si="8"/>
        <v>0.4</v>
      </c>
      <c r="M56" s="26">
        <f t="shared" si="8"/>
        <v>0.4</v>
      </c>
      <c r="N56" s="50"/>
      <c r="O56" s="50"/>
      <c r="P56" s="50"/>
      <c r="Q56" s="50"/>
      <c r="R56" s="50"/>
      <c r="S56" s="50"/>
      <c r="T56" s="50"/>
      <c r="U56" s="50"/>
      <c r="V56" s="50"/>
      <c r="W56" s="50"/>
      <c r="X56" s="50"/>
      <c r="Y56" s="50"/>
    </row>
    <row r="57" spans="1:25" ht="15.75" customHeight="1">
      <c r="A57" s="49" t="s">
        <v>327</v>
      </c>
      <c r="B57" s="3" t="s">
        <v>274</v>
      </c>
      <c r="C57" s="3" t="s">
        <v>115</v>
      </c>
      <c r="D57" s="10" t="s">
        <v>17</v>
      </c>
      <c r="E57" s="10" t="s">
        <v>17</v>
      </c>
      <c r="F57" s="10" t="s">
        <v>17</v>
      </c>
      <c r="G57" s="11" t="s">
        <v>17</v>
      </c>
      <c r="H57" s="11" t="s">
        <v>17</v>
      </c>
      <c r="I57" s="26">
        <f t="shared" si="8"/>
        <v>0</v>
      </c>
      <c r="J57" s="26">
        <f t="shared" si="8"/>
        <v>0</v>
      </c>
      <c r="K57" s="26">
        <f t="shared" si="8"/>
        <v>0</v>
      </c>
      <c r="L57" s="26">
        <f t="shared" si="8"/>
        <v>0</v>
      </c>
      <c r="M57" s="26">
        <f t="shared" si="8"/>
        <v>0</v>
      </c>
      <c r="N57" s="50"/>
      <c r="O57" s="50"/>
      <c r="P57" s="50"/>
      <c r="Q57" s="50"/>
      <c r="R57" s="50"/>
      <c r="S57" s="50"/>
      <c r="T57" s="50"/>
      <c r="U57" s="50"/>
      <c r="V57" s="50"/>
      <c r="W57" s="50"/>
      <c r="X57" s="50"/>
      <c r="Y57" s="50"/>
    </row>
    <row r="58" spans="1:25" ht="15.75" customHeight="1">
      <c r="A58" s="49" t="s">
        <v>328</v>
      </c>
      <c r="B58" s="3"/>
      <c r="C58" s="3" t="s">
        <v>21</v>
      </c>
      <c r="D58" s="10" t="s">
        <v>57</v>
      </c>
      <c r="E58" s="10" t="s">
        <v>21</v>
      </c>
      <c r="F58" s="10" t="s">
        <v>72</v>
      </c>
      <c r="G58" s="11" t="s">
        <v>21</v>
      </c>
      <c r="H58" s="11" t="s">
        <v>21</v>
      </c>
      <c r="I58" s="26">
        <f t="shared" si="8"/>
        <v>0</v>
      </c>
      <c r="J58" s="26">
        <f t="shared" si="8"/>
        <v>2</v>
      </c>
      <c r="K58" s="26">
        <f t="shared" si="8"/>
        <v>0</v>
      </c>
      <c r="L58" s="26">
        <f t="shared" si="8"/>
        <v>2</v>
      </c>
      <c r="M58" s="26">
        <f t="shared" si="8"/>
        <v>2</v>
      </c>
      <c r="N58" s="50"/>
      <c r="O58" s="50"/>
      <c r="P58" s="50"/>
      <c r="Q58" s="50"/>
      <c r="R58" s="50"/>
      <c r="S58" s="50"/>
      <c r="T58" s="50"/>
      <c r="U58" s="50"/>
      <c r="V58" s="50"/>
      <c r="W58" s="50"/>
      <c r="X58" s="50"/>
      <c r="Y58" s="50"/>
    </row>
    <row r="59" spans="1:25" ht="15.75" customHeight="1">
      <c r="A59" s="49" t="s">
        <v>329</v>
      </c>
      <c r="B59" s="3"/>
      <c r="C59" s="3" t="s">
        <v>102</v>
      </c>
      <c r="D59" s="10" t="s">
        <v>102</v>
      </c>
      <c r="E59" s="10" t="s">
        <v>102</v>
      </c>
      <c r="F59" s="10" t="s">
        <v>88</v>
      </c>
      <c r="G59" s="11" t="s">
        <v>102</v>
      </c>
      <c r="H59" s="11" t="s">
        <v>102</v>
      </c>
      <c r="I59" s="26">
        <f t="shared" si="8"/>
        <v>2</v>
      </c>
      <c r="J59" s="26">
        <f t="shared" si="8"/>
        <v>2</v>
      </c>
      <c r="K59" s="26">
        <f t="shared" si="8"/>
        <v>0.4</v>
      </c>
      <c r="L59" s="26">
        <f t="shared" si="8"/>
        <v>2</v>
      </c>
      <c r="M59" s="26">
        <f t="shared" si="8"/>
        <v>2</v>
      </c>
      <c r="N59" s="50"/>
      <c r="O59" s="50"/>
      <c r="P59" s="50"/>
      <c r="Q59" s="50"/>
      <c r="R59" s="50"/>
      <c r="S59" s="50"/>
      <c r="T59" s="50"/>
      <c r="U59" s="50"/>
      <c r="V59" s="50"/>
      <c r="W59" s="50"/>
      <c r="X59" s="50"/>
      <c r="Y59" s="50"/>
    </row>
    <row r="60" spans="1:25" ht="15.75" customHeight="1">
      <c r="A60" s="51" t="s">
        <v>330</v>
      </c>
      <c r="B60" s="18"/>
      <c r="C60" s="18" t="s">
        <v>294</v>
      </c>
      <c r="D60" s="24" t="s">
        <v>294</v>
      </c>
      <c r="E60" s="24"/>
      <c r="F60" s="24" t="s">
        <v>294</v>
      </c>
      <c r="G60" s="24"/>
      <c r="H60" s="24"/>
      <c r="I60" s="24"/>
      <c r="J60" s="24"/>
      <c r="K60" s="24"/>
      <c r="L60" s="24"/>
      <c r="M60" s="24"/>
      <c r="N60" s="50"/>
      <c r="O60" s="50"/>
      <c r="P60" s="50"/>
      <c r="Q60" s="50"/>
      <c r="R60" s="50"/>
      <c r="S60" s="50"/>
      <c r="T60" s="50"/>
      <c r="U60" s="50"/>
      <c r="V60" s="50"/>
      <c r="W60" s="50"/>
      <c r="X60" s="50"/>
      <c r="Y60" s="50"/>
    </row>
    <row r="61" spans="1:25" ht="15.75" customHeight="1">
      <c r="A61" s="49" t="s">
        <v>331</v>
      </c>
      <c r="B61" s="3" t="s">
        <v>274</v>
      </c>
      <c r="C61" s="3" t="s">
        <v>19</v>
      </c>
      <c r="D61" s="10" t="s">
        <v>19</v>
      </c>
      <c r="E61" s="10" t="s">
        <v>19</v>
      </c>
      <c r="F61" s="10" t="s">
        <v>19</v>
      </c>
      <c r="G61" s="11" t="s">
        <v>19</v>
      </c>
      <c r="H61" s="11" t="s">
        <v>19</v>
      </c>
      <c r="I61" s="26">
        <f t="shared" ref="I61:M62" si="9">_xlfn.LET(
_xlpm.full,2,
_xlpm.ans0,$C61&amp;"",
_xlpm.resp0,D61&amp;"",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61" s="26">
        <f t="shared" si="9"/>
        <v>2</v>
      </c>
      <c r="K61" s="26">
        <f t="shared" si="9"/>
        <v>2</v>
      </c>
      <c r="L61" s="26">
        <f t="shared" si="9"/>
        <v>2</v>
      </c>
      <c r="M61" s="26">
        <f t="shared" si="9"/>
        <v>2</v>
      </c>
      <c r="N61" s="50"/>
      <c r="O61" s="50"/>
      <c r="P61" s="50"/>
      <c r="Q61" s="50"/>
      <c r="R61" s="50"/>
      <c r="S61" s="50"/>
      <c r="T61" s="50"/>
      <c r="U61" s="50"/>
      <c r="V61" s="50"/>
      <c r="W61" s="50"/>
      <c r="X61" s="50"/>
      <c r="Y61" s="50"/>
    </row>
    <row r="62" spans="1:25" ht="15.75" customHeight="1">
      <c r="A62" s="8" t="s">
        <v>332</v>
      </c>
      <c r="B62" s="3" t="s">
        <v>274</v>
      </c>
      <c r="C62" s="3" t="s">
        <v>14</v>
      </c>
      <c r="D62" s="10" t="s">
        <v>14</v>
      </c>
      <c r="E62" s="10" t="s">
        <v>14</v>
      </c>
      <c r="F62" s="10" t="s">
        <v>19</v>
      </c>
      <c r="G62" s="11" t="s">
        <v>19</v>
      </c>
      <c r="H62" s="11" t="s">
        <v>19</v>
      </c>
      <c r="I62" s="26">
        <f t="shared" si="9"/>
        <v>2</v>
      </c>
      <c r="J62" s="26">
        <f t="shared" si="9"/>
        <v>2</v>
      </c>
      <c r="K62" s="26">
        <f t="shared" si="9"/>
        <v>0</v>
      </c>
      <c r="L62" s="26">
        <f t="shared" si="9"/>
        <v>0</v>
      </c>
      <c r="M62" s="26">
        <f t="shared" si="9"/>
        <v>0</v>
      </c>
      <c r="N62" s="50"/>
      <c r="O62" s="50"/>
      <c r="P62" s="50"/>
      <c r="Q62" s="50"/>
      <c r="R62" s="50"/>
      <c r="S62" s="50"/>
      <c r="T62" s="50"/>
      <c r="U62" s="50"/>
      <c r="V62" s="50"/>
      <c r="W62" s="50"/>
      <c r="X62" s="50"/>
      <c r="Y62" s="50"/>
    </row>
    <row r="63" spans="1:25" ht="15.75" customHeight="1">
      <c r="A63" s="51" t="s">
        <v>333</v>
      </c>
      <c r="B63" s="18"/>
      <c r="C63" s="18" t="s">
        <v>294</v>
      </c>
      <c r="D63" s="24" t="s">
        <v>294</v>
      </c>
      <c r="E63" s="24"/>
      <c r="F63" s="24" t="s">
        <v>294</v>
      </c>
      <c r="G63" s="24"/>
      <c r="H63" s="24"/>
      <c r="I63" s="24"/>
      <c r="J63" s="24"/>
      <c r="K63" s="24"/>
      <c r="L63" s="24"/>
      <c r="M63" s="24"/>
      <c r="N63" s="50"/>
      <c r="O63" s="50"/>
      <c r="P63" s="50"/>
      <c r="Q63" s="50"/>
      <c r="R63" s="50"/>
      <c r="S63" s="50"/>
      <c r="T63" s="50"/>
      <c r="U63" s="50"/>
      <c r="V63" s="50"/>
      <c r="W63" s="50"/>
      <c r="X63" s="50"/>
      <c r="Y63" s="50"/>
    </row>
    <row r="64" spans="1:25" ht="15.75" customHeight="1">
      <c r="A64" s="8" t="s">
        <v>334</v>
      </c>
      <c r="B64" s="3" t="s">
        <v>274</v>
      </c>
      <c r="C64" s="3" t="s">
        <v>21</v>
      </c>
      <c r="D64" s="10" t="s">
        <v>21</v>
      </c>
      <c r="E64" s="10" t="s">
        <v>21</v>
      </c>
      <c r="F64" s="10" t="s">
        <v>21</v>
      </c>
      <c r="G64" s="11" t="s">
        <v>21</v>
      </c>
      <c r="H64" s="11" t="s">
        <v>21</v>
      </c>
      <c r="I64" s="26">
        <f t="shared" ref="I64:M70" si="10">_xlfn.LET(
_xlpm.full,2,
_xlpm.ans0,$C64&amp;"",
_xlpm.resp0,D64&amp;"",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64" s="26">
        <f t="shared" si="10"/>
        <v>2</v>
      </c>
      <c r="K64" s="26">
        <f t="shared" si="10"/>
        <v>2</v>
      </c>
      <c r="L64" s="26">
        <f t="shared" si="10"/>
        <v>2</v>
      </c>
      <c r="M64" s="26">
        <f t="shared" si="10"/>
        <v>2</v>
      </c>
      <c r="N64" s="50"/>
      <c r="O64" s="50"/>
      <c r="P64" s="50"/>
      <c r="Q64" s="50"/>
      <c r="R64" s="50"/>
      <c r="S64" s="50"/>
      <c r="T64" s="50"/>
      <c r="U64" s="50"/>
      <c r="V64" s="50"/>
      <c r="W64" s="50"/>
      <c r="X64" s="50"/>
      <c r="Y64" s="50"/>
    </row>
    <row r="65" spans="1:25" ht="15.75" customHeight="1">
      <c r="A65" s="52" t="s">
        <v>335</v>
      </c>
      <c r="B65" s="3" t="s">
        <v>274</v>
      </c>
      <c r="C65" s="3" t="s">
        <v>17</v>
      </c>
      <c r="D65" s="10" t="s">
        <v>17</v>
      </c>
      <c r="E65" s="10" t="s">
        <v>14</v>
      </c>
      <c r="F65" s="10" t="s">
        <v>14</v>
      </c>
      <c r="G65" s="11" t="s">
        <v>17</v>
      </c>
      <c r="H65" s="11" t="s">
        <v>17</v>
      </c>
      <c r="I65" s="26">
        <f t="shared" si="10"/>
        <v>2</v>
      </c>
      <c r="J65" s="26">
        <f t="shared" si="10"/>
        <v>0</v>
      </c>
      <c r="K65" s="26">
        <f t="shared" si="10"/>
        <v>0</v>
      </c>
      <c r="L65" s="26">
        <f t="shared" si="10"/>
        <v>2</v>
      </c>
      <c r="M65" s="26">
        <f t="shared" si="10"/>
        <v>2</v>
      </c>
      <c r="N65" s="50"/>
      <c r="O65" s="50"/>
      <c r="P65" s="50"/>
      <c r="Q65" s="50"/>
      <c r="R65" s="50"/>
      <c r="S65" s="50"/>
      <c r="T65" s="50"/>
      <c r="U65" s="50"/>
      <c r="V65" s="50"/>
      <c r="W65" s="50"/>
      <c r="X65" s="50"/>
      <c r="Y65" s="50"/>
    </row>
    <row r="66" spans="1:25" ht="15.75" customHeight="1">
      <c r="A66" s="52" t="s">
        <v>336</v>
      </c>
      <c r="B66" s="3" t="s">
        <v>274</v>
      </c>
      <c r="C66" s="3" t="s">
        <v>17</v>
      </c>
      <c r="D66" s="3" t="s">
        <v>21</v>
      </c>
      <c r="E66" s="3" t="s">
        <v>17</v>
      </c>
      <c r="F66" s="3" t="s">
        <v>17</v>
      </c>
      <c r="G66" s="27" t="s">
        <v>17</v>
      </c>
      <c r="H66" s="27" t="s">
        <v>17</v>
      </c>
      <c r="I66" s="26">
        <f t="shared" si="10"/>
        <v>0</v>
      </c>
      <c r="J66" s="26">
        <f t="shared" si="10"/>
        <v>2</v>
      </c>
      <c r="K66" s="26">
        <f t="shared" si="10"/>
        <v>2</v>
      </c>
      <c r="L66" s="26">
        <f t="shared" si="10"/>
        <v>2</v>
      </c>
      <c r="M66" s="26">
        <f t="shared" si="10"/>
        <v>2</v>
      </c>
      <c r="N66" s="50"/>
      <c r="O66" s="50"/>
      <c r="P66" s="50"/>
      <c r="Q66" s="50"/>
      <c r="R66" s="50"/>
      <c r="S66" s="50"/>
      <c r="T66" s="50"/>
      <c r="U66" s="50"/>
      <c r="V66" s="50"/>
      <c r="W66" s="50"/>
      <c r="X66" s="50"/>
      <c r="Y66" s="50"/>
    </row>
    <row r="67" spans="1:25" ht="15.75" customHeight="1">
      <c r="A67" s="8" t="s">
        <v>337</v>
      </c>
      <c r="B67" s="3"/>
      <c r="C67" s="3" t="s">
        <v>21</v>
      </c>
      <c r="D67" s="10" t="s">
        <v>22</v>
      </c>
      <c r="E67" s="10" t="s">
        <v>21</v>
      </c>
      <c r="F67" s="10" t="s">
        <v>21</v>
      </c>
      <c r="G67" s="11" t="s">
        <v>21</v>
      </c>
      <c r="H67" s="11" t="s">
        <v>21</v>
      </c>
      <c r="I67" s="26">
        <f t="shared" si="10"/>
        <v>0</v>
      </c>
      <c r="J67" s="26">
        <f t="shared" si="10"/>
        <v>2</v>
      </c>
      <c r="K67" s="26">
        <f t="shared" si="10"/>
        <v>2</v>
      </c>
      <c r="L67" s="26">
        <f t="shared" si="10"/>
        <v>2</v>
      </c>
      <c r="M67" s="26">
        <f t="shared" si="10"/>
        <v>2</v>
      </c>
      <c r="N67" s="50"/>
      <c r="O67" s="50"/>
      <c r="P67" s="50"/>
      <c r="Q67" s="50"/>
      <c r="R67" s="50"/>
      <c r="S67" s="50"/>
      <c r="T67" s="50"/>
      <c r="U67" s="50"/>
      <c r="V67" s="50"/>
      <c r="W67" s="50"/>
      <c r="X67" s="50"/>
      <c r="Y67" s="50"/>
    </row>
    <row r="68" spans="1:25" ht="15.75" customHeight="1">
      <c r="A68" s="8" t="s">
        <v>338</v>
      </c>
      <c r="B68" s="3"/>
      <c r="C68" s="3" t="s">
        <v>58</v>
      </c>
      <c r="D68" s="10" t="s">
        <v>58</v>
      </c>
      <c r="E68" s="10" t="s">
        <v>58</v>
      </c>
      <c r="F68" s="10" t="s">
        <v>58</v>
      </c>
      <c r="G68" s="10" t="s">
        <v>58</v>
      </c>
      <c r="H68" s="10" t="s">
        <v>58</v>
      </c>
      <c r="I68" s="26">
        <f t="shared" si="10"/>
        <v>2</v>
      </c>
      <c r="J68" s="26">
        <f t="shared" si="10"/>
        <v>2</v>
      </c>
      <c r="K68" s="26">
        <f t="shared" si="10"/>
        <v>2</v>
      </c>
      <c r="L68" s="26">
        <f t="shared" si="10"/>
        <v>2</v>
      </c>
      <c r="M68" s="26">
        <f t="shared" si="10"/>
        <v>2</v>
      </c>
      <c r="N68" s="50"/>
      <c r="O68" s="50"/>
      <c r="P68" s="50"/>
      <c r="Q68" s="50"/>
      <c r="R68" s="50"/>
      <c r="S68" s="50"/>
      <c r="T68" s="50"/>
      <c r="U68" s="50"/>
      <c r="V68" s="50"/>
      <c r="W68" s="50"/>
      <c r="X68" s="50"/>
      <c r="Y68" s="50"/>
    </row>
    <row r="69" spans="1:25" ht="15.75" customHeight="1">
      <c r="A69" s="8" t="s">
        <v>339</v>
      </c>
      <c r="B69" s="3"/>
      <c r="C69" s="3" t="s">
        <v>174</v>
      </c>
      <c r="D69" s="10" t="s">
        <v>174</v>
      </c>
      <c r="E69" s="10" t="s">
        <v>174</v>
      </c>
      <c r="F69" s="10" t="s">
        <v>174</v>
      </c>
      <c r="G69" s="10" t="s">
        <v>174</v>
      </c>
      <c r="H69" s="10" t="s">
        <v>174</v>
      </c>
      <c r="I69" s="26">
        <f t="shared" si="10"/>
        <v>2</v>
      </c>
      <c r="J69" s="26">
        <f t="shared" si="10"/>
        <v>2</v>
      </c>
      <c r="K69" s="26">
        <f t="shared" si="10"/>
        <v>2</v>
      </c>
      <c r="L69" s="26">
        <f t="shared" si="10"/>
        <v>2</v>
      </c>
      <c r="M69" s="26">
        <f t="shared" si="10"/>
        <v>2</v>
      </c>
      <c r="N69" s="50"/>
      <c r="O69" s="50"/>
      <c r="P69" s="50"/>
      <c r="Q69" s="50"/>
      <c r="R69" s="50"/>
      <c r="S69" s="50"/>
      <c r="T69" s="50"/>
      <c r="U69" s="50"/>
      <c r="V69" s="50"/>
      <c r="W69" s="50"/>
      <c r="X69" s="50"/>
      <c r="Y69" s="50"/>
    </row>
    <row r="70" spans="1:25" ht="15.75" customHeight="1">
      <c r="A70" s="8" t="s">
        <v>340</v>
      </c>
      <c r="B70" s="3" t="s">
        <v>274</v>
      </c>
      <c r="C70" s="3" t="s">
        <v>22</v>
      </c>
      <c r="D70" s="10" t="s">
        <v>22</v>
      </c>
      <c r="E70" s="10" t="s">
        <v>22</v>
      </c>
      <c r="F70" s="10" t="s">
        <v>55</v>
      </c>
      <c r="G70" s="11" t="s">
        <v>22</v>
      </c>
      <c r="H70" s="11" t="s">
        <v>22</v>
      </c>
      <c r="I70" s="26">
        <f t="shared" si="10"/>
        <v>2</v>
      </c>
      <c r="J70" s="26">
        <f t="shared" si="10"/>
        <v>2</v>
      </c>
      <c r="K70" s="26">
        <f t="shared" si="10"/>
        <v>0</v>
      </c>
      <c r="L70" s="26">
        <f t="shared" si="10"/>
        <v>2</v>
      </c>
      <c r="M70" s="26">
        <f t="shared" si="10"/>
        <v>2</v>
      </c>
      <c r="N70" s="50"/>
      <c r="O70" s="50"/>
      <c r="P70" s="50"/>
      <c r="Q70" s="50"/>
      <c r="R70" s="50"/>
      <c r="S70" s="50"/>
      <c r="T70" s="50"/>
      <c r="U70" s="50"/>
      <c r="V70" s="50"/>
      <c r="W70" s="50"/>
      <c r="X70" s="50"/>
      <c r="Y70" s="50"/>
    </row>
    <row r="71" spans="1:25" ht="15.75" customHeight="1">
      <c r="A71" s="51" t="s">
        <v>341</v>
      </c>
      <c r="B71" s="18"/>
      <c r="C71" s="18" t="s">
        <v>294</v>
      </c>
      <c r="D71" s="24" t="s">
        <v>294</v>
      </c>
      <c r="E71" s="24"/>
      <c r="F71" s="24" t="s">
        <v>294</v>
      </c>
      <c r="G71" s="24"/>
      <c r="H71" s="24"/>
      <c r="I71" s="24"/>
      <c r="J71" s="24"/>
      <c r="K71" s="24"/>
      <c r="L71" s="24"/>
      <c r="M71" s="24"/>
      <c r="N71" s="50"/>
      <c r="O71" s="50"/>
      <c r="P71" s="50"/>
      <c r="Q71" s="50"/>
      <c r="R71" s="50"/>
      <c r="S71" s="50"/>
      <c r="T71" s="50"/>
      <c r="U71" s="50"/>
      <c r="V71" s="50"/>
      <c r="W71" s="50"/>
      <c r="X71" s="50"/>
      <c r="Y71" s="50"/>
    </row>
    <row r="72" spans="1:25" ht="15.75" customHeight="1">
      <c r="A72" s="8" t="s">
        <v>342</v>
      </c>
      <c r="B72" s="3"/>
      <c r="C72" s="3" t="s">
        <v>22</v>
      </c>
      <c r="D72" s="10" t="s">
        <v>22</v>
      </c>
      <c r="E72" s="10" t="s">
        <v>22</v>
      </c>
      <c r="F72" s="10" t="s">
        <v>22</v>
      </c>
      <c r="G72" s="11" t="s">
        <v>22</v>
      </c>
      <c r="H72" s="11" t="s">
        <v>22</v>
      </c>
      <c r="I72" s="26">
        <f t="shared" ref="I72:M76" si="11">_xlfn.LET(
_xlpm.full,2,
_xlpm.ans0,$C72&amp;"",
_xlpm.resp0,D72&amp;"",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72" s="26">
        <f t="shared" si="11"/>
        <v>2</v>
      </c>
      <c r="K72" s="26">
        <f t="shared" si="11"/>
        <v>2</v>
      </c>
      <c r="L72" s="26">
        <f t="shared" si="11"/>
        <v>2</v>
      </c>
      <c r="M72" s="26">
        <f t="shared" si="11"/>
        <v>2</v>
      </c>
      <c r="N72" s="50"/>
      <c r="O72" s="50"/>
      <c r="P72" s="50"/>
      <c r="Q72" s="50"/>
      <c r="R72" s="50"/>
      <c r="S72" s="50"/>
      <c r="T72" s="50"/>
      <c r="U72" s="50"/>
      <c r="V72" s="50"/>
      <c r="W72" s="50"/>
      <c r="X72" s="50"/>
      <c r="Y72" s="50"/>
    </row>
    <row r="73" spans="1:25" ht="15.75" customHeight="1">
      <c r="A73" s="8" t="s">
        <v>343</v>
      </c>
      <c r="B73" s="3"/>
      <c r="C73" s="3" t="s">
        <v>52</v>
      </c>
      <c r="D73" s="10" t="s">
        <v>58</v>
      </c>
      <c r="E73" s="10" t="s">
        <v>54</v>
      </c>
      <c r="F73" s="10" t="s">
        <v>54</v>
      </c>
      <c r="G73" s="11" t="s">
        <v>53</v>
      </c>
      <c r="H73" s="11" t="s">
        <v>52</v>
      </c>
      <c r="I73" s="26">
        <f t="shared" si="11"/>
        <v>0</v>
      </c>
      <c r="J73" s="26">
        <f t="shared" si="11"/>
        <v>0.4</v>
      </c>
      <c r="K73" s="26">
        <f t="shared" si="11"/>
        <v>0.4</v>
      </c>
      <c r="L73" s="26">
        <f t="shared" si="11"/>
        <v>0.4</v>
      </c>
      <c r="M73" s="26">
        <f t="shared" si="11"/>
        <v>2</v>
      </c>
      <c r="N73" s="50"/>
      <c r="O73" s="50"/>
      <c r="P73" s="50"/>
      <c r="Q73" s="50"/>
      <c r="R73" s="50"/>
      <c r="S73" s="50"/>
      <c r="T73" s="50"/>
      <c r="U73" s="50"/>
      <c r="V73" s="50"/>
      <c r="W73" s="50"/>
      <c r="X73" s="50"/>
      <c r="Y73" s="50"/>
    </row>
    <row r="74" spans="1:25" ht="15.75" customHeight="1">
      <c r="A74" s="8" t="s">
        <v>344</v>
      </c>
      <c r="B74" s="3" t="s">
        <v>274</v>
      </c>
      <c r="C74" s="3" t="s">
        <v>19</v>
      </c>
      <c r="D74" s="10" t="s">
        <v>14</v>
      </c>
      <c r="E74" s="10" t="s">
        <v>14</v>
      </c>
      <c r="F74" s="10" t="s">
        <v>55</v>
      </c>
      <c r="G74" s="11" t="s">
        <v>14</v>
      </c>
      <c r="H74" s="11" t="s">
        <v>14</v>
      </c>
      <c r="I74" s="26">
        <f t="shared" si="11"/>
        <v>0</v>
      </c>
      <c r="J74" s="26">
        <f t="shared" si="11"/>
        <v>0</v>
      </c>
      <c r="K74" s="26">
        <f t="shared" si="11"/>
        <v>0</v>
      </c>
      <c r="L74" s="26">
        <f t="shared" si="11"/>
        <v>0</v>
      </c>
      <c r="M74" s="26">
        <f t="shared" si="11"/>
        <v>0</v>
      </c>
      <c r="N74" s="50"/>
      <c r="O74" s="50"/>
      <c r="P74" s="50"/>
      <c r="Q74" s="50"/>
      <c r="R74" s="50"/>
      <c r="S74" s="50"/>
      <c r="T74" s="50"/>
      <c r="U74" s="50"/>
      <c r="V74" s="50"/>
      <c r="W74" s="50"/>
      <c r="X74" s="50"/>
      <c r="Y74" s="50"/>
    </row>
    <row r="75" spans="1:25" ht="15.75" customHeight="1">
      <c r="A75" s="8" t="s">
        <v>345</v>
      </c>
      <c r="B75" s="3"/>
      <c r="C75" s="3" t="s">
        <v>102</v>
      </c>
      <c r="D75" s="10" t="s">
        <v>102</v>
      </c>
      <c r="E75" s="10" t="s">
        <v>102</v>
      </c>
      <c r="F75" s="10" t="s">
        <v>102</v>
      </c>
      <c r="G75" s="11" t="s">
        <v>102</v>
      </c>
      <c r="H75" s="11" t="s">
        <v>102</v>
      </c>
      <c r="I75" s="26">
        <f t="shared" si="11"/>
        <v>2</v>
      </c>
      <c r="J75" s="26">
        <f t="shared" si="11"/>
        <v>2</v>
      </c>
      <c r="K75" s="26">
        <f t="shared" si="11"/>
        <v>2</v>
      </c>
      <c r="L75" s="26">
        <f t="shared" si="11"/>
        <v>2</v>
      </c>
      <c r="M75" s="26">
        <f t="shared" si="11"/>
        <v>2</v>
      </c>
      <c r="N75" s="50"/>
      <c r="O75" s="50"/>
      <c r="P75" s="50"/>
      <c r="Q75" s="50"/>
      <c r="R75" s="50"/>
      <c r="S75" s="50"/>
      <c r="T75" s="50"/>
      <c r="U75" s="50"/>
      <c r="V75" s="50"/>
      <c r="W75" s="50"/>
      <c r="X75" s="50"/>
      <c r="Y75" s="50"/>
    </row>
    <row r="76" spans="1:25" ht="15.75" customHeight="1">
      <c r="A76" s="8" t="s">
        <v>346</v>
      </c>
      <c r="B76" s="3"/>
      <c r="C76" s="3" t="s">
        <v>54</v>
      </c>
      <c r="D76" s="10" t="s">
        <v>53</v>
      </c>
      <c r="E76" s="10" t="s">
        <v>55</v>
      </c>
      <c r="F76" s="10" t="s">
        <v>57</v>
      </c>
      <c r="G76" s="11" t="s">
        <v>54</v>
      </c>
      <c r="H76" s="11" t="s">
        <v>54</v>
      </c>
      <c r="I76" s="26">
        <f t="shared" si="11"/>
        <v>0.4</v>
      </c>
      <c r="J76" s="26">
        <f t="shared" si="11"/>
        <v>0.4</v>
      </c>
      <c r="K76" s="26">
        <f t="shared" si="11"/>
        <v>0</v>
      </c>
      <c r="L76" s="26">
        <f t="shared" si="11"/>
        <v>2</v>
      </c>
      <c r="M76" s="26">
        <f t="shared" si="11"/>
        <v>2</v>
      </c>
      <c r="N76" s="50"/>
      <c r="O76" s="50"/>
      <c r="P76" s="50"/>
      <c r="Q76" s="50"/>
      <c r="R76" s="50"/>
      <c r="S76" s="50"/>
      <c r="T76" s="50"/>
      <c r="U76" s="50"/>
      <c r="V76" s="50"/>
      <c r="W76" s="50"/>
      <c r="X76" s="50"/>
      <c r="Y76" s="50"/>
    </row>
    <row r="77" spans="1:25" ht="15.75" customHeight="1">
      <c r="A77" s="53"/>
      <c r="B77" s="30"/>
      <c r="C77" s="30"/>
      <c r="D77" s="44"/>
      <c r="E77" s="44"/>
      <c r="F77" s="44"/>
      <c r="G77" s="44"/>
      <c r="H77" s="44"/>
      <c r="I77" s="44"/>
      <c r="J77" s="44"/>
      <c r="K77" s="44"/>
      <c r="L77" s="44"/>
      <c r="M77" s="44"/>
      <c r="N77" s="50"/>
      <c r="O77" s="50"/>
      <c r="P77" s="50"/>
      <c r="Q77" s="50"/>
      <c r="R77" s="50"/>
      <c r="S77" s="50"/>
      <c r="T77" s="50"/>
      <c r="U77" s="50"/>
      <c r="V77" s="50"/>
      <c r="W77" s="50"/>
      <c r="X77" s="50"/>
      <c r="Y77" s="50"/>
    </row>
    <row r="78" spans="1:25" ht="15.75" customHeight="1">
      <c r="A78" s="54"/>
      <c r="B78" s="30"/>
      <c r="C78" s="30"/>
      <c r="D78" s="44"/>
      <c r="E78" s="44"/>
      <c r="F78" s="44"/>
      <c r="G78" s="44"/>
      <c r="H78" s="44"/>
      <c r="I78" s="44"/>
      <c r="J78" s="44"/>
      <c r="K78" s="44"/>
      <c r="L78" s="44"/>
      <c r="M78" s="44"/>
      <c r="N78" s="50"/>
      <c r="O78" s="50"/>
      <c r="P78" s="50"/>
      <c r="Q78" s="50"/>
      <c r="R78" s="50"/>
      <c r="S78" s="50"/>
      <c r="T78" s="50"/>
      <c r="U78" s="50"/>
      <c r="V78" s="50"/>
      <c r="W78" s="50"/>
      <c r="X78" s="50"/>
      <c r="Y78" s="50"/>
    </row>
    <row r="79" spans="1:25" ht="15.75" customHeight="1">
      <c r="A79" s="54"/>
      <c r="B79" s="30"/>
      <c r="C79" s="30"/>
      <c r="D79" s="44"/>
      <c r="E79" s="44"/>
      <c r="F79" s="44"/>
      <c r="G79" s="44"/>
      <c r="H79" s="44"/>
      <c r="I79" s="44"/>
      <c r="J79" s="44"/>
      <c r="K79" s="44"/>
      <c r="L79" s="44"/>
      <c r="M79" s="44"/>
      <c r="N79" s="50"/>
      <c r="O79" s="50"/>
      <c r="P79" s="50"/>
      <c r="Q79" s="50"/>
      <c r="R79" s="50"/>
      <c r="S79" s="50"/>
      <c r="T79" s="50"/>
      <c r="U79" s="50"/>
      <c r="V79" s="50"/>
      <c r="W79" s="50"/>
      <c r="X79" s="50"/>
      <c r="Y79" s="50"/>
    </row>
    <row r="80" spans="1:25" ht="15.75" customHeight="1">
      <c r="A80" s="54"/>
      <c r="B80" s="30"/>
      <c r="C80" s="30"/>
      <c r="D80" s="44"/>
      <c r="E80" s="44"/>
      <c r="F80" s="44"/>
      <c r="G80" s="44"/>
      <c r="H80" s="44"/>
      <c r="I80" s="44"/>
      <c r="J80" s="44"/>
      <c r="K80" s="44"/>
      <c r="L80" s="44"/>
      <c r="M80" s="44"/>
      <c r="N80" s="50"/>
      <c r="O80" s="50"/>
      <c r="P80" s="50"/>
      <c r="Q80" s="50"/>
      <c r="R80" s="50"/>
      <c r="S80" s="50"/>
      <c r="T80" s="50"/>
      <c r="U80" s="50"/>
      <c r="V80" s="50"/>
      <c r="W80" s="50"/>
      <c r="X80" s="50"/>
      <c r="Y80" s="50"/>
    </row>
    <row r="81" spans="1:25" ht="15.75" customHeight="1">
      <c r="A81" s="54"/>
      <c r="B81" s="30"/>
      <c r="C81" s="30"/>
      <c r="D81" s="44"/>
      <c r="E81" s="44"/>
      <c r="F81" s="44"/>
      <c r="G81" s="44"/>
      <c r="H81" s="44"/>
      <c r="I81" s="44"/>
      <c r="J81" s="44"/>
      <c r="K81" s="44"/>
      <c r="L81" s="44"/>
      <c r="M81" s="44"/>
      <c r="N81" s="50"/>
      <c r="O81" s="50"/>
      <c r="P81" s="50"/>
      <c r="Q81" s="50"/>
      <c r="R81" s="50"/>
      <c r="S81" s="50"/>
      <c r="T81" s="50"/>
      <c r="U81" s="50"/>
      <c r="V81" s="50"/>
      <c r="W81" s="50"/>
      <c r="X81" s="50"/>
      <c r="Y81" s="50"/>
    </row>
    <row r="82" spans="1:25" ht="15.75" customHeight="1">
      <c r="A82" s="54"/>
      <c r="B82" s="30"/>
      <c r="C82" s="30"/>
      <c r="D82" s="44"/>
      <c r="E82" s="44"/>
      <c r="F82" s="44"/>
      <c r="G82" s="44"/>
      <c r="H82" s="44"/>
      <c r="I82" s="44"/>
      <c r="J82" s="44"/>
      <c r="K82" s="44"/>
      <c r="L82" s="44"/>
      <c r="M82" s="44"/>
      <c r="N82" s="50"/>
      <c r="O82" s="50"/>
      <c r="P82" s="50"/>
      <c r="Q82" s="50"/>
      <c r="R82" s="50"/>
      <c r="S82" s="50"/>
      <c r="T82" s="50"/>
      <c r="U82" s="50"/>
      <c r="V82" s="50"/>
      <c r="W82" s="50"/>
      <c r="X82" s="50"/>
      <c r="Y82" s="50"/>
    </row>
    <row r="83" spans="1:25" ht="15.75" customHeight="1">
      <c r="A83" s="54"/>
      <c r="B83" s="30"/>
      <c r="C83" s="30"/>
      <c r="D83" s="44"/>
      <c r="E83" s="44"/>
      <c r="F83" s="44"/>
      <c r="G83" s="44"/>
      <c r="H83" s="44"/>
      <c r="I83" s="44"/>
      <c r="J83" s="44"/>
      <c r="K83" s="44"/>
      <c r="L83" s="44"/>
      <c r="M83" s="44"/>
      <c r="N83" s="50"/>
      <c r="O83" s="50"/>
      <c r="P83" s="50"/>
      <c r="Q83" s="50"/>
      <c r="R83" s="50"/>
      <c r="S83" s="50"/>
      <c r="T83" s="50"/>
      <c r="U83" s="50"/>
      <c r="V83" s="50"/>
      <c r="W83" s="50"/>
      <c r="X83" s="50"/>
      <c r="Y83" s="50"/>
    </row>
    <row r="84" spans="1:25" ht="15.75" customHeight="1">
      <c r="A84" s="54"/>
      <c r="B84" s="30"/>
      <c r="C84" s="30"/>
      <c r="D84" s="44"/>
      <c r="E84" s="44"/>
      <c r="F84" s="44"/>
      <c r="G84" s="44"/>
      <c r="H84" s="44"/>
      <c r="I84" s="44"/>
      <c r="J84" s="44"/>
      <c r="K84" s="44"/>
      <c r="L84" s="44"/>
      <c r="M84" s="44"/>
      <c r="N84" s="50"/>
      <c r="O84" s="50"/>
      <c r="P84" s="50"/>
      <c r="Q84" s="50"/>
      <c r="R84" s="50"/>
      <c r="S84" s="50"/>
      <c r="T84" s="50"/>
      <c r="U84" s="50"/>
      <c r="V84" s="50"/>
      <c r="W84" s="50"/>
      <c r="X84" s="50"/>
      <c r="Y84" s="50"/>
    </row>
    <row r="85" spans="1:25" ht="15.75" customHeight="1">
      <c r="A85" s="54"/>
      <c r="B85" s="30"/>
      <c r="C85" s="30"/>
      <c r="D85" s="44"/>
      <c r="E85" s="44"/>
      <c r="F85" s="44"/>
      <c r="G85" s="44"/>
      <c r="H85" s="44"/>
      <c r="I85" s="44"/>
      <c r="J85" s="44"/>
      <c r="K85" s="44"/>
      <c r="L85" s="44"/>
      <c r="M85" s="44"/>
      <c r="N85" s="50"/>
      <c r="O85" s="50"/>
      <c r="P85" s="50"/>
      <c r="Q85" s="50"/>
      <c r="R85" s="50"/>
      <c r="S85" s="50"/>
      <c r="T85" s="50"/>
      <c r="U85" s="50"/>
      <c r="V85" s="50"/>
      <c r="W85" s="50"/>
      <c r="X85" s="50"/>
      <c r="Y85" s="50"/>
    </row>
    <row r="86" spans="1:25" ht="15.75" customHeight="1">
      <c r="A86" s="54"/>
      <c r="B86" s="30"/>
      <c r="C86" s="30"/>
      <c r="D86" s="44"/>
      <c r="E86" s="44"/>
      <c r="F86" s="44"/>
      <c r="G86" s="44"/>
      <c r="H86" s="44"/>
      <c r="I86" s="44"/>
      <c r="J86" s="44"/>
      <c r="K86" s="44"/>
      <c r="L86" s="44"/>
      <c r="M86" s="44"/>
      <c r="N86" s="50"/>
      <c r="O86" s="50"/>
      <c r="P86" s="50"/>
      <c r="Q86" s="50"/>
      <c r="R86" s="50"/>
      <c r="S86" s="50"/>
      <c r="T86" s="50"/>
      <c r="U86" s="50"/>
      <c r="V86" s="50"/>
      <c r="W86" s="50"/>
      <c r="X86" s="50"/>
      <c r="Y86" s="50"/>
    </row>
    <row r="87" spans="1:25" ht="15.75" customHeight="1">
      <c r="A87" s="54"/>
      <c r="B87" s="30"/>
      <c r="C87" s="30"/>
      <c r="D87" s="44"/>
      <c r="E87" s="44"/>
      <c r="F87" s="44"/>
      <c r="G87" s="44"/>
      <c r="H87" s="44"/>
      <c r="I87" s="44"/>
      <c r="J87" s="44"/>
      <c r="K87" s="44"/>
      <c r="L87" s="44"/>
      <c r="M87" s="44"/>
      <c r="N87" s="50"/>
      <c r="O87" s="50"/>
      <c r="P87" s="50"/>
      <c r="Q87" s="50"/>
      <c r="R87" s="50"/>
      <c r="S87" s="50"/>
      <c r="T87" s="50"/>
      <c r="U87" s="50"/>
      <c r="V87" s="50"/>
      <c r="W87" s="50"/>
      <c r="X87" s="50"/>
      <c r="Y87" s="50"/>
    </row>
    <row r="88" spans="1:25" ht="15.75" customHeight="1">
      <c r="A88" s="54"/>
      <c r="B88" s="30"/>
      <c r="C88" s="30"/>
      <c r="D88" s="44"/>
      <c r="E88" s="44"/>
      <c r="F88" s="44"/>
      <c r="G88" s="44"/>
      <c r="H88" s="44"/>
      <c r="I88" s="44"/>
      <c r="J88" s="44"/>
      <c r="K88" s="44"/>
      <c r="L88" s="44"/>
      <c r="M88" s="44"/>
      <c r="N88" s="50"/>
      <c r="O88" s="50"/>
      <c r="P88" s="50"/>
      <c r="Q88" s="50"/>
      <c r="R88" s="50"/>
      <c r="S88" s="50"/>
      <c r="T88" s="50"/>
      <c r="U88" s="50"/>
      <c r="V88" s="50"/>
      <c r="W88" s="50"/>
      <c r="X88" s="50"/>
      <c r="Y88" s="50"/>
    </row>
    <row r="89" spans="1:25" ht="15.75" customHeight="1">
      <c r="A89" s="55"/>
      <c r="B89" s="30"/>
      <c r="C89" s="30"/>
      <c r="D89" s="44"/>
      <c r="E89" s="44"/>
      <c r="F89" s="44"/>
      <c r="G89" s="44"/>
      <c r="H89" s="44"/>
      <c r="I89" s="44"/>
      <c r="J89" s="44"/>
      <c r="K89" s="44"/>
      <c r="L89" s="44"/>
      <c r="M89" s="44"/>
      <c r="N89" s="50"/>
      <c r="O89" s="50"/>
      <c r="P89" s="50"/>
      <c r="Q89" s="50"/>
      <c r="R89" s="50"/>
      <c r="S89" s="50"/>
      <c r="T89" s="50"/>
      <c r="U89" s="50"/>
      <c r="V89" s="50"/>
      <c r="W89" s="50"/>
      <c r="X89" s="50"/>
      <c r="Y89" s="50"/>
    </row>
    <row r="90" spans="1:25" ht="15.75" customHeight="1">
      <c r="A90" s="53"/>
      <c r="B90" s="30"/>
      <c r="C90" s="30"/>
      <c r="D90" s="44"/>
      <c r="E90" s="44"/>
      <c r="F90" s="44"/>
      <c r="G90" s="44"/>
      <c r="H90" s="44"/>
      <c r="I90" s="44"/>
      <c r="J90" s="44"/>
      <c r="K90" s="44"/>
      <c r="L90" s="44"/>
      <c r="M90" s="44"/>
      <c r="N90" s="50"/>
      <c r="O90" s="50"/>
      <c r="P90" s="50"/>
      <c r="Q90" s="50"/>
      <c r="R90" s="50"/>
      <c r="S90" s="50"/>
      <c r="T90" s="50"/>
      <c r="U90" s="50"/>
      <c r="V90" s="50"/>
      <c r="W90" s="50"/>
      <c r="X90" s="50"/>
      <c r="Y90" s="50"/>
    </row>
    <row r="91" spans="1:25" ht="15.75" customHeight="1">
      <c r="A91" s="53"/>
      <c r="B91" s="30"/>
      <c r="C91" s="30"/>
      <c r="D91" s="44"/>
      <c r="E91" s="44"/>
      <c r="F91" s="44"/>
      <c r="G91" s="44"/>
      <c r="H91" s="44"/>
      <c r="I91" s="44"/>
      <c r="J91" s="44"/>
      <c r="K91" s="44"/>
      <c r="L91" s="44"/>
      <c r="M91" s="44"/>
      <c r="N91" s="50"/>
      <c r="O91" s="50"/>
      <c r="P91" s="50"/>
      <c r="Q91" s="50"/>
      <c r="R91" s="50"/>
      <c r="S91" s="50"/>
      <c r="T91" s="50"/>
      <c r="U91" s="50"/>
      <c r="V91" s="50"/>
      <c r="W91" s="50"/>
      <c r="X91" s="50"/>
      <c r="Y91" s="50"/>
    </row>
    <row r="92" spans="1:25" ht="15.75" customHeight="1">
      <c r="A92" s="53"/>
      <c r="B92" s="30"/>
      <c r="C92" s="30"/>
      <c r="D92" s="44"/>
      <c r="E92" s="44"/>
      <c r="F92" s="44"/>
      <c r="G92" s="44"/>
      <c r="H92" s="44"/>
      <c r="I92" s="44"/>
      <c r="J92" s="44"/>
      <c r="K92" s="44"/>
      <c r="L92" s="44"/>
      <c r="M92" s="44"/>
      <c r="N92" s="50"/>
      <c r="O92" s="50"/>
      <c r="P92" s="50"/>
      <c r="Q92" s="50"/>
      <c r="R92" s="50"/>
      <c r="S92" s="50"/>
      <c r="T92" s="50"/>
      <c r="U92" s="50"/>
      <c r="V92" s="50"/>
      <c r="W92" s="50"/>
      <c r="X92" s="50"/>
      <c r="Y92" s="50"/>
    </row>
    <row r="93" spans="1:25" ht="15.75" customHeight="1">
      <c r="A93" s="53"/>
      <c r="B93" s="30"/>
      <c r="C93" s="30"/>
      <c r="D93" s="44"/>
      <c r="E93" s="44"/>
      <c r="F93" s="44"/>
      <c r="G93" s="44"/>
      <c r="H93" s="44"/>
      <c r="I93" s="44"/>
      <c r="J93" s="44"/>
      <c r="K93" s="44"/>
      <c r="L93" s="44"/>
      <c r="M93" s="44"/>
      <c r="N93" s="50"/>
    </row>
    <row r="94" spans="1:25" ht="15.75" customHeight="1">
      <c r="A94" s="53"/>
      <c r="B94" s="30"/>
      <c r="C94" s="30"/>
      <c r="D94" s="44"/>
      <c r="E94" s="44"/>
      <c r="F94" s="44"/>
      <c r="G94" s="44"/>
      <c r="H94" s="44"/>
      <c r="I94" s="44"/>
      <c r="J94" s="44"/>
      <c r="K94" s="44"/>
      <c r="L94" s="44"/>
      <c r="M94" s="44"/>
      <c r="N94" s="50"/>
    </row>
    <row r="95" spans="1:25" ht="15.75" customHeight="1">
      <c r="A95" s="53"/>
      <c r="B95" s="30"/>
      <c r="C95" s="30"/>
      <c r="D95" s="44"/>
      <c r="E95" s="44"/>
      <c r="F95" s="44"/>
      <c r="G95" s="44"/>
      <c r="H95" s="44"/>
      <c r="I95" s="44"/>
      <c r="J95" s="44"/>
      <c r="K95" s="44"/>
      <c r="L95" s="44"/>
      <c r="M95" s="44"/>
      <c r="N95" s="50"/>
    </row>
    <row r="96" spans="1:25" ht="15.75" customHeight="1">
      <c r="A96" s="53"/>
      <c r="B96" s="30"/>
      <c r="C96" s="30"/>
      <c r="D96" s="44"/>
      <c r="E96" s="44"/>
      <c r="F96" s="44"/>
      <c r="G96" s="44"/>
      <c r="H96" s="44"/>
      <c r="I96" s="44"/>
      <c r="J96" s="44"/>
      <c r="K96" s="44"/>
      <c r="L96" s="44"/>
      <c r="M96" s="44"/>
      <c r="N96" s="50"/>
    </row>
    <row r="97" spans="1:14" ht="15.75" customHeight="1">
      <c r="A97" s="53"/>
      <c r="B97" s="30"/>
      <c r="C97" s="30"/>
      <c r="D97" s="44"/>
      <c r="E97" s="44"/>
      <c r="F97" s="44"/>
      <c r="G97" s="44"/>
      <c r="H97" s="44"/>
      <c r="I97" s="44"/>
      <c r="J97" s="44"/>
      <c r="K97" s="44"/>
      <c r="L97" s="44"/>
      <c r="M97" s="44"/>
      <c r="N97" s="50"/>
    </row>
    <row r="98" spans="1:14" ht="15.75" customHeight="1">
      <c r="A98" s="53"/>
      <c r="B98" s="30"/>
      <c r="C98" s="30"/>
      <c r="D98" s="44"/>
      <c r="E98" s="44"/>
      <c r="F98" s="44"/>
      <c r="G98" s="44"/>
      <c r="H98" s="44"/>
      <c r="I98" s="44"/>
      <c r="J98" s="44"/>
      <c r="K98" s="44"/>
      <c r="L98" s="44"/>
      <c r="M98" s="44"/>
      <c r="N98" s="50"/>
    </row>
    <row r="99" spans="1:14" ht="15.75" customHeight="1">
      <c r="A99" s="53"/>
      <c r="B99" s="30"/>
      <c r="C99" s="30"/>
      <c r="D99" s="44"/>
      <c r="E99" s="44"/>
      <c r="F99" s="44"/>
      <c r="G99" s="44"/>
      <c r="H99" s="44"/>
      <c r="I99" s="44"/>
      <c r="J99" s="44"/>
      <c r="K99" s="44"/>
      <c r="L99" s="44"/>
      <c r="M99" s="44"/>
      <c r="N99" s="50"/>
    </row>
    <row r="100" spans="1:14" ht="15.75" customHeight="1">
      <c r="A100" s="53"/>
      <c r="B100" s="30"/>
      <c r="C100" s="30"/>
      <c r="D100" s="44"/>
      <c r="E100" s="44"/>
      <c r="F100" s="44"/>
      <c r="G100" s="44"/>
      <c r="H100" s="44"/>
      <c r="I100" s="44"/>
      <c r="J100" s="44"/>
      <c r="K100" s="44"/>
      <c r="L100" s="44"/>
      <c r="M100" s="44"/>
      <c r="N100" s="50"/>
    </row>
    <row r="101" spans="1:14" ht="15.75" customHeight="1">
      <c r="A101" s="53"/>
      <c r="B101" s="30"/>
      <c r="C101" s="30"/>
      <c r="D101" s="44"/>
      <c r="E101" s="44"/>
      <c r="F101" s="44"/>
      <c r="G101" s="44"/>
      <c r="H101" s="44"/>
      <c r="I101" s="44"/>
      <c r="J101" s="44"/>
      <c r="K101" s="44"/>
      <c r="L101" s="44"/>
      <c r="M101" s="44"/>
      <c r="N101" s="50"/>
    </row>
    <row r="102" spans="1:14" ht="15.75" customHeight="1">
      <c r="A102" s="53"/>
      <c r="B102" s="30"/>
      <c r="C102" s="30"/>
      <c r="D102" s="44"/>
      <c r="E102" s="44"/>
      <c r="F102" s="44"/>
      <c r="G102" s="44"/>
      <c r="H102" s="44"/>
      <c r="I102" s="44"/>
      <c r="J102" s="44"/>
      <c r="K102" s="44"/>
      <c r="L102" s="44"/>
      <c r="M102" s="44"/>
      <c r="N102" s="50"/>
    </row>
    <row r="103" spans="1:14" ht="15.75" customHeight="1">
      <c r="A103" s="53"/>
      <c r="B103" s="30"/>
      <c r="C103" s="30"/>
      <c r="D103" s="44"/>
      <c r="E103" s="44"/>
      <c r="F103" s="44"/>
      <c r="G103" s="44"/>
      <c r="H103" s="44"/>
      <c r="I103" s="44"/>
      <c r="J103" s="44"/>
      <c r="K103" s="44"/>
      <c r="L103" s="44"/>
      <c r="M103" s="44"/>
      <c r="N103" s="50"/>
    </row>
    <row r="104" spans="1:14" ht="15.75" customHeight="1">
      <c r="A104" s="53"/>
      <c r="B104" s="30"/>
      <c r="C104" s="30"/>
      <c r="D104" s="44"/>
      <c r="E104" s="44"/>
      <c r="F104" s="44"/>
      <c r="G104" s="44"/>
      <c r="H104" s="44"/>
      <c r="I104" s="44"/>
      <c r="J104" s="44"/>
      <c r="K104" s="44"/>
      <c r="L104" s="44"/>
      <c r="M104" s="44"/>
      <c r="N104" s="50"/>
    </row>
    <row r="105" spans="1:14" ht="15.75" customHeight="1">
      <c r="A105" s="53"/>
      <c r="B105" s="30"/>
      <c r="C105" s="30"/>
      <c r="D105" s="44"/>
      <c r="E105" s="44"/>
      <c r="F105" s="44"/>
      <c r="G105" s="44"/>
      <c r="H105" s="44"/>
      <c r="I105" s="44"/>
      <c r="J105" s="44"/>
      <c r="K105" s="44"/>
      <c r="L105" s="44"/>
      <c r="M105" s="44"/>
      <c r="N105" s="50"/>
    </row>
    <row r="106" spans="1:14" ht="15.75" customHeight="1">
      <c r="A106" s="53"/>
      <c r="B106" s="30"/>
      <c r="C106" s="30"/>
      <c r="D106" s="44"/>
      <c r="E106" s="44"/>
      <c r="F106" s="44"/>
      <c r="G106" s="44"/>
      <c r="H106" s="44"/>
      <c r="I106" s="44"/>
      <c r="J106" s="44"/>
      <c r="K106" s="44"/>
      <c r="L106" s="44"/>
      <c r="M106" s="44"/>
      <c r="N106" s="50"/>
    </row>
    <row r="107" spans="1:14" ht="15.75" customHeight="1">
      <c r="A107" s="53"/>
      <c r="B107" s="30"/>
      <c r="C107" s="30"/>
      <c r="D107" s="44"/>
      <c r="E107" s="44"/>
      <c r="F107" s="44"/>
      <c r="G107" s="44"/>
      <c r="H107" s="44"/>
      <c r="I107" s="44"/>
      <c r="J107" s="44"/>
      <c r="K107" s="44"/>
      <c r="L107" s="44"/>
      <c r="M107" s="44"/>
      <c r="N107" s="50"/>
    </row>
    <row r="108" spans="1:14" ht="15.75" customHeight="1">
      <c r="A108" s="53"/>
      <c r="B108" s="30"/>
      <c r="C108" s="30"/>
      <c r="D108" s="44"/>
      <c r="E108" s="44"/>
      <c r="F108" s="44"/>
      <c r="G108" s="44"/>
      <c r="H108" s="44"/>
      <c r="I108" s="44"/>
      <c r="J108" s="44"/>
      <c r="K108" s="44"/>
      <c r="L108" s="44"/>
      <c r="M108" s="44"/>
      <c r="N108" s="50"/>
    </row>
    <row r="109" spans="1:14" ht="15.75" customHeight="1">
      <c r="A109" s="53"/>
      <c r="B109" s="30"/>
      <c r="C109" s="30"/>
      <c r="D109" s="44"/>
      <c r="E109" s="44"/>
      <c r="F109" s="44"/>
      <c r="G109" s="44"/>
      <c r="H109" s="44"/>
      <c r="I109" s="44"/>
      <c r="J109" s="44"/>
      <c r="K109" s="44"/>
      <c r="L109" s="44"/>
      <c r="M109" s="44"/>
      <c r="N109" s="50"/>
    </row>
    <row r="110" spans="1:14" ht="15.75" customHeight="1">
      <c r="A110" s="53"/>
      <c r="B110" s="30"/>
      <c r="C110" s="30"/>
      <c r="D110" s="44"/>
      <c r="E110" s="44"/>
      <c r="F110" s="44"/>
      <c r="G110" s="44"/>
      <c r="H110" s="44"/>
      <c r="I110" s="44"/>
      <c r="J110" s="44"/>
      <c r="K110" s="44"/>
      <c r="L110" s="44"/>
      <c r="M110" s="44"/>
      <c r="N110" s="50"/>
    </row>
    <row r="111" spans="1:14" ht="15.75" customHeight="1">
      <c r="A111" s="53"/>
      <c r="B111" s="30"/>
      <c r="C111" s="30"/>
      <c r="D111" s="44"/>
      <c r="E111" s="44"/>
      <c r="F111" s="44"/>
      <c r="G111" s="44"/>
      <c r="H111" s="44"/>
      <c r="I111" s="44"/>
      <c r="J111" s="44"/>
      <c r="K111" s="44"/>
      <c r="L111" s="44"/>
      <c r="M111" s="44"/>
      <c r="N111" s="50"/>
    </row>
    <row r="112" spans="1:14" ht="15.75" customHeight="1">
      <c r="A112" s="53"/>
      <c r="B112" s="30"/>
      <c r="C112" s="30"/>
      <c r="D112" s="44"/>
      <c r="E112" s="44"/>
      <c r="F112" s="44"/>
      <c r="G112" s="44"/>
      <c r="H112" s="44"/>
      <c r="I112" s="44"/>
      <c r="J112" s="44"/>
      <c r="K112" s="44"/>
      <c r="L112" s="44"/>
      <c r="M112" s="44"/>
      <c r="N112" s="50"/>
    </row>
    <row r="113" spans="1:14" ht="15.75" customHeight="1">
      <c r="A113" s="53"/>
      <c r="B113" s="30"/>
      <c r="C113" s="30"/>
      <c r="D113" s="44"/>
      <c r="E113" s="44"/>
      <c r="F113" s="44"/>
      <c r="G113" s="44"/>
      <c r="H113" s="44"/>
      <c r="I113" s="44"/>
      <c r="J113" s="44"/>
      <c r="K113" s="44"/>
      <c r="L113" s="44"/>
      <c r="M113" s="44"/>
      <c r="N113" s="50"/>
    </row>
    <row r="114" spans="1:14" ht="15.75" customHeight="1">
      <c r="A114" s="53"/>
      <c r="B114" s="30"/>
      <c r="C114" s="30"/>
      <c r="D114" s="44"/>
      <c r="E114" s="44"/>
      <c r="F114" s="44"/>
      <c r="G114" s="44"/>
      <c r="H114" s="44"/>
      <c r="I114" s="44"/>
      <c r="J114" s="44"/>
      <c r="K114" s="44"/>
      <c r="L114" s="44"/>
      <c r="M114" s="44"/>
      <c r="N114" s="50"/>
    </row>
    <row r="115" spans="1:14" ht="15.75" customHeight="1">
      <c r="A115" s="53"/>
      <c r="B115" s="30"/>
      <c r="C115" s="30"/>
      <c r="D115" s="44"/>
      <c r="E115" s="44"/>
      <c r="F115" s="44"/>
      <c r="G115" s="44"/>
      <c r="H115" s="44"/>
      <c r="I115" s="44"/>
      <c r="J115" s="44"/>
      <c r="K115" s="44"/>
      <c r="L115" s="44"/>
      <c r="M115" s="44"/>
      <c r="N115" s="50"/>
    </row>
    <row r="116" spans="1:14" ht="15.75" customHeight="1">
      <c r="A116" s="53"/>
      <c r="B116" s="30"/>
      <c r="C116" s="30"/>
      <c r="D116" s="44"/>
      <c r="E116" s="44"/>
      <c r="F116" s="44"/>
      <c r="G116" s="44"/>
      <c r="H116" s="44"/>
      <c r="I116" s="44"/>
      <c r="J116" s="44"/>
      <c r="K116" s="44"/>
      <c r="L116" s="44"/>
      <c r="M116" s="44"/>
      <c r="N116" s="50"/>
    </row>
    <row r="117" spans="1:14" ht="15.75" customHeight="1">
      <c r="A117" s="53"/>
      <c r="B117" s="30"/>
      <c r="C117" s="30"/>
      <c r="D117" s="44"/>
      <c r="E117" s="44"/>
      <c r="F117" s="44"/>
      <c r="G117" s="44"/>
      <c r="H117" s="44"/>
      <c r="I117" s="44"/>
      <c r="J117" s="44"/>
      <c r="K117" s="44"/>
      <c r="L117" s="44"/>
      <c r="M117" s="44"/>
      <c r="N117" s="50"/>
    </row>
    <row r="118" spans="1:14" ht="15.75" customHeight="1">
      <c r="A118" s="53"/>
      <c r="B118" s="30"/>
      <c r="C118" s="30"/>
      <c r="D118" s="44"/>
      <c r="E118" s="44"/>
      <c r="F118" s="44"/>
      <c r="G118" s="44"/>
      <c r="H118" s="44"/>
      <c r="I118" s="44"/>
      <c r="J118" s="44"/>
      <c r="K118" s="44"/>
      <c r="L118" s="44"/>
      <c r="M118" s="44"/>
      <c r="N118" s="50"/>
    </row>
    <row r="119" spans="1:14" ht="15.75" customHeight="1">
      <c r="A119" s="53"/>
      <c r="B119" s="30"/>
      <c r="C119" s="30"/>
      <c r="D119" s="44"/>
      <c r="E119" s="44"/>
      <c r="F119" s="44"/>
      <c r="G119" s="44"/>
      <c r="H119" s="44"/>
      <c r="I119" s="44"/>
      <c r="J119" s="44"/>
      <c r="K119" s="44"/>
      <c r="L119" s="44"/>
      <c r="M119" s="44"/>
      <c r="N119" s="50"/>
    </row>
    <row r="120" spans="1:14" ht="15.75" customHeight="1">
      <c r="A120" s="53"/>
      <c r="B120" s="30"/>
      <c r="C120" s="30"/>
      <c r="D120" s="44"/>
      <c r="E120" s="44"/>
      <c r="F120" s="44"/>
      <c r="G120" s="44"/>
      <c r="H120" s="44"/>
      <c r="I120" s="44"/>
      <c r="J120" s="44"/>
      <c r="K120" s="44"/>
      <c r="L120" s="44"/>
      <c r="M120" s="44"/>
      <c r="N120" s="50"/>
    </row>
    <row r="121" spans="1:14" ht="15.75" customHeight="1">
      <c r="A121" s="53"/>
      <c r="B121" s="30"/>
      <c r="C121" s="30"/>
      <c r="D121" s="44"/>
      <c r="E121" s="44"/>
      <c r="F121" s="44"/>
      <c r="G121" s="44"/>
      <c r="H121" s="44"/>
      <c r="I121" s="44"/>
      <c r="J121" s="44"/>
      <c r="K121" s="44"/>
      <c r="L121" s="44"/>
      <c r="M121" s="44"/>
      <c r="N121" s="50"/>
    </row>
    <row r="122" spans="1:14" ht="15.75" customHeight="1">
      <c r="A122" s="53"/>
      <c r="B122" s="30"/>
      <c r="C122" s="30"/>
      <c r="D122" s="44"/>
      <c r="E122" s="44"/>
      <c r="F122" s="44"/>
      <c r="G122" s="44"/>
      <c r="H122" s="44"/>
      <c r="I122" s="44"/>
      <c r="J122" s="44"/>
      <c r="K122" s="44"/>
      <c r="L122" s="44"/>
      <c r="M122" s="44"/>
      <c r="N122" s="50"/>
    </row>
    <row r="123" spans="1:14" ht="15.75" customHeight="1">
      <c r="A123" s="53"/>
      <c r="B123" s="30"/>
      <c r="C123" s="30"/>
      <c r="D123" s="44"/>
      <c r="E123" s="44"/>
      <c r="F123" s="44"/>
      <c r="G123" s="44"/>
      <c r="H123" s="44"/>
      <c r="I123" s="44"/>
      <c r="J123" s="44"/>
      <c r="K123" s="44"/>
      <c r="L123" s="44"/>
      <c r="M123" s="44"/>
      <c r="N123" s="50"/>
    </row>
    <row r="124" spans="1:14" ht="15.75" customHeight="1">
      <c r="A124" s="53"/>
      <c r="B124" s="30"/>
      <c r="C124" s="30"/>
      <c r="D124" s="44"/>
      <c r="E124" s="44"/>
      <c r="F124" s="44"/>
      <c r="G124" s="44"/>
      <c r="H124" s="44"/>
      <c r="I124" s="44"/>
      <c r="J124" s="44"/>
      <c r="K124" s="44"/>
      <c r="L124" s="44"/>
      <c r="M124" s="44"/>
      <c r="N124" s="50"/>
    </row>
    <row r="125" spans="1:14" ht="15.75" customHeight="1">
      <c r="A125" s="53"/>
      <c r="B125" s="30"/>
      <c r="C125" s="30"/>
      <c r="D125" s="44"/>
      <c r="E125" s="44"/>
      <c r="F125" s="44"/>
      <c r="G125" s="44"/>
      <c r="H125" s="44"/>
      <c r="I125" s="44"/>
      <c r="J125" s="44"/>
      <c r="K125" s="44"/>
      <c r="L125" s="44"/>
      <c r="M125" s="44"/>
      <c r="N125" s="50"/>
    </row>
    <row r="126" spans="1:14" ht="15.75" customHeight="1">
      <c r="A126" s="53"/>
      <c r="B126" s="30"/>
      <c r="C126" s="30"/>
      <c r="D126" s="44"/>
      <c r="E126" s="44"/>
      <c r="F126" s="44"/>
      <c r="G126" s="44"/>
      <c r="H126" s="44"/>
      <c r="I126" s="44"/>
      <c r="J126" s="44"/>
      <c r="K126" s="44"/>
      <c r="L126" s="44"/>
      <c r="M126" s="44"/>
      <c r="N126" s="50"/>
    </row>
    <row r="127" spans="1:14" ht="15.75" customHeight="1">
      <c r="A127" s="53"/>
      <c r="B127" s="30"/>
      <c r="C127" s="30"/>
      <c r="D127" s="44"/>
      <c r="E127" s="44"/>
      <c r="F127" s="44"/>
      <c r="G127" s="44"/>
      <c r="H127" s="44"/>
      <c r="I127" s="44"/>
      <c r="J127" s="44"/>
      <c r="K127" s="44"/>
      <c r="L127" s="44"/>
      <c r="M127" s="44"/>
      <c r="N127" s="50"/>
    </row>
    <row r="128" spans="1:14" ht="15.75" customHeight="1">
      <c r="A128" s="53"/>
      <c r="B128" s="30"/>
      <c r="C128" s="30"/>
      <c r="D128" s="44"/>
      <c r="E128" s="44"/>
      <c r="F128" s="44"/>
      <c r="G128" s="44"/>
      <c r="H128" s="44"/>
      <c r="I128" s="44"/>
      <c r="J128" s="44"/>
      <c r="K128" s="44"/>
      <c r="L128" s="44"/>
      <c r="M128" s="44"/>
      <c r="N128" s="50"/>
    </row>
    <row r="129" spans="1:14" ht="15.75" customHeight="1">
      <c r="A129" s="53"/>
      <c r="B129" s="30"/>
      <c r="C129" s="30"/>
      <c r="D129" s="44"/>
      <c r="E129" s="44"/>
      <c r="F129" s="44"/>
      <c r="G129" s="44"/>
      <c r="H129" s="44"/>
      <c r="I129" s="44"/>
      <c r="J129" s="44"/>
      <c r="K129" s="44"/>
      <c r="L129" s="44"/>
      <c r="M129" s="44"/>
      <c r="N129" s="50"/>
    </row>
    <row r="130" spans="1:14" ht="15.75" customHeight="1">
      <c r="A130" s="53"/>
      <c r="B130" s="30"/>
      <c r="C130" s="30"/>
      <c r="D130" s="44"/>
      <c r="E130" s="44"/>
      <c r="F130" s="44"/>
      <c r="G130" s="44"/>
      <c r="H130" s="44"/>
      <c r="I130" s="44"/>
      <c r="J130" s="44"/>
      <c r="K130" s="44"/>
      <c r="L130" s="44"/>
      <c r="M130" s="44"/>
      <c r="N130" s="50"/>
    </row>
    <row r="131" spans="1:14" ht="15.75" customHeight="1">
      <c r="A131" s="53"/>
      <c r="B131" s="30"/>
      <c r="C131" s="30"/>
      <c r="D131" s="44"/>
      <c r="E131" s="44"/>
      <c r="F131" s="44"/>
      <c r="G131" s="44"/>
      <c r="H131" s="44"/>
      <c r="I131" s="44"/>
      <c r="J131" s="44"/>
      <c r="K131" s="44"/>
      <c r="L131" s="44"/>
      <c r="M131" s="44"/>
      <c r="N131" s="50"/>
    </row>
    <row r="132" spans="1:14" ht="15.75" customHeight="1">
      <c r="A132" s="53"/>
      <c r="B132" s="30"/>
      <c r="C132" s="30"/>
      <c r="D132" s="44"/>
      <c r="E132" s="44"/>
      <c r="F132" s="44"/>
      <c r="G132" s="44"/>
      <c r="H132" s="44"/>
      <c r="I132" s="44"/>
      <c r="J132" s="44"/>
      <c r="K132" s="44"/>
      <c r="L132" s="44"/>
      <c r="M132" s="44"/>
      <c r="N132" s="50"/>
    </row>
    <row r="133" spans="1:14" ht="15.75" customHeight="1">
      <c r="A133" s="53"/>
      <c r="B133" s="30"/>
      <c r="C133" s="30"/>
      <c r="D133" s="44"/>
      <c r="E133" s="44"/>
      <c r="F133" s="44"/>
      <c r="G133" s="44"/>
      <c r="H133" s="44"/>
      <c r="I133" s="44"/>
      <c r="J133" s="44"/>
      <c r="K133" s="44"/>
      <c r="L133" s="44"/>
      <c r="M133" s="44"/>
      <c r="N133" s="50"/>
    </row>
    <row r="134" spans="1:14" ht="15.75" customHeight="1">
      <c r="A134" s="53"/>
      <c r="B134" s="30"/>
      <c r="C134" s="30"/>
      <c r="D134" s="44"/>
      <c r="E134" s="44"/>
      <c r="F134" s="44"/>
      <c r="G134" s="44"/>
      <c r="H134" s="44"/>
      <c r="I134" s="44"/>
      <c r="J134" s="44"/>
      <c r="K134" s="44"/>
      <c r="L134" s="44"/>
      <c r="M134" s="44"/>
      <c r="N134" s="50"/>
    </row>
    <row r="135" spans="1:14" ht="15.75" customHeight="1">
      <c r="A135" s="53"/>
      <c r="B135" s="30"/>
      <c r="C135" s="30"/>
      <c r="D135" s="44"/>
      <c r="E135" s="44"/>
      <c r="F135" s="44"/>
      <c r="G135" s="44"/>
      <c r="H135" s="44"/>
      <c r="I135" s="44"/>
      <c r="J135" s="44"/>
      <c r="K135" s="44"/>
      <c r="L135" s="44"/>
      <c r="M135" s="44"/>
      <c r="N135" s="50"/>
    </row>
    <row r="136" spans="1:14" ht="15.75" customHeight="1">
      <c r="A136" s="53"/>
      <c r="B136" s="30"/>
      <c r="C136" s="30"/>
      <c r="D136" s="44"/>
      <c r="E136" s="44"/>
      <c r="F136" s="44"/>
      <c r="G136" s="44"/>
      <c r="H136" s="44"/>
      <c r="I136" s="44"/>
      <c r="J136" s="44"/>
      <c r="K136" s="44"/>
      <c r="L136" s="44"/>
      <c r="M136" s="44"/>
      <c r="N136" s="50"/>
    </row>
    <row r="137" spans="1:14" ht="15.75" customHeight="1">
      <c r="A137" s="53"/>
      <c r="B137" s="30"/>
      <c r="C137" s="30"/>
      <c r="D137" s="44"/>
      <c r="E137" s="44"/>
      <c r="F137" s="44"/>
      <c r="G137" s="44"/>
      <c r="H137" s="44"/>
      <c r="I137" s="44"/>
      <c r="J137" s="44"/>
      <c r="K137" s="44"/>
      <c r="L137" s="44"/>
      <c r="M137" s="44"/>
      <c r="N137" s="50"/>
    </row>
    <row r="138" spans="1:14" ht="15.75" customHeight="1">
      <c r="A138" s="53"/>
      <c r="B138" s="30"/>
      <c r="C138" s="30"/>
      <c r="D138" s="44"/>
      <c r="E138" s="44"/>
      <c r="F138" s="44"/>
      <c r="G138" s="44"/>
      <c r="H138" s="44"/>
      <c r="I138" s="44"/>
      <c r="J138" s="44"/>
      <c r="K138" s="44"/>
      <c r="L138" s="44"/>
      <c r="M138" s="44"/>
      <c r="N138" s="50"/>
    </row>
    <row r="139" spans="1:14" ht="15.75" customHeight="1">
      <c r="A139" s="53"/>
      <c r="B139" s="30"/>
      <c r="C139" s="30"/>
      <c r="D139" s="44"/>
      <c r="E139" s="44"/>
      <c r="F139" s="44"/>
      <c r="G139" s="44"/>
      <c r="H139" s="44"/>
      <c r="I139" s="44"/>
      <c r="J139" s="44"/>
      <c r="K139" s="44"/>
      <c r="L139" s="44"/>
      <c r="M139" s="44"/>
      <c r="N139" s="50"/>
    </row>
    <row r="140" spans="1:14" ht="15.75" customHeight="1">
      <c r="A140" s="53"/>
      <c r="B140" s="30"/>
      <c r="C140" s="30"/>
      <c r="D140" s="44"/>
      <c r="E140" s="44"/>
      <c r="F140" s="44"/>
      <c r="G140" s="44"/>
      <c r="H140" s="44"/>
      <c r="I140" s="44"/>
      <c r="J140" s="44"/>
      <c r="K140" s="44"/>
      <c r="L140" s="44"/>
      <c r="M140" s="44"/>
      <c r="N140" s="50"/>
    </row>
    <row r="141" spans="1:14" ht="15.75" customHeight="1">
      <c r="A141" s="53"/>
      <c r="B141" s="30"/>
      <c r="C141" s="30"/>
      <c r="D141" s="44"/>
      <c r="E141" s="44"/>
      <c r="F141" s="44"/>
      <c r="G141" s="44"/>
      <c r="H141" s="44"/>
      <c r="I141" s="44"/>
      <c r="J141" s="44"/>
      <c r="K141" s="44"/>
      <c r="L141" s="44"/>
      <c r="M141" s="44"/>
      <c r="N141" s="50"/>
    </row>
    <row r="142" spans="1:14" ht="15.75" customHeight="1">
      <c r="A142" s="53"/>
      <c r="B142" s="30"/>
      <c r="C142" s="30"/>
      <c r="D142" s="44"/>
      <c r="E142" s="44"/>
      <c r="F142" s="44"/>
      <c r="G142" s="44"/>
      <c r="H142" s="44"/>
      <c r="I142" s="44"/>
      <c r="J142" s="44"/>
      <c r="K142" s="44"/>
      <c r="L142" s="44"/>
      <c r="M142" s="44"/>
      <c r="N142" s="50"/>
    </row>
    <row r="143" spans="1:14" ht="15.75" customHeight="1">
      <c r="A143" s="53"/>
      <c r="B143" s="30"/>
      <c r="C143" s="30"/>
      <c r="D143" s="44"/>
      <c r="E143" s="44"/>
      <c r="F143" s="44"/>
      <c r="G143" s="44"/>
      <c r="H143" s="44"/>
      <c r="I143" s="44"/>
      <c r="J143" s="44"/>
      <c r="K143" s="44"/>
      <c r="L143" s="44"/>
      <c r="M143" s="44"/>
      <c r="N143" s="50"/>
    </row>
    <row r="144" spans="1:14" ht="15.75" customHeight="1">
      <c r="A144" s="53"/>
      <c r="B144" s="30"/>
      <c r="C144" s="30"/>
      <c r="D144" s="44"/>
      <c r="E144" s="44"/>
      <c r="F144" s="44"/>
      <c r="G144" s="44"/>
      <c r="H144" s="44"/>
      <c r="I144" s="44"/>
      <c r="J144" s="44"/>
      <c r="K144" s="44"/>
      <c r="L144" s="44"/>
      <c r="M144" s="44"/>
      <c r="N144" s="50"/>
    </row>
    <row r="145" spans="1:14" ht="15.75" customHeight="1">
      <c r="A145" s="53"/>
      <c r="B145" s="30"/>
      <c r="C145" s="30"/>
      <c r="D145" s="44"/>
      <c r="E145" s="44"/>
      <c r="F145" s="44"/>
      <c r="G145" s="44"/>
      <c r="H145" s="44"/>
      <c r="I145" s="44"/>
      <c r="J145" s="44"/>
      <c r="K145" s="44"/>
      <c r="L145" s="44"/>
      <c r="M145" s="44"/>
      <c r="N145" s="50"/>
    </row>
    <row r="146" spans="1:14" ht="15.75" customHeight="1">
      <c r="A146" s="53"/>
      <c r="B146" s="30"/>
      <c r="C146" s="30"/>
      <c r="D146" s="44"/>
      <c r="E146" s="44"/>
      <c r="F146" s="44"/>
      <c r="G146" s="44"/>
      <c r="H146" s="44"/>
      <c r="I146" s="44"/>
      <c r="J146" s="44"/>
      <c r="K146" s="44"/>
      <c r="L146" s="44"/>
      <c r="M146" s="44"/>
      <c r="N146" s="50"/>
    </row>
    <row r="147" spans="1:14" ht="15.75" customHeight="1">
      <c r="A147" s="53"/>
      <c r="B147" s="30"/>
      <c r="C147" s="30"/>
      <c r="D147" s="44"/>
      <c r="E147" s="44"/>
      <c r="F147" s="44"/>
      <c r="G147" s="44"/>
      <c r="H147" s="44"/>
      <c r="I147" s="44"/>
      <c r="J147" s="44"/>
      <c r="K147" s="44"/>
      <c r="L147" s="44"/>
      <c r="M147" s="44"/>
      <c r="N147" s="50"/>
    </row>
    <row r="148" spans="1:14" ht="15.75" customHeight="1">
      <c r="A148" s="53"/>
      <c r="B148" s="30"/>
      <c r="C148" s="30"/>
      <c r="D148" s="44"/>
      <c r="E148" s="44"/>
      <c r="F148" s="44"/>
      <c r="G148" s="44"/>
      <c r="H148" s="44"/>
      <c r="I148" s="44"/>
      <c r="J148" s="44"/>
      <c r="K148" s="44"/>
      <c r="L148" s="44"/>
      <c r="M148" s="44"/>
      <c r="N148" s="50"/>
    </row>
    <row r="149" spans="1:14" ht="15.75" customHeight="1">
      <c r="A149" s="53"/>
      <c r="B149" s="30"/>
      <c r="C149" s="30"/>
      <c r="D149" s="44"/>
      <c r="E149" s="44"/>
      <c r="F149" s="44"/>
      <c r="G149" s="44"/>
      <c r="H149" s="44"/>
      <c r="I149" s="44"/>
      <c r="J149" s="44"/>
      <c r="K149" s="44"/>
      <c r="L149" s="44"/>
      <c r="M149" s="44"/>
      <c r="N149" s="50"/>
    </row>
    <row r="150" spans="1:14" ht="15.75" customHeight="1">
      <c r="A150" s="53"/>
      <c r="B150" s="30"/>
      <c r="C150" s="30"/>
      <c r="D150" s="44"/>
      <c r="E150" s="44"/>
      <c r="F150" s="44"/>
      <c r="G150" s="44"/>
      <c r="H150" s="44"/>
      <c r="I150" s="44"/>
      <c r="J150" s="44"/>
      <c r="K150" s="44"/>
      <c r="L150" s="44"/>
      <c r="M150" s="44"/>
      <c r="N150" s="50"/>
    </row>
    <row r="151" spans="1:14" ht="15.75" customHeight="1">
      <c r="A151" s="53"/>
      <c r="B151" s="30"/>
      <c r="C151" s="30"/>
      <c r="D151" s="44"/>
      <c r="E151" s="44"/>
      <c r="F151" s="44"/>
      <c r="G151" s="44"/>
      <c r="H151" s="44"/>
      <c r="I151" s="44"/>
      <c r="J151" s="44"/>
      <c r="K151" s="44"/>
      <c r="L151" s="44"/>
      <c r="M151" s="44"/>
      <c r="N151" s="50"/>
    </row>
    <row r="152" spans="1:14" ht="15.75" customHeight="1">
      <c r="A152" s="53"/>
      <c r="B152" s="30"/>
      <c r="C152" s="30"/>
      <c r="D152" s="44"/>
      <c r="E152" s="44"/>
      <c r="F152" s="44"/>
      <c r="G152" s="44"/>
      <c r="H152" s="44"/>
      <c r="I152" s="44"/>
      <c r="J152" s="44"/>
      <c r="K152" s="44"/>
      <c r="L152" s="44"/>
      <c r="M152" s="44"/>
      <c r="N152" s="50"/>
    </row>
    <row r="153" spans="1:14" ht="15.75" customHeight="1">
      <c r="A153" s="53"/>
      <c r="B153" s="30"/>
      <c r="C153" s="30"/>
      <c r="D153" s="44"/>
      <c r="E153" s="44"/>
      <c r="F153" s="44"/>
      <c r="G153" s="44"/>
      <c r="H153" s="44"/>
      <c r="I153" s="44"/>
      <c r="J153" s="44"/>
      <c r="K153" s="44"/>
      <c r="L153" s="44"/>
      <c r="M153" s="44"/>
      <c r="N153" s="50"/>
    </row>
    <row r="154" spans="1:14" ht="15.75" customHeight="1">
      <c r="A154" s="53"/>
      <c r="B154" s="30"/>
      <c r="C154" s="30"/>
      <c r="D154" s="44"/>
      <c r="E154" s="44"/>
      <c r="F154" s="44"/>
      <c r="G154" s="44"/>
      <c r="H154" s="44"/>
      <c r="I154" s="44"/>
      <c r="J154" s="44"/>
      <c r="K154" s="44"/>
      <c r="L154" s="44"/>
      <c r="M154" s="44"/>
      <c r="N154" s="50"/>
    </row>
    <row r="155" spans="1:14" ht="15.75" customHeight="1">
      <c r="A155" s="53"/>
      <c r="B155" s="30"/>
      <c r="C155" s="30"/>
      <c r="D155" s="44"/>
      <c r="E155" s="44"/>
      <c r="F155" s="44"/>
      <c r="G155" s="44"/>
      <c r="H155" s="44"/>
      <c r="I155" s="44"/>
      <c r="J155" s="44"/>
      <c r="K155" s="44"/>
      <c r="L155" s="44"/>
      <c r="M155" s="44"/>
      <c r="N155" s="50"/>
    </row>
    <row r="156" spans="1:14" ht="15.75" customHeight="1">
      <c r="A156" s="53"/>
      <c r="B156" s="30"/>
      <c r="C156" s="30"/>
      <c r="D156" s="44"/>
      <c r="E156" s="44"/>
      <c r="F156" s="44"/>
      <c r="G156" s="44"/>
      <c r="H156" s="44"/>
      <c r="I156" s="44"/>
      <c r="J156" s="44"/>
      <c r="K156" s="44"/>
      <c r="L156" s="44"/>
      <c r="M156" s="44"/>
      <c r="N156" s="50"/>
    </row>
    <row r="157" spans="1:14" ht="15.75" customHeight="1">
      <c r="A157" s="53"/>
      <c r="B157" s="30"/>
      <c r="C157" s="30"/>
      <c r="D157" s="44"/>
      <c r="E157" s="44"/>
      <c r="F157" s="44"/>
      <c r="G157" s="44"/>
      <c r="H157" s="44"/>
      <c r="I157" s="44"/>
      <c r="J157" s="44"/>
      <c r="K157" s="44"/>
      <c r="L157" s="44"/>
      <c r="M157" s="44"/>
      <c r="N157" s="50"/>
    </row>
    <row r="158" spans="1:14" ht="15.75" customHeight="1">
      <c r="A158" s="53"/>
      <c r="B158" s="30"/>
      <c r="C158" s="30"/>
      <c r="D158" s="44"/>
      <c r="E158" s="44"/>
      <c r="F158" s="44"/>
      <c r="G158" s="44"/>
      <c r="H158" s="44"/>
      <c r="I158" s="44"/>
      <c r="J158" s="44"/>
      <c r="K158" s="44"/>
      <c r="L158" s="44"/>
      <c r="M158" s="44"/>
      <c r="N158" s="50"/>
    </row>
    <row r="159" spans="1:14" ht="15.75" customHeight="1">
      <c r="A159" s="53"/>
      <c r="B159" s="30"/>
      <c r="C159" s="30"/>
      <c r="D159" s="44"/>
      <c r="E159" s="44"/>
      <c r="F159" s="44"/>
      <c r="G159" s="44"/>
      <c r="H159" s="44"/>
      <c r="I159" s="44"/>
      <c r="J159" s="44"/>
      <c r="K159" s="44"/>
      <c r="L159" s="44"/>
      <c r="M159" s="44"/>
      <c r="N159" s="50"/>
    </row>
    <row r="160" spans="1:14" ht="15.75" customHeight="1">
      <c r="A160" s="53"/>
      <c r="B160" s="30"/>
      <c r="C160" s="30"/>
      <c r="D160" s="44"/>
      <c r="E160" s="44"/>
      <c r="F160" s="44"/>
      <c r="G160" s="44"/>
      <c r="H160" s="44"/>
      <c r="I160" s="44"/>
      <c r="J160" s="44"/>
      <c r="K160" s="44"/>
      <c r="L160" s="44"/>
      <c r="M160" s="44"/>
      <c r="N160" s="50"/>
    </row>
    <row r="161" spans="1:14" ht="15.75" customHeight="1">
      <c r="A161" s="53"/>
      <c r="B161" s="30"/>
      <c r="C161" s="30"/>
      <c r="D161" s="44"/>
      <c r="E161" s="44"/>
      <c r="F161" s="44"/>
      <c r="G161" s="44"/>
      <c r="H161" s="44"/>
      <c r="I161" s="44"/>
      <c r="J161" s="44"/>
      <c r="K161" s="44"/>
      <c r="L161" s="44"/>
      <c r="M161" s="44"/>
      <c r="N161" s="50"/>
    </row>
    <row r="162" spans="1:14" ht="15.75" customHeight="1">
      <c r="A162" s="53"/>
      <c r="B162" s="30"/>
      <c r="C162" s="30"/>
      <c r="D162" s="44"/>
      <c r="E162" s="44"/>
      <c r="F162" s="44"/>
      <c r="G162" s="44"/>
      <c r="H162" s="44"/>
      <c r="I162" s="44"/>
      <c r="J162" s="44"/>
      <c r="K162" s="44"/>
      <c r="L162" s="44"/>
      <c r="M162" s="44"/>
      <c r="N162" s="50"/>
    </row>
    <row r="163" spans="1:14" ht="15.75" customHeight="1">
      <c r="A163" s="53"/>
      <c r="B163" s="30"/>
      <c r="C163" s="30"/>
      <c r="D163" s="44"/>
      <c r="E163" s="44"/>
      <c r="F163" s="44"/>
      <c r="G163" s="44"/>
      <c r="H163" s="44"/>
      <c r="I163" s="44"/>
      <c r="J163" s="44"/>
      <c r="K163" s="44"/>
      <c r="L163" s="44"/>
      <c r="M163" s="44"/>
      <c r="N163" s="50"/>
    </row>
    <row r="164" spans="1:14" ht="15.75" customHeight="1">
      <c r="A164" s="53"/>
      <c r="B164" s="30"/>
      <c r="C164" s="30"/>
      <c r="D164" s="44"/>
      <c r="E164" s="44"/>
      <c r="F164" s="44"/>
      <c r="G164" s="44"/>
      <c r="H164" s="44"/>
      <c r="I164" s="44"/>
      <c r="J164" s="44"/>
      <c r="K164" s="44"/>
      <c r="L164" s="44"/>
      <c r="M164" s="44"/>
      <c r="N164" s="50"/>
    </row>
    <row r="165" spans="1:14" ht="15.75" customHeight="1">
      <c r="A165" s="53"/>
      <c r="B165" s="30"/>
      <c r="C165" s="30"/>
      <c r="D165" s="44"/>
      <c r="E165" s="44"/>
      <c r="F165" s="44"/>
      <c r="G165" s="44"/>
      <c r="H165" s="44"/>
      <c r="I165" s="44"/>
      <c r="J165" s="44"/>
      <c r="K165" s="44"/>
      <c r="L165" s="44"/>
      <c r="M165" s="44"/>
      <c r="N165" s="50"/>
    </row>
    <row r="166" spans="1:14" ht="15.75" customHeight="1">
      <c r="A166" s="53"/>
      <c r="B166" s="30"/>
      <c r="C166" s="30"/>
      <c r="D166" s="44"/>
      <c r="E166" s="44"/>
      <c r="F166" s="44"/>
      <c r="G166" s="44"/>
      <c r="H166" s="44"/>
      <c r="I166" s="44"/>
      <c r="J166" s="44"/>
      <c r="K166" s="44"/>
      <c r="L166" s="44"/>
      <c r="M166" s="44"/>
      <c r="N166" s="50"/>
    </row>
    <row r="167" spans="1:14" ht="15.75" customHeight="1">
      <c r="A167" s="53"/>
      <c r="B167" s="30"/>
      <c r="C167" s="30"/>
      <c r="D167" s="44"/>
      <c r="E167" s="44"/>
      <c r="F167" s="44"/>
      <c r="G167" s="44"/>
      <c r="H167" s="44"/>
      <c r="I167" s="44"/>
      <c r="J167" s="44"/>
      <c r="K167" s="44"/>
      <c r="L167" s="44"/>
      <c r="M167" s="44"/>
      <c r="N167" s="50"/>
    </row>
    <row r="168" spans="1:14" ht="15.75" customHeight="1">
      <c r="A168" s="53"/>
      <c r="B168" s="30"/>
      <c r="C168" s="30"/>
      <c r="D168" s="44"/>
      <c r="E168" s="44"/>
      <c r="F168" s="44"/>
      <c r="G168" s="44"/>
      <c r="H168" s="44"/>
      <c r="I168" s="44"/>
      <c r="J168" s="44"/>
      <c r="K168" s="44"/>
      <c r="L168" s="44"/>
      <c r="M168" s="44"/>
      <c r="N168" s="50"/>
    </row>
    <row r="169" spans="1:14" ht="15.75" customHeight="1">
      <c r="A169" s="53"/>
      <c r="B169" s="30"/>
      <c r="C169" s="30"/>
      <c r="D169" s="44"/>
      <c r="E169" s="44"/>
      <c r="F169" s="44"/>
      <c r="G169" s="44"/>
      <c r="H169" s="44"/>
      <c r="I169" s="44"/>
      <c r="J169" s="44"/>
      <c r="K169" s="44"/>
      <c r="L169" s="44"/>
      <c r="M169" s="44"/>
      <c r="N169" s="50"/>
    </row>
    <row r="170" spans="1:14" ht="15.75" customHeight="1">
      <c r="A170" s="53"/>
      <c r="B170" s="30"/>
      <c r="C170" s="30"/>
      <c r="D170" s="44"/>
      <c r="E170" s="44"/>
      <c r="F170" s="44"/>
      <c r="G170" s="44"/>
      <c r="H170" s="44"/>
      <c r="I170" s="44"/>
      <c r="J170" s="44"/>
      <c r="K170" s="44"/>
      <c r="L170" s="44"/>
      <c r="M170" s="44"/>
      <c r="N170" s="50"/>
    </row>
    <row r="171" spans="1:14" ht="15.75" customHeight="1">
      <c r="A171" s="53"/>
      <c r="B171" s="30"/>
      <c r="C171" s="30"/>
      <c r="D171" s="44"/>
      <c r="E171" s="44"/>
      <c r="F171" s="44"/>
      <c r="G171" s="44"/>
      <c r="H171" s="44"/>
      <c r="I171" s="44"/>
      <c r="J171" s="44"/>
      <c r="K171" s="44"/>
      <c r="L171" s="44"/>
      <c r="M171" s="44"/>
      <c r="N171" s="50"/>
    </row>
    <row r="172" spans="1:14" ht="15.75" customHeight="1">
      <c r="A172" s="53"/>
      <c r="B172" s="30"/>
      <c r="C172" s="30"/>
      <c r="D172" s="44"/>
      <c r="E172" s="44"/>
      <c r="F172" s="44"/>
      <c r="G172" s="44"/>
      <c r="H172" s="44"/>
      <c r="I172" s="44"/>
      <c r="J172" s="44"/>
      <c r="K172" s="44"/>
      <c r="L172" s="44"/>
      <c r="M172" s="44"/>
      <c r="N172" s="50"/>
    </row>
    <row r="173" spans="1:14" ht="15.75" customHeight="1">
      <c r="A173" s="53"/>
      <c r="B173" s="30"/>
      <c r="C173" s="30"/>
      <c r="D173" s="44"/>
      <c r="E173" s="44"/>
      <c r="F173" s="44"/>
      <c r="G173" s="44"/>
      <c r="H173" s="44"/>
      <c r="I173" s="44"/>
      <c r="J173" s="44"/>
      <c r="K173" s="44"/>
      <c r="L173" s="44"/>
      <c r="M173" s="44"/>
      <c r="N173" s="50"/>
    </row>
    <row r="174" spans="1:14" ht="15.75" customHeight="1">
      <c r="A174" s="53"/>
      <c r="B174" s="30"/>
      <c r="C174" s="30"/>
      <c r="D174" s="44"/>
      <c r="E174" s="44"/>
      <c r="F174" s="44"/>
      <c r="G174" s="44"/>
      <c r="H174" s="44"/>
      <c r="I174" s="44"/>
      <c r="J174" s="44"/>
      <c r="K174" s="44"/>
      <c r="L174" s="44"/>
      <c r="M174" s="44"/>
      <c r="N174" s="50"/>
    </row>
    <row r="175" spans="1:14" ht="15.75" customHeight="1">
      <c r="A175" s="53"/>
      <c r="B175" s="30"/>
      <c r="C175" s="30"/>
      <c r="D175" s="44"/>
      <c r="E175" s="44"/>
      <c r="F175" s="44"/>
      <c r="G175" s="44"/>
      <c r="H175" s="44"/>
      <c r="I175" s="44"/>
      <c r="J175" s="44"/>
      <c r="K175" s="44"/>
      <c r="L175" s="44"/>
      <c r="M175" s="44"/>
      <c r="N175" s="50"/>
    </row>
    <row r="176" spans="1:14" ht="15.75" customHeight="1">
      <c r="A176" s="53"/>
      <c r="B176" s="30"/>
      <c r="C176" s="30"/>
      <c r="D176" s="44"/>
      <c r="E176" s="44"/>
      <c r="F176" s="44"/>
      <c r="G176" s="44"/>
      <c r="H176" s="44"/>
      <c r="I176" s="44"/>
      <c r="J176" s="44"/>
      <c r="K176" s="44"/>
      <c r="L176" s="44"/>
      <c r="M176" s="44"/>
      <c r="N176" s="50"/>
    </row>
    <row r="177" spans="1:14" ht="15.75" customHeight="1">
      <c r="A177" s="53"/>
      <c r="B177" s="30"/>
      <c r="C177" s="30"/>
      <c r="D177" s="44"/>
      <c r="E177" s="44"/>
      <c r="F177" s="44"/>
      <c r="G177" s="44"/>
      <c r="H177" s="44"/>
      <c r="I177" s="44"/>
      <c r="J177" s="44"/>
      <c r="K177" s="44"/>
      <c r="L177" s="44"/>
      <c r="M177" s="44"/>
      <c r="N177" s="50"/>
    </row>
    <row r="178" spans="1:14" ht="15.75" customHeight="1">
      <c r="A178" s="53"/>
      <c r="B178" s="30"/>
      <c r="C178" s="30"/>
      <c r="D178" s="44"/>
      <c r="E178" s="44"/>
      <c r="F178" s="44"/>
      <c r="G178" s="44"/>
      <c r="H178" s="44"/>
      <c r="I178" s="44"/>
      <c r="J178" s="44"/>
      <c r="K178" s="44"/>
      <c r="L178" s="44"/>
      <c r="M178" s="44"/>
      <c r="N178" s="50"/>
    </row>
    <row r="179" spans="1:14" ht="15.75" customHeight="1">
      <c r="A179" s="53"/>
      <c r="B179" s="30"/>
      <c r="C179" s="30"/>
      <c r="D179" s="44"/>
      <c r="E179" s="44"/>
      <c r="F179" s="44"/>
      <c r="G179" s="44"/>
      <c r="H179" s="44"/>
      <c r="I179" s="44"/>
      <c r="J179" s="44"/>
      <c r="K179" s="44"/>
      <c r="L179" s="44"/>
      <c r="M179" s="44"/>
      <c r="N179" s="50"/>
    </row>
    <row r="180" spans="1:14" ht="15.75" customHeight="1">
      <c r="A180" s="53"/>
      <c r="B180" s="30"/>
      <c r="C180" s="30"/>
      <c r="D180" s="44"/>
      <c r="E180" s="44"/>
      <c r="F180" s="44"/>
      <c r="G180" s="44"/>
      <c r="H180" s="44"/>
      <c r="I180" s="44"/>
      <c r="J180" s="44"/>
      <c r="K180" s="44"/>
      <c r="L180" s="44"/>
      <c r="M180" s="44"/>
      <c r="N180" s="50"/>
    </row>
    <row r="181" spans="1:14" ht="15.75" customHeight="1">
      <c r="A181" s="53"/>
      <c r="B181" s="30"/>
      <c r="C181" s="30"/>
      <c r="D181" s="44"/>
      <c r="E181" s="44"/>
      <c r="F181" s="44"/>
      <c r="G181" s="44"/>
      <c r="H181" s="44"/>
      <c r="I181" s="44"/>
      <c r="J181" s="44"/>
      <c r="K181" s="44"/>
      <c r="L181" s="44"/>
      <c r="M181" s="44"/>
      <c r="N181" s="50"/>
    </row>
    <row r="182" spans="1:14" ht="15.75" customHeight="1">
      <c r="A182" s="53"/>
      <c r="B182" s="30"/>
      <c r="C182" s="30"/>
      <c r="D182" s="44"/>
      <c r="E182" s="44"/>
      <c r="F182" s="44"/>
      <c r="G182" s="44"/>
      <c r="H182" s="44"/>
      <c r="I182" s="44"/>
      <c r="J182" s="44"/>
      <c r="K182" s="44"/>
      <c r="L182" s="44"/>
      <c r="M182" s="44"/>
      <c r="N182" s="50"/>
    </row>
    <row r="183" spans="1:14" ht="15.75" customHeight="1">
      <c r="A183" s="53"/>
      <c r="B183" s="30"/>
      <c r="C183" s="30"/>
      <c r="D183" s="44"/>
      <c r="E183" s="44"/>
      <c r="F183" s="44"/>
      <c r="G183" s="44"/>
      <c r="H183" s="44"/>
      <c r="I183" s="44"/>
      <c r="J183" s="44"/>
      <c r="K183" s="44"/>
      <c r="L183" s="44"/>
      <c r="M183" s="44"/>
      <c r="N183" s="50"/>
    </row>
    <row r="184" spans="1:14" ht="15.75" customHeight="1">
      <c r="A184" s="53"/>
      <c r="B184" s="30"/>
      <c r="C184" s="30"/>
      <c r="D184" s="44"/>
      <c r="E184" s="44"/>
      <c r="F184" s="44"/>
      <c r="G184" s="44"/>
      <c r="H184" s="44"/>
      <c r="I184" s="44"/>
      <c r="J184" s="44"/>
      <c r="K184" s="44"/>
      <c r="L184" s="44"/>
      <c r="M184" s="44"/>
      <c r="N184" s="50"/>
    </row>
    <row r="185" spans="1:14" ht="15.75" customHeight="1">
      <c r="A185" s="53"/>
      <c r="B185" s="30"/>
      <c r="C185" s="30"/>
      <c r="D185" s="44"/>
      <c r="E185" s="44"/>
      <c r="F185" s="44"/>
      <c r="G185" s="44"/>
      <c r="H185" s="44"/>
      <c r="I185" s="44"/>
      <c r="J185" s="44"/>
      <c r="K185" s="44"/>
      <c r="L185" s="44"/>
      <c r="M185" s="44"/>
      <c r="N185" s="50"/>
    </row>
    <row r="186" spans="1:14" ht="15.75" customHeight="1">
      <c r="A186" s="53"/>
      <c r="B186" s="30"/>
      <c r="C186" s="30"/>
      <c r="D186" s="44"/>
      <c r="E186" s="44"/>
      <c r="F186" s="44"/>
      <c r="G186" s="44"/>
      <c r="H186" s="44"/>
      <c r="I186" s="44"/>
      <c r="J186" s="44"/>
      <c r="K186" s="44"/>
      <c r="L186" s="44"/>
      <c r="M186" s="44"/>
      <c r="N186" s="50"/>
    </row>
    <row r="187" spans="1:14" ht="15.75" customHeight="1">
      <c r="A187" s="53"/>
      <c r="B187" s="30"/>
      <c r="C187" s="30"/>
      <c r="D187" s="44"/>
      <c r="E187" s="44"/>
      <c r="F187" s="44"/>
      <c r="G187" s="44"/>
      <c r="H187" s="44"/>
      <c r="I187" s="44"/>
      <c r="J187" s="44"/>
      <c r="K187" s="44"/>
      <c r="L187" s="44"/>
      <c r="M187" s="44"/>
      <c r="N187" s="50"/>
    </row>
    <row r="188" spans="1:14" ht="15.75" customHeight="1">
      <c r="A188" s="53"/>
      <c r="B188" s="30"/>
      <c r="C188" s="30"/>
      <c r="D188" s="44"/>
      <c r="E188" s="44"/>
      <c r="F188" s="44"/>
      <c r="G188" s="44"/>
      <c r="H188" s="44"/>
      <c r="I188" s="44"/>
      <c r="J188" s="44"/>
      <c r="K188" s="44"/>
      <c r="L188" s="44"/>
      <c r="M188" s="44"/>
      <c r="N188" s="50"/>
    </row>
    <row r="189" spans="1:14" ht="15.75" customHeight="1">
      <c r="A189" s="53"/>
      <c r="B189" s="30"/>
      <c r="C189" s="30"/>
      <c r="D189" s="44"/>
      <c r="E189" s="44"/>
      <c r="F189" s="44"/>
      <c r="G189" s="44"/>
      <c r="H189" s="44"/>
      <c r="I189" s="44"/>
      <c r="J189" s="44"/>
      <c r="K189" s="44"/>
      <c r="L189" s="44"/>
      <c r="M189" s="44"/>
      <c r="N189" s="50"/>
    </row>
    <row r="190" spans="1:14" ht="15.75" customHeight="1">
      <c r="A190" s="53"/>
      <c r="B190" s="30"/>
      <c r="C190" s="30"/>
      <c r="D190" s="44"/>
      <c r="E190" s="44"/>
      <c r="F190" s="44"/>
      <c r="G190" s="44"/>
      <c r="H190" s="44"/>
      <c r="I190" s="44"/>
      <c r="J190" s="44"/>
      <c r="K190" s="44"/>
      <c r="L190" s="44"/>
      <c r="M190" s="44"/>
      <c r="N190" s="50"/>
    </row>
    <row r="191" spans="1:14" ht="15.75" customHeight="1">
      <c r="A191" s="53"/>
      <c r="B191" s="30"/>
      <c r="C191" s="30"/>
      <c r="D191" s="44"/>
      <c r="E191" s="44"/>
      <c r="F191" s="44"/>
      <c r="G191" s="44"/>
      <c r="H191" s="44"/>
      <c r="I191" s="44"/>
      <c r="J191" s="44"/>
      <c r="K191" s="44"/>
      <c r="L191" s="44"/>
      <c r="M191" s="44"/>
      <c r="N191" s="50"/>
    </row>
    <row r="192" spans="1:14" ht="15.75" customHeight="1">
      <c r="A192" s="53"/>
      <c r="B192" s="30"/>
      <c r="C192" s="30"/>
      <c r="D192" s="44"/>
      <c r="E192" s="44"/>
      <c r="F192" s="44"/>
      <c r="G192" s="44"/>
      <c r="H192" s="44"/>
      <c r="I192" s="44"/>
      <c r="J192" s="44"/>
      <c r="K192" s="44"/>
      <c r="L192" s="44"/>
      <c r="M192" s="44"/>
      <c r="N192" s="50"/>
    </row>
    <row r="193" spans="1:14" ht="15.75" customHeight="1">
      <c r="A193" s="53"/>
      <c r="B193" s="30"/>
      <c r="C193" s="30"/>
      <c r="D193" s="44"/>
      <c r="E193" s="44"/>
      <c r="F193" s="44"/>
      <c r="G193" s="44"/>
      <c r="H193" s="44"/>
      <c r="I193" s="44"/>
      <c r="J193" s="44"/>
      <c r="K193" s="44"/>
      <c r="L193" s="44"/>
      <c r="M193" s="44"/>
      <c r="N193" s="50"/>
    </row>
    <row r="194" spans="1:14" ht="15.75" customHeight="1">
      <c r="A194" s="53"/>
      <c r="B194" s="30"/>
      <c r="C194" s="30"/>
      <c r="D194" s="44"/>
      <c r="E194" s="44"/>
      <c r="F194" s="44"/>
      <c r="G194" s="44"/>
      <c r="H194" s="44"/>
      <c r="I194" s="44"/>
      <c r="J194" s="44"/>
      <c r="K194" s="44"/>
      <c r="L194" s="44"/>
      <c r="M194" s="44"/>
      <c r="N194" s="50"/>
    </row>
    <row r="195" spans="1:14" ht="15.75" customHeight="1">
      <c r="A195" s="53"/>
      <c r="B195" s="30"/>
      <c r="C195" s="30"/>
      <c r="D195" s="44"/>
      <c r="E195" s="44"/>
      <c r="F195" s="44"/>
      <c r="G195" s="44"/>
      <c r="H195" s="44"/>
      <c r="I195" s="44"/>
      <c r="J195" s="44"/>
      <c r="K195" s="44"/>
      <c r="L195" s="44"/>
      <c r="M195" s="44"/>
      <c r="N195" s="50"/>
    </row>
    <row r="196" spans="1:14" ht="15.75" customHeight="1">
      <c r="A196" s="53"/>
      <c r="B196" s="30"/>
      <c r="C196" s="30"/>
      <c r="D196" s="44"/>
      <c r="E196" s="44"/>
      <c r="F196" s="44"/>
      <c r="G196" s="44"/>
      <c r="H196" s="44"/>
      <c r="I196" s="44"/>
      <c r="J196" s="44"/>
      <c r="K196" s="44"/>
      <c r="L196" s="44"/>
      <c r="M196" s="44"/>
      <c r="N196" s="50"/>
    </row>
    <row r="197" spans="1:14" ht="15.75" customHeight="1">
      <c r="A197" s="53"/>
      <c r="B197" s="30"/>
      <c r="C197" s="30"/>
      <c r="D197" s="44"/>
      <c r="E197" s="44"/>
      <c r="F197" s="44"/>
      <c r="G197" s="44"/>
      <c r="H197" s="44"/>
      <c r="I197" s="44"/>
      <c r="J197" s="44"/>
      <c r="K197" s="44"/>
      <c r="L197" s="44"/>
      <c r="M197" s="44"/>
      <c r="N197" s="50"/>
    </row>
    <row r="198" spans="1:14" ht="15.75" customHeight="1">
      <c r="A198" s="53"/>
      <c r="B198" s="30"/>
      <c r="C198" s="30"/>
      <c r="D198" s="44"/>
      <c r="E198" s="44"/>
      <c r="F198" s="44"/>
      <c r="G198" s="44"/>
      <c r="H198" s="44"/>
      <c r="I198" s="44"/>
      <c r="J198" s="44"/>
      <c r="K198" s="44"/>
      <c r="L198" s="44"/>
      <c r="M198" s="44"/>
      <c r="N198" s="50"/>
    </row>
    <row r="199" spans="1:14" ht="15.75" customHeight="1">
      <c r="A199" s="53"/>
      <c r="B199" s="30"/>
      <c r="C199" s="30"/>
      <c r="D199" s="44"/>
      <c r="E199" s="44"/>
      <c r="F199" s="44"/>
      <c r="G199" s="44"/>
      <c r="H199" s="44"/>
      <c r="I199" s="44"/>
      <c r="J199" s="44"/>
      <c r="K199" s="44"/>
      <c r="L199" s="44"/>
      <c r="M199" s="44"/>
      <c r="N199" s="50"/>
    </row>
    <row r="200" spans="1:14" ht="15.75" customHeight="1">
      <c r="A200" s="53"/>
      <c r="B200" s="30"/>
      <c r="C200" s="30"/>
      <c r="D200" s="44"/>
      <c r="E200" s="44"/>
      <c r="F200" s="44"/>
      <c r="G200" s="44"/>
      <c r="H200" s="44"/>
      <c r="I200" s="44"/>
      <c r="J200" s="44"/>
      <c r="K200" s="44"/>
      <c r="L200" s="44"/>
      <c r="M200" s="44"/>
      <c r="N200" s="50"/>
    </row>
    <row r="201" spans="1:14" ht="15.75" customHeight="1">
      <c r="A201" s="53"/>
      <c r="B201" s="30"/>
      <c r="C201" s="30"/>
      <c r="D201" s="44"/>
      <c r="E201" s="44"/>
      <c r="F201" s="44"/>
      <c r="G201" s="44"/>
      <c r="H201" s="44"/>
      <c r="I201" s="44"/>
      <c r="J201" s="44"/>
      <c r="K201" s="44"/>
      <c r="L201" s="44"/>
      <c r="M201" s="44"/>
      <c r="N201" s="50"/>
    </row>
    <row r="202" spans="1:14" ht="15.75" customHeight="1">
      <c r="A202" s="53"/>
      <c r="B202" s="30"/>
      <c r="C202" s="30"/>
      <c r="D202" s="44"/>
      <c r="E202" s="44"/>
      <c r="F202" s="44"/>
      <c r="G202" s="44"/>
      <c r="H202" s="44"/>
      <c r="I202" s="44"/>
      <c r="J202" s="44"/>
      <c r="K202" s="44"/>
      <c r="L202" s="44"/>
      <c r="M202" s="44"/>
      <c r="N202" s="50"/>
    </row>
    <row r="203" spans="1:14" ht="15.75" customHeight="1">
      <c r="A203" s="53"/>
      <c r="B203" s="30"/>
      <c r="C203" s="30"/>
      <c r="D203" s="44"/>
      <c r="E203" s="44"/>
      <c r="F203" s="44"/>
      <c r="G203" s="44"/>
      <c r="H203" s="44"/>
      <c r="I203" s="44"/>
      <c r="J203" s="44"/>
      <c r="K203" s="44"/>
      <c r="L203" s="44"/>
      <c r="M203" s="44"/>
      <c r="N203" s="50"/>
    </row>
    <row r="204" spans="1:14" ht="15.75" customHeight="1">
      <c r="A204" s="53"/>
      <c r="B204" s="30"/>
      <c r="C204" s="30"/>
      <c r="D204" s="44"/>
      <c r="E204" s="44"/>
      <c r="F204" s="44"/>
      <c r="G204" s="44"/>
      <c r="H204" s="44"/>
      <c r="I204" s="44"/>
      <c r="J204" s="44"/>
      <c r="K204" s="44"/>
      <c r="L204" s="44"/>
      <c r="M204" s="44"/>
      <c r="N204" s="50"/>
    </row>
    <row r="205" spans="1:14" ht="15.75" customHeight="1">
      <c r="A205" s="53"/>
      <c r="B205" s="30"/>
      <c r="C205" s="30"/>
      <c r="D205" s="44"/>
      <c r="E205" s="44"/>
      <c r="F205" s="44"/>
      <c r="G205" s="44"/>
      <c r="H205" s="44"/>
      <c r="I205" s="44"/>
      <c r="J205" s="44"/>
      <c r="K205" s="44"/>
      <c r="L205" s="44"/>
      <c r="M205" s="44"/>
      <c r="N205" s="50"/>
    </row>
    <row r="206" spans="1:14" ht="15.75" customHeight="1">
      <c r="A206" s="53"/>
      <c r="B206" s="30"/>
      <c r="C206" s="30"/>
      <c r="D206" s="44"/>
      <c r="E206" s="44"/>
      <c r="F206" s="44"/>
      <c r="G206" s="44"/>
      <c r="H206" s="44"/>
      <c r="I206" s="44"/>
      <c r="J206" s="44"/>
      <c r="K206" s="44"/>
      <c r="L206" s="44"/>
      <c r="M206" s="44"/>
      <c r="N206" s="50"/>
    </row>
    <row r="207" spans="1:14" ht="15.75" customHeight="1">
      <c r="A207" s="53"/>
      <c r="B207" s="30"/>
      <c r="C207" s="30"/>
      <c r="D207" s="44"/>
      <c r="E207" s="44"/>
      <c r="F207" s="44"/>
      <c r="G207" s="44"/>
      <c r="H207" s="44"/>
      <c r="I207" s="44"/>
      <c r="J207" s="44"/>
      <c r="K207" s="44"/>
      <c r="L207" s="44"/>
      <c r="M207" s="44"/>
      <c r="N207" s="50"/>
    </row>
    <row r="208" spans="1:14" ht="15.75" customHeight="1">
      <c r="A208" s="53"/>
      <c r="B208" s="30"/>
      <c r="C208" s="30"/>
      <c r="D208" s="44"/>
      <c r="E208" s="44"/>
      <c r="F208" s="44"/>
      <c r="G208" s="44"/>
      <c r="H208" s="44"/>
      <c r="I208" s="44"/>
      <c r="J208" s="44"/>
      <c r="K208" s="44"/>
      <c r="L208" s="44"/>
      <c r="M208" s="44"/>
      <c r="N208" s="50"/>
    </row>
    <row r="209" spans="1:14" ht="15.75" customHeight="1">
      <c r="A209" s="53"/>
      <c r="B209" s="30"/>
      <c r="C209" s="30"/>
      <c r="D209" s="44"/>
      <c r="E209" s="44"/>
      <c r="F209" s="44"/>
      <c r="G209" s="44"/>
      <c r="H209" s="44"/>
      <c r="I209" s="44"/>
      <c r="J209" s="44"/>
      <c r="K209" s="44"/>
      <c r="L209" s="44"/>
      <c r="M209" s="44"/>
      <c r="N209" s="50"/>
    </row>
    <row r="210" spans="1:14" ht="15.75" customHeight="1">
      <c r="A210" s="53"/>
      <c r="B210" s="30"/>
      <c r="C210" s="30"/>
      <c r="D210" s="44"/>
      <c r="E210" s="44"/>
      <c r="F210" s="44"/>
      <c r="G210" s="44"/>
      <c r="H210" s="44"/>
      <c r="I210" s="44"/>
      <c r="J210" s="44"/>
      <c r="K210" s="44"/>
      <c r="L210" s="44"/>
      <c r="M210" s="44"/>
      <c r="N210" s="50"/>
    </row>
    <row r="211" spans="1:14" ht="15.75" customHeight="1">
      <c r="A211" s="53"/>
      <c r="B211" s="30"/>
      <c r="C211" s="30"/>
      <c r="D211" s="44"/>
      <c r="E211" s="44"/>
      <c r="F211" s="44"/>
      <c r="G211" s="44"/>
      <c r="H211" s="44"/>
      <c r="I211" s="44"/>
      <c r="J211" s="44"/>
      <c r="K211" s="44"/>
      <c r="L211" s="44"/>
      <c r="M211" s="44"/>
      <c r="N211" s="50"/>
    </row>
    <row r="212" spans="1:14" ht="15.75" customHeight="1">
      <c r="A212" s="53"/>
      <c r="B212" s="30"/>
      <c r="C212" s="30"/>
      <c r="D212" s="44"/>
      <c r="E212" s="44"/>
      <c r="F212" s="44"/>
      <c r="G212" s="44"/>
      <c r="H212" s="44"/>
      <c r="I212" s="44"/>
      <c r="J212" s="44"/>
      <c r="K212" s="44"/>
      <c r="L212" s="44"/>
      <c r="M212" s="44"/>
      <c r="N212" s="50"/>
    </row>
    <row r="213" spans="1:14" ht="15.75" customHeight="1">
      <c r="A213" s="53"/>
      <c r="B213" s="30"/>
      <c r="C213" s="30"/>
      <c r="D213" s="44"/>
      <c r="E213" s="44"/>
      <c r="F213" s="44"/>
      <c r="G213" s="44"/>
      <c r="H213" s="44"/>
      <c r="I213" s="44"/>
      <c r="J213" s="44"/>
      <c r="K213" s="44"/>
      <c r="L213" s="44"/>
      <c r="M213" s="44"/>
      <c r="N213" s="50"/>
    </row>
    <row r="214" spans="1:14" ht="15.75" customHeight="1">
      <c r="A214" s="53"/>
      <c r="B214" s="30"/>
      <c r="C214" s="30"/>
      <c r="D214" s="44"/>
      <c r="E214" s="44"/>
      <c r="F214" s="44"/>
      <c r="G214" s="44"/>
      <c r="H214" s="44"/>
      <c r="I214" s="44"/>
      <c r="J214" s="44"/>
      <c r="K214" s="44"/>
      <c r="L214" s="44"/>
      <c r="M214" s="44"/>
      <c r="N214" s="50"/>
    </row>
    <row r="215" spans="1:14" ht="15.75" customHeight="1">
      <c r="A215" s="53"/>
      <c r="B215" s="30"/>
      <c r="C215" s="30"/>
      <c r="D215" s="44"/>
      <c r="E215" s="44"/>
      <c r="F215" s="44"/>
      <c r="G215" s="44"/>
      <c r="H215" s="44"/>
      <c r="I215" s="44"/>
      <c r="J215" s="44"/>
      <c r="K215" s="44"/>
      <c r="L215" s="44"/>
      <c r="M215" s="44"/>
      <c r="N215" s="50"/>
    </row>
    <row r="216" spans="1:14" ht="15.75" customHeight="1">
      <c r="A216" s="53"/>
      <c r="B216" s="30"/>
      <c r="C216" s="30"/>
      <c r="D216" s="44"/>
      <c r="E216" s="44"/>
      <c r="F216" s="44"/>
      <c r="G216" s="44"/>
      <c r="H216" s="44"/>
      <c r="I216" s="44"/>
      <c r="J216" s="44"/>
      <c r="K216" s="44"/>
      <c r="L216" s="44"/>
      <c r="M216" s="44"/>
      <c r="N216" s="50"/>
    </row>
    <row r="217" spans="1:14" ht="15.75" customHeight="1">
      <c r="A217" s="53"/>
      <c r="B217" s="30"/>
      <c r="C217" s="30"/>
      <c r="D217" s="44"/>
      <c r="E217" s="44"/>
      <c r="F217" s="44"/>
      <c r="G217" s="44"/>
      <c r="H217" s="44"/>
      <c r="I217" s="44"/>
      <c r="J217" s="44"/>
      <c r="K217" s="44"/>
      <c r="L217" s="44"/>
      <c r="M217" s="44"/>
      <c r="N217" s="50"/>
    </row>
    <row r="218" spans="1:14" ht="15.75" customHeight="1">
      <c r="A218" s="53"/>
      <c r="B218" s="30"/>
      <c r="C218" s="30"/>
      <c r="D218" s="44"/>
      <c r="E218" s="44"/>
      <c r="F218" s="44"/>
      <c r="G218" s="44"/>
      <c r="H218" s="44"/>
      <c r="I218" s="44"/>
      <c r="J218" s="44"/>
      <c r="K218" s="44"/>
      <c r="L218" s="44"/>
      <c r="M218" s="44"/>
      <c r="N218" s="50"/>
    </row>
    <row r="219" spans="1:14" ht="15.75" customHeight="1">
      <c r="A219" s="53"/>
      <c r="B219" s="30"/>
      <c r="C219" s="30"/>
      <c r="D219" s="44"/>
      <c r="E219" s="44"/>
      <c r="F219" s="44"/>
      <c r="G219" s="44"/>
      <c r="H219" s="44"/>
      <c r="I219" s="44"/>
      <c r="J219" s="44"/>
      <c r="K219" s="44"/>
      <c r="L219" s="44"/>
      <c r="M219" s="44"/>
      <c r="N219" s="50"/>
    </row>
    <row r="220" spans="1:14" ht="15.75" customHeight="1">
      <c r="A220" s="53"/>
      <c r="B220" s="30"/>
      <c r="C220" s="30"/>
      <c r="D220" s="44"/>
      <c r="E220" s="44"/>
      <c r="F220" s="44"/>
      <c r="G220" s="44"/>
      <c r="H220" s="44"/>
      <c r="I220" s="44"/>
      <c r="J220" s="44"/>
      <c r="K220" s="44"/>
      <c r="L220" s="44"/>
      <c r="M220" s="44"/>
      <c r="N220" s="50"/>
    </row>
    <row r="221" spans="1:14" ht="15.75" customHeight="1">
      <c r="A221" s="53"/>
      <c r="B221" s="30"/>
      <c r="C221" s="30"/>
      <c r="D221" s="44"/>
      <c r="E221" s="44"/>
      <c r="F221" s="44"/>
      <c r="G221" s="44"/>
      <c r="H221" s="44"/>
      <c r="I221" s="44"/>
      <c r="J221" s="44"/>
      <c r="K221" s="44"/>
      <c r="L221" s="44"/>
      <c r="M221" s="44"/>
      <c r="N221" s="50"/>
    </row>
    <row r="222" spans="1:14" ht="15.75" customHeight="1">
      <c r="A222" s="53"/>
      <c r="B222" s="30"/>
      <c r="C222" s="30"/>
      <c r="D222" s="44"/>
      <c r="E222" s="44"/>
      <c r="F222" s="44"/>
      <c r="G222" s="44"/>
      <c r="H222" s="44"/>
      <c r="I222" s="44"/>
      <c r="J222" s="44"/>
      <c r="K222" s="44"/>
      <c r="L222" s="44"/>
      <c r="M222" s="44"/>
      <c r="N222" s="50"/>
    </row>
    <row r="223" spans="1:14" ht="15.75" customHeight="1">
      <c r="A223" s="53"/>
      <c r="B223" s="30"/>
      <c r="C223" s="30"/>
      <c r="D223" s="44"/>
      <c r="E223" s="44"/>
      <c r="F223" s="44"/>
      <c r="G223" s="44"/>
      <c r="H223" s="44"/>
      <c r="I223" s="44"/>
      <c r="J223" s="44"/>
      <c r="K223" s="44"/>
      <c r="L223" s="44"/>
      <c r="M223" s="44"/>
      <c r="N223" s="50"/>
    </row>
    <row r="224" spans="1:14" ht="15.75" customHeight="1">
      <c r="A224" s="53"/>
      <c r="B224" s="30"/>
      <c r="C224" s="30"/>
      <c r="D224" s="44"/>
      <c r="E224" s="44"/>
      <c r="F224" s="44"/>
      <c r="G224" s="44"/>
      <c r="H224" s="44"/>
      <c r="I224" s="44"/>
      <c r="J224" s="44"/>
      <c r="K224" s="44"/>
      <c r="L224" s="44"/>
      <c r="M224" s="44"/>
      <c r="N224" s="50"/>
    </row>
    <row r="225" spans="1:14" ht="15.75" customHeight="1">
      <c r="A225" s="53"/>
      <c r="B225" s="30"/>
      <c r="C225" s="30"/>
      <c r="D225" s="44"/>
      <c r="E225" s="44"/>
      <c r="F225" s="44"/>
      <c r="G225" s="44"/>
      <c r="H225" s="44"/>
      <c r="I225" s="44"/>
      <c r="J225" s="44"/>
      <c r="K225" s="44"/>
      <c r="L225" s="44"/>
      <c r="M225" s="44"/>
      <c r="N225" s="50"/>
    </row>
    <row r="226" spans="1:14" ht="15.75" customHeight="1">
      <c r="A226" s="53"/>
      <c r="B226" s="30"/>
      <c r="C226" s="30"/>
      <c r="D226" s="44"/>
      <c r="E226" s="44"/>
      <c r="F226" s="44"/>
      <c r="G226" s="44"/>
      <c r="H226" s="44"/>
      <c r="I226" s="44"/>
      <c r="J226" s="44"/>
      <c r="K226" s="44"/>
      <c r="L226" s="44"/>
      <c r="M226" s="44"/>
      <c r="N226" s="50"/>
    </row>
    <row r="227" spans="1:14" ht="15.75" customHeight="1">
      <c r="A227" s="53"/>
      <c r="B227" s="30"/>
      <c r="C227" s="30"/>
      <c r="D227" s="44"/>
      <c r="E227" s="44"/>
      <c r="F227" s="44"/>
      <c r="G227" s="44"/>
      <c r="H227" s="44"/>
      <c r="I227" s="44"/>
      <c r="J227" s="44"/>
      <c r="K227" s="44"/>
      <c r="L227" s="44"/>
      <c r="M227" s="44"/>
      <c r="N227" s="50"/>
    </row>
    <row r="228" spans="1:14" ht="15.75" customHeight="1">
      <c r="A228" s="53"/>
      <c r="B228" s="30"/>
      <c r="C228" s="30"/>
      <c r="D228" s="44"/>
      <c r="E228" s="44"/>
      <c r="F228" s="44"/>
      <c r="G228" s="44"/>
      <c r="H228" s="44"/>
      <c r="I228" s="44"/>
      <c r="J228" s="44"/>
      <c r="K228" s="44"/>
      <c r="L228" s="44"/>
      <c r="M228" s="44"/>
      <c r="N228" s="50"/>
    </row>
    <row r="229" spans="1:14" ht="15.75" customHeight="1">
      <c r="A229" s="53"/>
      <c r="B229" s="30"/>
      <c r="C229" s="30"/>
      <c r="D229" s="44"/>
      <c r="E229" s="44"/>
      <c r="F229" s="44"/>
      <c r="G229" s="44"/>
      <c r="H229" s="44"/>
      <c r="I229" s="44"/>
      <c r="J229" s="44"/>
      <c r="K229" s="44"/>
      <c r="L229" s="44"/>
      <c r="M229" s="44"/>
      <c r="N229" s="50"/>
    </row>
    <row r="230" spans="1:14" ht="15.75" customHeight="1">
      <c r="A230" s="53"/>
      <c r="B230" s="30"/>
      <c r="C230" s="30"/>
      <c r="D230" s="44"/>
      <c r="E230" s="44"/>
      <c r="F230" s="44"/>
      <c r="G230" s="44"/>
      <c r="H230" s="44"/>
      <c r="I230" s="44"/>
      <c r="J230" s="44"/>
      <c r="K230" s="44"/>
      <c r="L230" s="44"/>
      <c r="M230" s="44"/>
      <c r="N230" s="50"/>
    </row>
    <row r="231" spans="1:14" ht="15.75" customHeight="1">
      <c r="A231" s="53"/>
      <c r="B231" s="30"/>
      <c r="C231" s="30"/>
      <c r="D231" s="44"/>
      <c r="E231" s="44"/>
      <c r="F231" s="44"/>
      <c r="G231" s="44"/>
      <c r="H231" s="44"/>
      <c r="I231" s="44"/>
      <c r="J231" s="44"/>
      <c r="K231" s="44"/>
      <c r="L231" s="44"/>
      <c r="M231" s="44"/>
      <c r="N231" s="50"/>
    </row>
    <row r="232" spans="1:14" ht="15.75" customHeight="1">
      <c r="A232" s="53"/>
      <c r="B232" s="30"/>
      <c r="C232" s="30"/>
      <c r="D232" s="44"/>
      <c r="E232" s="44"/>
      <c r="F232" s="44"/>
      <c r="G232" s="44"/>
      <c r="H232" s="44"/>
      <c r="I232" s="44"/>
      <c r="J232" s="44"/>
      <c r="K232" s="44"/>
      <c r="L232" s="44"/>
      <c r="M232" s="44"/>
      <c r="N232" s="50"/>
    </row>
    <row r="233" spans="1:14" ht="15.75" customHeight="1">
      <c r="A233" s="53"/>
      <c r="B233" s="30"/>
      <c r="C233" s="30"/>
      <c r="D233" s="44"/>
      <c r="E233" s="44"/>
      <c r="F233" s="44"/>
      <c r="G233" s="44"/>
      <c r="H233" s="44"/>
      <c r="I233" s="44"/>
      <c r="J233" s="44"/>
      <c r="K233" s="44"/>
      <c r="L233" s="44"/>
      <c r="M233" s="44"/>
      <c r="N233" s="50"/>
    </row>
    <row r="234" spans="1:14" ht="15.75" customHeight="1">
      <c r="A234" s="53"/>
      <c r="B234" s="30"/>
      <c r="C234" s="30"/>
      <c r="D234" s="44"/>
      <c r="E234" s="44"/>
      <c r="F234" s="44"/>
      <c r="G234" s="44"/>
      <c r="H234" s="44"/>
      <c r="I234" s="44"/>
      <c r="J234" s="44"/>
      <c r="K234" s="44"/>
      <c r="L234" s="44"/>
      <c r="M234" s="44"/>
      <c r="N234" s="50"/>
    </row>
    <row r="235" spans="1:14" ht="15.75" customHeight="1">
      <c r="A235" s="53"/>
      <c r="B235" s="30"/>
      <c r="C235" s="30"/>
      <c r="D235" s="44"/>
      <c r="E235" s="44"/>
      <c r="F235" s="44"/>
      <c r="G235" s="44"/>
      <c r="H235" s="44"/>
      <c r="I235" s="44"/>
      <c r="J235" s="44"/>
      <c r="K235" s="44"/>
      <c r="L235" s="44"/>
      <c r="M235" s="44"/>
      <c r="N235" s="50"/>
    </row>
    <row r="236" spans="1:14" ht="15.75" customHeight="1">
      <c r="A236" s="53"/>
      <c r="B236" s="30"/>
      <c r="C236" s="30"/>
      <c r="D236" s="44"/>
      <c r="E236" s="44"/>
      <c r="F236" s="44"/>
      <c r="G236" s="44"/>
      <c r="H236" s="44"/>
      <c r="I236" s="44"/>
      <c r="J236" s="44"/>
      <c r="K236" s="44"/>
      <c r="L236" s="44"/>
      <c r="M236" s="44"/>
      <c r="N236" s="50"/>
    </row>
    <row r="237" spans="1:14" ht="15.75" customHeight="1">
      <c r="A237" s="53"/>
      <c r="B237" s="30"/>
      <c r="C237" s="30"/>
      <c r="D237" s="44"/>
      <c r="E237" s="44"/>
      <c r="F237" s="44"/>
      <c r="G237" s="44"/>
      <c r="H237" s="44"/>
      <c r="I237" s="44"/>
      <c r="J237" s="44"/>
      <c r="K237" s="44"/>
      <c r="L237" s="44"/>
      <c r="M237" s="44"/>
      <c r="N237" s="50"/>
    </row>
    <row r="238" spans="1:14" ht="15.75" customHeight="1">
      <c r="A238" s="53"/>
      <c r="B238" s="30"/>
      <c r="C238" s="30"/>
      <c r="D238" s="44"/>
      <c r="E238" s="44"/>
      <c r="F238" s="44"/>
      <c r="G238" s="44"/>
      <c r="H238" s="44"/>
      <c r="I238" s="44"/>
      <c r="J238" s="44"/>
      <c r="K238" s="44"/>
      <c r="L238" s="44"/>
      <c r="M238" s="44"/>
      <c r="N238" s="50"/>
    </row>
    <row r="239" spans="1:14" ht="15.75" customHeight="1">
      <c r="A239" s="53"/>
      <c r="B239" s="30"/>
      <c r="C239" s="30"/>
      <c r="D239" s="44"/>
      <c r="E239" s="44"/>
      <c r="F239" s="44"/>
      <c r="G239" s="44"/>
      <c r="H239" s="44"/>
      <c r="I239" s="44"/>
      <c r="J239" s="44"/>
      <c r="K239" s="44"/>
      <c r="L239" s="44"/>
      <c r="M239" s="44"/>
      <c r="N239" s="50"/>
    </row>
    <row r="240" spans="1:14" ht="15.75" customHeight="1">
      <c r="A240" s="53"/>
      <c r="B240" s="30"/>
      <c r="C240" s="30"/>
      <c r="D240" s="44"/>
      <c r="E240" s="44"/>
      <c r="F240" s="44"/>
      <c r="G240" s="44"/>
      <c r="H240" s="44"/>
      <c r="I240" s="44"/>
      <c r="J240" s="44"/>
      <c r="K240" s="44"/>
      <c r="L240" s="44"/>
      <c r="M240" s="44"/>
      <c r="N240" s="50"/>
    </row>
    <row r="241" spans="1:14" ht="15.75" customHeight="1">
      <c r="A241" s="53"/>
      <c r="B241" s="30"/>
      <c r="C241" s="30"/>
      <c r="D241" s="44"/>
      <c r="E241" s="44"/>
      <c r="F241" s="44"/>
      <c r="G241" s="44"/>
      <c r="H241" s="44"/>
      <c r="I241" s="44"/>
      <c r="J241" s="44"/>
      <c r="K241" s="44"/>
      <c r="L241" s="44"/>
      <c r="M241" s="44"/>
      <c r="N241" s="50"/>
    </row>
    <row r="242" spans="1:14" ht="15.75" customHeight="1">
      <c r="A242" s="53"/>
      <c r="B242" s="30"/>
      <c r="C242" s="30"/>
      <c r="D242" s="44"/>
      <c r="E242" s="44"/>
      <c r="F242" s="44"/>
      <c r="G242" s="44"/>
      <c r="H242" s="44"/>
      <c r="I242" s="44"/>
      <c r="J242" s="44"/>
      <c r="K242" s="44"/>
      <c r="L242" s="44"/>
      <c r="M242" s="44"/>
      <c r="N242" s="50"/>
    </row>
    <row r="243" spans="1:14" ht="15.75" customHeight="1">
      <c r="A243" s="53"/>
      <c r="B243" s="30"/>
      <c r="C243" s="30"/>
      <c r="D243" s="44"/>
      <c r="E243" s="44"/>
      <c r="F243" s="44"/>
      <c r="G243" s="44"/>
      <c r="H243" s="44"/>
      <c r="I243" s="44"/>
      <c r="J243" s="44"/>
      <c r="K243" s="44"/>
      <c r="L243" s="44"/>
      <c r="M243" s="44"/>
      <c r="N243" s="50"/>
    </row>
    <row r="244" spans="1:14" ht="15.75" customHeight="1">
      <c r="A244" s="53"/>
      <c r="B244" s="30"/>
      <c r="C244" s="30"/>
      <c r="D244" s="44"/>
      <c r="E244" s="44"/>
      <c r="F244" s="44"/>
      <c r="G244" s="44"/>
      <c r="H244" s="44"/>
      <c r="I244" s="44"/>
      <c r="J244" s="44"/>
      <c r="K244" s="44"/>
      <c r="L244" s="44"/>
      <c r="M244" s="44"/>
      <c r="N244" s="50"/>
    </row>
    <row r="245" spans="1:14" ht="15.75" customHeight="1">
      <c r="A245" s="53"/>
      <c r="B245" s="30"/>
      <c r="C245" s="30"/>
      <c r="D245" s="44"/>
      <c r="E245" s="44"/>
      <c r="F245" s="44"/>
      <c r="G245" s="44"/>
      <c r="H245" s="44"/>
      <c r="I245" s="44"/>
      <c r="J245" s="44"/>
      <c r="K245" s="44"/>
      <c r="L245" s="44"/>
      <c r="M245" s="44"/>
      <c r="N245" s="50"/>
    </row>
    <row r="246" spans="1:14" ht="15.75" customHeight="1">
      <c r="A246" s="53"/>
      <c r="B246" s="30"/>
      <c r="C246" s="30"/>
      <c r="D246" s="44"/>
      <c r="E246" s="44"/>
      <c r="F246" s="44"/>
      <c r="G246" s="44"/>
      <c r="H246" s="44"/>
      <c r="I246" s="44"/>
      <c r="J246" s="44"/>
      <c r="K246" s="44"/>
      <c r="L246" s="44"/>
      <c r="M246" s="44"/>
      <c r="N246" s="50"/>
    </row>
    <row r="247" spans="1:14" ht="15.75" customHeight="1">
      <c r="A247" s="53"/>
      <c r="B247" s="30"/>
      <c r="C247" s="30"/>
      <c r="D247" s="44"/>
      <c r="E247" s="44"/>
      <c r="F247" s="44"/>
      <c r="G247" s="44"/>
      <c r="H247" s="44"/>
      <c r="I247" s="44"/>
      <c r="J247" s="44"/>
      <c r="K247" s="44"/>
      <c r="L247" s="44"/>
      <c r="M247" s="44"/>
      <c r="N247" s="50"/>
    </row>
    <row r="248" spans="1:14" ht="15.75" customHeight="1">
      <c r="A248" s="53"/>
      <c r="B248" s="30"/>
      <c r="C248" s="30"/>
      <c r="D248" s="44"/>
      <c r="E248" s="44"/>
      <c r="F248" s="44"/>
      <c r="G248" s="44"/>
      <c r="H248" s="44"/>
      <c r="I248" s="44"/>
      <c r="J248" s="44"/>
      <c r="K248" s="44"/>
      <c r="L248" s="44"/>
      <c r="M248" s="44"/>
      <c r="N248" s="50"/>
    </row>
    <row r="249" spans="1:14" ht="15.75" customHeight="1">
      <c r="A249" s="53"/>
      <c r="B249" s="30"/>
      <c r="C249" s="30"/>
      <c r="D249" s="44"/>
      <c r="E249" s="44"/>
      <c r="F249" s="44"/>
      <c r="G249" s="44"/>
      <c r="H249" s="44"/>
      <c r="I249" s="44"/>
      <c r="J249" s="44"/>
      <c r="K249" s="44"/>
      <c r="L249" s="44"/>
      <c r="M249" s="44"/>
      <c r="N249" s="50"/>
    </row>
    <row r="250" spans="1:14" ht="15.75" customHeight="1">
      <c r="A250" s="53"/>
      <c r="B250" s="30"/>
      <c r="C250" s="30"/>
      <c r="D250" s="44"/>
      <c r="E250" s="44"/>
      <c r="F250" s="44"/>
      <c r="G250" s="44"/>
      <c r="H250" s="44"/>
      <c r="I250" s="44"/>
      <c r="J250" s="44"/>
      <c r="K250" s="44"/>
      <c r="L250" s="44"/>
      <c r="M250" s="44"/>
      <c r="N250" s="50"/>
    </row>
    <row r="251" spans="1:14" ht="15.75" customHeight="1">
      <c r="A251" s="53"/>
      <c r="B251" s="30"/>
      <c r="C251" s="30"/>
      <c r="D251" s="44"/>
      <c r="E251" s="44"/>
      <c r="F251" s="44"/>
      <c r="G251" s="44"/>
      <c r="H251" s="44"/>
      <c r="I251" s="44"/>
      <c r="J251" s="44"/>
      <c r="K251" s="44"/>
      <c r="L251" s="44"/>
      <c r="M251" s="44"/>
      <c r="N251" s="50"/>
    </row>
    <row r="252" spans="1:14" ht="15.75" customHeight="1">
      <c r="A252" s="53"/>
      <c r="B252" s="30"/>
      <c r="C252" s="30"/>
      <c r="D252" s="44"/>
      <c r="E252" s="44"/>
      <c r="F252" s="44"/>
      <c r="G252" s="44"/>
      <c r="H252" s="44"/>
      <c r="I252" s="44"/>
      <c r="J252" s="44"/>
      <c r="K252" s="44"/>
      <c r="L252" s="44"/>
      <c r="M252" s="44"/>
      <c r="N252" s="50"/>
    </row>
    <row r="253" spans="1:14" ht="15.75" customHeight="1">
      <c r="A253" s="53"/>
      <c r="B253" s="30"/>
      <c r="C253" s="30"/>
      <c r="D253" s="44"/>
      <c r="E253" s="44"/>
      <c r="F253" s="44"/>
      <c r="G253" s="44"/>
      <c r="H253" s="44"/>
      <c r="I253" s="44"/>
      <c r="J253" s="44"/>
      <c r="K253" s="44"/>
      <c r="L253" s="44"/>
      <c r="M253" s="44"/>
      <c r="N253" s="50"/>
    </row>
    <row r="254" spans="1:14" ht="15.75" customHeight="1">
      <c r="A254" s="53"/>
      <c r="B254" s="30"/>
      <c r="C254" s="30"/>
      <c r="D254" s="44"/>
      <c r="E254" s="44"/>
      <c r="F254" s="44"/>
      <c r="G254" s="44"/>
      <c r="H254" s="44"/>
      <c r="I254" s="44"/>
      <c r="J254" s="44"/>
      <c r="K254" s="44"/>
      <c r="L254" s="44"/>
      <c r="M254" s="44"/>
      <c r="N254" s="50"/>
    </row>
    <row r="255" spans="1:14" ht="15.75" customHeight="1">
      <c r="A255" s="53"/>
      <c r="B255" s="30"/>
      <c r="C255" s="30"/>
      <c r="D255" s="44"/>
      <c r="E255" s="44"/>
      <c r="F255" s="44"/>
      <c r="G255" s="44"/>
      <c r="H255" s="44"/>
      <c r="I255" s="44"/>
      <c r="J255" s="44"/>
      <c r="K255" s="44"/>
      <c r="L255" s="44"/>
      <c r="M255" s="44"/>
      <c r="N255" s="50"/>
    </row>
    <row r="256" spans="1:14" ht="15.75" customHeight="1">
      <c r="A256" s="53"/>
      <c r="B256" s="30"/>
      <c r="C256" s="30"/>
      <c r="D256" s="44"/>
      <c r="E256" s="44"/>
      <c r="F256" s="44"/>
      <c r="G256" s="44"/>
      <c r="H256" s="44"/>
      <c r="I256" s="44"/>
      <c r="J256" s="44"/>
      <c r="K256" s="44"/>
      <c r="L256" s="44"/>
      <c r="M256" s="44"/>
      <c r="N256" s="50"/>
    </row>
    <row r="257" spans="1:14" ht="15.75" customHeight="1">
      <c r="A257" s="53"/>
      <c r="B257" s="30"/>
      <c r="C257" s="30"/>
      <c r="D257" s="44"/>
      <c r="E257" s="44"/>
      <c r="F257" s="44"/>
      <c r="G257" s="44"/>
      <c r="H257" s="44"/>
      <c r="I257" s="44"/>
      <c r="J257" s="44"/>
      <c r="K257" s="44"/>
      <c r="L257" s="44"/>
      <c r="M257" s="44"/>
      <c r="N257" s="50"/>
    </row>
    <row r="258" spans="1:14" ht="15.75" customHeight="1">
      <c r="A258" s="53"/>
      <c r="B258" s="30"/>
      <c r="C258" s="30"/>
      <c r="D258" s="44"/>
      <c r="E258" s="44"/>
      <c r="F258" s="44"/>
      <c r="G258" s="44"/>
      <c r="H258" s="44"/>
      <c r="I258" s="44"/>
      <c r="J258" s="44"/>
      <c r="K258" s="44"/>
      <c r="L258" s="44"/>
      <c r="M258" s="44"/>
      <c r="N258" s="50"/>
    </row>
    <row r="259" spans="1:14" ht="15.75" customHeight="1">
      <c r="A259" s="53"/>
      <c r="B259" s="30"/>
      <c r="C259" s="30"/>
      <c r="D259" s="44"/>
      <c r="E259" s="44"/>
      <c r="F259" s="44"/>
      <c r="G259" s="44"/>
      <c r="H259" s="44"/>
      <c r="I259" s="44"/>
      <c r="J259" s="44"/>
      <c r="K259" s="44"/>
      <c r="L259" s="44"/>
      <c r="M259" s="44"/>
      <c r="N259" s="50"/>
    </row>
    <row r="260" spans="1:14" ht="15.75" customHeight="1">
      <c r="A260" s="53"/>
      <c r="B260" s="30"/>
      <c r="C260" s="30"/>
      <c r="D260" s="44"/>
      <c r="E260" s="44"/>
      <c r="F260" s="44"/>
      <c r="G260" s="44"/>
      <c r="H260" s="44"/>
      <c r="I260" s="44"/>
      <c r="J260" s="44"/>
      <c r="K260" s="44"/>
      <c r="L260" s="44"/>
      <c r="M260" s="44"/>
      <c r="N260" s="50"/>
    </row>
    <row r="261" spans="1:14" ht="15.75" customHeight="1">
      <c r="A261" s="53"/>
      <c r="B261" s="30"/>
      <c r="C261" s="30"/>
      <c r="D261" s="44"/>
      <c r="E261" s="44"/>
      <c r="F261" s="44"/>
      <c r="G261" s="44"/>
      <c r="H261" s="44"/>
      <c r="I261" s="44"/>
      <c r="J261" s="44"/>
      <c r="K261" s="44"/>
      <c r="L261" s="44"/>
      <c r="M261" s="44"/>
      <c r="N261" s="50"/>
    </row>
    <row r="262" spans="1:14" ht="15.75" customHeight="1">
      <c r="A262" s="53"/>
      <c r="B262" s="30"/>
      <c r="C262" s="30"/>
      <c r="D262" s="44"/>
      <c r="E262" s="44"/>
      <c r="F262" s="44"/>
      <c r="G262" s="44"/>
      <c r="H262" s="44"/>
      <c r="I262" s="44"/>
      <c r="J262" s="44"/>
      <c r="K262" s="44"/>
      <c r="L262" s="44"/>
      <c r="M262" s="44"/>
      <c r="N262" s="50"/>
    </row>
    <row r="263" spans="1:14" ht="15.75" customHeight="1">
      <c r="A263" s="53"/>
      <c r="B263" s="30"/>
      <c r="C263" s="30"/>
      <c r="D263" s="44"/>
      <c r="E263" s="44"/>
      <c r="F263" s="44"/>
      <c r="G263" s="44"/>
      <c r="H263" s="44"/>
      <c r="I263" s="44"/>
      <c r="J263" s="44"/>
      <c r="K263" s="44"/>
      <c r="L263" s="44"/>
      <c r="M263" s="44"/>
      <c r="N263" s="50"/>
    </row>
    <row r="264" spans="1:14" ht="15.75" customHeight="1">
      <c r="A264" s="53"/>
      <c r="B264" s="30"/>
      <c r="C264" s="30"/>
      <c r="D264" s="44"/>
      <c r="E264" s="44"/>
      <c r="F264" s="44"/>
      <c r="G264" s="44"/>
      <c r="H264" s="44"/>
      <c r="I264" s="44"/>
      <c r="J264" s="44"/>
      <c r="K264" s="44"/>
      <c r="L264" s="44"/>
      <c r="M264" s="44"/>
      <c r="N264" s="50"/>
    </row>
    <row r="265" spans="1:14" ht="15.75" customHeight="1">
      <c r="A265" s="53"/>
      <c r="B265" s="30"/>
      <c r="C265" s="30"/>
      <c r="D265" s="44"/>
      <c r="E265" s="44"/>
      <c r="F265" s="44"/>
      <c r="G265" s="44"/>
      <c r="H265" s="44"/>
      <c r="I265" s="44"/>
      <c r="J265" s="44"/>
      <c r="K265" s="44"/>
      <c r="L265" s="44"/>
      <c r="M265" s="44"/>
      <c r="N265" s="50"/>
    </row>
    <row r="266" spans="1:14" ht="15.75" customHeight="1">
      <c r="A266" s="53"/>
      <c r="B266" s="30"/>
      <c r="C266" s="30"/>
      <c r="D266" s="44"/>
      <c r="E266" s="44"/>
      <c r="F266" s="44"/>
      <c r="G266" s="44"/>
      <c r="H266" s="44"/>
      <c r="I266" s="44"/>
      <c r="J266" s="44"/>
      <c r="K266" s="44"/>
      <c r="L266" s="44"/>
      <c r="M266" s="44"/>
      <c r="N266" s="50"/>
    </row>
    <row r="267" spans="1:14" ht="15.75" customHeight="1">
      <c r="A267" s="53"/>
      <c r="B267" s="30"/>
      <c r="C267" s="30"/>
      <c r="D267" s="44"/>
      <c r="E267" s="44"/>
      <c r="F267" s="44"/>
      <c r="G267" s="44"/>
      <c r="H267" s="44"/>
      <c r="I267" s="44"/>
      <c r="J267" s="44"/>
      <c r="K267" s="44"/>
      <c r="L267" s="44"/>
      <c r="M267" s="44"/>
      <c r="N267" s="50"/>
    </row>
    <row r="268" spans="1:14" ht="15.75" customHeight="1">
      <c r="A268" s="53"/>
      <c r="B268" s="30"/>
      <c r="C268" s="30"/>
      <c r="D268" s="44"/>
      <c r="E268" s="44"/>
      <c r="F268" s="44"/>
      <c r="G268" s="44"/>
      <c r="H268" s="44"/>
      <c r="I268" s="44"/>
      <c r="J268" s="44"/>
      <c r="K268" s="44"/>
      <c r="L268" s="44"/>
      <c r="M268" s="44"/>
      <c r="N268" s="50"/>
    </row>
    <row r="269" spans="1:14" ht="15.75" customHeight="1">
      <c r="A269" s="53"/>
      <c r="B269" s="30"/>
      <c r="C269" s="30"/>
      <c r="D269" s="44"/>
      <c r="E269" s="44"/>
      <c r="F269" s="44"/>
      <c r="G269" s="44"/>
      <c r="H269" s="44"/>
      <c r="I269" s="44"/>
      <c r="J269" s="44"/>
      <c r="K269" s="44"/>
      <c r="L269" s="44"/>
      <c r="M269" s="44"/>
      <c r="N269" s="50"/>
    </row>
    <row r="270" spans="1:14" ht="15.75" customHeight="1">
      <c r="A270" s="53"/>
      <c r="B270" s="30"/>
      <c r="C270" s="30"/>
      <c r="D270" s="44"/>
      <c r="E270" s="44"/>
      <c r="F270" s="44"/>
      <c r="G270" s="44"/>
      <c r="H270" s="44"/>
      <c r="I270" s="44"/>
      <c r="J270" s="44"/>
      <c r="K270" s="44"/>
      <c r="L270" s="44"/>
      <c r="M270" s="44"/>
      <c r="N270" s="50"/>
    </row>
    <row r="271" spans="1:14" ht="15.75" customHeight="1">
      <c r="A271" s="53"/>
      <c r="B271" s="30"/>
      <c r="C271" s="30"/>
      <c r="D271" s="44"/>
      <c r="E271" s="44"/>
      <c r="F271" s="44"/>
      <c r="G271" s="44"/>
      <c r="H271" s="44"/>
      <c r="I271" s="44"/>
      <c r="J271" s="44"/>
      <c r="K271" s="44"/>
      <c r="L271" s="44"/>
      <c r="M271" s="44"/>
      <c r="N271" s="50"/>
    </row>
    <row r="272" spans="1:14" ht="15.75" customHeight="1">
      <c r="A272" s="53"/>
      <c r="B272" s="30"/>
      <c r="C272" s="30"/>
      <c r="D272" s="44"/>
      <c r="E272" s="44"/>
      <c r="F272" s="44"/>
      <c r="G272" s="44"/>
      <c r="H272" s="44"/>
      <c r="I272" s="44"/>
      <c r="J272" s="44"/>
      <c r="K272" s="44"/>
      <c r="L272" s="44"/>
      <c r="M272" s="44"/>
      <c r="N272" s="50"/>
    </row>
    <row r="273" spans="1:14" ht="15.75" customHeight="1">
      <c r="A273" s="53"/>
      <c r="B273" s="30"/>
      <c r="C273" s="30"/>
      <c r="D273" s="44"/>
      <c r="E273" s="44"/>
      <c r="F273" s="44"/>
      <c r="G273" s="44"/>
      <c r="H273" s="44"/>
      <c r="I273" s="44"/>
      <c r="J273" s="44"/>
      <c r="K273" s="44"/>
      <c r="L273" s="44"/>
      <c r="M273" s="44"/>
      <c r="N273" s="50"/>
    </row>
    <row r="274" spans="1:14" ht="15.75" customHeight="1">
      <c r="A274" s="53"/>
      <c r="B274" s="30"/>
      <c r="C274" s="30"/>
      <c r="D274" s="44"/>
      <c r="E274" s="44"/>
      <c r="F274" s="44"/>
      <c r="G274" s="44"/>
      <c r="H274" s="44"/>
      <c r="I274" s="44"/>
      <c r="J274" s="44"/>
      <c r="K274" s="44"/>
      <c r="L274" s="44"/>
      <c r="M274" s="44"/>
      <c r="N274" s="50"/>
    </row>
    <row r="275" spans="1:14" ht="15.75" customHeight="1">
      <c r="A275" s="53"/>
      <c r="B275" s="30"/>
      <c r="C275" s="30"/>
      <c r="D275" s="44"/>
      <c r="E275" s="44"/>
      <c r="F275" s="44"/>
      <c r="G275" s="44"/>
      <c r="H275" s="44"/>
      <c r="I275" s="44"/>
      <c r="J275" s="44"/>
      <c r="K275" s="44"/>
      <c r="L275" s="44"/>
      <c r="M275" s="44"/>
      <c r="N275" s="50"/>
    </row>
    <row r="276" spans="1:14" ht="15.75" customHeight="1">
      <c r="A276" s="53"/>
      <c r="B276" s="30"/>
      <c r="C276" s="30"/>
      <c r="D276" s="44"/>
      <c r="E276" s="44"/>
      <c r="F276" s="44"/>
      <c r="G276" s="44"/>
      <c r="H276" s="44"/>
      <c r="I276" s="44"/>
      <c r="J276" s="44"/>
      <c r="K276" s="44"/>
      <c r="L276" s="44"/>
      <c r="M276" s="44"/>
      <c r="N276" s="50"/>
    </row>
    <row r="277" spans="1:14" ht="15.75" customHeight="1"/>
    <row r="278" spans="1:14" ht="15.75" customHeight="1"/>
    <row r="279" spans="1:14" ht="15.75" customHeight="1"/>
    <row r="280" spans="1:14" ht="15.75" customHeight="1"/>
    <row r="281" spans="1:14" ht="15.75" customHeight="1"/>
    <row r="282" spans="1:14" ht="15.75" customHeight="1"/>
    <row r="283" spans="1:14" ht="15.75" customHeight="1"/>
    <row r="284" spans="1:14" ht="15.75" customHeight="1"/>
    <row r="285" spans="1:14" ht="15.75" customHeight="1"/>
    <row r="286" spans="1:14" ht="15.75" customHeight="1"/>
    <row r="287" spans="1:14" ht="15.75" customHeight="1"/>
    <row r="288" spans="1:1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honeticPr fontId="22" type="noConversion"/>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8"/>
  <sheetViews>
    <sheetView workbookViewId="0">
      <pane ySplit="1" topLeftCell="A17" activePane="bottomLeft" state="frozen"/>
      <selection pane="bottomLeft" activeCell="A31" sqref="A31"/>
    </sheetView>
  </sheetViews>
  <sheetFormatPr defaultColWidth="14.42578125" defaultRowHeight="15" customHeight="1"/>
  <cols>
    <col min="1" max="1" width="66.5703125" customWidth="1"/>
    <col min="2" max="2" width="20.7109375" customWidth="1"/>
    <col min="3" max="3" width="16.42578125" customWidth="1"/>
    <col min="4" max="4" width="12.85546875" customWidth="1"/>
    <col min="5" max="5" width="15.5703125" customWidth="1"/>
    <col min="6" max="6" width="12.7109375" customWidth="1"/>
    <col min="7" max="7" width="22.7109375" customWidth="1"/>
    <col min="8" max="8" width="35.7109375" customWidth="1"/>
    <col min="9" max="9" width="18.85546875" customWidth="1"/>
    <col min="10" max="10" width="21.7109375" customWidth="1"/>
    <col min="11" max="11" width="18.7109375" customWidth="1"/>
    <col min="12" max="12" width="24.42578125" customWidth="1"/>
    <col min="13" max="13" width="37.42578125" customWidth="1"/>
    <col min="14" max="26" width="8.7109375" customWidth="1"/>
  </cols>
  <sheetData>
    <row r="1" spans="1:26" ht="15.75" customHeight="1">
      <c r="A1" s="56" t="s">
        <v>347</v>
      </c>
      <c r="B1" s="57" t="s">
        <v>5</v>
      </c>
      <c r="C1" s="58" t="s">
        <v>6</v>
      </c>
      <c r="D1" s="59" t="s">
        <v>0</v>
      </c>
      <c r="E1" s="59" t="s">
        <v>1</v>
      </c>
      <c r="F1" s="59" t="s">
        <v>2</v>
      </c>
      <c r="G1" s="59" t="s">
        <v>7</v>
      </c>
      <c r="H1" s="59" t="s">
        <v>3</v>
      </c>
      <c r="I1" s="60" t="s">
        <v>8</v>
      </c>
      <c r="J1" s="60" t="s">
        <v>9</v>
      </c>
      <c r="K1" s="60" t="s">
        <v>10</v>
      </c>
      <c r="L1" s="61" t="s">
        <v>11</v>
      </c>
      <c r="M1" s="61" t="s">
        <v>12</v>
      </c>
      <c r="N1" s="7"/>
      <c r="O1" s="7"/>
      <c r="P1" s="7"/>
      <c r="Q1" s="7"/>
      <c r="R1" s="7"/>
      <c r="S1" s="7"/>
      <c r="T1" s="7"/>
      <c r="U1" s="7"/>
      <c r="V1" s="7"/>
      <c r="W1" s="7"/>
      <c r="X1" s="7"/>
      <c r="Y1" s="7"/>
      <c r="Z1" s="7"/>
    </row>
    <row r="2" spans="1:26" ht="15.75" customHeight="1">
      <c r="A2" s="62" t="s">
        <v>348</v>
      </c>
      <c r="B2" s="58"/>
      <c r="C2" s="58" t="s">
        <v>22</v>
      </c>
      <c r="D2" s="63" t="s">
        <v>22</v>
      </c>
      <c r="E2" s="63" t="s">
        <v>22</v>
      </c>
      <c r="F2" s="63" t="s">
        <v>22</v>
      </c>
      <c r="G2" s="64" t="s">
        <v>22</v>
      </c>
      <c r="H2" s="64" t="s">
        <v>22</v>
      </c>
      <c r="I2" s="12">
        <f t="shared" ref="I2:M17" si="0">_xlfn.LET(
_xlpm.full,2,
_xlpm.ans,UPPER(SUBSTITUTE(SUBSTITUTE(SUBSTITUTE(SUBSTITUTE(SUBSTITUTE(SUBSTITUTE($C2&amp;"","，",""),",",""),"、","")," ",""),"　",""),CHAR(10),"")),
_xlpm.resp,UPPER(SUBSTITUTE(SUBSTITUTE(SUBSTITUTE(SUBSTITUTE(SUBSTITUTE(SUBSTITUTE(D2&amp;"","，",""),",",""),"、","")," ",""),"　",""),CHAR(10),"")),
IF(OR(_xlpm.resp="",LEN(_xlpm.resp)&lt;&gt;1),0,IF(_xlpm.resp=_xlpm.ans,_xlpm.full,0))
)</f>
        <v>2</v>
      </c>
      <c r="J2" s="12">
        <f t="shared" si="0"/>
        <v>2</v>
      </c>
      <c r="K2" s="12">
        <f t="shared" si="0"/>
        <v>2</v>
      </c>
      <c r="L2" s="12">
        <f t="shared" si="0"/>
        <v>2</v>
      </c>
      <c r="M2" s="12">
        <f t="shared" si="0"/>
        <v>2</v>
      </c>
      <c r="N2" s="7"/>
      <c r="O2" s="7"/>
      <c r="P2" s="7"/>
      <c r="Q2" s="7"/>
      <c r="R2" s="7"/>
      <c r="S2" s="7"/>
      <c r="T2" s="7"/>
      <c r="U2" s="7"/>
      <c r="V2" s="7"/>
      <c r="W2" s="7"/>
      <c r="X2" s="7"/>
      <c r="Y2" s="7"/>
      <c r="Z2" s="7"/>
    </row>
    <row r="3" spans="1:26" ht="15.75" customHeight="1">
      <c r="A3" s="62" t="s">
        <v>349</v>
      </c>
      <c r="B3" s="58"/>
      <c r="C3" s="58" t="s">
        <v>14</v>
      </c>
      <c r="D3" s="63" t="s">
        <v>14</v>
      </c>
      <c r="E3" s="63" t="s">
        <v>14</v>
      </c>
      <c r="F3" s="63" t="s">
        <v>14</v>
      </c>
      <c r="G3" s="64" t="s">
        <v>14</v>
      </c>
      <c r="H3" s="64" t="s">
        <v>14</v>
      </c>
      <c r="I3" s="12">
        <f t="shared" si="0"/>
        <v>2</v>
      </c>
      <c r="J3" s="12">
        <f t="shared" si="0"/>
        <v>2</v>
      </c>
      <c r="K3" s="12">
        <f t="shared" si="0"/>
        <v>2</v>
      </c>
      <c r="L3" s="12">
        <f t="shared" si="0"/>
        <v>2</v>
      </c>
      <c r="M3" s="12">
        <f t="shared" si="0"/>
        <v>2</v>
      </c>
      <c r="N3" s="7"/>
      <c r="O3" s="7"/>
      <c r="P3" s="7"/>
      <c r="Q3" s="7"/>
      <c r="R3" s="7"/>
      <c r="S3" s="7"/>
      <c r="T3" s="7"/>
      <c r="U3" s="7"/>
      <c r="V3" s="7"/>
      <c r="W3" s="7"/>
      <c r="X3" s="7"/>
      <c r="Y3" s="7"/>
      <c r="Z3" s="7"/>
    </row>
    <row r="4" spans="1:26" ht="15.75" customHeight="1">
      <c r="A4" s="62" t="s">
        <v>350</v>
      </c>
      <c r="B4" s="58"/>
      <c r="C4" s="58" t="s">
        <v>19</v>
      </c>
      <c r="D4" s="63" t="s">
        <v>17</v>
      </c>
      <c r="E4" s="63" t="s">
        <v>19</v>
      </c>
      <c r="F4" s="63" t="s">
        <v>19</v>
      </c>
      <c r="G4" s="64" t="s">
        <v>19</v>
      </c>
      <c r="H4" s="64" t="s">
        <v>19</v>
      </c>
      <c r="I4" s="12">
        <f t="shared" si="0"/>
        <v>0</v>
      </c>
      <c r="J4" s="12">
        <f t="shared" si="0"/>
        <v>2</v>
      </c>
      <c r="K4" s="12">
        <f t="shared" si="0"/>
        <v>2</v>
      </c>
      <c r="L4" s="12">
        <f t="shared" si="0"/>
        <v>2</v>
      </c>
      <c r="M4" s="12">
        <f t="shared" si="0"/>
        <v>2</v>
      </c>
      <c r="N4" s="7"/>
      <c r="O4" s="7"/>
      <c r="P4" s="7"/>
      <c r="Q4" s="7"/>
      <c r="R4" s="7"/>
      <c r="S4" s="7"/>
      <c r="T4" s="7"/>
      <c r="U4" s="7"/>
      <c r="V4" s="7"/>
      <c r="W4" s="7"/>
      <c r="X4" s="7"/>
      <c r="Y4" s="7"/>
      <c r="Z4" s="7"/>
    </row>
    <row r="5" spans="1:26" ht="15.75" customHeight="1">
      <c r="A5" s="62" t="s">
        <v>351</v>
      </c>
      <c r="B5" s="58" t="s">
        <v>16</v>
      </c>
      <c r="C5" s="58" t="s">
        <v>22</v>
      </c>
      <c r="D5" s="63" t="s">
        <v>19</v>
      </c>
      <c r="E5" s="63" t="s">
        <v>19</v>
      </c>
      <c r="F5" s="63" t="s">
        <v>19</v>
      </c>
      <c r="G5" s="64" t="s">
        <v>19</v>
      </c>
      <c r="H5" s="64" t="s">
        <v>19</v>
      </c>
      <c r="I5" s="12">
        <f t="shared" si="0"/>
        <v>0</v>
      </c>
      <c r="J5" s="12">
        <f t="shared" si="0"/>
        <v>0</v>
      </c>
      <c r="K5" s="12">
        <f t="shared" si="0"/>
        <v>0</v>
      </c>
      <c r="L5" s="12">
        <f t="shared" si="0"/>
        <v>0</v>
      </c>
      <c r="M5" s="12">
        <f t="shared" si="0"/>
        <v>0</v>
      </c>
      <c r="N5" s="7"/>
      <c r="O5" s="7"/>
      <c r="P5" s="7"/>
      <c r="Q5" s="7"/>
      <c r="R5" s="7"/>
      <c r="S5" s="7"/>
      <c r="T5" s="7"/>
      <c r="U5" s="7"/>
      <c r="V5" s="7"/>
      <c r="W5" s="7"/>
      <c r="X5" s="7"/>
      <c r="Y5" s="7"/>
      <c r="Z5" s="7"/>
    </row>
    <row r="6" spans="1:26" ht="15.75" customHeight="1">
      <c r="A6" s="62" t="s">
        <v>352</v>
      </c>
      <c r="B6" s="58"/>
      <c r="C6" s="58" t="s">
        <v>19</v>
      </c>
      <c r="D6" s="63" t="s">
        <v>19</v>
      </c>
      <c r="E6" s="63" t="s">
        <v>19</v>
      </c>
      <c r="F6" s="63" t="s">
        <v>19</v>
      </c>
      <c r="G6" s="64" t="s">
        <v>19</v>
      </c>
      <c r="H6" s="64" t="s">
        <v>19</v>
      </c>
      <c r="I6" s="12">
        <f t="shared" si="0"/>
        <v>2</v>
      </c>
      <c r="J6" s="12">
        <f t="shared" si="0"/>
        <v>2</v>
      </c>
      <c r="K6" s="12">
        <f t="shared" si="0"/>
        <v>2</v>
      </c>
      <c r="L6" s="12">
        <f t="shared" si="0"/>
        <v>2</v>
      </c>
      <c r="M6" s="12">
        <f t="shared" si="0"/>
        <v>2</v>
      </c>
      <c r="N6" s="7"/>
      <c r="O6" s="7"/>
      <c r="P6" s="7"/>
      <c r="Q6" s="7"/>
      <c r="R6" s="7"/>
      <c r="S6" s="7"/>
      <c r="T6" s="7"/>
      <c r="U6" s="7"/>
      <c r="V6" s="7"/>
      <c r="W6" s="7"/>
      <c r="X6" s="7"/>
      <c r="Y6" s="7"/>
      <c r="Z6" s="7"/>
    </row>
    <row r="7" spans="1:26" ht="15.75" customHeight="1">
      <c r="A7" s="62" t="s">
        <v>353</v>
      </c>
      <c r="B7" s="58"/>
      <c r="C7" s="58" t="s">
        <v>17</v>
      </c>
      <c r="D7" s="63" t="s">
        <v>17</v>
      </c>
      <c r="E7" s="63" t="s">
        <v>17</v>
      </c>
      <c r="F7" s="63" t="s">
        <v>17</v>
      </c>
      <c r="G7" s="64" t="s">
        <v>17</v>
      </c>
      <c r="H7" s="64" t="s">
        <v>17</v>
      </c>
      <c r="I7" s="12">
        <f t="shared" si="0"/>
        <v>2</v>
      </c>
      <c r="J7" s="12">
        <f t="shared" si="0"/>
        <v>2</v>
      </c>
      <c r="K7" s="12">
        <f t="shared" si="0"/>
        <v>2</v>
      </c>
      <c r="L7" s="12">
        <f t="shared" si="0"/>
        <v>2</v>
      </c>
      <c r="M7" s="12">
        <f t="shared" si="0"/>
        <v>2</v>
      </c>
      <c r="N7" s="7"/>
      <c r="O7" s="7"/>
      <c r="P7" s="7"/>
      <c r="Q7" s="7"/>
      <c r="R7" s="7"/>
      <c r="S7" s="7"/>
      <c r="T7" s="7"/>
      <c r="U7" s="7"/>
      <c r="V7" s="7"/>
      <c r="W7" s="7"/>
      <c r="X7" s="7"/>
      <c r="Y7" s="7"/>
      <c r="Z7" s="7"/>
    </row>
    <row r="8" spans="1:26" ht="15.75" customHeight="1">
      <c r="A8" s="62" t="s">
        <v>354</v>
      </c>
      <c r="B8" s="58" t="s">
        <v>16</v>
      </c>
      <c r="C8" s="58" t="s">
        <v>19</v>
      </c>
      <c r="D8" s="63" t="s">
        <v>19</v>
      </c>
      <c r="E8" s="63" t="s">
        <v>19</v>
      </c>
      <c r="F8" s="63" t="s">
        <v>19</v>
      </c>
      <c r="G8" s="64" t="s">
        <v>19</v>
      </c>
      <c r="H8" s="64" t="s">
        <v>19</v>
      </c>
      <c r="I8" s="12">
        <f t="shared" si="0"/>
        <v>2</v>
      </c>
      <c r="J8" s="12">
        <f t="shared" si="0"/>
        <v>2</v>
      </c>
      <c r="K8" s="12">
        <f t="shared" si="0"/>
        <v>2</v>
      </c>
      <c r="L8" s="12">
        <f t="shared" si="0"/>
        <v>2</v>
      </c>
      <c r="M8" s="12">
        <f t="shared" si="0"/>
        <v>2</v>
      </c>
      <c r="N8" s="7"/>
      <c r="O8" s="7"/>
      <c r="P8" s="7"/>
      <c r="Q8" s="7"/>
      <c r="R8" s="7"/>
      <c r="S8" s="7"/>
      <c r="T8" s="7"/>
      <c r="U8" s="7"/>
      <c r="V8" s="7"/>
      <c r="W8" s="7"/>
      <c r="X8" s="7"/>
      <c r="Y8" s="7"/>
      <c r="Z8" s="7"/>
    </row>
    <row r="9" spans="1:26" ht="15.75" customHeight="1">
      <c r="A9" s="62" t="s">
        <v>355</v>
      </c>
      <c r="B9" s="58"/>
      <c r="C9" s="58" t="s">
        <v>19</v>
      </c>
      <c r="D9" s="63" t="s">
        <v>19</v>
      </c>
      <c r="E9" s="63" t="s">
        <v>19</v>
      </c>
      <c r="F9" s="63" t="s">
        <v>19</v>
      </c>
      <c r="G9" s="64" t="s">
        <v>19</v>
      </c>
      <c r="H9" s="64" t="s">
        <v>19</v>
      </c>
      <c r="I9" s="12">
        <f t="shared" si="0"/>
        <v>2</v>
      </c>
      <c r="J9" s="12">
        <f t="shared" si="0"/>
        <v>2</v>
      </c>
      <c r="K9" s="12">
        <f t="shared" si="0"/>
        <v>2</v>
      </c>
      <c r="L9" s="12">
        <f t="shared" si="0"/>
        <v>2</v>
      </c>
      <c r="M9" s="12">
        <f t="shared" si="0"/>
        <v>2</v>
      </c>
      <c r="N9" s="7"/>
      <c r="O9" s="7"/>
      <c r="P9" s="7"/>
      <c r="Q9" s="7"/>
      <c r="R9" s="7"/>
      <c r="S9" s="7"/>
      <c r="T9" s="7"/>
      <c r="U9" s="7"/>
      <c r="V9" s="7"/>
    </row>
    <row r="10" spans="1:26" ht="15.75" customHeight="1">
      <c r="A10" s="62" t="s">
        <v>356</v>
      </c>
      <c r="B10" s="58"/>
      <c r="C10" s="58" t="s">
        <v>14</v>
      </c>
      <c r="D10" s="63" t="s">
        <v>14</v>
      </c>
      <c r="E10" s="63" t="s">
        <v>14</v>
      </c>
      <c r="F10" s="63" t="s">
        <v>14</v>
      </c>
      <c r="G10" s="64" t="s">
        <v>14</v>
      </c>
      <c r="H10" s="64" t="s">
        <v>14</v>
      </c>
      <c r="I10" s="12">
        <f t="shared" si="0"/>
        <v>2</v>
      </c>
      <c r="J10" s="12">
        <f t="shared" si="0"/>
        <v>2</v>
      </c>
      <c r="K10" s="12">
        <f t="shared" si="0"/>
        <v>2</v>
      </c>
      <c r="L10" s="12">
        <f t="shared" si="0"/>
        <v>2</v>
      </c>
      <c r="M10" s="12">
        <f t="shared" si="0"/>
        <v>2</v>
      </c>
      <c r="N10" s="7"/>
      <c r="O10" s="7"/>
      <c r="P10" s="7"/>
      <c r="Q10" s="7"/>
      <c r="R10" s="7"/>
      <c r="S10" s="7"/>
      <c r="T10" s="7"/>
      <c r="U10" s="7"/>
      <c r="V10" s="7"/>
    </row>
    <row r="11" spans="1:26" ht="15.75" customHeight="1">
      <c r="A11" s="62" t="s">
        <v>357</v>
      </c>
      <c r="B11" s="58" t="s">
        <v>16</v>
      </c>
      <c r="C11" s="58" t="s">
        <v>17</v>
      </c>
      <c r="D11" s="63" t="s">
        <v>19</v>
      </c>
      <c r="E11" s="63" t="s">
        <v>19</v>
      </c>
      <c r="F11" s="63" t="s">
        <v>21</v>
      </c>
      <c r="G11" s="64" t="s">
        <v>17</v>
      </c>
      <c r="H11" s="64" t="s">
        <v>17</v>
      </c>
      <c r="I11" s="12">
        <f t="shared" si="0"/>
        <v>0</v>
      </c>
      <c r="J11" s="12">
        <f t="shared" si="0"/>
        <v>0</v>
      </c>
      <c r="K11" s="12">
        <f t="shared" si="0"/>
        <v>0</v>
      </c>
      <c r="L11" s="12">
        <f t="shared" si="0"/>
        <v>2</v>
      </c>
      <c r="M11" s="12">
        <f t="shared" si="0"/>
        <v>2</v>
      </c>
      <c r="N11" s="7"/>
      <c r="O11" s="7"/>
      <c r="P11" s="7"/>
      <c r="Q11" s="7"/>
      <c r="R11" s="7"/>
      <c r="S11" s="7"/>
      <c r="T11" s="7"/>
      <c r="U11" s="7"/>
      <c r="V11" s="7"/>
    </row>
    <row r="12" spans="1:26" ht="15.75" customHeight="1">
      <c r="A12" s="62" t="s">
        <v>358</v>
      </c>
      <c r="B12" s="58"/>
      <c r="C12" s="58" t="s">
        <v>22</v>
      </c>
      <c r="D12" s="63" t="s">
        <v>22</v>
      </c>
      <c r="E12" s="63" t="s">
        <v>22</v>
      </c>
      <c r="F12" s="63" t="s">
        <v>19</v>
      </c>
      <c r="G12" s="64" t="s">
        <v>22</v>
      </c>
      <c r="H12" s="64" t="s">
        <v>22</v>
      </c>
      <c r="I12" s="12">
        <f t="shared" si="0"/>
        <v>2</v>
      </c>
      <c r="J12" s="12">
        <f t="shared" si="0"/>
        <v>2</v>
      </c>
      <c r="K12" s="12">
        <f t="shared" si="0"/>
        <v>0</v>
      </c>
      <c r="L12" s="12">
        <f t="shared" si="0"/>
        <v>2</v>
      </c>
      <c r="M12" s="12">
        <f t="shared" si="0"/>
        <v>2</v>
      </c>
      <c r="N12" s="7"/>
      <c r="O12" s="7"/>
      <c r="P12" s="7"/>
      <c r="Q12" s="7"/>
      <c r="R12" s="7"/>
      <c r="S12" s="7"/>
      <c r="T12" s="7"/>
      <c r="U12" s="7"/>
      <c r="V12" s="7"/>
    </row>
    <row r="13" spans="1:26" ht="15.75" customHeight="1">
      <c r="A13" s="62" t="s">
        <v>359</v>
      </c>
      <c r="B13" s="58" t="s">
        <v>16</v>
      </c>
      <c r="C13" s="58" t="s">
        <v>22</v>
      </c>
      <c r="D13" s="63" t="s">
        <v>22</v>
      </c>
      <c r="E13" s="63" t="s">
        <v>21</v>
      </c>
      <c r="F13" s="63" t="s">
        <v>17</v>
      </c>
      <c r="G13" s="64" t="s">
        <v>21</v>
      </c>
      <c r="H13" s="64" t="s">
        <v>21</v>
      </c>
      <c r="I13" s="12">
        <f t="shared" si="0"/>
        <v>2</v>
      </c>
      <c r="J13" s="12">
        <f t="shared" si="0"/>
        <v>0</v>
      </c>
      <c r="K13" s="12">
        <f t="shared" si="0"/>
        <v>0</v>
      </c>
      <c r="L13" s="12">
        <f t="shared" si="0"/>
        <v>0</v>
      </c>
      <c r="M13" s="12">
        <f t="shared" si="0"/>
        <v>0</v>
      </c>
      <c r="N13" s="7"/>
      <c r="O13" s="7"/>
      <c r="P13" s="7"/>
      <c r="Q13" s="7"/>
      <c r="R13" s="7"/>
      <c r="S13" s="7"/>
      <c r="T13" s="7"/>
      <c r="U13" s="7"/>
      <c r="V13" s="7"/>
    </row>
    <row r="14" spans="1:26" ht="15.75" customHeight="1">
      <c r="A14" s="62" t="s">
        <v>360</v>
      </c>
      <c r="B14" s="58" t="s">
        <v>16</v>
      </c>
      <c r="C14" s="58" t="s">
        <v>17</v>
      </c>
      <c r="D14" s="63" t="s">
        <v>17</v>
      </c>
      <c r="E14" s="63" t="s">
        <v>17</v>
      </c>
      <c r="F14" s="63" t="s">
        <v>17</v>
      </c>
      <c r="G14" s="64" t="s">
        <v>17</v>
      </c>
      <c r="H14" s="64" t="s">
        <v>17</v>
      </c>
      <c r="I14" s="12">
        <f t="shared" si="0"/>
        <v>2</v>
      </c>
      <c r="J14" s="12">
        <f t="shared" si="0"/>
        <v>2</v>
      </c>
      <c r="K14" s="12">
        <f t="shared" si="0"/>
        <v>2</v>
      </c>
      <c r="L14" s="12">
        <f t="shared" si="0"/>
        <v>2</v>
      </c>
      <c r="M14" s="12">
        <f t="shared" si="0"/>
        <v>2</v>
      </c>
      <c r="N14" s="7"/>
      <c r="O14" s="7"/>
      <c r="P14" s="7"/>
      <c r="Q14" s="7"/>
      <c r="R14" s="7"/>
      <c r="S14" s="7"/>
      <c r="T14" s="7"/>
      <c r="U14" s="7"/>
      <c r="V14" s="7"/>
    </row>
    <row r="15" spans="1:26" ht="15.75" customHeight="1">
      <c r="A15" s="62" t="s">
        <v>361</v>
      </c>
      <c r="B15" s="58"/>
      <c r="C15" s="58" t="s">
        <v>14</v>
      </c>
      <c r="D15" s="63" t="s">
        <v>21</v>
      </c>
      <c r="E15" s="63" t="s">
        <v>14</v>
      </c>
      <c r="F15" s="63" t="s">
        <v>14</v>
      </c>
      <c r="G15" s="64" t="s">
        <v>14</v>
      </c>
      <c r="H15" s="64" t="s">
        <v>14</v>
      </c>
      <c r="I15" s="12">
        <f t="shared" si="0"/>
        <v>0</v>
      </c>
      <c r="J15" s="12">
        <f t="shared" si="0"/>
        <v>2</v>
      </c>
      <c r="K15" s="12">
        <f t="shared" si="0"/>
        <v>2</v>
      </c>
      <c r="L15" s="12">
        <f t="shared" si="0"/>
        <v>2</v>
      </c>
      <c r="M15" s="12">
        <f t="shared" si="0"/>
        <v>2</v>
      </c>
      <c r="N15" s="7"/>
      <c r="O15" s="7"/>
      <c r="P15" s="7"/>
      <c r="Q15" s="7"/>
      <c r="R15" s="7"/>
      <c r="S15" s="7"/>
      <c r="T15" s="7"/>
      <c r="U15" s="7"/>
      <c r="V15" s="7"/>
    </row>
    <row r="16" spans="1:26" ht="15.75" customHeight="1">
      <c r="A16" s="62" t="s">
        <v>362</v>
      </c>
      <c r="B16" s="58"/>
      <c r="C16" s="58" t="s">
        <v>21</v>
      </c>
      <c r="D16" s="63" t="s">
        <v>21</v>
      </c>
      <c r="E16" s="63" t="s">
        <v>21</v>
      </c>
      <c r="F16" s="65" t="s">
        <v>22</v>
      </c>
      <c r="G16" s="66" t="s">
        <v>21</v>
      </c>
      <c r="H16" s="66" t="s">
        <v>21</v>
      </c>
      <c r="I16" s="12">
        <f t="shared" si="0"/>
        <v>2</v>
      </c>
      <c r="J16" s="12">
        <f t="shared" si="0"/>
        <v>2</v>
      </c>
      <c r="K16" s="12">
        <f t="shared" si="0"/>
        <v>0</v>
      </c>
      <c r="L16" s="12">
        <f t="shared" si="0"/>
        <v>2</v>
      </c>
      <c r="M16" s="12">
        <f t="shared" si="0"/>
        <v>2</v>
      </c>
      <c r="N16" s="7"/>
      <c r="O16" s="7"/>
      <c r="P16" s="7"/>
      <c r="Q16" s="7"/>
      <c r="R16" s="7"/>
      <c r="S16" s="7"/>
      <c r="T16" s="7"/>
      <c r="U16" s="7"/>
      <c r="V16" s="7"/>
    </row>
    <row r="17" spans="1:26" ht="15.75" customHeight="1">
      <c r="A17" s="67" t="s">
        <v>363</v>
      </c>
      <c r="B17" s="58"/>
      <c r="C17" s="58" t="s">
        <v>22</v>
      </c>
      <c r="D17" s="65" t="s">
        <v>22</v>
      </c>
      <c r="E17" s="65" t="s">
        <v>22</v>
      </c>
      <c r="F17" s="65" t="s">
        <v>22</v>
      </c>
      <c r="G17" s="66" t="s">
        <v>19</v>
      </c>
      <c r="H17" s="66" t="s">
        <v>22</v>
      </c>
      <c r="I17" s="12">
        <f t="shared" si="0"/>
        <v>2</v>
      </c>
      <c r="J17" s="12">
        <f t="shared" si="0"/>
        <v>2</v>
      </c>
      <c r="K17" s="12">
        <f t="shared" si="0"/>
        <v>2</v>
      </c>
      <c r="L17" s="12">
        <f t="shared" si="0"/>
        <v>0</v>
      </c>
      <c r="M17" s="12">
        <f t="shared" si="0"/>
        <v>2</v>
      </c>
      <c r="N17" s="7"/>
      <c r="O17" s="7"/>
      <c r="P17" s="7"/>
      <c r="Q17" s="7"/>
      <c r="R17" s="7"/>
      <c r="S17" s="7"/>
      <c r="T17" s="7"/>
      <c r="U17" s="7"/>
      <c r="V17" s="7"/>
    </row>
    <row r="18" spans="1:26" ht="15.75" customHeight="1">
      <c r="A18" s="62" t="s">
        <v>364</v>
      </c>
      <c r="B18" s="58"/>
      <c r="C18" s="58" t="s">
        <v>64</v>
      </c>
      <c r="D18" s="65" t="s">
        <v>64</v>
      </c>
      <c r="E18" s="65" t="s">
        <v>64</v>
      </c>
      <c r="F18" s="65" t="s">
        <v>64</v>
      </c>
      <c r="G18" s="66" t="s">
        <v>64</v>
      </c>
      <c r="H18" s="66" t="s">
        <v>64</v>
      </c>
      <c r="I18" s="22">
        <f t="shared" ref="I18:I35" si="1">_xlfn.LET(
_xlpm.full,2,
_xlpm.ans0,$C18&amp;"",
_xlpm.resp0,D18&amp;"",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J18" s="22">
        <f t="shared" ref="J18:M35" si="2">_xlfn.LET(
_xlpm.full,2,
_xlpm.ans0,$C18&amp;"",
_xlpm.resp0,E18&amp;"",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K18" s="22">
        <f t="shared" si="2"/>
        <v>2</v>
      </c>
      <c r="L18" s="22">
        <f t="shared" si="2"/>
        <v>2</v>
      </c>
      <c r="M18" s="22">
        <f t="shared" si="2"/>
        <v>2</v>
      </c>
      <c r="N18" s="7"/>
      <c r="O18" s="7"/>
      <c r="P18" s="7"/>
      <c r="Q18" s="7"/>
      <c r="R18" s="7"/>
      <c r="S18" s="7"/>
      <c r="T18" s="7"/>
      <c r="U18" s="7"/>
      <c r="V18" s="7"/>
    </row>
    <row r="19" spans="1:26" ht="15.75" customHeight="1">
      <c r="A19" s="62" t="s">
        <v>365</v>
      </c>
      <c r="B19" s="58"/>
      <c r="C19" s="58" t="s">
        <v>58</v>
      </c>
      <c r="D19" s="65" t="s">
        <v>57</v>
      </c>
      <c r="E19" s="65" t="s">
        <v>58</v>
      </c>
      <c r="F19" s="65" t="s">
        <v>57</v>
      </c>
      <c r="G19" s="66" t="s">
        <v>57</v>
      </c>
      <c r="H19" s="66" t="s">
        <v>58</v>
      </c>
      <c r="I19" s="22">
        <f t="shared" si="1"/>
        <v>0.4</v>
      </c>
      <c r="J19" s="22">
        <f t="shared" si="2"/>
        <v>2</v>
      </c>
      <c r="K19" s="22">
        <f t="shared" si="2"/>
        <v>0.4</v>
      </c>
      <c r="L19" s="22">
        <f t="shared" si="2"/>
        <v>0.4</v>
      </c>
      <c r="M19" s="22">
        <f t="shared" si="2"/>
        <v>2</v>
      </c>
      <c r="N19" s="7"/>
      <c r="O19" s="7"/>
      <c r="P19" s="7"/>
      <c r="Q19" s="7"/>
      <c r="R19" s="7"/>
      <c r="S19" s="7"/>
      <c r="T19" s="7"/>
      <c r="U19" s="7"/>
      <c r="V19" s="7"/>
      <c r="W19" s="7"/>
      <c r="X19" s="7"/>
      <c r="Y19" s="7"/>
      <c r="Z19" s="7"/>
    </row>
    <row r="20" spans="1:26" ht="15.75" customHeight="1">
      <c r="A20" s="62" t="s">
        <v>366</v>
      </c>
      <c r="B20" s="58"/>
      <c r="C20" s="58" t="s">
        <v>58</v>
      </c>
      <c r="D20" s="65" t="s">
        <v>88</v>
      </c>
      <c r="E20" s="65" t="s">
        <v>58</v>
      </c>
      <c r="F20" s="65" t="s">
        <v>58</v>
      </c>
      <c r="G20" s="66" t="s">
        <v>58</v>
      </c>
      <c r="H20" s="66" t="s">
        <v>58</v>
      </c>
      <c r="I20" s="22">
        <f t="shared" si="1"/>
        <v>0.4</v>
      </c>
      <c r="J20" s="22">
        <f t="shared" si="2"/>
        <v>2</v>
      </c>
      <c r="K20" s="22">
        <f t="shared" si="2"/>
        <v>2</v>
      </c>
      <c r="L20" s="22">
        <f t="shared" si="2"/>
        <v>2</v>
      </c>
      <c r="M20" s="22">
        <f t="shared" si="2"/>
        <v>2</v>
      </c>
      <c r="N20" s="7"/>
      <c r="O20" s="7"/>
      <c r="P20" s="7"/>
      <c r="Q20" s="7"/>
      <c r="R20" s="7"/>
      <c r="S20" s="7"/>
      <c r="T20" s="7"/>
      <c r="U20" s="7"/>
      <c r="V20" s="7"/>
      <c r="W20" s="7"/>
      <c r="X20" s="7"/>
      <c r="Y20" s="7"/>
      <c r="Z20" s="7"/>
    </row>
    <row r="21" spans="1:26" ht="15.75" customHeight="1">
      <c r="A21" s="62" t="s">
        <v>367</v>
      </c>
      <c r="B21" s="58" t="s">
        <v>16</v>
      </c>
      <c r="C21" s="58" t="s">
        <v>102</v>
      </c>
      <c r="D21" s="65" t="s">
        <v>368</v>
      </c>
      <c r="E21" s="65" t="s">
        <v>58</v>
      </c>
      <c r="F21" s="65" t="s">
        <v>369</v>
      </c>
      <c r="G21" s="66" t="s">
        <v>369</v>
      </c>
      <c r="H21" s="66" t="s">
        <v>58</v>
      </c>
      <c r="I21" s="22">
        <f t="shared" si="1"/>
        <v>0</v>
      </c>
      <c r="J21" s="22">
        <f t="shared" si="2"/>
        <v>0</v>
      </c>
      <c r="K21" s="22">
        <f t="shared" si="2"/>
        <v>0</v>
      </c>
      <c r="L21" s="22">
        <f t="shared" si="2"/>
        <v>0</v>
      </c>
      <c r="M21" s="22">
        <f t="shared" si="2"/>
        <v>0</v>
      </c>
      <c r="N21" s="7"/>
      <c r="O21" s="7"/>
      <c r="P21" s="7"/>
      <c r="Q21" s="7"/>
      <c r="R21" s="7"/>
      <c r="S21" s="7"/>
      <c r="T21" s="7"/>
      <c r="U21" s="7"/>
      <c r="V21" s="7"/>
      <c r="W21" s="7"/>
      <c r="X21" s="7"/>
      <c r="Y21" s="7"/>
      <c r="Z21" s="7"/>
    </row>
    <row r="22" spans="1:26" ht="15.75" customHeight="1">
      <c r="A22" s="62" t="s">
        <v>370</v>
      </c>
      <c r="B22" s="58"/>
      <c r="C22" s="58" t="s">
        <v>57</v>
      </c>
      <c r="D22" s="65" t="s">
        <v>57</v>
      </c>
      <c r="E22" s="65" t="s">
        <v>57</v>
      </c>
      <c r="F22" s="65" t="s">
        <v>57</v>
      </c>
      <c r="G22" s="65" t="s">
        <v>57</v>
      </c>
      <c r="H22" s="65" t="s">
        <v>57</v>
      </c>
      <c r="I22" s="22">
        <f t="shared" si="1"/>
        <v>2</v>
      </c>
      <c r="J22" s="22">
        <f t="shared" si="2"/>
        <v>2</v>
      </c>
      <c r="K22" s="22">
        <f t="shared" si="2"/>
        <v>2</v>
      </c>
      <c r="L22" s="22">
        <f t="shared" si="2"/>
        <v>2</v>
      </c>
      <c r="M22" s="22">
        <f t="shared" si="2"/>
        <v>2</v>
      </c>
      <c r="N22" s="7"/>
      <c r="O22" s="7"/>
      <c r="P22" s="7"/>
      <c r="Q22" s="7"/>
      <c r="R22" s="7"/>
      <c r="S22" s="7"/>
      <c r="T22" s="7"/>
      <c r="U22" s="7"/>
      <c r="V22" s="7"/>
      <c r="W22" s="7"/>
      <c r="X22" s="7"/>
      <c r="Y22" s="7"/>
      <c r="Z22" s="7"/>
    </row>
    <row r="23" spans="1:26" ht="15.75" customHeight="1">
      <c r="A23" s="62" t="s">
        <v>371</v>
      </c>
      <c r="B23" s="58"/>
      <c r="C23" s="58" t="s">
        <v>46</v>
      </c>
      <c r="D23" s="65" t="s">
        <v>46</v>
      </c>
      <c r="E23" s="65" t="s">
        <v>46</v>
      </c>
      <c r="F23" s="65" t="s">
        <v>46</v>
      </c>
      <c r="G23" s="65" t="s">
        <v>46</v>
      </c>
      <c r="H23" s="65" t="s">
        <v>46</v>
      </c>
      <c r="I23" s="22">
        <f t="shared" si="1"/>
        <v>2</v>
      </c>
      <c r="J23" s="22">
        <f t="shared" si="2"/>
        <v>2</v>
      </c>
      <c r="K23" s="22">
        <f t="shared" si="2"/>
        <v>2</v>
      </c>
      <c r="L23" s="22">
        <f t="shared" si="2"/>
        <v>2</v>
      </c>
      <c r="M23" s="22">
        <f t="shared" si="2"/>
        <v>2</v>
      </c>
      <c r="N23" s="7"/>
      <c r="O23" s="7"/>
      <c r="P23" s="7"/>
      <c r="Q23" s="7"/>
      <c r="R23" s="7"/>
      <c r="S23" s="7"/>
      <c r="T23" s="7"/>
      <c r="U23" s="7"/>
      <c r="V23" s="7"/>
      <c r="W23" s="7"/>
      <c r="X23" s="7"/>
      <c r="Y23" s="7"/>
      <c r="Z23" s="7"/>
    </row>
    <row r="24" spans="1:26" ht="15.75" customHeight="1">
      <c r="A24" s="62" t="s">
        <v>372</v>
      </c>
      <c r="B24" s="58" t="s">
        <v>34</v>
      </c>
      <c r="C24" s="58" t="s">
        <v>102</v>
      </c>
      <c r="D24" s="65" t="s">
        <v>88</v>
      </c>
      <c r="E24" s="65" t="s">
        <v>102</v>
      </c>
      <c r="F24" s="65" t="s">
        <v>102</v>
      </c>
      <c r="G24" s="65" t="s">
        <v>102</v>
      </c>
      <c r="H24" s="65" t="s">
        <v>102</v>
      </c>
      <c r="I24" s="22">
        <f t="shared" si="1"/>
        <v>0.4</v>
      </c>
      <c r="J24" s="22">
        <f t="shared" si="2"/>
        <v>2</v>
      </c>
      <c r="K24" s="22">
        <f t="shared" si="2"/>
        <v>2</v>
      </c>
      <c r="L24" s="22">
        <f t="shared" si="2"/>
        <v>2</v>
      </c>
      <c r="M24" s="22">
        <f t="shared" si="2"/>
        <v>2</v>
      </c>
      <c r="N24" s="7"/>
      <c r="O24" s="7"/>
      <c r="P24" s="7"/>
      <c r="Q24" s="7"/>
      <c r="R24" s="7"/>
      <c r="S24" s="7"/>
      <c r="T24" s="7"/>
      <c r="U24" s="7"/>
      <c r="V24" s="7"/>
      <c r="W24" s="7"/>
      <c r="X24" s="7"/>
      <c r="Y24" s="7"/>
      <c r="Z24" s="7"/>
    </row>
    <row r="25" spans="1:26" ht="15.75" customHeight="1">
      <c r="A25" s="62" t="s">
        <v>373</v>
      </c>
      <c r="B25" s="58"/>
      <c r="C25" s="58" t="s">
        <v>60</v>
      </c>
      <c r="D25" s="65" t="s">
        <v>60</v>
      </c>
      <c r="E25" s="65" t="s">
        <v>60</v>
      </c>
      <c r="F25" s="65" t="s">
        <v>60</v>
      </c>
      <c r="G25" s="65" t="s">
        <v>60</v>
      </c>
      <c r="H25" s="65" t="s">
        <v>60</v>
      </c>
      <c r="I25" s="22">
        <f t="shared" si="1"/>
        <v>2</v>
      </c>
      <c r="J25" s="22">
        <f t="shared" si="2"/>
        <v>2</v>
      </c>
      <c r="K25" s="22">
        <f t="shared" si="2"/>
        <v>2</v>
      </c>
      <c r="L25" s="22">
        <f t="shared" si="2"/>
        <v>2</v>
      </c>
      <c r="M25" s="22">
        <f t="shared" si="2"/>
        <v>2</v>
      </c>
      <c r="N25" s="7"/>
      <c r="O25" s="7"/>
      <c r="P25" s="7"/>
      <c r="Q25" s="7"/>
      <c r="R25" s="7"/>
      <c r="S25" s="7"/>
      <c r="T25" s="7"/>
      <c r="U25" s="7"/>
      <c r="V25" s="7"/>
      <c r="W25" s="7"/>
      <c r="X25" s="7"/>
      <c r="Y25" s="7"/>
      <c r="Z25" s="7"/>
    </row>
    <row r="26" spans="1:26" ht="15.75" customHeight="1">
      <c r="A26" s="62" t="s">
        <v>374</v>
      </c>
      <c r="B26" s="58" t="s">
        <v>16</v>
      </c>
      <c r="C26" s="58" t="s">
        <v>88</v>
      </c>
      <c r="D26" s="65" t="s">
        <v>52</v>
      </c>
      <c r="E26" s="65" t="s">
        <v>102</v>
      </c>
      <c r="F26" s="65" t="s">
        <v>102</v>
      </c>
      <c r="G26" s="65" t="s">
        <v>60</v>
      </c>
      <c r="H26" s="66" t="s">
        <v>102</v>
      </c>
      <c r="I26" s="22">
        <f t="shared" si="1"/>
        <v>0</v>
      </c>
      <c r="J26" s="22">
        <f t="shared" si="2"/>
        <v>0.4</v>
      </c>
      <c r="K26" s="22">
        <f t="shared" si="2"/>
        <v>0.4</v>
      </c>
      <c r="L26" s="22">
        <f t="shared" si="2"/>
        <v>0.4</v>
      </c>
      <c r="M26" s="22">
        <f t="shared" si="2"/>
        <v>0.4</v>
      </c>
      <c r="N26" s="7"/>
      <c r="O26" s="7"/>
      <c r="P26" s="7"/>
      <c r="Q26" s="7"/>
      <c r="R26" s="7"/>
      <c r="S26" s="7"/>
      <c r="T26" s="7"/>
      <c r="U26" s="7"/>
      <c r="V26" s="7"/>
      <c r="W26" s="7"/>
      <c r="X26" s="7"/>
      <c r="Y26" s="7"/>
      <c r="Z26" s="7"/>
    </row>
    <row r="27" spans="1:26" ht="15.75" customHeight="1">
      <c r="A27" s="62" t="s">
        <v>375</v>
      </c>
      <c r="B27" s="58" t="s">
        <v>16</v>
      </c>
      <c r="C27" s="58" t="s">
        <v>57</v>
      </c>
      <c r="D27" s="65" t="s">
        <v>48</v>
      </c>
      <c r="E27" s="65" t="s">
        <v>57</v>
      </c>
      <c r="F27" s="65" t="s">
        <v>57</v>
      </c>
      <c r="G27" s="66" t="s">
        <v>57</v>
      </c>
      <c r="H27" s="66" t="s">
        <v>57</v>
      </c>
      <c r="I27" s="22">
        <f t="shared" si="1"/>
        <v>0.4</v>
      </c>
      <c r="J27" s="22">
        <f t="shared" si="2"/>
        <v>2</v>
      </c>
      <c r="K27" s="22">
        <f t="shared" si="2"/>
        <v>2</v>
      </c>
      <c r="L27" s="22">
        <f t="shared" si="2"/>
        <v>2</v>
      </c>
      <c r="M27" s="22">
        <f t="shared" si="2"/>
        <v>2</v>
      </c>
      <c r="N27" s="7"/>
      <c r="O27" s="7"/>
      <c r="P27" s="7"/>
      <c r="Q27" s="7"/>
      <c r="R27" s="7"/>
      <c r="S27" s="7"/>
      <c r="T27" s="7"/>
      <c r="U27" s="7"/>
      <c r="V27" s="7"/>
      <c r="W27" s="7"/>
      <c r="X27" s="7"/>
      <c r="Y27" s="7"/>
      <c r="Z27" s="7"/>
    </row>
    <row r="28" spans="1:26" ht="15.75" customHeight="1">
      <c r="A28" s="62" t="s">
        <v>376</v>
      </c>
      <c r="B28" s="58" t="s">
        <v>16</v>
      </c>
      <c r="C28" s="58" t="s">
        <v>72</v>
      </c>
      <c r="D28" s="65" t="s">
        <v>174</v>
      </c>
      <c r="E28" s="65" t="s">
        <v>174</v>
      </c>
      <c r="F28" s="65" t="s">
        <v>94</v>
      </c>
      <c r="G28" s="66" t="s">
        <v>72</v>
      </c>
      <c r="H28" s="66" t="s">
        <v>72</v>
      </c>
      <c r="I28" s="22">
        <f t="shared" si="1"/>
        <v>0.4</v>
      </c>
      <c r="J28" s="22">
        <f t="shared" si="2"/>
        <v>0.4</v>
      </c>
      <c r="K28" s="22">
        <f t="shared" si="2"/>
        <v>0.4</v>
      </c>
      <c r="L28" s="22">
        <f t="shared" si="2"/>
        <v>2</v>
      </c>
      <c r="M28" s="22">
        <f t="shared" si="2"/>
        <v>2</v>
      </c>
      <c r="N28" s="7"/>
      <c r="O28" s="7"/>
      <c r="P28" s="7"/>
      <c r="Q28" s="7"/>
      <c r="R28" s="7"/>
      <c r="S28" s="7"/>
      <c r="T28" s="7"/>
      <c r="U28" s="7"/>
      <c r="V28" s="7"/>
      <c r="W28" s="7"/>
      <c r="X28" s="7"/>
      <c r="Y28" s="7"/>
      <c r="Z28" s="7"/>
    </row>
    <row r="29" spans="1:26" ht="15.75" customHeight="1">
      <c r="A29" s="62" t="s">
        <v>377</v>
      </c>
      <c r="B29" s="58" t="s">
        <v>16</v>
      </c>
      <c r="C29" s="58" t="s">
        <v>55</v>
      </c>
      <c r="D29" s="65" t="s">
        <v>55</v>
      </c>
      <c r="E29" s="65" t="s">
        <v>55</v>
      </c>
      <c r="F29" s="65" t="s">
        <v>55</v>
      </c>
      <c r="G29" s="66" t="s">
        <v>55</v>
      </c>
      <c r="H29" s="66" t="s">
        <v>55</v>
      </c>
      <c r="I29" s="22">
        <f t="shared" si="1"/>
        <v>2</v>
      </c>
      <c r="J29" s="22">
        <f t="shared" si="2"/>
        <v>2</v>
      </c>
      <c r="K29" s="22">
        <f t="shared" si="2"/>
        <v>2</v>
      </c>
      <c r="L29" s="22">
        <f t="shared" si="2"/>
        <v>2</v>
      </c>
      <c r="M29" s="22">
        <f t="shared" si="2"/>
        <v>2</v>
      </c>
      <c r="N29" s="7"/>
      <c r="O29" s="7"/>
      <c r="P29" s="7"/>
      <c r="Q29" s="7"/>
      <c r="R29" s="7"/>
      <c r="S29" s="7"/>
      <c r="T29" s="7"/>
      <c r="U29" s="7"/>
      <c r="V29" s="7"/>
      <c r="W29" s="7"/>
      <c r="X29" s="7"/>
      <c r="Y29" s="7"/>
      <c r="Z29" s="7"/>
    </row>
    <row r="30" spans="1:26" ht="15.75" customHeight="1">
      <c r="A30" s="62" t="s">
        <v>378</v>
      </c>
      <c r="B30" s="58"/>
      <c r="C30" s="58" t="s">
        <v>104</v>
      </c>
      <c r="D30" s="65" t="s">
        <v>104</v>
      </c>
      <c r="E30" s="65" t="s">
        <v>104</v>
      </c>
      <c r="F30" s="65" t="s">
        <v>96</v>
      </c>
      <c r="G30" s="66" t="s">
        <v>104</v>
      </c>
      <c r="H30" s="66" t="s">
        <v>104</v>
      </c>
      <c r="I30" s="22">
        <f t="shared" si="1"/>
        <v>2</v>
      </c>
      <c r="J30" s="22">
        <f t="shared" si="2"/>
        <v>2</v>
      </c>
      <c r="K30" s="22">
        <f t="shared" si="2"/>
        <v>0.4</v>
      </c>
      <c r="L30" s="22">
        <f t="shared" si="2"/>
        <v>2</v>
      </c>
      <c r="M30" s="22">
        <f t="shared" si="2"/>
        <v>2</v>
      </c>
      <c r="N30" s="7"/>
      <c r="O30" s="7"/>
      <c r="P30" s="7"/>
      <c r="Q30" s="7"/>
      <c r="R30" s="7"/>
      <c r="S30" s="7"/>
      <c r="T30" s="7"/>
      <c r="U30" s="7"/>
      <c r="V30" s="7"/>
      <c r="W30" s="7"/>
      <c r="X30" s="7"/>
      <c r="Y30" s="7"/>
      <c r="Z30" s="7"/>
    </row>
    <row r="31" spans="1:26" ht="15.75" customHeight="1">
      <c r="A31" s="62" t="s">
        <v>379</v>
      </c>
      <c r="B31" s="58"/>
      <c r="C31" s="58" t="s">
        <v>52</v>
      </c>
      <c r="D31" s="65" t="s">
        <v>52</v>
      </c>
      <c r="E31" s="65" t="s">
        <v>52</v>
      </c>
      <c r="F31" s="65" t="s">
        <v>52</v>
      </c>
      <c r="G31" s="66" t="s">
        <v>52</v>
      </c>
      <c r="H31" s="66" t="s">
        <v>52</v>
      </c>
      <c r="I31" s="22">
        <f t="shared" si="1"/>
        <v>2</v>
      </c>
      <c r="J31" s="22">
        <f t="shared" si="2"/>
        <v>2</v>
      </c>
      <c r="K31" s="22">
        <f t="shared" si="2"/>
        <v>2</v>
      </c>
      <c r="L31" s="22">
        <f t="shared" si="2"/>
        <v>2</v>
      </c>
      <c r="M31" s="22">
        <f t="shared" si="2"/>
        <v>2</v>
      </c>
      <c r="N31" s="7"/>
      <c r="O31" s="7"/>
      <c r="P31" s="7"/>
      <c r="Q31" s="7"/>
      <c r="R31" s="7"/>
      <c r="S31" s="7"/>
      <c r="T31" s="7"/>
      <c r="U31" s="7"/>
      <c r="V31" s="7"/>
      <c r="W31" s="7"/>
      <c r="X31" s="7"/>
      <c r="Y31" s="7"/>
      <c r="Z31" s="7"/>
    </row>
    <row r="32" spans="1:26" ht="15.75" customHeight="1">
      <c r="A32" s="62" t="s">
        <v>928</v>
      </c>
      <c r="B32" s="58" t="s">
        <v>16</v>
      </c>
      <c r="C32" s="58" t="s">
        <v>95</v>
      </c>
      <c r="D32" s="65" t="s">
        <v>50</v>
      </c>
      <c r="E32" s="65" t="s">
        <v>50</v>
      </c>
      <c r="F32" s="65" t="s">
        <v>50</v>
      </c>
      <c r="G32" s="66" t="s">
        <v>95</v>
      </c>
      <c r="H32" s="66" t="s">
        <v>95</v>
      </c>
      <c r="I32" s="22">
        <f t="shared" si="1"/>
        <v>0.4</v>
      </c>
      <c r="J32" s="22">
        <f t="shared" si="2"/>
        <v>0.4</v>
      </c>
      <c r="K32" s="22">
        <f t="shared" si="2"/>
        <v>0.4</v>
      </c>
      <c r="L32" s="22">
        <f t="shared" si="2"/>
        <v>2</v>
      </c>
      <c r="M32" s="22">
        <f t="shared" si="2"/>
        <v>2</v>
      </c>
      <c r="N32" s="7"/>
      <c r="O32" s="7"/>
      <c r="P32" s="7"/>
      <c r="Q32" s="7"/>
      <c r="R32" s="7"/>
      <c r="S32" s="7"/>
      <c r="T32" s="7"/>
      <c r="U32" s="7"/>
      <c r="V32" s="7"/>
      <c r="W32" s="7"/>
      <c r="X32" s="7"/>
      <c r="Y32" s="7"/>
      <c r="Z32" s="7"/>
    </row>
    <row r="33" spans="1:26" ht="15.75" customHeight="1">
      <c r="A33" s="62" t="s">
        <v>380</v>
      </c>
      <c r="B33" s="58" t="s">
        <v>16</v>
      </c>
      <c r="C33" s="58" t="s">
        <v>57</v>
      </c>
      <c r="D33" s="65" t="s">
        <v>57</v>
      </c>
      <c r="E33" s="65" t="s">
        <v>57</v>
      </c>
      <c r="F33" s="65" t="s">
        <v>57</v>
      </c>
      <c r="G33" s="66" t="s">
        <v>57</v>
      </c>
      <c r="H33" s="66" t="s">
        <v>57</v>
      </c>
      <c r="I33" s="22">
        <f t="shared" si="1"/>
        <v>2</v>
      </c>
      <c r="J33" s="22">
        <f t="shared" si="2"/>
        <v>2</v>
      </c>
      <c r="K33" s="22">
        <f t="shared" si="2"/>
        <v>2</v>
      </c>
      <c r="L33" s="22">
        <f t="shared" si="2"/>
        <v>2</v>
      </c>
      <c r="M33" s="22">
        <f t="shared" si="2"/>
        <v>2</v>
      </c>
      <c r="N33" s="7"/>
      <c r="O33" s="7"/>
      <c r="P33" s="7"/>
      <c r="Q33" s="7"/>
      <c r="R33" s="7"/>
      <c r="S33" s="7"/>
      <c r="T33" s="7"/>
      <c r="U33" s="7"/>
      <c r="V33" s="7"/>
      <c r="W33" s="7"/>
      <c r="X33" s="7"/>
      <c r="Y33" s="7"/>
      <c r="Z33" s="7"/>
    </row>
    <row r="34" spans="1:26" ht="15.75" customHeight="1">
      <c r="A34" s="62" t="s">
        <v>381</v>
      </c>
      <c r="B34" s="58" t="s">
        <v>16</v>
      </c>
      <c r="C34" s="58" t="s">
        <v>94</v>
      </c>
      <c r="D34" s="65" t="s">
        <v>72</v>
      </c>
      <c r="E34" s="65" t="s">
        <v>94</v>
      </c>
      <c r="F34" s="65" t="s">
        <v>64</v>
      </c>
      <c r="G34" s="66" t="s">
        <v>174</v>
      </c>
      <c r="H34" s="66" t="s">
        <v>94</v>
      </c>
      <c r="I34" s="22">
        <f t="shared" si="1"/>
        <v>0.4</v>
      </c>
      <c r="J34" s="22">
        <f t="shared" si="2"/>
        <v>2</v>
      </c>
      <c r="K34" s="22">
        <f t="shared" si="2"/>
        <v>0.4</v>
      </c>
      <c r="L34" s="22">
        <f t="shared" si="2"/>
        <v>0.4</v>
      </c>
      <c r="M34" s="22">
        <f t="shared" si="2"/>
        <v>2</v>
      </c>
      <c r="N34" s="7"/>
      <c r="O34" s="7"/>
      <c r="P34" s="7"/>
      <c r="Q34" s="7"/>
      <c r="R34" s="7"/>
      <c r="S34" s="7"/>
      <c r="T34" s="7"/>
      <c r="U34" s="7"/>
      <c r="V34" s="7"/>
      <c r="W34" s="7"/>
      <c r="X34" s="7"/>
      <c r="Y34" s="7"/>
      <c r="Z34" s="7"/>
    </row>
    <row r="35" spans="1:26" ht="15.75" customHeight="1">
      <c r="A35" s="68" t="s">
        <v>382</v>
      </c>
      <c r="B35" s="58"/>
      <c r="C35" s="58" t="s">
        <v>46</v>
      </c>
      <c r="D35" s="65" t="s">
        <v>96</v>
      </c>
      <c r="E35" s="65" t="s">
        <v>46</v>
      </c>
      <c r="F35" s="65" t="s">
        <v>50</v>
      </c>
      <c r="G35" s="66" t="s">
        <v>104</v>
      </c>
      <c r="H35" s="66" t="s">
        <v>46</v>
      </c>
      <c r="I35" s="22">
        <f t="shared" si="1"/>
        <v>0.4</v>
      </c>
      <c r="J35" s="22">
        <f t="shared" si="2"/>
        <v>2</v>
      </c>
      <c r="K35" s="22">
        <f t="shared" si="2"/>
        <v>0.4</v>
      </c>
      <c r="L35" s="22">
        <f t="shared" si="2"/>
        <v>0.4</v>
      </c>
      <c r="M35" s="22">
        <f t="shared" si="2"/>
        <v>2</v>
      </c>
      <c r="N35" s="13"/>
      <c r="O35" s="13"/>
      <c r="P35" s="13"/>
      <c r="Q35" s="13"/>
      <c r="R35" s="13"/>
      <c r="S35" s="13"/>
      <c r="T35" s="13"/>
      <c r="U35" s="13"/>
      <c r="V35" s="13"/>
      <c r="W35" s="13"/>
      <c r="X35" s="13"/>
      <c r="Y35" s="13"/>
      <c r="Z35" s="13"/>
    </row>
    <row r="36" spans="1:26" ht="15.75" customHeight="1">
      <c r="A36" s="62" t="s">
        <v>383</v>
      </c>
      <c r="B36" s="58" t="s">
        <v>34</v>
      </c>
      <c r="C36" s="58" t="s">
        <v>22</v>
      </c>
      <c r="D36" s="65" t="s">
        <v>22</v>
      </c>
      <c r="E36" s="65" t="s">
        <v>22</v>
      </c>
      <c r="F36" s="65" t="s">
        <v>21</v>
      </c>
      <c r="G36" s="66" t="s">
        <v>22</v>
      </c>
      <c r="H36" s="66" t="s">
        <v>22</v>
      </c>
      <c r="I36" s="25">
        <f>_xlfn.LET(
_xlpm.full,2,
_xlpm.ans0,$C36&amp;"",
_xlpm.resp0,D36&amp;"",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36" s="25">
        <f t="shared" ref="J36:M37" si="3">_xlfn.LET(
_xlpm.full,2,
_xlpm.ans0,$C36&amp;"",
_xlpm.resp0,E36&amp;"",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36" s="25">
        <f t="shared" si="3"/>
        <v>0</v>
      </c>
      <c r="L36" s="25">
        <f t="shared" si="3"/>
        <v>2</v>
      </c>
      <c r="M36" s="25">
        <f t="shared" si="3"/>
        <v>2</v>
      </c>
      <c r="N36" s="13"/>
      <c r="O36" s="13"/>
      <c r="P36" s="13"/>
      <c r="Q36" s="13"/>
      <c r="R36" s="13"/>
      <c r="S36" s="13"/>
      <c r="T36" s="13"/>
      <c r="U36" s="13"/>
      <c r="V36" s="13"/>
      <c r="W36" s="13"/>
      <c r="X36" s="13"/>
      <c r="Y36" s="13"/>
      <c r="Z36" s="13"/>
    </row>
    <row r="37" spans="1:26" ht="15.75" customHeight="1">
      <c r="A37" s="68" t="s">
        <v>384</v>
      </c>
      <c r="B37" s="58" t="s">
        <v>34</v>
      </c>
      <c r="C37" s="58" t="s">
        <v>21</v>
      </c>
      <c r="D37" s="65" t="s">
        <v>22</v>
      </c>
      <c r="E37" s="65" t="s">
        <v>21</v>
      </c>
      <c r="F37" s="65" t="s">
        <v>21</v>
      </c>
      <c r="G37" s="66" t="s">
        <v>21</v>
      </c>
      <c r="H37" s="66" t="s">
        <v>21</v>
      </c>
      <c r="I37" s="25">
        <f>_xlfn.LET(
_xlpm.full,2,
_xlpm.ans0,$C37&amp;"",
_xlpm.resp0,D37&amp;"",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37" s="25">
        <f t="shared" si="3"/>
        <v>2</v>
      </c>
      <c r="K37" s="25">
        <f t="shared" si="3"/>
        <v>2</v>
      </c>
      <c r="L37" s="25">
        <f t="shared" si="3"/>
        <v>2</v>
      </c>
      <c r="M37" s="25">
        <f t="shared" si="3"/>
        <v>2</v>
      </c>
      <c r="N37" s="13"/>
      <c r="O37" s="13"/>
      <c r="P37" s="13"/>
      <c r="Q37" s="13"/>
      <c r="R37" s="13"/>
      <c r="S37" s="13"/>
      <c r="T37" s="13"/>
      <c r="U37" s="13"/>
      <c r="V37" s="13"/>
      <c r="W37" s="13"/>
      <c r="X37" s="13"/>
      <c r="Y37" s="13"/>
      <c r="Z37" s="13"/>
    </row>
    <row r="38" spans="1:26" ht="15.75" customHeight="1">
      <c r="A38" s="69" t="s">
        <v>385</v>
      </c>
      <c r="B38" s="70"/>
      <c r="C38" s="70"/>
      <c r="D38" s="71"/>
      <c r="E38" s="71"/>
      <c r="F38" s="71"/>
      <c r="G38" s="71"/>
      <c r="H38" s="71"/>
      <c r="I38" s="71"/>
      <c r="J38" s="71"/>
      <c r="K38" s="71"/>
      <c r="L38" s="71"/>
      <c r="M38" s="71"/>
      <c r="N38" s="13"/>
      <c r="O38" s="13"/>
      <c r="P38" s="13"/>
      <c r="Q38" s="13"/>
      <c r="R38" s="13"/>
      <c r="S38" s="13"/>
      <c r="T38" s="13"/>
      <c r="U38" s="13"/>
      <c r="V38" s="13"/>
      <c r="W38" s="13"/>
      <c r="X38" s="13"/>
      <c r="Y38" s="13"/>
      <c r="Z38" s="13"/>
    </row>
    <row r="39" spans="1:26" ht="15.75" customHeight="1">
      <c r="A39" s="62" t="s">
        <v>386</v>
      </c>
      <c r="B39" s="58" t="s">
        <v>16</v>
      </c>
      <c r="C39" s="58" t="s">
        <v>19</v>
      </c>
      <c r="D39" s="65" t="s">
        <v>17</v>
      </c>
      <c r="E39" s="65" t="s">
        <v>19</v>
      </c>
      <c r="F39" s="65" t="s">
        <v>19</v>
      </c>
      <c r="G39" s="66" t="s">
        <v>17</v>
      </c>
      <c r="H39" s="66" t="s">
        <v>19</v>
      </c>
      <c r="I39" s="25">
        <f>_xlfn.LET(
_xlpm.full,2,
_xlpm.ans0,$C39&amp;"",
_xlpm.resp0,D39&amp;"",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39" s="25">
        <f t="shared" ref="J39:M40" si="4">_xlfn.LET(
_xlpm.full,2,
_xlpm.ans0,$C39&amp;"",
_xlpm.resp0,E39&amp;"",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39" s="25">
        <f t="shared" si="4"/>
        <v>2</v>
      </c>
      <c r="L39" s="25">
        <f t="shared" si="4"/>
        <v>0</v>
      </c>
      <c r="M39" s="25">
        <f t="shared" si="4"/>
        <v>2</v>
      </c>
      <c r="N39" s="13"/>
      <c r="O39" s="13"/>
      <c r="P39" s="13"/>
      <c r="Q39" s="13"/>
      <c r="R39" s="13"/>
      <c r="S39" s="13"/>
      <c r="T39" s="13"/>
      <c r="U39" s="13"/>
      <c r="V39" s="13"/>
      <c r="W39" s="13"/>
      <c r="X39" s="13"/>
      <c r="Y39" s="13"/>
      <c r="Z39" s="13"/>
    </row>
    <row r="40" spans="1:26" ht="15.75" customHeight="1">
      <c r="A40" s="62" t="s">
        <v>387</v>
      </c>
      <c r="B40" s="58" t="s">
        <v>16</v>
      </c>
      <c r="C40" s="58" t="s">
        <v>21</v>
      </c>
      <c r="D40" s="65" t="s">
        <v>17</v>
      </c>
      <c r="E40" s="65" t="s">
        <v>21</v>
      </c>
      <c r="F40" s="65" t="s">
        <v>21</v>
      </c>
      <c r="G40" s="66" t="s">
        <v>17</v>
      </c>
      <c r="H40" s="66" t="s">
        <v>21</v>
      </c>
      <c r="I40" s="25">
        <f>_xlfn.LET(
_xlpm.full,2,
_xlpm.ans0,$C40&amp;"",
_xlpm.resp0,D40&amp;"",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40" s="25">
        <f t="shared" si="4"/>
        <v>2</v>
      </c>
      <c r="K40" s="25">
        <f t="shared" si="4"/>
        <v>2</v>
      </c>
      <c r="L40" s="25">
        <f t="shared" si="4"/>
        <v>0</v>
      </c>
      <c r="M40" s="25">
        <f t="shared" si="4"/>
        <v>2</v>
      </c>
      <c r="N40" s="13"/>
      <c r="O40" s="13"/>
      <c r="P40" s="13"/>
      <c r="Q40" s="13"/>
      <c r="R40" s="13"/>
      <c r="S40" s="13"/>
      <c r="T40" s="13"/>
      <c r="U40" s="13"/>
      <c r="V40" s="13"/>
      <c r="W40" s="13"/>
      <c r="X40" s="13"/>
      <c r="Y40" s="13"/>
      <c r="Z40" s="13"/>
    </row>
    <row r="41" spans="1:26" ht="15.75" customHeight="1">
      <c r="A41" s="69" t="s">
        <v>388</v>
      </c>
      <c r="B41" s="70"/>
      <c r="C41" s="70"/>
      <c r="D41" s="71"/>
      <c r="E41" s="71"/>
      <c r="F41" s="71"/>
      <c r="G41" s="72" t="s">
        <v>28</v>
      </c>
      <c r="H41" s="71"/>
      <c r="I41" s="71"/>
      <c r="J41" s="71"/>
      <c r="K41" s="71"/>
      <c r="L41" s="71"/>
      <c r="M41" s="71"/>
      <c r="N41" s="13"/>
      <c r="O41" s="13"/>
      <c r="P41" s="13"/>
      <c r="Q41" s="13"/>
      <c r="R41" s="13"/>
      <c r="S41" s="13"/>
      <c r="T41" s="13"/>
      <c r="U41" s="13"/>
      <c r="V41" s="13"/>
      <c r="W41" s="13"/>
      <c r="X41" s="13"/>
      <c r="Y41" s="13"/>
      <c r="Z41" s="13"/>
    </row>
    <row r="42" spans="1:26" ht="15.75" customHeight="1">
      <c r="A42" s="68" t="s">
        <v>389</v>
      </c>
      <c r="B42" s="58"/>
      <c r="C42" s="58" t="s">
        <v>19</v>
      </c>
      <c r="D42" s="65" t="s">
        <v>19</v>
      </c>
      <c r="E42" s="65" t="s">
        <v>19</v>
      </c>
      <c r="F42" s="65" t="s">
        <v>19</v>
      </c>
      <c r="G42" s="66" t="s">
        <v>19</v>
      </c>
      <c r="H42" s="66" t="s">
        <v>19</v>
      </c>
      <c r="I42" s="25">
        <f>_xlfn.LET(
_xlpm.full,2,
_xlpm.ans0,$C42&amp;"",
_xlpm.resp0,D42&amp;"",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2" s="25">
        <f t="shared" ref="J42:M43" si="5">_xlfn.LET(
_xlpm.full,2,
_xlpm.ans0,$C42&amp;"",
_xlpm.resp0,E42&amp;"",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42" s="25">
        <f t="shared" si="5"/>
        <v>2</v>
      </c>
      <c r="L42" s="25">
        <f t="shared" si="5"/>
        <v>2</v>
      </c>
      <c r="M42" s="25">
        <f t="shared" si="5"/>
        <v>2</v>
      </c>
      <c r="N42" s="13"/>
      <c r="O42" s="13"/>
      <c r="P42" s="13"/>
      <c r="Q42" s="13"/>
      <c r="R42" s="13"/>
      <c r="S42" s="13"/>
      <c r="T42" s="13"/>
      <c r="U42" s="13"/>
      <c r="V42" s="13"/>
      <c r="W42" s="13"/>
      <c r="X42" s="13"/>
      <c r="Y42" s="13"/>
      <c r="Z42" s="13"/>
    </row>
    <row r="43" spans="1:26" ht="15.75" customHeight="1">
      <c r="A43" s="62" t="s">
        <v>390</v>
      </c>
      <c r="B43" s="58" t="s">
        <v>16</v>
      </c>
      <c r="C43" s="58" t="s">
        <v>102</v>
      </c>
      <c r="D43" s="65" t="s">
        <v>102</v>
      </c>
      <c r="E43" s="65" t="s">
        <v>102</v>
      </c>
      <c r="F43" s="65" t="s">
        <v>102</v>
      </c>
      <c r="G43" s="66" t="s">
        <v>102</v>
      </c>
      <c r="H43" s="66" t="s">
        <v>102</v>
      </c>
      <c r="I43" s="25">
        <f>_xlfn.LET(
_xlpm.full,2,
_xlpm.ans0,$C43&amp;"",
_xlpm.resp0,D43&amp;"",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3" s="25">
        <f t="shared" si="5"/>
        <v>2</v>
      </c>
      <c r="K43" s="25">
        <f t="shared" si="5"/>
        <v>2</v>
      </c>
      <c r="L43" s="25">
        <f t="shared" si="5"/>
        <v>2</v>
      </c>
      <c r="M43" s="25">
        <f t="shared" si="5"/>
        <v>2</v>
      </c>
      <c r="N43" s="13"/>
      <c r="O43" s="13"/>
      <c r="P43" s="13"/>
      <c r="Q43" s="13"/>
      <c r="R43" s="13"/>
      <c r="S43" s="13"/>
      <c r="T43" s="13"/>
      <c r="U43" s="13"/>
      <c r="V43" s="13"/>
      <c r="W43" s="13"/>
      <c r="X43" s="13"/>
      <c r="Y43" s="13"/>
      <c r="Z43" s="13"/>
    </row>
    <row r="44" spans="1:26" ht="15.75" customHeight="1">
      <c r="A44" s="69" t="s">
        <v>391</v>
      </c>
      <c r="B44" s="70"/>
      <c r="C44" s="70"/>
      <c r="D44" s="71"/>
      <c r="E44" s="71"/>
      <c r="F44" s="71"/>
      <c r="G44" s="71"/>
      <c r="H44" s="71"/>
      <c r="I44" s="71"/>
      <c r="J44" s="71"/>
      <c r="K44" s="71"/>
      <c r="L44" s="71"/>
      <c r="M44" s="71"/>
      <c r="N44" s="13"/>
      <c r="O44" s="13"/>
      <c r="P44" s="13"/>
      <c r="Q44" s="13"/>
      <c r="R44" s="13"/>
      <c r="S44" s="13"/>
      <c r="T44" s="13"/>
      <c r="U44" s="13"/>
      <c r="V44" s="13"/>
      <c r="W44" s="13"/>
      <c r="X44" s="13"/>
      <c r="Y44" s="13"/>
      <c r="Z44" s="13"/>
    </row>
    <row r="45" spans="1:26" ht="15.75" customHeight="1">
      <c r="A45" s="73" t="s">
        <v>392</v>
      </c>
      <c r="B45" s="58" t="s">
        <v>16</v>
      </c>
      <c r="C45" s="58" t="s">
        <v>88</v>
      </c>
      <c r="D45" s="65" t="s">
        <v>57</v>
      </c>
      <c r="E45" s="65" t="s">
        <v>88</v>
      </c>
      <c r="F45" s="65" t="s">
        <v>393</v>
      </c>
      <c r="G45" s="66" t="s">
        <v>88</v>
      </c>
      <c r="H45" s="65" t="s">
        <v>393</v>
      </c>
      <c r="I45" s="26">
        <f t="shared" ref="I45:M46" si="6">_xlfn.LET(
_xlpm.full,2,
_xlpm.ans0,$C45&amp;"",
_xlpm.resp0,D45&amp;"",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45" s="26">
        <f t="shared" si="6"/>
        <v>2</v>
      </c>
      <c r="K45" s="26">
        <f t="shared" si="6"/>
        <v>0.4</v>
      </c>
      <c r="L45" s="26">
        <f t="shared" si="6"/>
        <v>2</v>
      </c>
      <c r="M45" s="26">
        <f t="shared" si="6"/>
        <v>0.4</v>
      </c>
      <c r="N45" s="13"/>
      <c r="O45" s="13"/>
      <c r="P45" s="13"/>
      <c r="Q45" s="13"/>
      <c r="R45" s="13"/>
      <c r="S45" s="13"/>
      <c r="T45" s="13"/>
      <c r="U45" s="13"/>
      <c r="V45" s="13"/>
      <c r="W45" s="13"/>
      <c r="X45" s="13"/>
      <c r="Y45" s="13"/>
      <c r="Z45" s="13"/>
    </row>
    <row r="46" spans="1:26" ht="15.75" customHeight="1">
      <c r="A46" s="62" t="s">
        <v>394</v>
      </c>
      <c r="B46" s="58" t="s">
        <v>16</v>
      </c>
      <c r="C46" s="58" t="s">
        <v>174</v>
      </c>
      <c r="D46" s="65" t="s">
        <v>174</v>
      </c>
      <c r="E46" s="65" t="s">
        <v>174</v>
      </c>
      <c r="F46" s="65" t="s">
        <v>174</v>
      </c>
      <c r="G46" s="66" t="s">
        <v>174</v>
      </c>
      <c r="H46" s="66" t="s">
        <v>174</v>
      </c>
      <c r="I46" s="26">
        <f t="shared" si="6"/>
        <v>2</v>
      </c>
      <c r="J46" s="26">
        <f t="shared" si="6"/>
        <v>2</v>
      </c>
      <c r="K46" s="26">
        <f t="shared" si="6"/>
        <v>2</v>
      </c>
      <c r="L46" s="26">
        <f t="shared" si="6"/>
        <v>2</v>
      </c>
      <c r="M46" s="26">
        <f t="shared" si="6"/>
        <v>2</v>
      </c>
      <c r="N46" s="13"/>
      <c r="O46" s="13"/>
      <c r="P46" s="13"/>
      <c r="Q46" s="13"/>
      <c r="R46" s="13"/>
      <c r="S46" s="13"/>
      <c r="T46" s="13"/>
      <c r="U46" s="13"/>
      <c r="V46" s="13"/>
      <c r="W46" s="13"/>
      <c r="X46" s="13"/>
      <c r="Y46" s="13"/>
      <c r="Z46" s="13"/>
    </row>
    <row r="47" spans="1:26" ht="15.75" customHeight="1">
      <c r="A47" s="74" t="s">
        <v>395</v>
      </c>
      <c r="B47" s="70"/>
      <c r="C47" s="70"/>
      <c r="D47" s="71"/>
      <c r="E47" s="71"/>
      <c r="F47" s="71"/>
      <c r="G47" s="71"/>
      <c r="H47" s="71"/>
      <c r="I47" s="71"/>
      <c r="J47" s="71"/>
      <c r="K47" s="71"/>
      <c r="L47" s="71"/>
      <c r="M47" s="71"/>
      <c r="N47" s="13"/>
      <c r="O47" s="13"/>
      <c r="P47" s="13"/>
      <c r="Q47" s="13"/>
      <c r="R47" s="13"/>
      <c r="S47" s="13"/>
      <c r="T47" s="13"/>
      <c r="U47" s="13"/>
      <c r="V47" s="13"/>
      <c r="W47" s="13"/>
      <c r="X47" s="13"/>
      <c r="Y47" s="13"/>
      <c r="Z47" s="13"/>
    </row>
    <row r="48" spans="1:26" ht="15.75" customHeight="1">
      <c r="A48" s="62" t="s">
        <v>396</v>
      </c>
      <c r="B48" s="58" t="s">
        <v>16</v>
      </c>
      <c r="C48" s="58" t="s">
        <v>58</v>
      </c>
      <c r="D48" s="65" t="s">
        <v>58</v>
      </c>
      <c r="E48" s="65" t="s">
        <v>57</v>
      </c>
      <c r="F48" s="65" t="s">
        <v>55</v>
      </c>
      <c r="G48" s="66" t="s">
        <v>58</v>
      </c>
      <c r="H48" s="66" t="s">
        <v>58</v>
      </c>
      <c r="I48" s="26">
        <f t="shared" ref="I48:M49" si="7">_xlfn.LET(
_xlpm.full,2,
_xlpm.ans0,$C48&amp;"",
_xlpm.resp0,D48&amp;"",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8" s="26">
        <f t="shared" si="7"/>
        <v>0.4</v>
      </c>
      <c r="K48" s="26">
        <f t="shared" si="7"/>
        <v>0.4</v>
      </c>
      <c r="L48" s="26">
        <f t="shared" si="7"/>
        <v>2</v>
      </c>
      <c r="M48" s="26">
        <f t="shared" si="7"/>
        <v>2</v>
      </c>
      <c r="N48" s="13"/>
      <c r="O48" s="13"/>
      <c r="P48" s="13"/>
      <c r="Q48" s="13"/>
      <c r="R48" s="13"/>
      <c r="S48" s="13"/>
      <c r="T48" s="13"/>
      <c r="U48" s="13"/>
      <c r="V48" s="13"/>
      <c r="W48" s="13"/>
      <c r="X48" s="13"/>
      <c r="Y48" s="13"/>
      <c r="Z48" s="13"/>
    </row>
    <row r="49" spans="1:26" ht="15.75" customHeight="1">
      <c r="A49" s="62" t="s">
        <v>397</v>
      </c>
      <c r="B49" s="58" t="s">
        <v>16</v>
      </c>
      <c r="C49" s="58" t="s">
        <v>19</v>
      </c>
      <c r="D49" s="65" t="s">
        <v>22</v>
      </c>
      <c r="E49" s="65" t="s">
        <v>19</v>
      </c>
      <c r="F49" s="65" t="s">
        <v>19</v>
      </c>
      <c r="G49" s="66" t="s">
        <v>22</v>
      </c>
      <c r="H49" s="66" t="s">
        <v>22</v>
      </c>
      <c r="I49" s="26">
        <f t="shared" si="7"/>
        <v>0</v>
      </c>
      <c r="J49" s="26">
        <f t="shared" si="7"/>
        <v>2</v>
      </c>
      <c r="K49" s="26">
        <f t="shared" si="7"/>
        <v>2</v>
      </c>
      <c r="L49" s="26">
        <f t="shared" si="7"/>
        <v>0</v>
      </c>
      <c r="M49" s="26">
        <f t="shared" si="7"/>
        <v>0</v>
      </c>
      <c r="N49" s="13"/>
      <c r="O49" s="13"/>
      <c r="P49" s="13"/>
      <c r="Q49" s="13"/>
      <c r="R49" s="13"/>
      <c r="S49" s="13"/>
      <c r="T49" s="13"/>
      <c r="U49" s="13"/>
      <c r="V49" s="13"/>
      <c r="W49" s="13"/>
      <c r="X49" s="13"/>
      <c r="Y49" s="13"/>
      <c r="Z49" s="13"/>
    </row>
    <row r="50" spans="1:26" ht="15.75" customHeight="1">
      <c r="A50" s="74" t="s">
        <v>398</v>
      </c>
      <c r="B50" s="70"/>
      <c r="C50" s="70"/>
      <c r="D50" s="71"/>
      <c r="E50" s="71"/>
      <c r="F50" s="71"/>
      <c r="G50" s="71"/>
      <c r="H50" s="71"/>
      <c r="I50" s="71"/>
      <c r="J50" s="71"/>
      <c r="K50" s="71"/>
      <c r="L50" s="71"/>
      <c r="M50" s="71"/>
      <c r="N50" s="13"/>
      <c r="O50" s="13"/>
      <c r="P50" s="13"/>
      <c r="Q50" s="13"/>
      <c r="R50" s="13"/>
      <c r="S50" s="13"/>
      <c r="T50" s="13"/>
      <c r="U50" s="13"/>
      <c r="V50" s="13"/>
      <c r="W50" s="13"/>
      <c r="X50" s="13"/>
      <c r="Y50" s="13"/>
      <c r="Z50" s="13"/>
    </row>
    <row r="51" spans="1:26" ht="15.75" customHeight="1">
      <c r="A51" s="62" t="s">
        <v>399</v>
      </c>
      <c r="B51" s="58" t="s">
        <v>16</v>
      </c>
      <c r="C51" s="58" t="s">
        <v>21</v>
      </c>
      <c r="D51" s="65" t="s">
        <v>22</v>
      </c>
      <c r="E51" s="65" t="s">
        <v>21</v>
      </c>
      <c r="F51" s="65" t="s">
        <v>53</v>
      </c>
      <c r="G51" s="66" t="s">
        <v>21</v>
      </c>
      <c r="H51" s="66" t="s">
        <v>17</v>
      </c>
      <c r="I51" s="26">
        <f t="shared" ref="I51:M57" si="8">_xlfn.LET(
_xlpm.full,2,
_xlpm.ans0,$C51&amp;"",
_xlpm.resp0,D51&amp;"",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51" s="26">
        <f t="shared" si="8"/>
        <v>2</v>
      </c>
      <c r="K51" s="26">
        <f t="shared" si="8"/>
        <v>0</v>
      </c>
      <c r="L51" s="26">
        <f t="shared" si="8"/>
        <v>2</v>
      </c>
      <c r="M51" s="26">
        <f t="shared" si="8"/>
        <v>0</v>
      </c>
      <c r="N51" s="13"/>
      <c r="O51" s="13"/>
      <c r="P51" s="13"/>
      <c r="Q51" s="13"/>
      <c r="R51" s="13"/>
      <c r="S51" s="13"/>
      <c r="T51" s="13"/>
      <c r="U51" s="13"/>
      <c r="V51" s="13"/>
      <c r="W51" s="13"/>
      <c r="X51" s="13"/>
      <c r="Y51" s="13"/>
      <c r="Z51" s="13"/>
    </row>
    <row r="52" spans="1:26" ht="15.75" customHeight="1">
      <c r="A52" s="68" t="s">
        <v>400</v>
      </c>
      <c r="B52" s="58" t="s">
        <v>16</v>
      </c>
      <c r="C52" s="58" t="s">
        <v>21</v>
      </c>
      <c r="D52" s="65" t="s">
        <v>22</v>
      </c>
      <c r="E52" s="65" t="s">
        <v>21</v>
      </c>
      <c r="F52" s="65" t="s">
        <v>14</v>
      </c>
      <c r="G52" s="66" t="s">
        <v>19</v>
      </c>
      <c r="H52" s="66" t="s">
        <v>17</v>
      </c>
      <c r="I52" s="26">
        <f t="shared" si="8"/>
        <v>0</v>
      </c>
      <c r="J52" s="26">
        <f t="shared" si="8"/>
        <v>2</v>
      </c>
      <c r="K52" s="26">
        <f t="shared" si="8"/>
        <v>0</v>
      </c>
      <c r="L52" s="26">
        <f t="shared" si="8"/>
        <v>0</v>
      </c>
      <c r="M52" s="26">
        <f t="shared" si="8"/>
        <v>0</v>
      </c>
      <c r="N52" s="13"/>
      <c r="O52" s="13"/>
      <c r="P52" s="13"/>
      <c r="Q52" s="13"/>
      <c r="R52" s="13"/>
      <c r="S52" s="13"/>
      <c r="T52" s="13"/>
      <c r="U52" s="13"/>
      <c r="V52" s="13"/>
      <c r="W52" s="13"/>
      <c r="X52" s="13"/>
      <c r="Y52" s="13"/>
      <c r="Z52" s="13"/>
    </row>
    <row r="53" spans="1:26" ht="15.75" customHeight="1">
      <c r="A53" s="62" t="s">
        <v>401</v>
      </c>
      <c r="B53" s="58" t="s">
        <v>16</v>
      </c>
      <c r="C53" s="58" t="s">
        <v>46</v>
      </c>
      <c r="D53" s="65" t="s">
        <v>46</v>
      </c>
      <c r="E53" s="65" t="s">
        <v>46</v>
      </c>
      <c r="F53" s="65" t="s">
        <v>46</v>
      </c>
      <c r="G53" s="66" t="s">
        <v>46</v>
      </c>
      <c r="H53" s="66" t="s">
        <v>46</v>
      </c>
      <c r="I53" s="26">
        <f t="shared" si="8"/>
        <v>2</v>
      </c>
      <c r="J53" s="26">
        <f t="shared" si="8"/>
        <v>2</v>
      </c>
      <c r="K53" s="26">
        <f t="shared" si="8"/>
        <v>2</v>
      </c>
      <c r="L53" s="26">
        <f t="shared" si="8"/>
        <v>2</v>
      </c>
      <c r="M53" s="26">
        <f t="shared" si="8"/>
        <v>2</v>
      </c>
      <c r="N53" s="13"/>
      <c r="O53" s="13"/>
      <c r="P53" s="13"/>
      <c r="Q53" s="13"/>
      <c r="R53" s="13"/>
      <c r="S53" s="13"/>
      <c r="T53" s="13"/>
      <c r="U53" s="13"/>
      <c r="V53" s="13"/>
      <c r="W53" s="13"/>
      <c r="X53" s="13"/>
      <c r="Y53" s="13"/>
      <c r="Z53" s="13"/>
    </row>
    <row r="54" spans="1:26" ht="15.75" customHeight="1">
      <c r="A54" s="62" t="s">
        <v>402</v>
      </c>
      <c r="B54" s="58" t="s">
        <v>16</v>
      </c>
      <c r="C54" s="58" t="s">
        <v>17</v>
      </c>
      <c r="D54" s="65" t="s">
        <v>19</v>
      </c>
      <c r="E54" s="65" t="s">
        <v>19</v>
      </c>
      <c r="F54" s="65" t="s">
        <v>19</v>
      </c>
      <c r="G54" s="66" t="s">
        <v>19</v>
      </c>
      <c r="H54" s="66" t="s">
        <v>19</v>
      </c>
      <c r="I54" s="26">
        <f t="shared" si="8"/>
        <v>0</v>
      </c>
      <c r="J54" s="26">
        <f t="shared" si="8"/>
        <v>0</v>
      </c>
      <c r="K54" s="26">
        <f t="shared" si="8"/>
        <v>0</v>
      </c>
      <c r="L54" s="26">
        <f t="shared" si="8"/>
        <v>0</v>
      </c>
      <c r="M54" s="26">
        <f t="shared" si="8"/>
        <v>0</v>
      </c>
      <c r="N54" s="13"/>
      <c r="O54" s="13"/>
      <c r="P54" s="13"/>
      <c r="Q54" s="13"/>
      <c r="R54" s="13"/>
      <c r="S54" s="13"/>
      <c r="T54" s="13"/>
      <c r="U54" s="13"/>
      <c r="V54" s="13"/>
      <c r="W54" s="13"/>
      <c r="X54" s="13"/>
      <c r="Y54" s="13"/>
      <c r="Z54" s="13"/>
    </row>
    <row r="55" spans="1:26" ht="15.75" customHeight="1">
      <c r="A55" s="62" t="s">
        <v>403</v>
      </c>
      <c r="B55" s="58" t="s">
        <v>16</v>
      </c>
      <c r="C55" s="58" t="s">
        <v>17</v>
      </c>
      <c r="D55" s="65" t="s">
        <v>17</v>
      </c>
      <c r="E55" s="65" t="s">
        <v>17</v>
      </c>
      <c r="F55" s="65" t="s">
        <v>17</v>
      </c>
      <c r="G55" s="66" t="s">
        <v>17</v>
      </c>
      <c r="H55" s="66" t="s">
        <v>17</v>
      </c>
      <c r="I55" s="26">
        <f t="shared" si="8"/>
        <v>2</v>
      </c>
      <c r="J55" s="26">
        <f t="shared" si="8"/>
        <v>2</v>
      </c>
      <c r="K55" s="26">
        <f t="shared" si="8"/>
        <v>2</v>
      </c>
      <c r="L55" s="26">
        <f t="shared" si="8"/>
        <v>2</v>
      </c>
      <c r="M55" s="26">
        <f t="shared" si="8"/>
        <v>2</v>
      </c>
      <c r="N55" s="13"/>
      <c r="O55" s="13"/>
      <c r="P55" s="13"/>
      <c r="Q55" s="13"/>
      <c r="R55" s="13"/>
      <c r="S55" s="13"/>
      <c r="T55" s="13"/>
      <c r="U55" s="13"/>
      <c r="V55" s="13"/>
      <c r="W55" s="13"/>
      <c r="X55" s="13"/>
      <c r="Y55" s="13"/>
      <c r="Z55" s="13"/>
    </row>
    <row r="56" spans="1:26" ht="15.75" customHeight="1">
      <c r="A56" s="62" t="s">
        <v>404</v>
      </c>
      <c r="B56" s="58"/>
      <c r="C56" s="58" t="s">
        <v>14</v>
      </c>
      <c r="D56" s="65" t="s">
        <v>14</v>
      </c>
      <c r="E56" s="65" t="s">
        <v>14</v>
      </c>
      <c r="F56" s="65" t="s">
        <v>14</v>
      </c>
      <c r="G56" s="66" t="s">
        <v>14</v>
      </c>
      <c r="H56" s="66" t="s">
        <v>14</v>
      </c>
      <c r="I56" s="26">
        <f t="shared" si="8"/>
        <v>2</v>
      </c>
      <c r="J56" s="26">
        <f t="shared" si="8"/>
        <v>2</v>
      </c>
      <c r="K56" s="26">
        <f t="shared" si="8"/>
        <v>2</v>
      </c>
      <c r="L56" s="26">
        <f t="shared" si="8"/>
        <v>2</v>
      </c>
      <c r="M56" s="26">
        <f t="shared" si="8"/>
        <v>2</v>
      </c>
      <c r="N56" s="13"/>
      <c r="O56" s="13"/>
      <c r="P56" s="13"/>
      <c r="Q56" s="13"/>
      <c r="R56" s="13"/>
      <c r="S56" s="13"/>
      <c r="T56" s="13"/>
      <c r="U56" s="13"/>
      <c r="V56" s="13"/>
      <c r="W56" s="13"/>
      <c r="X56" s="13"/>
      <c r="Y56" s="13"/>
      <c r="Z56" s="13"/>
    </row>
    <row r="57" spans="1:26" ht="15.75" customHeight="1">
      <c r="A57" s="62" t="s">
        <v>405</v>
      </c>
      <c r="B57" s="58"/>
      <c r="C57" s="58" t="s">
        <v>21</v>
      </c>
      <c r="D57" s="65" t="s">
        <v>21</v>
      </c>
      <c r="E57" s="65" t="s">
        <v>21</v>
      </c>
      <c r="F57" s="65" t="s">
        <v>21</v>
      </c>
      <c r="G57" s="66" t="s">
        <v>21</v>
      </c>
      <c r="H57" s="66" t="s">
        <v>21</v>
      </c>
      <c r="I57" s="26">
        <f t="shared" si="8"/>
        <v>2</v>
      </c>
      <c r="J57" s="26">
        <f t="shared" si="8"/>
        <v>2</v>
      </c>
      <c r="K57" s="26">
        <f t="shared" si="8"/>
        <v>2</v>
      </c>
      <c r="L57" s="26">
        <f t="shared" si="8"/>
        <v>2</v>
      </c>
      <c r="M57" s="26">
        <f t="shared" si="8"/>
        <v>2</v>
      </c>
      <c r="N57" s="13"/>
      <c r="O57" s="13"/>
      <c r="P57" s="13"/>
      <c r="Q57" s="13"/>
      <c r="R57" s="13"/>
      <c r="S57" s="13"/>
      <c r="T57" s="13"/>
      <c r="U57" s="13"/>
      <c r="V57" s="13"/>
      <c r="W57" s="13"/>
      <c r="X57" s="13"/>
      <c r="Y57" s="13"/>
      <c r="Z57" s="13"/>
    </row>
    <row r="58" spans="1:26" ht="15.75" customHeight="1">
      <c r="A58" s="74" t="s">
        <v>406</v>
      </c>
      <c r="B58" s="70"/>
      <c r="C58" s="70"/>
      <c r="D58" s="71"/>
      <c r="E58" s="71"/>
      <c r="F58" s="71"/>
      <c r="G58" s="71"/>
      <c r="H58" s="71"/>
      <c r="I58" s="71"/>
      <c r="J58" s="71"/>
      <c r="K58" s="71"/>
      <c r="L58" s="71"/>
      <c r="M58" s="71"/>
      <c r="N58" s="13"/>
      <c r="O58" s="13"/>
      <c r="P58" s="13"/>
      <c r="Q58" s="13"/>
      <c r="R58" s="13"/>
      <c r="S58" s="13"/>
      <c r="T58" s="13"/>
      <c r="U58" s="13"/>
      <c r="V58" s="13"/>
      <c r="W58" s="13"/>
      <c r="X58" s="13"/>
      <c r="Y58" s="13"/>
      <c r="Z58" s="13"/>
    </row>
    <row r="59" spans="1:26" ht="15.75" customHeight="1">
      <c r="A59" s="62" t="s">
        <v>407</v>
      </c>
      <c r="B59" s="58"/>
      <c r="C59" s="58" t="s">
        <v>58</v>
      </c>
      <c r="D59" s="65" t="s">
        <v>58</v>
      </c>
      <c r="E59" s="65" t="s">
        <v>58</v>
      </c>
      <c r="F59" s="65" t="s">
        <v>58</v>
      </c>
      <c r="G59" s="66" t="s">
        <v>58</v>
      </c>
      <c r="H59" s="66" t="s">
        <v>58</v>
      </c>
      <c r="I59" s="26">
        <f t="shared" ref="I59:M60" si="9">_xlfn.LET(
_xlpm.full,2,
_xlpm.ans0,$C59&amp;"",
_xlpm.resp0,D59&amp;"",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59" s="26">
        <f t="shared" si="9"/>
        <v>2</v>
      </c>
      <c r="K59" s="26">
        <f t="shared" si="9"/>
        <v>2</v>
      </c>
      <c r="L59" s="26">
        <f t="shared" si="9"/>
        <v>2</v>
      </c>
      <c r="M59" s="26">
        <f t="shared" si="9"/>
        <v>2</v>
      </c>
      <c r="N59" s="13"/>
      <c r="O59" s="13"/>
      <c r="P59" s="13"/>
      <c r="Q59" s="13"/>
      <c r="R59" s="13"/>
      <c r="S59" s="13"/>
      <c r="T59" s="13"/>
      <c r="U59" s="13"/>
      <c r="V59" s="13"/>
      <c r="W59" s="13"/>
      <c r="X59" s="13"/>
      <c r="Y59" s="13"/>
      <c r="Z59" s="13"/>
    </row>
    <row r="60" spans="1:26" ht="15.75" customHeight="1">
      <c r="A60" s="62" t="s">
        <v>408</v>
      </c>
      <c r="B60" s="58"/>
      <c r="C60" s="58" t="s">
        <v>19</v>
      </c>
      <c r="D60" s="65" t="s">
        <v>19</v>
      </c>
      <c r="E60" s="65" t="s">
        <v>19</v>
      </c>
      <c r="F60" s="65" t="s">
        <v>19</v>
      </c>
      <c r="G60" s="66" t="s">
        <v>19</v>
      </c>
      <c r="H60" s="66" t="s">
        <v>19</v>
      </c>
      <c r="I60" s="26">
        <f t="shared" si="9"/>
        <v>2</v>
      </c>
      <c r="J60" s="26">
        <f t="shared" si="9"/>
        <v>2</v>
      </c>
      <c r="K60" s="26">
        <f t="shared" si="9"/>
        <v>2</v>
      </c>
      <c r="L60" s="26">
        <f t="shared" si="9"/>
        <v>2</v>
      </c>
      <c r="M60" s="26">
        <f t="shared" si="9"/>
        <v>2</v>
      </c>
      <c r="N60" s="13"/>
      <c r="O60" s="13"/>
      <c r="P60" s="13"/>
      <c r="Q60" s="13"/>
      <c r="R60" s="13"/>
      <c r="S60" s="13"/>
      <c r="T60" s="13"/>
      <c r="U60" s="13"/>
      <c r="V60" s="13"/>
      <c r="W60" s="13"/>
      <c r="X60" s="13"/>
      <c r="Y60" s="13"/>
      <c r="Z60" s="13"/>
    </row>
    <row r="61" spans="1:26" ht="15.75" customHeight="1">
      <c r="A61" s="74" t="s">
        <v>409</v>
      </c>
      <c r="B61" s="70"/>
      <c r="C61" s="70"/>
      <c r="D61" s="71"/>
      <c r="E61" s="71"/>
      <c r="F61" s="71"/>
      <c r="G61" s="71"/>
      <c r="H61" s="71"/>
      <c r="I61" s="71"/>
      <c r="J61" s="71"/>
      <c r="K61" s="71"/>
      <c r="L61" s="71"/>
      <c r="M61" s="71"/>
      <c r="N61" s="13"/>
      <c r="O61" s="13"/>
      <c r="P61" s="13"/>
      <c r="Q61" s="13"/>
      <c r="R61" s="13"/>
      <c r="S61" s="13"/>
      <c r="T61" s="13"/>
      <c r="U61" s="13"/>
      <c r="V61" s="13"/>
      <c r="W61" s="13"/>
      <c r="X61" s="13"/>
      <c r="Y61" s="13"/>
      <c r="Z61" s="13"/>
    </row>
    <row r="62" spans="1:26" ht="15.75" customHeight="1">
      <c r="A62" s="62" t="s">
        <v>410</v>
      </c>
      <c r="B62" s="58" t="s">
        <v>16</v>
      </c>
      <c r="C62" s="58" t="s">
        <v>14</v>
      </c>
      <c r="D62" s="65" t="s">
        <v>14</v>
      </c>
      <c r="E62" s="65" t="s">
        <v>14</v>
      </c>
      <c r="F62" s="65" t="s">
        <v>14</v>
      </c>
      <c r="G62" s="66" t="s">
        <v>14</v>
      </c>
      <c r="H62" s="66" t="s">
        <v>14</v>
      </c>
      <c r="I62" s="26">
        <f t="shared" ref="I62:M73" si="10">_xlfn.LET(
_xlpm.full,2,
_xlpm.ans0,$C62&amp;"",
_xlpm.resp0,D62&amp;"",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62" s="26">
        <f t="shared" si="10"/>
        <v>2</v>
      </c>
      <c r="K62" s="26">
        <f t="shared" si="10"/>
        <v>2</v>
      </c>
      <c r="L62" s="26">
        <f t="shared" si="10"/>
        <v>2</v>
      </c>
      <c r="M62" s="26">
        <f t="shared" si="10"/>
        <v>2</v>
      </c>
      <c r="N62" s="13"/>
      <c r="O62" s="13"/>
      <c r="P62" s="13"/>
      <c r="Q62" s="13"/>
      <c r="R62" s="13"/>
      <c r="S62" s="13"/>
      <c r="T62" s="13"/>
      <c r="U62" s="13"/>
      <c r="V62" s="13"/>
      <c r="W62" s="13"/>
      <c r="X62" s="13"/>
      <c r="Y62" s="13"/>
      <c r="Z62" s="13"/>
    </row>
    <row r="63" spans="1:26" ht="15.75" customHeight="1">
      <c r="A63" s="62" t="s">
        <v>411</v>
      </c>
      <c r="B63" s="58" t="s">
        <v>78</v>
      </c>
      <c r="C63" s="58" t="s">
        <v>22</v>
      </c>
      <c r="D63" s="65" t="s">
        <v>14</v>
      </c>
      <c r="E63" s="65" t="s">
        <v>22</v>
      </c>
      <c r="F63" s="65" t="s">
        <v>22</v>
      </c>
      <c r="G63" s="66" t="s">
        <v>22</v>
      </c>
      <c r="H63" s="66" t="s">
        <v>22</v>
      </c>
      <c r="I63" s="26">
        <f t="shared" si="10"/>
        <v>0</v>
      </c>
      <c r="J63" s="26">
        <f t="shared" si="10"/>
        <v>2</v>
      </c>
      <c r="K63" s="26">
        <f t="shared" si="10"/>
        <v>2</v>
      </c>
      <c r="L63" s="26">
        <f t="shared" si="10"/>
        <v>2</v>
      </c>
      <c r="M63" s="26">
        <f t="shared" si="10"/>
        <v>2</v>
      </c>
      <c r="N63" s="13"/>
      <c r="O63" s="13"/>
      <c r="P63" s="13"/>
      <c r="Q63" s="13"/>
      <c r="R63" s="13"/>
      <c r="S63" s="13"/>
      <c r="T63" s="13"/>
      <c r="U63" s="13"/>
      <c r="V63" s="13"/>
      <c r="W63" s="13"/>
      <c r="X63" s="13"/>
      <c r="Y63" s="13"/>
      <c r="Z63" s="13"/>
    </row>
    <row r="64" spans="1:26" ht="15.75" customHeight="1">
      <c r="A64" s="62" t="s">
        <v>412</v>
      </c>
      <c r="B64" s="58" t="s">
        <v>78</v>
      </c>
      <c r="C64" s="58" t="s">
        <v>21</v>
      </c>
      <c r="D64" s="65" t="s">
        <v>21</v>
      </c>
      <c r="E64" s="65" t="s">
        <v>21</v>
      </c>
      <c r="F64" s="65" t="s">
        <v>21</v>
      </c>
      <c r="G64" s="66" t="s">
        <v>21</v>
      </c>
      <c r="H64" s="66" t="s">
        <v>22</v>
      </c>
      <c r="I64" s="26">
        <f t="shared" si="10"/>
        <v>2</v>
      </c>
      <c r="J64" s="26">
        <f t="shared" si="10"/>
        <v>2</v>
      </c>
      <c r="K64" s="26">
        <f t="shared" si="10"/>
        <v>2</v>
      </c>
      <c r="L64" s="26">
        <f t="shared" si="10"/>
        <v>2</v>
      </c>
      <c r="M64" s="26">
        <f t="shared" si="10"/>
        <v>0</v>
      </c>
      <c r="N64" s="13"/>
      <c r="O64" s="13"/>
      <c r="P64" s="13"/>
      <c r="Q64" s="13"/>
      <c r="R64" s="13"/>
      <c r="S64" s="13"/>
      <c r="T64" s="13"/>
      <c r="U64" s="13"/>
      <c r="V64" s="13"/>
      <c r="W64" s="13"/>
      <c r="X64" s="13"/>
      <c r="Y64" s="13"/>
      <c r="Z64" s="13"/>
    </row>
    <row r="65" spans="1:26" ht="15.75" customHeight="1">
      <c r="A65" s="62" t="s">
        <v>413</v>
      </c>
      <c r="B65" s="58" t="s">
        <v>16</v>
      </c>
      <c r="C65" s="58" t="s">
        <v>22</v>
      </c>
      <c r="D65" s="65" t="s">
        <v>22</v>
      </c>
      <c r="E65" s="65" t="s">
        <v>22</v>
      </c>
      <c r="F65" s="65" t="s">
        <v>21</v>
      </c>
      <c r="G65" s="66" t="s">
        <v>22</v>
      </c>
      <c r="H65" s="66" t="s">
        <v>22</v>
      </c>
      <c r="I65" s="26">
        <f t="shared" si="10"/>
        <v>2</v>
      </c>
      <c r="J65" s="26">
        <f t="shared" si="10"/>
        <v>2</v>
      </c>
      <c r="K65" s="26">
        <f t="shared" si="10"/>
        <v>0</v>
      </c>
      <c r="L65" s="26">
        <f t="shared" si="10"/>
        <v>2</v>
      </c>
      <c r="M65" s="26">
        <f t="shared" si="10"/>
        <v>2</v>
      </c>
      <c r="N65" s="13"/>
      <c r="O65" s="13"/>
      <c r="P65" s="13"/>
      <c r="Q65" s="13"/>
      <c r="R65" s="13"/>
      <c r="S65" s="13"/>
      <c r="T65" s="13"/>
      <c r="U65" s="13"/>
      <c r="V65" s="13"/>
      <c r="W65" s="13"/>
      <c r="X65" s="13"/>
      <c r="Y65" s="13"/>
      <c r="Z65" s="13"/>
    </row>
    <row r="66" spans="1:26" ht="15.75" customHeight="1">
      <c r="A66" s="62" t="s">
        <v>414</v>
      </c>
      <c r="B66" s="58"/>
      <c r="C66" s="58" t="s">
        <v>19</v>
      </c>
      <c r="D66" s="65" t="s">
        <v>19</v>
      </c>
      <c r="E66" s="65" t="s">
        <v>19</v>
      </c>
      <c r="F66" s="65" t="s">
        <v>19</v>
      </c>
      <c r="G66" s="66" t="s">
        <v>19</v>
      </c>
      <c r="H66" s="66" t="s">
        <v>19</v>
      </c>
      <c r="I66" s="26">
        <f t="shared" si="10"/>
        <v>2</v>
      </c>
      <c r="J66" s="26">
        <f t="shared" si="10"/>
        <v>2</v>
      </c>
      <c r="K66" s="26">
        <f t="shared" si="10"/>
        <v>2</v>
      </c>
      <c r="L66" s="26">
        <f t="shared" si="10"/>
        <v>2</v>
      </c>
      <c r="M66" s="26">
        <f t="shared" si="10"/>
        <v>2</v>
      </c>
      <c r="N66" s="13"/>
      <c r="O66" s="13"/>
      <c r="P66" s="13"/>
      <c r="Q66" s="13"/>
      <c r="R66" s="13"/>
      <c r="S66" s="13"/>
      <c r="T66" s="13"/>
      <c r="U66" s="13"/>
      <c r="V66" s="13"/>
      <c r="W66" s="13"/>
      <c r="X66" s="13"/>
      <c r="Y66" s="13"/>
      <c r="Z66" s="13"/>
    </row>
    <row r="67" spans="1:26" ht="15.75" customHeight="1">
      <c r="A67" s="62" t="s">
        <v>415</v>
      </c>
      <c r="B67" s="58" t="s">
        <v>16</v>
      </c>
      <c r="C67" s="58" t="s">
        <v>19</v>
      </c>
      <c r="D67" s="65" t="s">
        <v>22</v>
      </c>
      <c r="E67" s="65" t="s">
        <v>21</v>
      </c>
      <c r="F67" s="65" t="s">
        <v>22</v>
      </c>
      <c r="G67" s="66" t="s">
        <v>22</v>
      </c>
      <c r="H67" s="66" t="s">
        <v>17</v>
      </c>
      <c r="I67" s="26">
        <f t="shared" si="10"/>
        <v>0</v>
      </c>
      <c r="J67" s="26">
        <f t="shared" si="10"/>
        <v>0</v>
      </c>
      <c r="K67" s="26">
        <f t="shared" si="10"/>
        <v>0</v>
      </c>
      <c r="L67" s="26">
        <f t="shared" si="10"/>
        <v>0</v>
      </c>
      <c r="M67" s="26">
        <f t="shared" si="10"/>
        <v>0</v>
      </c>
      <c r="N67" s="13"/>
      <c r="O67" s="13"/>
      <c r="P67" s="13"/>
      <c r="Q67" s="13"/>
      <c r="R67" s="13"/>
      <c r="S67" s="13"/>
      <c r="T67" s="13"/>
      <c r="U67" s="13"/>
      <c r="V67" s="13"/>
      <c r="W67" s="13"/>
      <c r="X67" s="13"/>
      <c r="Y67" s="13"/>
      <c r="Z67" s="13"/>
    </row>
    <row r="68" spans="1:26" ht="15.75" customHeight="1">
      <c r="A68" s="62" t="s">
        <v>416</v>
      </c>
      <c r="B68" s="58" t="s">
        <v>16</v>
      </c>
      <c r="C68" s="58" t="s">
        <v>19</v>
      </c>
      <c r="D68" s="58" t="s">
        <v>22</v>
      </c>
      <c r="E68" s="58" t="s">
        <v>19</v>
      </c>
      <c r="F68" s="58" t="s">
        <v>19</v>
      </c>
      <c r="G68" s="75" t="s">
        <v>19</v>
      </c>
      <c r="H68" s="75" t="s">
        <v>19</v>
      </c>
      <c r="I68" s="26">
        <f t="shared" si="10"/>
        <v>0</v>
      </c>
      <c r="J68" s="26">
        <f t="shared" si="10"/>
        <v>2</v>
      </c>
      <c r="K68" s="26">
        <f t="shared" si="10"/>
        <v>2</v>
      </c>
      <c r="L68" s="26">
        <f t="shared" si="10"/>
        <v>2</v>
      </c>
      <c r="M68" s="26">
        <f t="shared" si="10"/>
        <v>2</v>
      </c>
      <c r="N68" s="13"/>
      <c r="O68" s="13"/>
      <c r="P68" s="13"/>
      <c r="Q68" s="13"/>
      <c r="R68" s="13"/>
      <c r="S68" s="13"/>
      <c r="T68" s="13"/>
      <c r="U68" s="13"/>
      <c r="V68" s="13"/>
      <c r="W68" s="13"/>
      <c r="X68" s="13"/>
      <c r="Y68" s="13"/>
      <c r="Z68" s="13"/>
    </row>
    <row r="69" spans="1:26" ht="15.75" customHeight="1">
      <c r="A69" s="62" t="s">
        <v>417</v>
      </c>
      <c r="B69" s="58"/>
      <c r="C69" s="58" t="s">
        <v>95</v>
      </c>
      <c r="D69" s="65" t="s">
        <v>95</v>
      </c>
      <c r="E69" s="65" t="s">
        <v>46</v>
      </c>
      <c r="F69" s="65" t="s">
        <v>95</v>
      </c>
      <c r="G69" s="66" t="s">
        <v>95</v>
      </c>
      <c r="H69" s="66" t="s">
        <v>95</v>
      </c>
      <c r="I69" s="26">
        <f t="shared" si="10"/>
        <v>2</v>
      </c>
      <c r="J69" s="26">
        <f t="shared" si="10"/>
        <v>0.4</v>
      </c>
      <c r="K69" s="26">
        <f t="shared" si="10"/>
        <v>2</v>
      </c>
      <c r="L69" s="26">
        <f t="shared" si="10"/>
        <v>2</v>
      </c>
      <c r="M69" s="26">
        <f t="shared" si="10"/>
        <v>2</v>
      </c>
      <c r="N69" s="13"/>
      <c r="O69" s="13"/>
      <c r="P69" s="13"/>
      <c r="Q69" s="13"/>
      <c r="R69" s="13"/>
      <c r="S69" s="13"/>
      <c r="T69" s="13"/>
      <c r="U69" s="13"/>
      <c r="V69" s="13"/>
      <c r="W69" s="13"/>
      <c r="X69" s="13"/>
      <c r="Y69" s="13"/>
      <c r="Z69" s="13"/>
    </row>
    <row r="70" spans="1:26" ht="15.75" customHeight="1">
      <c r="A70" s="62" t="s">
        <v>418</v>
      </c>
      <c r="B70" s="58"/>
      <c r="C70" s="58" t="s">
        <v>54</v>
      </c>
      <c r="D70" s="65" t="s">
        <v>54</v>
      </c>
      <c r="E70" s="65" t="s">
        <v>54</v>
      </c>
      <c r="F70" s="65" t="s">
        <v>54</v>
      </c>
      <c r="G70" s="66" t="s">
        <v>54</v>
      </c>
      <c r="H70" s="66" t="s">
        <v>54</v>
      </c>
      <c r="I70" s="26">
        <f t="shared" si="10"/>
        <v>2</v>
      </c>
      <c r="J70" s="26">
        <f t="shared" si="10"/>
        <v>2</v>
      </c>
      <c r="K70" s="26">
        <f t="shared" si="10"/>
        <v>2</v>
      </c>
      <c r="L70" s="26">
        <f t="shared" si="10"/>
        <v>2</v>
      </c>
      <c r="M70" s="26">
        <f t="shared" si="10"/>
        <v>2</v>
      </c>
      <c r="N70" s="13"/>
      <c r="O70" s="13"/>
      <c r="P70" s="13"/>
      <c r="Q70" s="13"/>
      <c r="R70" s="13"/>
      <c r="S70" s="13"/>
      <c r="T70" s="13"/>
      <c r="U70" s="13"/>
      <c r="V70" s="13"/>
      <c r="W70" s="13"/>
      <c r="X70" s="13"/>
      <c r="Y70" s="13"/>
      <c r="Z70" s="13"/>
    </row>
    <row r="71" spans="1:26" ht="15.75" customHeight="1">
      <c r="A71" s="62" t="s">
        <v>419</v>
      </c>
      <c r="B71" s="58"/>
      <c r="C71" s="58" t="s">
        <v>19</v>
      </c>
      <c r="D71" s="65" t="s">
        <v>22</v>
      </c>
      <c r="E71" s="65" t="s">
        <v>19</v>
      </c>
      <c r="F71" s="65" t="s">
        <v>22</v>
      </c>
      <c r="G71" s="66" t="s">
        <v>19</v>
      </c>
      <c r="H71" s="66" t="s">
        <v>19</v>
      </c>
      <c r="I71" s="26">
        <f t="shared" si="10"/>
        <v>0</v>
      </c>
      <c r="J71" s="26">
        <f t="shared" si="10"/>
        <v>2</v>
      </c>
      <c r="K71" s="26">
        <f t="shared" si="10"/>
        <v>0</v>
      </c>
      <c r="L71" s="26">
        <f t="shared" si="10"/>
        <v>2</v>
      </c>
      <c r="M71" s="26">
        <f t="shared" si="10"/>
        <v>2</v>
      </c>
      <c r="N71" s="13"/>
      <c r="O71" s="13"/>
      <c r="P71" s="13"/>
      <c r="Q71" s="13"/>
      <c r="R71" s="13"/>
      <c r="S71" s="13"/>
      <c r="T71" s="13"/>
      <c r="U71" s="13"/>
      <c r="V71" s="13"/>
      <c r="W71" s="13"/>
      <c r="X71" s="13"/>
      <c r="Y71" s="13"/>
      <c r="Z71" s="13"/>
    </row>
    <row r="72" spans="1:26" ht="15.75" customHeight="1">
      <c r="A72" s="62" t="s">
        <v>420</v>
      </c>
      <c r="B72" s="58"/>
      <c r="C72" s="58" t="s">
        <v>17</v>
      </c>
      <c r="D72" s="65" t="s">
        <v>19</v>
      </c>
      <c r="E72" s="65" t="s">
        <v>17</v>
      </c>
      <c r="F72" s="65" t="s">
        <v>17</v>
      </c>
      <c r="G72" s="66" t="s">
        <v>17</v>
      </c>
      <c r="H72" s="66" t="s">
        <v>17</v>
      </c>
      <c r="I72" s="26">
        <f t="shared" si="10"/>
        <v>0</v>
      </c>
      <c r="J72" s="26">
        <f t="shared" si="10"/>
        <v>2</v>
      </c>
      <c r="K72" s="26">
        <f t="shared" si="10"/>
        <v>2</v>
      </c>
      <c r="L72" s="26">
        <f t="shared" si="10"/>
        <v>2</v>
      </c>
      <c r="M72" s="26">
        <f t="shared" si="10"/>
        <v>2</v>
      </c>
      <c r="N72" s="13"/>
      <c r="O72" s="13"/>
      <c r="P72" s="13"/>
      <c r="Q72" s="13"/>
      <c r="R72" s="13"/>
      <c r="S72" s="13"/>
      <c r="T72" s="13"/>
      <c r="U72" s="13"/>
      <c r="V72" s="13"/>
      <c r="W72" s="13"/>
      <c r="X72" s="13"/>
      <c r="Y72" s="13"/>
      <c r="Z72" s="13"/>
    </row>
    <row r="73" spans="1:26" ht="15.75" customHeight="1">
      <c r="A73" s="62" t="s">
        <v>421</v>
      </c>
      <c r="B73" s="58"/>
      <c r="C73" s="58" t="s">
        <v>21</v>
      </c>
      <c r="D73" s="65" t="s">
        <v>17</v>
      </c>
      <c r="E73" s="65" t="s">
        <v>21</v>
      </c>
      <c r="F73" s="65" t="s">
        <v>17</v>
      </c>
      <c r="G73" s="66" t="s">
        <v>19</v>
      </c>
      <c r="H73" s="66" t="s">
        <v>21</v>
      </c>
      <c r="I73" s="26">
        <f t="shared" si="10"/>
        <v>0</v>
      </c>
      <c r="J73" s="26">
        <f t="shared" si="10"/>
        <v>2</v>
      </c>
      <c r="K73" s="26">
        <f t="shared" si="10"/>
        <v>0</v>
      </c>
      <c r="L73" s="26">
        <f t="shared" si="10"/>
        <v>0</v>
      </c>
      <c r="M73" s="26">
        <f t="shared" si="10"/>
        <v>2</v>
      </c>
      <c r="N73" s="13"/>
      <c r="O73" s="13"/>
      <c r="P73" s="13"/>
      <c r="Q73" s="13"/>
      <c r="R73" s="13"/>
      <c r="S73" s="13"/>
      <c r="T73" s="13"/>
      <c r="U73" s="13"/>
      <c r="V73" s="13"/>
      <c r="W73" s="13"/>
      <c r="X73" s="13"/>
      <c r="Y73" s="13"/>
      <c r="Z73" s="13"/>
    </row>
    <row r="74" spans="1:26" ht="15.75" customHeight="1">
      <c r="A74" s="74" t="s">
        <v>422</v>
      </c>
      <c r="B74" s="70"/>
      <c r="C74" s="71"/>
      <c r="D74" s="71"/>
      <c r="E74" s="71"/>
      <c r="F74" s="71"/>
      <c r="G74" s="71"/>
      <c r="H74" s="71"/>
      <c r="I74" s="71"/>
      <c r="J74" s="71"/>
      <c r="K74" s="71"/>
      <c r="L74" s="71"/>
      <c r="M74" s="71"/>
      <c r="N74" s="13"/>
      <c r="O74" s="13"/>
      <c r="P74" s="13"/>
      <c r="Q74" s="13"/>
      <c r="R74" s="13"/>
      <c r="S74" s="13"/>
      <c r="T74" s="13"/>
      <c r="U74" s="13"/>
      <c r="V74" s="13"/>
      <c r="W74" s="13"/>
      <c r="X74" s="13"/>
      <c r="Y74" s="13"/>
      <c r="Z74" s="13"/>
    </row>
    <row r="75" spans="1:26" ht="15.75" customHeight="1">
      <c r="A75" s="62" t="s">
        <v>423</v>
      </c>
      <c r="B75" s="58" t="s">
        <v>16</v>
      </c>
      <c r="C75" s="58" t="s">
        <v>14</v>
      </c>
      <c r="D75" s="65" t="s">
        <v>14</v>
      </c>
      <c r="E75" s="65" t="s">
        <v>14</v>
      </c>
      <c r="F75" s="65" t="s">
        <v>14</v>
      </c>
      <c r="G75" s="65" t="s">
        <v>14</v>
      </c>
      <c r="H75" s="65" t="s">
        <v>14</v>
      </c>
      <c r="I75" s="26">
        <f t="shared" ref="I75:M77" si="11">_xlfn.LET(
_xlpm.full,2,
_xlpm.ans0,$C75&amp;"",
_xlpm.resp0,D75&amp;"",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75" s="26">
        <f t="shared" si="11"/>
        <v>2</v>
      </c>
      <c r="K75" s="26">
        <f t="shared" si="11"/>
        <v>2</v>
      </c>
      <c r="L75" s="26">
        <f t="shared" si="11"/>
        <v>2</v>
      </c>
      <c r="M75" s="26">
        <f t="shared" si="11"/>
        <v>2</v>
      </c>
      <c r="N75" s="13"/>
      <c r="O75" s="13"/>
      <c r="P75" s="13"/>
      <c r="Q75" s="13"/>
      <c r="R75" s="13"/>
      <c r="S75" s="13"/>
      <c r="T75" s="13"/>
      <c r="U75" s="13"/>
      <c r="V75" s="13"/>
      <c r="W75" s="13"/>
      <c r="X75" s="13"/>
      <c r="Y75" s="13"/>
      <c r="Z75" s="13"/>
    </row>
    <row r="76" spans="1:26" ht="15.75" customHeight="1">
      <c r="A76" s="62" t="s">
        <v>424</v>
      </c>
      <c r="B76" s="58" t="s">
        <v>16</v>
      </c>
      <c r="C76" s="58" t="s">
        <v>55</v>
      </c>
      <c r="D76" s="65" t="s">
        <v>53</v>
      </c>
      <c r="E76" s="65" t="s">
        <v>55</v>
      </c>
      <c r="F76" s="65" t="s">
        <v>55</v>
      </c>
      <c r="G76" s="65" t="s">
        <v>55</v>
      </c>
      <c r="H76" s="65" t="s">
        <v>55</v>
      </c>
      <c r="I76" s="26">
        <f t="shared" si="11"/>
        <v>0.4</v>
      </c>
      <c r="J76" s="26">
        <f t="shared" si="11"/>
        <v>2</v>
      </c>
      <c r="K76" s="26">
        <f t="shared" si="11"/>
        <v>2</v>
      </c>
      <c r="L76" s="26">
        <f t="shared" si="11"/>
        <v>2</v>
      </c>
      <c r="M76" s="26">
        <f t="shared" si="11"/>
        <v>2</v>
      </c>
      <c r="N76" s="13"/>
      <c r="O76" s="13"/>
      <c r="P76" s="13"/>
      <c r="Q76" s="13"/>
      <c r="R76" s="13"/>
      <c r="S76" s="13"/>
      <c r="T76" s="13"/>
      <c r="U76" s="13"/>
      <c r="V76" s="13"/>
      <c r="W76" s="13"/>
      <c r="X76" s="13"/>
      <c r="Y76" s="13"/>
      <c r="Z76" s="13"/>
    </row>
    <row r="77" spans="1:26" ht="15.75" customHeight="1">
      <c r="A77" s="62" t="s">
        <v>425</v>
      </c>
      <c r="B77" s="58"/>
      <c r="C77" s="58" t="s">
        <v>72</v>
      </c>
      <c r="D77" s="65" t="s">
        <v>72</v>
      </c>
      <c r="E77" s="65" t="s">
        <v>72</v>
      </c>
      <c r="F77" s="65" t="s">
        <v>72</v>
      </c>
      <c r="G77" s="65" t="s">
        <v>72</v>
      </c>
      <c r="H77" s="65" t="s">
        <v>72</v>
      </c>
      <c r="I77" s="26">
        <f t="shared" si="11"/>
        <v>2</v>
      </c>
      <c r="J77" s="26">
        <f t="shared" si="11"/>
        <v>2</v>
      </c>
      <c r="K77" s="26">
        <f t="shared" si="11"/>
        <v>2</v>
      </c>
      <c r="L77" s="26">
        <f t="shared" si="11"/>
        <v>2</v>
      </c>
      <c r="M77" s="26">
        <f t="shared" si="11"/>
        <v>2</v>
      </c>
      <c r="N77" s="13"/>
      <c r="O77" s="13"/>
      <c r="P77" s="13"/>
      <c r="Q77" s="13"/>
      <c r="R77" s="13"/>
      <c r="S77" s="13"/>
      <c r="T77" s="13"/>
      <c r="U77" s="13"/>
      <c r="V77" s="13"/>
      <c r="W77" s="13"/>
      <c r="X77" s="13"/>
      <c r="Y77" s="13"/>
      <c r="Z77" s="13"/>
    </row>
    <row r="78" spans="1:26" ht="15.75" customHeight="1">
      <c r="A78" s="29"/>
      <c r="B78" s="30"/>
      <c r="C78" s="30"/>
      <c r="D78" s="31"/>
      <c r="E78" s="31"/>
      <c r="F78" s="31"/>
      <c r="G78" s="31"/>
      <c r="H78" s="31"/>
      <c r="I78" s="31"/>
      <c r="J78" s="31"/>
      <c r="K78" s="31"/>
      <c r="L78" s="31"/>
      <c r="M78" s="31"/>
      <c r="N78" s="13"/>
      <c r="O78" s="13"/>
      <c r="P78" s="13"/>
      <c r="Q78" s="13"/>
      <c r="R78" s="13"/>
      <c r="S78" s="13"/>
      <c r="T78" s="13"/>
      <c r="U78" s="13"/>
      <c r="V78" s="13"/>
      <c r="W78" s="13"/>
      <c r="X78" s="13"/>
      <c r="Y78" s="13"/>
      <c r="Z78" s="13"/>
    </row>
    <row r="79" spans="1:26" ht="15.75" customHeight="1">
      <c r="A79" s="29"/>
      <c r="B79" s="30"/>
      <c r="C79" s="30"/>
      <c r="D79" s="31"/>
      <c r="E79" s="31"/>
      <c r="F79" s="31"/>
      <c r="G79" s="31"/>
      <c r="H79" s="31"/>
      <c r="I79" s="31"/>
      <c r="J79" s="31"/>
      <c r="K79" s="31"/>
      <c r="L79" s="31"/>
      <c r="M79" s="31"/>
      <c r="N79" s="13"/>
      <c r="O79" s="13"/>
      <c r="P79" s="13"/>
      <c r="Q79" s="13"/>
      <c r="R79" s="13"/>
      <c r="S79" s="13"/>
      <c r="T79" s="13"/>
      <c r="U79" s="13"/>
      <c r="V79" s="13"/>
      <c r="W79" s="13"/>
      <c r="X79" s="13"/>
      <c r="Y79" s="13"/>
      <c r="Z79" s="13"/>
    </row>
    <row r="80" spans="1:26" ht="15.75" customHeight="1">
      <c r="A80" s="45"/>
      <c r="B80" s="30"/>
      <c r="C80" s="30"/>
      <c r="D80" s="31"/>
      <c r="E80" s="31"/>
      <c r="F80" s="31"/>
      <c r="G80" s="31"/>
      <c r="H80" s="31"/>
      <c r="I80" s="31"/>
      <c r="J80" s="31"/>
      <c r="K80" s="31"/>
      <c r="L80" s="31"/>
      <c r="M80" s="31"/>
      <c r="N80" s="13"/>
      <c r="O80" s="13"/>
      <c r="P80" s="13"/>
      <c r="Q80" s="13"/>
      <c r="R80" s="13"/>
      <c r="S80" s="13"/>
      <c r="T80" s="13"/>
      <c r="U80" s="13"/>
      <c r="V80" s="13"/>
      <c r="W80" s="13"/>
      <c r="X80" s="13"/>
      <c r="Y80" s="13"/>
      <c r="Z80" s="13"/>
    </row>
    <row r="81" spans="1:26" ht="15.75" customHeight="1">
      <c r="A81" s="45"/>
      <c r="B81" s="30"/>
      <c r="C81" s="30"/>
      <c r="D81" s="31"/>
      <c r="E81" s="31"/>
      <c r="F81" s="31"/>
      <c r="G81" s="31"/>
      <c r="H81" s="31"/>
      <c r="I81" s="31"/>
      <c r="J81" s="31"/>
      <c r="K81" s="31"/>
      <c r="L81" s="31"/>
      <c r="M81" s="31"/>
      <c r="N81" s="13"/>
      <c r="O81" s="13"/>
      <c r="P81" s="13"/>
      <c r="Q81" s="13"/>
      <c r="R81" s="13"/>
      <c r="S81" s="13"/>
      <c r="T81" s="13"/>
      <c r="U81" s="13"/>
      <c r="V81" s="13"/>
      <c r="W81" s="13"/>
      <c r="X81" s="13"/>
      <c r="Y81" s="13"/>
      <c r="Z81" s="13"/>
    </row>
    <row r="82" spans="1:26" ht="15.75" customHeight="1">
      <c r="A82" s="45"/>
      <c r="B82" s="30"/>
      <c r="C82" s="30"/>
      <c r="D82" s="31"/>
      <c r="E82" s="31"/>
      <c r="F82" s="31"/>
      <c r="G82" s="31"/>
      <c r="H82" s="31"/>
      <c r="I82" s="31"/>
      <c r="J82" s="31"/>
      <c r="K82" s="31"/>
      <c r="L82" s="31"/>
      <c r="M82" s="31"/>
      <c r="N82" s="13"/>
      <c r="O82" s="13"/>
      <c r="P82" s="13"/>
      <c r="Q82" s="13"/>
      <c r="R82" s="13"/>
      <c r="S82" s="13"/>
      <c r="T82" s="13"/>
      <c r="U82" s="13"/>
      <c r="V82" s="13"/>
      <c r="W82" s="13"/>
      <c r="X82" s="13"/>
      <c r="Y82" s="13"/>
      <c r="Z82" s="13"/>
    </row>
    <row r="83" spans="1:26" ht="15.75" customHeight="1">
      <c r="A83" s="45"/>
      <c r="B83" s="30"/>
      <c r="C83" s="30"/>
      <c r="D83" s="31"/>
      <c r="E83" s="31"/>
      <c r="F83" s="31"/>
      <c r="G83" s="31"/>
      <c r="H83" s="31"/>
      <c r="I83" s="31"/>
      <c r="J83" s="31"/>
      <c r="K83" s="31"/>
      <c r="L83" s="31"/>
      <c r="M83" s="31"/>
      <c r="N83" s="13"/>
      <c r="O83" s="13"/>
      <c r="P83" s="13"/>
      <c r="Q83" s="13"/>
      <c r="R83" s="13"/>
      <c r="S83" s="13"/>
      <c r="T83" s="13"/>
      <c r="U83" s="13"/>
      <c r="V83" s="13"/>
      <c r="W83" s="13"/>
      <c r="X83" s="13"/>
      <c r="Y83" s="13"/>
      <c r="Z83" s="13"/>
    </row>
    <row r="84" spans="1:26" ht="15.75" customHeight="1">
      <c r="A84" s="45"/>
      <c r="B84" s="30"/>
      <c r="C84" s="30"/>
      <c r="D84" s="31"/>
      <c r="E84" s="31"/>
      <c r="F84" s="31"/>
      <c r="G84" s="31"/>
      <c r="H84" s="31"/>
      <c r="I84" s="31"/>
      <c r="J84" s="31"/>
      <c r="K84" s="31"/>
      <c r="L84" s="31"/>
      <c r="M84" s="31"/>
      <c r="N84" s="13"/>
      <c r="O84" s="13"/>
      <c r="P84" s="13"/>
      <c r="Q84" s="13"/>
      <c r="R84" s="13"/>
      <c r="S84" s="13"/>
      <c r="T84" s="13"/>
      <c r="U84" s="13"/>
      <c r="V84" s="13"/>
      <c r="W84" s="13"/>
      <c r="X84" s="13"/>
      <c r="Y84" s="13"/>
      <c r="Z84" s="13"/>
    </row>
    <row r="85" spans="1:26" ht="15.75" customHeight="1">
      <c r="A85" s="45"/>
      <c r="B85" s="30"/>
      <c r="C85" s="30"/>
      <c r="D85" s="31"/>
      <c r="E85" s="31"/>
      <c r="F85" s="31"/>
      <c r="G85" s="31"/>
      <c r="H85" s="31"/>
      <c r="I85" s="31"/>
      <c r="J85" s="31"/>
      <c r="K85" s="31"/>
      <c r="L85" s="31"/>
      <c r="M85" s="31"/>
      <c r="N85" s="13"/>
      <c r="O85" s="13"/>
      <c r="P85" s="13"/>
      <c r="Q85" s="13"/>
      <c r="R85" s="13"/>
      <c r="S85" s="13"/>
      <c r="T85" s="13"/>
      <c r="U85" s="13"/>
      <c r="V85" s="13"/>
      <c r="W85" s="13"/>
      <c r="X85" s="13"/>
      <c r="Y85" s="13"/>
      <c r="Z85" s="13"/>
    </row>
    <row r="86" spans="1:26" ht="15.75" customHeight="1">
      <c r="A86" s="45"/>
      <c r="B86" s="30"/>
      <c r="C86" s="30"/>
      <c r="D86" s="31"/>
      <c r="E86" s="31"/>
      <c r="F86" s="31"/>
      <c r="G86" s="31"/>
      <c r="H86" s="31"/>
      <c r="I86" s="31"/>
      <c r="J86" s="31"/>
      <c r="K86" s="31"/>
      <c r="L86" s="31"/>
      <c r="M86" s="31"/>
      <c r="N86" s="13"/>
      <c r="O86" s="13"/>
      <c r="P86" s="13"/>
      <c r="Q86" s="13"/>
      <c r="R86" s="13"/>
      <c r="S86" s="13"/>
      <c r="T86" s="13"/>
      <c r="U86" s="13"/>
      <c r="V86" s="13"/>
      <c r="W86" s="13"/>
      <c r="X86" s="13"/>
      <c r="Y86" s="13"/>
      <c r="Z86" s="13"/>
    </row>
    <row r="87" spans="1:26" ht="15.75" customHeight="1">
      <c r="A87" s="45"/>
      <c r="B87" s="30"/>
      <c r="C87" s="30"/>
      <c r="D87" s="31"/>
      <c r="E87" s="31"/>
      <c r="F87" s="31"/>
      <c r="G87" s="31"/>
      <c r="H87" s="31"/>
      <c r="I87" s="31"/>
      <c r="J87" s="31"/>
      <c r="K87" s="31"/>
      <c r="L87" s="31"/>
      <c r="M87" s="31"/>
      <c r="N87" s="13"/>
      <c r="O87" s="13"/>
      <c r="P87" s="13"/>
      <c r="Q87" s="13"/>
      <c r="R87" s="13"/>
      <c r="S87" s="13"/>
      <c r="T87" s="13"/>
      <c r="U87" s="13"/>
      <c r="V87" s="13"/>
      <c r="W87" s="13"/>
      <c r="X87" s="13"/>
      <c r="Y87" s="13"/>
      <c r="Z87" s="13"/>
    </row>
    <row r="88" spans="1:26" ht="15.75" customHeight="1">
      <c r="A88" s="45"/>
      <c r="B88" s="30"/>
      <c r="C88" s="30"/>
      <c r="D88" s="31"/>
      <c r="E88" s="31"/>
      <c r="F88" s="31"/>
      <c r="G88" s="31"/>
      <c r="H88" s="31"/>
      <c r="I88" s="31"/>
      <c r="J88" s="31"/>
      <c r="K88" s="31"/>
      <c r="L88" s="31"/>
      <c r="M88" s="31"/>
      <c r="N88" s="13"/>
      <c r="O88" s="13"/>
      <c r="P88" s="13"/>
      <c r="Q88" s="13"/>
      <c r="R88" s="13"/>
      <c r="S88" s="13"/>
      <c r="T88" s="13"/>
      <c r="U88" s="13"/>
      <c r="V88" s="13"/>
      <c r="W88" s="13"/>
      <c r="X88" s="13"/>
      <c r="Y88" s="13"/>
      <c r="Z88" s="13"/>
    </row>
    <row r="89" spans="1:26" ht="15.75" customHeight="1">
      <c r="A89" s="45"/>
      <c r="B89" s="30"/>
      <c r="C89" s="30"/>
      <c r="D89" s="31"/>
      <c r="E89" s="31"/>
      <c r="F89" s="31"/>
      <c r="G89" s="31"/>
      <c r="H89" s="31"/>
      <c r="I89" s="31"/>
      <c r="J89" s="31"/>
      <c r="K89" s="31"/>
      <c r="L89" s="31"/>
      <c r="M89" s="31"/>
      <c r="N89" s="13"/>
      <c r="O89" s="13"/>
      <c r="P89" s="13"/>
      <c r="Q89" s="13"/>
      <c r="R89" s="13"/>
      <c r="S89" s="13"/>
      <c r="T89" s="13"/>
      <c r="U89" s="13"/>
      <c r="V89" s="13"/>
      <c r="W89" s="13"/>
      <c r="X89" s="13"/>
      <c r="Y89" s="13"/>
      <c r="Z89" s="13"/>
    </row>
    <row r="90" spans="1:26" ht="15.75" customHeight="1">
      <c r="A90" s="45"/>
      <c r="B90" s="30"/>
      <c r="C90" s="30"/>
      <c r="D90" s="31"/>
      <c r="E90" s="31"/>
      <c r="F90" s="31"/>
      <c r="G90" s="31"/>
      <c r="H90" s="31"/>
      <c r="I90" s="31"/>
      <c r="J90" s="31"/>
      <c r="K90" s="31"/>
      <c r="L90" s="31"/>
      <c r="M90" s="31"/>
      <c r="N90" s="13"/>
      <c r="O90" s="13"/>
      <c r="P90" s="13"/>
      <c r="Q90" s="13"/>
      <c r="R90" s="13"/>
      <c r="S90" s="13"/>
      <c r="T90" s="13"/>
      <c r="U90" s="13"/>
      <c r="V90" s="13"/>
      <c r="W90" s="13"/>
      <c r="X90" s="13"/>
      <c r="Y90" s="13"/>
      <c r="Z90" s="13"/>
    </row>
    <row r="91" spans="1:26" ht="15.75" customHeight="1">
      <c r="A91" s="46"/>
      <c r="B91" s="30"/>
      <c r="C91" s="30"/>
      <c r="D91" s="31"/>
      <c r="E91" s="31"/>
      <c r="F91" s="31"/>
      <c r="G91" s="31"/>
      <c r="H91" s="31"/>
      <c r="I91" s="31"/>
      <c r="J91" s="31"/>
      <c r="K91" s="31"/>
      <c r="L91" s="31"/>
      <c r="M91" s="31"/>
      <c r="N91" s="13"/>
      <c r="O91" s="13"/>
      <c r="P91" s="13"/>
      <c r="Q91" s="13"/>
      <c r="R91" s="13"/>
      <c r="S91" s="13"/>
      <c r="T91" s="13"/>
      <c r="U91" s="13"/>
      <c r="V91" s="13"/>
      <c r="W91" s="13"/>
      <c r="X91" s="13"/>
      <c r="Y91" s="13"/>
      <c r="Z91" s="13"/>
    </row>
    <row r="92" spans="1:26" ht="15.75" customHeight="1">
      <c r="A92" s="43"/>
      <c r="B92" s="30"/>
      <c r="C92" s="30"/>
      <c r="D92" s="31"/>
      <c r="E92" s="31"/>
      <c r="F92" s="31"/>
      <c r="G92" s="31"/>
      <c r="H92" s="31"/>
      <c r="I92" s="31"/>
      <c r="J92" s="31"/>
      <c r="K92" s="31"/>
      <c r="L92" s="31"/>
      <c r="M92" s="31"/>
      <c r="N92" s="13"/>
      <c r="O92" s="13"/>
      <c r="P92" s="13"/>
      <c r="Q92" s="13"/>
      <c r="R92" s="13"/>
      <c r="S92" s="13"/>
      <c r="T92" s="13"/>
      <c r="U92" s="13"/>
      <c r="V92" s="13"/>
      <c r="W92" s="13"/>
      <c r="X92" s="13"/>
      <c r="Y92" s="13"/>
      <c r="Z92" s="13"/>
    </row>
    <row r="93" spans="1:26" ht="15.75" customHeight="1">
      <c r="A93" s="43"/>
      <c r="B93" s="30"/>
      <c r="C93" s="30"/>
      <c r="D93" s="31"/>
      <c r="E93" s="31"/>
      <c r="F93" s="31"/>
      <c r="G93" s="31"/>
      <c r="H93" s="31"/>
      <c r="I93" s="31"/>
      <c r="J93" s="31"/>
      <c r="K93" s="31"/>
      <c r="L93" s="31"/>
      <c r="M93" s="31"/>
      <c r="N93" s="13"/>
      <c r="O93" s="13"/>
      <c r="P93" s="13"/>
      <c r="Q93" s="13"/>
      <c r="R93" s="13"/>
      <c r="S93" s="13"/>
      <c r="T93" s="13"/>
      <c r="U93" s="13"/>
      <c r="V93" s="13"/>
      <c r="W93" s="13"/>
      <c r="X93" s="13"/>
      <c r="Y93" s="13"/>
      <c r="Z93" s="13"/>
    </row>
    <row r="94" spans="1:26" ht="15.75" customHeight="1">
      <c r="A94" s="43"/>
      <c r="B94" s="30"/>
      <c r="C94" s="30"/>
      <c r="D94" s="31"/>
      <c r="E94" s="31"/>
      <c r="F94" s="31"/>
      <c r="G94" s="31"/>
      <c r="H94" s="31"/>
      <c r="I94" s="31"/>
      <c r="J94" s="31"/>
      <c r="K94" s="31"/>
      <c r="L94" s="31"/>
      <c r="M94" s="31"/>
      <c r="N94" s="13"/>
      <c r="O94" s="13"/>
      <c r="P94" s="13"/>
      <c r="Q94" s="13"/>
      <c r="R94" s="13"/>
      <c r="S94" s="13"/>
      <c r="T94" s="13"/>
      <c r="U94" s="13"/>
      <c r="V94" s="13"/>
      <c r="W94" s="13"/>
      <c r="X94" s="13"/>
      <c r="Y94" s="13"/>
      <c r="Z94" s="13"/>
    </row>
    <row r="95" spans="1:26" ht="15.75" customHeight="1">
      <c r="A95" s="43"/>
      <c r="B95" s="30"/>
      <c r="C95" s="30"/>
      <c r="D95" s="31"/>
      <c r="E95" s="31"/>
      <c r="F95" s="31"/>
      <c r="G95" s="31"/>
      <c r="H95" s="31"/>
      <c r="I95" s="31"/>
      <c r="J95" s="31"/>
      <c r="K95" s="31"/>
      <c r="L95" s="31"/>
      <c r="M95" s="31"/>
      <c r="N95" s="7"/>
      <c r="O95" s="7"/>
      <c r="P95" s="7"/>
      <c r="Q95" s="7"/>
      <c r="R95" s="7"/>
      <c r="S95" s="7"/>
      <c r="T95" s="7"/>
      <c r="U95" s="7"/>
      <c r="V95" s="7"/>
      <c r="W95" s="7"/>
      <c r="X95" s="7"/>
      <c r="Y95" s="7"/>
      <c r="Z95" s="7"/>
    </row>
    <row r="96" spans="1:26" ht="15.75" customHeight="1">
      <c r="A96" s="43"/>
      <c r="B96" s="30"/>
      <c r="C96" s="30"/>
      <c r="D96" s="31"/>
      <c r="E96" s="31"/>
      <c r="F96" s="31"/>
      <c r="G96" s="31"/>
      <c r="H96" s="31"/>
      <c r="I96" s="31"/>
      <c r="J96" s="31"/>
      <c r="K96" s="31"/>
      <c r="L96" s="31"/>
      <c r="M96" s="31"/>
      <c r="N96" s="7"/>
      <c r="O96" s="7"/>
      <c r="P96" s="7"/>
      <c r="Q96" s="7"/>
      <c r="R96" s="7"/>
      <c r="S96" s="7"/>
      <c r="T96" s="7"/>
      <c r="U96" s="7"/>
      <c r="V96" s="7"/>
      <c r="W96" s="7"/>
      <c r="X96" s="7"/>
      <c r="Y96" s="7"/>
      <c r="Z96" s="7"/>
    </row>
    <row r="97" spans="1:26" ht="15.75" customHeight="1">
      <c r="A97" s="43"/>
      <c r="B97" s="30"/>
      <c r="C97" s="30"/>
      <c r="D97" s="31"/>
      <c r="E97" s="31"/>
      <c r="F97" s="31"/>
      <c r="G97" s="31"/>
      <c r="H97" s="31"/>
      <c r="I97" s="31"/>
      <c r="J97" s="31"/>
      <c r="K97" s="31"/>
      <c r="L97" s="31"/>
      <c r="M97" s="31"/>
      <c r="N97" s="7"/>
      <c r="O97" s="7"/>
      <c r="P97" s="7"/>
      <c r="Q97" s="7"/>
      <c r="R97" s="7"/>
      <c r="S97" s="7"/>
      <c r="T97" s="7"/>
      <c r="U97" s="7"/>
      <c r="V97" s="7"/>
      <c r="W97" s="7"/>
      <c r="X97" s="7"/>
      <c r="Y97" s="7"/>
      <c r="Z97" s="7"/>
    </row>
    <row r="98" spans="1:26" ht="15.75" customHeight="1">
      <c r="A98" s="43"/>
      <c r="B98" s="30"/>
      <c r="C98" s="30"/>
      <c r="D98" s="31"/>
      <c r="E98" s="31"/>
      <c r="F98" s="31"/>
      <c r="G98" s="31"/>
      <c r="H98" s="31"/>
      <c r="I98" s="31"/>
      <c r="J98" s="31"/>
      <c r="K98" s="31"/>
      <c r="L98" s="31"/>
      <c r="M98" s="31"/>
      <c r="N98" s="7"/>
      <c r="O98" s="7"/>
      <c r="P98" s="7"/>
      <c r="Q98" s="7"/>
      <c r="R98" s="7"/>
      <c r="S98" s="7"/>
      <c r="T98" s="7"/>
      <c r="U98" s="7"/>
      <c r="V98" s="7"/>
      <c r="W98" s="7"/>
      <c r="X98" s="7"/>
      <c r="Y98" s="7"/>
      <c r="Z98" s="7"/>
    </row>
    <row r="99" spans="1:26" ht="15.75" customHeight="1">
      <c r="A99" s="43"/>
      <c r="B99" s="30"/>
      <c r="C99" s="30"/>
      <c r="D99" s="31"/>
      <c r="E99" s="31"/>
      <c r="F99" s="31"/>
      <c r="G99" s="31"/>
      <c r="H99" s="31"/>
      <c r="I99" s="31"/>
      <c r="J99" s="31"/>
      <c r="K99" s="31"/>
      <c r="L99" s="31"/>
      <c r="M99" s="31"/>
      <c r="N99" s="7"/>
      <c r="O99" s="7"/>
      <c r="P99" s="7"/>
      <c r="Q99" s="7"/>
      <c r="R99" s="7"/>
      <c r="S99" s="7"/>
      <c r="T99" s="7"/>
      <c r="U99" s="7"/>
      <c r="V99" s="7"/>
      <c r="W99" s="7"/>
      <c r="X99" s="7"/>
      <c r="Y99" s="7"/>
      <c r="Z99" s="7"/>
    </row>
    <row r="100" spans="1:26" ht="15.75" customHeight="1">
      <c r="A100" s="43"/>
      <c r="B100" s="30"/>
      <c r="C100" s="30"/>
      <c r="D100" s="31"/>
      <c r="E100" s="31"/>
      <c r="F100" s="31"/>
      <c r="G100" s="31"/>
      <c r="H100" s="31"/>
      <c r="I100" s="31"/>
      <c r="J100" s="31"/>
      <c r="K100" s="31"/>
      <c r="L100" s="31"/>
      <c r="M100" s="31"/>
      <c r="N100" s="7"/>
      <c r="O100" s="7"/>
      <c r="P100" s="7"/>
      <c r="Q100" s="7"/>
      <c r="R100" s="7"/>
      <c r="S100" s="7"/>
      <c r="T100" s="7"/>
      <c r="U100" s="7"/>
      <c r="V100" s="7"/>
      <c r="W100" s="7"/>
      <c r="X100" s="7"/>
      <c r="Y100" s="7"/>
      <c r="Z100" s="7"/>
    </row>
    <row r="101" spans="1:26" ht="15.75" customHeight="1">
      <c r="A101" s="43"/>
      <c r="B101" s="30"/>
      <c r="C101" s="30"/>
      <c r="D101" s="31"/>
      <c r="E101" s="31"/>
      <c r="F101" s="31"/>
      <c r="G101" s="31"/>
      <c r="H101" s="31"/>
      <c r="I101" s="31"/>
      <c r="J101" s="31"/>
      <c r="K101" s="31"/>
      <c r="L101" s="31"/>
      <c r="M101" s="31"/>
      <c r="N101" s="7"/>
      <c r="O101" s="7"/>
      <c r="P101" s="7"/>
      <c r="Q101" s="7"/>
      <c r="R101" s="7"/>
      <c r="S101" s="7"/>
      <c r="T101" s="7"/>
      <c r="U101" s="7"/>
      <c r="V101" s="7"/>
      <c r="W101" s="7"/>
      <c r="X101" s="7"/>
      <c r="Y101" s="7"/>
      <c r="Z101" s="7"/>
    </row>
    <row r="102" spans="1:26" ht="15.75" customHeight="1">
      <c r="A102" s="43"/>
      <c r="B102" s="30"/>
      <c r="C102" s="30"/>
      <c r="D102" s="31"/>
      <c r="E102" s="31"/>
      <c r="F102" s="31"/>
      <c r="G102" s="31"/>
      <c r="H102" s="31"/>
      <c r="I102" s="31"/>
      <c r="J102" s="31"/>
      <c r="K102" s="31"/>
      <c r="L102" s="31"/>
      <c r="M102" s="31"/>
      <c r="N102" s="7"/>
      <c r="O102" s="7"/>
      <c r="P102" s="7"/>
      <c r="Q102" s="7"/>
      <c r="R102" s="7"/>
      <c r="S102" s="7"/>
      <c r="T102" s="7"/>
      <c r="U102" s="7"/>
      <c r="V102" s="7"/>
      <c r="W102" s="7"/>
      <c r="X102" s="7"/>
      <c r="Y102" s="7"/>
      <c r="Z102" s="7"/>
    </row>
    <row r="103" spans="1:26" ht="15.75" customHeight="1">
      <c r="A103" s="43"/>
      <c r="B103" s="30"/>
      <c r="C103" s="30"/>
      <c r="D103" s="31"/>
      <c r="E103" s="31"/>
      <c r="F103" s="31"/>
      <c r="G103" s="31"/>
      <c r="H103" s="31"/>
      <c r="I103" s="31"/>
      <c r="J103" s="31"/>
      <c r="K103" s="31"/>
      <c r="L103" s="31"/>
      <c r="M103" s="31"/>
      <c r="N103" s="7"/>
      <c r="O103" s="7"/>
      <c r="P103" s="7"/>
      <c r="Q103" s="7"/>
      <c r="R103" s="7"/>
      <c r="S103" s="7"/>
      <c r="T103" s="7"/>
      <c r="U103" s="7"/>
      <c r="V103" s="7"/>
      <c r="W103" s="7"/>
      <c r="X103" s="7"/>
      <c r="Y103" s="7"/>
      <c r="Z103" s="7"/>
    </row>
    <row r="104" spans="1:26" ht="15.75" customHeight="1">
      <c r="A104" s="43"/>
      <c r="B104" s="30"/>
      <c r="C104" s="30"/>
      <c r="D104" s="31"/>
      <c r="E104" s="31"/>
      <c r="F104" s="31"/>
      <c r="G104" s="31"/>
      <c r="H104" s="31"/>
      <c r="I104" s="31"/>
      <c r="J104" s="31"/>
      <c r="K104" s="31"/>
      <c r="L104" s="31"/>
      <c r="M104" s="31"/>
      <c r="N104" s="7"/>
      <c r="O104" s="7"/>
      <c r="P104" s="7"/>
      <c r="Q104" s="7"/>
      <c r="R104" s="7"/>
      <c r="S104" s="7"/>
      <c r="T104" s="7"/>
      <c r="U104" s="7"/>
      <c r="V104" s="7"/>
      <c r="W104" s="7"/>
      <c r="X104" s="7"/>
      <c r="Y104" s="7"/>
      <c r="Z104" s="7"/>
    </row>
    <row r="105" spans="1:26" ht="15.75" customHeight="1">
      <c r="A105" s="43"/>
      <c r="B105" s="30"/>
      <c r="C105" s="30"/>
      <c r="D105" s="31"/>
      <c r="E105" s="31"/>
      <c r="F105" s="31"/>
      <c r="G105" s="31"/>
      <c r="H105" s="31"/>
      <c r="I105" s="31"/>
      <c r="J105" s="31"/>
      <c r="K105" s="31"/>
      <c r="L105" s="31"/>
      <c r="M105" s="31"/>
      <c r="N105" s="7"/>
      <c r="O105" s="7"/>
      <c r="P105" s="7"/>
      <c r="Q105" s="7"/>
      <c r="R105" s="7"/>
      <c r="S105" s="7"/>
      <c r="T105" s="7"/>
      <c r="U105" s="7"/>
      <c r="V105" s="7"/>
      <c r="W105" s="7"/>
      <c r="X105" s="7"/>
      <c r="Y105" s="7"/>
      <c r="Z105" s="7"/>
    </row>
    <row r="106" spans="1:26" ht="15.75" customHeight="1">
      <c r="A106" s="43"/>
      <c r="B106" s="30"/>
      <c r="C106" s="30"/>
      <c r="D106" s="31"/>
      <c r="E106" s="31"/>
      <c r="F106" s="31"/>
      <c r="G106" s="31"/>
      <c r="H106" s="31"/>
      <c r="I106" s="31"/>
      <c r="J106" s="31"/>
      <c r="K106" s="31"/>
      <c r="L106" s="31"/>
      <c r="M106" s="31"/>
      <c r="N106" s="7"/>
      <c r="O106" s="7"/>
      <c r="P106" s="7"/>
      <c r="Q106" s="7"/>
      <c r="R106" s="7"/>
      <c r="S106" s="7"/>
      <c r="T106" s="7"/>
      <c r="U106" s="7"/>
      <c r="V106" s="7"/>
      <c r="W106" s="7"/>
      <c r="X106" s="7"/>
      <c r="Y106" s="7"/>
      <c r="Z106" s="7"/>
    </row>
    <row r="107" spans="1:26" ht="15.75" customHeight="1">
      <c r="A107" s="43"/>
      <c r="B107" s="30"/>
      <c r="C107" s="30"/>
      <c r="D107" s="31"/>
      <c r="E107" s="31"/>
      <c r="F107" s="31"/>
      <c r="G107" s="31"/>
      <c r="H107" s="31"/>
      <c r="I107" s="31"/>
      <c r="J107" s="31"/>
      <c r="K107" s="31"/>
      <c r="L107" s="31"/>
      <c r="M107" s="31"/>
      <c r="N107" s="7"/>
      <c r="O107" s="7"/>
      <c r="P107" s="7"/>
      <c r="Q107" s="7"/>
      <c r="R107" s="7"/>
      <c r="S107" s="7"/>
      <c r="T107" s="7"/>
      <c r="U107" s="7"/>
      <c r="V107" s="7"/>
      <c r="W107" s="7"/>
      <c r="X107" s="7"/>
      <c r="Y107" s="7"/>
      <c r="Z107" s="7"/>
    </row>
    <row r="108" spans="1:26" ht="15.75" customHeight="1">
      <c r="A108" s="43"/>
      <c r="B108" s="30"/>
      <c r="C108" s="30"/>
      <c r="D108" s="31"/>
      <c r="E108" s="31"/>
      <c r="F108" s="31"/>
      <c r="G108" s="31"/>
      <c r="H108" s="31"/>
      <c r="I108" s="31"/>
      <c r="J108" s="31"/>
      <c r="K108" s="31"/>
      <c r="L108" s="31"/>
      <c r="M108" s="31"/>
      <c r="N108" s="7"/>
      <c r="O108" s="7"/>
      <c r="P108" s="7"/>
      <c r="Q108" s="7"/>
      <c r="R108" s="7"/>
      <c r="S108" s="7"/>
      <c r="T108" s="7"/>
      <c r="U108" s="7"/>
      <c r="V108" s="7"/>
      <c r="W108" s="7"/>
      <c r="X108" s="7"/>
      <c r="Y108" s="7"/>
      <c r="Z108" s="7"/>
    </row>
    <row r="109" spans="1:26" ht="15.75" customHeight="1">
      <c r="A109" s="43"/>
      <c r="B109" s="30"/>
      <c r="C109" s="30"/>
      <c r="D109" s="31"/>
      <c r="E109" s="31"/>
      <c r="F109" s="31"/>
      <c r="G109" s="31"/>
      <c r="H109" s="31"/>
      <c r="I109" s="31"/>
      <c r="J109" s="31"/>
      <c r="K109" s="31"/>
      <c r="L109" s="31"/>
      <c r="M109" s="31"/>
      <c r="N109" s="7"/>
      <c r="O109" s="7"/>
      <c r="P109" s="7"/>
      <c r="Q109" s="7"/>
      <c r="R109" s="7"/>
      <c r="S109" s="7"/>
      <c r="T109" s="7"/>
      <c r="U109" s="7"/>
      <c r="V109" s="7"/>
      <c r="W109" s="7"/>
      <c r="X109" s="7"/>
      <c r="Y109" s="7"/>
      <c r="Z109" s="7"/>
    </row>
    <row r="110" spans="1:26" ht="15.75" customHeight="1">
      <c r="A110" s="43"/>
      <c r="B110" s="30"/>
      <c r="C110" s="30"/>
      <c r="D110" s="31"/>
      <c r="E110" s="31"/>
      <c r="F110" s="31"/>
      <c r="G110" s="31"/>
      <c r="H110" s="31"/>
      <c r="I110" s="31"/>
      <c r="J110" s="31"/>
      <c r="K110" s="31"/>
      <c r="L110" s="31"/>
      <c r="M110" s="31"/>
      <c r="N110" s="7"/>
      <c r="O110" s="7"/>
      <c r="P110" s="7"/>
      <c r="Q110" s="7"/>
      <c r="R110" s="7"/>
      <c r="S110" s="7"/>
      <c r="T110" s="7"/>
      <c r="U110" s="7"/>
      <c r="V110" s="7"/>
      <c r="W110" s="7"/>
      <c r="X110" s="7"/>
      <c r="Y110" s="7"/>
      <c r="Z110" s="7"/>
    </row>
    <row r="111" spans="1:26" ht="15.75" customHeight="1">
      <c r="A111" s="43"/>
      <c r="B111" s="30"/>
      <c r="C111" s="30"/>
      <c r="D111" s="31"/>
      <c r="E111" s="31"/>
      <c r="F111" s="31"/>
      <c r="G111" s="31"/>
      <c r="H111" s="31"/>
      <c r="I111" s="31"/>
      <c r="J111" s="31"/>
      <c r="K111" s="31"/>
      <c r="L111" s="31"/>
      <c r="M111" s="31"/>
      <c r="N111" s="7"/>
      <c r="O111" s="7"/>
      <c r="P111" s="7"/>
      <c r="Q111" s="7"/>
      <c r="R111" s="7"/>
      <c r="S111" s="7"/>
      <c r="T111" s="7"/>
      <c r="U111" s="7"/>
      <c r="V111" s="7"/>
      <c r="W111" s="7"/>
      <c r="X111" s="7"/>
      <c r="Y111" s="7"/>
      <c r="Z111" s="7"/>
    </row>
    <row r="112" spans="1:26" ht="15.75" customHeight="1">
      <c r="A112" s="43"/>
      <c r="B112" s="30"/>
      <c r="C112" s="30"/>
      <c r="D112" s="31"/>
      <c r="E112" s="31"/>
      <c r="F112" s="31"/>
      <c r="G112" s="31"/>
      <c r="H112" s="31"/>
      <c r="I112" s="31"/>
      <c r="J112" s="31"/>
      <c r="K112" s="31"/>
      <c r="L112" s="31"/>
      <c r="M112" s="31"/>
      <c r="N112" s="7"/>
      <c r="O112" s="7"/>
      <c r="P112" s="7"/>
      <c r="Q112" s="7"/>
      <c r="R112" s="7"/>
      <c r="S112" s="7"/>
      <c r="T112" s="7"/>
      <c r="U112" s="7"/>
      <c r="V112" s="7"/>
      <c r="W112" s="7"/>
      <c r="X112" s="7"/>
      <c r="Y112" s="7"/>
      <c r="Z112" s="7"/>
    </row>
    <row r="113" spans="1:26" ht="15.75" customHeight="1">
      <c r="A113" s="43"/>
      <c r="B113" s="30"/>
      <c r="C113" s="30"/>
      <c r="D113" s="31"/>
      <c r="E113" s="31"/>
      <c r="F113" s="31"/>
      <c r="G113" s="31"/>
      <c r="H113" s="31"/>
      <c r="I113" s="31"/>
      <c r="J113" s="31"/>
      <c r="K113" s="31"/>
      <c r="L113" s="31"/>
      <c r="M113" s="31"/>
      <c r="N113" s="7"/>
      <c r="O113" s="7"/>
      <c r="P113" s="7"/>
      <c r="Q113" s="7"/>
      <c r="R113" s="7"/>
      <c r="S113" s="7"/>
      <c r="T113" s="7"/>
      <c r="U113" s="7"/>
      <c r="V113" s="7"/>
      <c r="W113" s="7"/>
      <c r="X113" s="7"/>
      <c r="Y113" s="7"/>
      <c r="Z113" s="7"/>
    </row>
    <row r="114" spans="1:26" ht="15.75" customHeight="1">
      <c r="A114" s="43"/>
      <c r="B114" s="30"/>
      <c r="C114" s="30"/>
      <c r="D114" s="31"/>
      <c r="E114" s="31"/>
      <c r="F114" s="31"/>
      <c r="G114" s="31"/>
      <c r="H114" s="31"/>
      <c r="I114" s="31"/>
      <c r="J114" s="31"/>
      <c r="K114" s="31"/>
      <c r="L114" s="31"/>
      <c r="M114" s="31"/>
      <c r="N114" s="7"/>
      <c r="O114" s="7"/>
      <c r="P114" s="7"/>
      <c r="Q114" s="7"/>
      <c r="R114" s="7"/>
      <c r="S114" s="7"/>
      <c r="T114" s="7"/>
      <c r="U114" s="7"/>
      <c r="V114" s="7"/>
      <c r="W114" s="7"/>
      <c r="X114" s="7"/>
      <c r="Y114" s="7"/>
      <c r="Z114" s="7"/>
    </row>
    <row r="115" spans="1:26" ht="15.75" customHeight="1">
      <c r="A115" s="43"/>
      <c r="B115" s="30"/>
      <c r="C115" s="30"/>
      <c r="D115" s="31"/>
      <c r="E115" s="31"/>
      <c r="F115" s="31"/>
      <c r="G115" s="31"/>
      <c r="H115" s="31"/>
      <c r="I115" s="31"/>
      <c r="J115" s="31"/>
      <c r="K115" s="31"/>
      <c r="L115" s="31"/>
      <c r="M115" s="31"/>
      <c r="N115" s="7"/>
      <c r="O115" s="7"/>
      <c r="P115" s="7"/>
      <c r="Q115" s="7"/>
      <c r="R115" s="7"/>
      <c r="S115" s="7"/>
      <c r="T115" s="7"/>
      <c r="U115" s="7"/>
      <c r="V115" s="7"/>
      <c r="W115" s="7"/>
      <c r="X115" s="7"/>
      <c r="Y115" s="7"/>
      <c r="Z115" s="7"/>
    </row>
    <row r="116" spans="1:26" ht="15.75" customHeight="1">
      <c r="A116" s="43"/>
      <c r="B116" s="30"/>
      <c r="C116" s="30"/>
      <c r="D116" s="31"/>
      <c r="E116" s="31"/>
      <c r="F116" s="31"/>
      <c r="G116" s="31"/>
      <c r="H116" s="31"/>
      <c r="I116" s="31"/>
      <c r="J116" s="31"/>
      <c r="K116" s="31"/>
      <c r="L116" s="31"/>
      <c r="M116" s="31"/>
      <c r="N116" s="7"/>
      <c r="O116" s="7"/>
      <c r="P116" s="7"/>
      <c r="Q116" s="7"/>
      <c r="R116" s="7"/>
      <c r="S116" s="7"/>
      <c r="T116" s="7"/>
      <c r="U116" s="7"/>
      <c r="V116" s="7"/>
      <c r="W116" s="7"/>
      <c r="X116" s="7"/>
      <c r="Y116" s="7"/>
      <c r="Z116" s="7"/>
    </row>
    <row r="117" spans="1:26" ht="15.75" customHeight="1">
      <c r="A117" s="43"/>
      <c r="B117" s="30"/>
      <c r="C117" s="30"/>
      <c r="D117" s="31"/>
      <c r="E117" s="31"/>
      <c r="F117" s="31"/>
      <c r="G117" s="31"/>
      <c r="H117" s="31"/>
      <c r="I117" s="31"/>
      <c r="J117" s="31"/>
      <c r="K117" s="31"/>
      <c r="L117" s="31"/>
      <c r="M117" s="31"/>
      <c r="N117" s="7"/>
      <c r="O117" s="7"/>
      <c r="P117" s="7"/>
      <c r="Q117" s="7"/>
      <c r="R117" s="7"/>
      <c r="S117" s="7"/>
      <c r="T117" s="7"/>
      <c r="U117" s="7"/>
      <c r="V117" s="7"/>
      <c r="W117" s="7"/>
      <c r="X117" s="7"/>
      <c r="Y117" s="7"/>
      <c r="Z117" s="7"/>
    </row>
    <row r="118" spans="1:26" ht="15.75" customHeight="1">
      <c r="A118" s="43"/>
      <c r="B118" s="30"/>
      <c r="C118" s="30"/>
      <c r="D118" s="31"/>
      <c r="E118" s="31"/>
      <c r="F118" s="31"/>
      <c r="G118" s="31"/>
      <c r="H118" s="31"/>
      <c r="I118" s="31"/>
      <c r="J118" s="31"/>
      <c r="K118" s="31"/>
      <c r="L118" s="31"/>
      <c r="M118" s="31"/>
      <c r="N118" s="7"/>
      <c r="O118" s="7"/>
      <c r="P118" s="7"/>
      <c r="Q118" s="7"/>
      <c r="R118" s="7"/>
      <c r="S118" s="7"/>
      <c r="T118" s="7"/>
      <c r="U118" s="7"/>
      <c r="V118" s="7"/>
      <c r="W118" s="7"/>
      <c r="X118" s="7"/>
      <c r="Y118" s="7"/>
      <c r="Z118" s="7"/>
    </row>
    <row r="119" spans="1:26" ht="15.75" customHeight="1">
      <c r="A119" s="43"/>
      <c r="B119" s="30"/>
      <c r="C119" s="30"/>
      <c r="D119" s="31"/>
      <c r="E119" s="31"/>
      <c r="F119" s="31"/>
      <c r="G119" s="31"/>
      <c r="H119" s="31"/>
      <c r="I119" s="31"/>
      <c r="J119" s="31"/>
      <c r="K119" s="31"/>
      <c r="L119" s="31"/>
      <c r="M119" s="31"/>
      <c r="N119" s="7"/>
      <c r="O119" s="7"/>
      <c r="P119" s="7"/>
      <c r="Q119" s="7"/>
      <c r="R119" s="7"/>
      <c r="S119" s="7"/>
      <c r="T119" s="7"/>
      <c r="U119" s="7"/>
      <c r="V119" s="7"/>
      <c r="W119" s="7"/>
      <c r="X119" s="7"/>
      <c r="Y119" s="7"/>
      <c r="Z119" s="7"/>
    </row>
    <row r="120" spans="1:26" ht="15.75" customHeight="1">
      <c r="A120" s="43"/>
      <c r="B120" s="30"/>
      <c r="C120" s="30"/>
      <c r="D120" s="31"/>
      <c r="E120" s="31"/>
      <c r="F120" s="31"/>
      <c r="G120" s="31"/>
      <c r="H120" s="31"/>
      <c r="I120" s="31"/>
      <c r="J120" s="31"/>
      <c r="K120" s="31"/>
      <c r="L120" s="31"/>
      <c r="M120" s="31"/>
      <c r="N120" s="7"/>
      <c r="O120" s="7"/>
      <c r="P120" s="7"/>
      <c r="Q120" s="7"/>
      <c r="R120" s="7"/>
      <c r="S120" s="7"/>
      <c r="T120" s="7"/>
      <c r="U120" s="7"/>
      <c r="V120" s="7"/>
      <c r="W120" s="7"/>
      <c r="X120" s="7"/>
      <c r="Y120" s="7"/>
      <c r="Z120" s="7"/>
    </row>
    <row r="121" spans="1:26" ht="15.75" customHeight="1">
      <c r="A121" s="43"/>
      <c r="B121" s="30"/>
      <c r="C121" s="30"/>
      <c r="D121" s="31"/>
      <c r="E121" s="31"/>
      <c r="F121" s="31"/>
      <c r="G121" s="31"/>
      <c r="H121" s="31"/>
      <c r="I121" s="31"/>
      <c r="J121" s="31"/>
      <c r="K121" s="31"/>
      <c r="L121" s="31"/>
      <c r="M121" s="31"/>
      <c r="N121" s="7"/>
      <c r="O121" s="7"/>
      <c r="P121" s="7"/>
      <c r="Q121" s="7"/>
      <c r="R121" s="7"/>
      <c r="S121" s="7"/>
      <c r="T121" s="7"/>
      <c r="U121" s="7"/>
      <c r="V121" s="7"/>
      <c r="W121" s="7"/>
      <c r="X121" s="7"/>
      <c r="Y121" s="7"/>
      <c r="Z121" s="7"/>
    </row>
    <row r="122" spans="1:26" ht="15.75" customHeight="1">
      <c r="A122" s="43"/>
      <c r="B122" s="30"/>
      <c r="C122" s="30"/>
      <c r="D122" s="31"/>
      <c r="E122" s="31"/>
      <c r="F122" s="31"/>
      <c r="G122" s="31"/>
      <c r="H122" s="31"/>
      <c r="I122" s="31"/>
      <c r="J122" s="31"/>
      <c r="K122" s="31"/>
      <c r="L122" s="31"/>
      <c r="M122" s="31"/>
      <c r="N122" s="7"/>
      <c r="O122" s="7"/>
      <c r="P122" s="7"/>
      <c r="Q122" s="7"/>
      <c r="R122" s="7"/>
      <c r="S122" s="7"/>
      <c r="T122" s="7"/>
      <c r="U122" s="7"/>
      <c r="V122" s="7"/>
      <c r="W122" s="7"/>
      <c r="X122" s="7"/>
      <c r="Y122" s="7"/>
      <c r="Z122" s="7"/>
    </row>
    <row r="123" spans="1:26" ht="15.75" customHeight="1">
      <c r="A123" s="43"/>
      <c r="B123" s="30"/>
      <c r="C123" s="30"/>
      <c r="D123" s="31"/>
      <c r="E123" s="31"/>
      <c r="F123" s="31"/>
      <c r="G123" s="31"/>
      <c r="H123" s="31"/>
      <c r="I123" s="31"/>
      <c r="J123" s="31"/>
      <c r="K123" s="31"/>
      <c r="L123" s="31"/>
      <c r="M123" s="31"/>
      <c r="N123" s="7"/>
      <c r="O123" s="7"/>
      <c r="P123" s="7"/>
      <c r="Q123" s="7"/>
      <c r="R123" s="7"/>
      <c r="S123" s="7"/>
      <c r="T123" s="7"/>
      <c r="U123" s="7"/>
      <c r="V123" s="7"/>
      <c r="W123" s="7"/>
      <c r="X123" s="7"/>
      <c r="Y123" s="7"/>
      <c r="Z123" s="7"/>
    </row>
    <row r="124" spans="1:26" ht="15.75" customHeight="1">
      <c r="A124" s="43"/>
      <c r="B124" s="30"/>
      <c r="C124" s="30"/>
      <c r="D124" s="31"/>
      <c r="E124" s="31"/>
      <c r="F124" s="31"/>
      <c r="G124" s="31"/>
      <c r="H124" s="31"/>
      <c r="I124" s="31"/>
      <c r="J124" s="31"/>
      <c r="K124" s="31"/>
      <c r="L124" s="31"/>
      <c r="M124" s="31"/>
      <c r="N124" s="7"/>
      <c r="O124" s="7"/>
      <c r="P124" s="7"/>
      <c r="Q124" s="7"/>
      <c r="R124" s="7"/>
      <c r="S124" s="7"/>
      <c r="T124" s="7"/>
      <c r="U124" s="7"/>
      <c r="V124" s="7"/>
      <c r="W124" s="7"/>
      <c r="X124" s="7"/>
      <c r="Y124" s="7"/>
      <c r="Z124" s="7"/>
    </row>
    <row r="125" spans="1:26" ht="15.75" customHeight="1">
      <c r="A125" s="43"/>
      <c r="B125" s="30"/>
      <c r="C125" s="30"/>
      <c r="D125" s="31"/>
      <c r="E125" s="31"/>
      <c r="F125" s="31"/>
      <c r="G125" s="31"/>
      <c r="H125" s="31"/>
      <c r="I125" s="31"/>
      <c r="J125" s="31"/>
      <c r="K125" s="31"/>
      <c r="L125" s="31"/>
      <c r="M125" s="31"/>
      <c r="N125" s="7"/>
      <c r="O125" s="7"/>
      <c r="P125" s="7"/>
      <c r="Q125" s="7"/>
      <c r="R125" s="7"/>
      <c r="S125" s="7"/>
      <c r="T125" s="7"/>
      <c r="U125" s="7"/>
      <c r="V125" s="7"/>
      <c r="W125" s="7"/>
      <c r="X125" s="7"/>
      <c r="Y125" s="7"/>
      <c r="Z125" s="7"/>
    </row>
    <row r="126" spans="1:26" ht="15.75" customHeight="1">
      <c r="A126" s="43"/>
      <c r="B126" s="30"/>
      <c r="C126" s="30"/>
      <c r="D126" s="31"/>
      <c r="E126" s="31"/>
      <c r="F126" s="31"/>
      <c r="G126" s="31"/>
      <c r="H126" s="31"/>
      <c r="I126" s="31"/>
      <c r="J126" s="31"/>
      <c r="K126" s="31"/>
      <c r="L126" s="31"/>
      <c r="M126" s="31"/>
      <c r="N126" s="7"/>
      <c r="O126" s="7"/>
      <c r="P126" s="7"/>
      <c r="Q126" s="7"/>
      <c r="R126" s="7"/>
      <c r="S126" s="7"/>
      <c r="T126" s="7"/>
      <c r="U126" s="7"/>
      <c r="V126" s="7"/>
      <c r="W126" s="7"/>
      <c r="X126" s="7"/>
      <c r="Y126" s="7"/>
      <c r="Z126" s="7"/>
    </row>
    <row r="127" spans="1:26" ht="15.75" customHeight="1">
      <c r="A127" s="43"/>
      <c r="B127" s="30"/>
      <c r="C127" s="30"/>
      <c r="D127" s="31"/>
      <c r="E127" s="31"/>
      <c r="F127" s="31"/>
      <c r="G127" s="31"/>
      <c r="H127" s="31"/>
      <c r="I127" s="31"/>
      <c r="J127" s="31"/>
      <c r="K127" s="31"/>
      <c r="L127" s="31"/>
      <c r="M127" s="31"/>
      <c r="N127" s="7"/>
      <c r="O127" s="7"/>
      <c r="P127" s="7"/>
      <c r="Q127" s="7"/>
      <c r="R127" s="7"/>
      <c r="S127" s="7"/>
      <c r="T127" s="7"/>
      <c r="U127" s="7"/>
      <c r="V127" s="7"/>
      <c r="W127" s="7"/>
      <c r="X127" s="7"/>
      <c r="Y127" s="7"/>
      <c r="Z127" s="7"/>
    </row>
    <row r="128" spans="1:26" ht="15.75" customHeight="1">
      <c r="A128" s="43"/>
      <c r="B128" s="30"/>
      <c r="C128" s="30"/>
      <c r="D128" s="31"/>
      <c r="E128" s="31"/>
      <c r="F128" s="31"/>
      <c r="G128" s="31"/>
      <c r="H128" s="31"/>
      <c r="I128" s="31"/>
      <c r="J128" s="31"/>
      <c r="K128" s="31"/>
      <c r="L128" s="31"/>
      <c r="M128" s="31"/>
      <c r="N128" s="7"/>
      <c r="O128" s="7"/>
      <c r="P128" s="7"/>
      <c r="Q128" s="7"/>
      <c r="R128" s="7"/>
      <c r="S128" s="7"/>
      <c r="T128" s="7"/>
      <c r="U128" s="7"/>
      <c r="V128" s="7"/>
      <c r="W128" s="7"/>
      <c r="X128" s="7"/>
      <c r="Y128" s="7"/>
      <c r="Z128" s="7"/>
    </row>
    <row r="129" spans="1:26" ht="15.75" customHeight="1">
      <c r="A129" s="43"/>
      <c r="B129" s="30"/>
      <c r="C129" s="30"/>
      <c r="D129" s="31"/>
      <c r="E129" s="31"/>
      <c r="F129" s="31"/>
      <c r="G129" s="31"/>
      <c r="H129" s="31"/>
      <c r="I129" s="31"/>
      <c r="J129" s="31"/>
      <c r="K129" s="31"/>
      <c r="L129" s="31"/>
      <c r="M129" s="31"/>
      <c r="N129" s="7"/>
      <c r="O129" s="7"/>
      <c r="P129" s="7"/>
      <c r="Q129" s="7"/>
      <c r="R129" s="7"/>
      <c r="S129" s="7"/>
      <c r="T129" s="7"/>
      <c r="U129" s="7"/>
      <c r="V129" s="7"/>
      <c r="W129" s="7"/>
      <c r="X129" s="7"/>
      <c r="Y129" s="7"/>
      <c r="Z129" s="7"/>
    </row>
    <row r="130" spans="1:26" ht="15.75" customHeight="1">
      <c r="A130" s="43"/>
      <c r="B130" s="30"/>
      <c r="C130" s="30"/>
      <c r="D130" s="31"/>
      <c r="E130" s="31"/>
      <c r="F130" s="31"/>
      <c r="G130" s="31"/>
      <c r="H130" s="31"/>
      <c r="I130" s="31"/>
      <c r="J130" s="31"/>
      <c r="K130" s="31"/>
      <c r="L130" s="31"/>
      <c r="M130" s="31"/>
      <c r="N130" s="7"/>
      <c r="O130" s="7"/>
      <c r="P130" s="7"/>
      <c r="Q130" s="7"/>
      <c r="R130" s="7"/>
      <c r="S130" s="7"/>
      <c r="T130" s="7"/>
      <c r="U130" s="7"/>
      <c r="V130" s="7"/>
      <c r="W130" s="7"/>
      <c r="X130" s="7"/>
      <c r="Y130" s="7"/>
      <c r="Z130" s="7"/>
    </row>
    <row r="131" spans="1:26" ht="15.75" customHeight="1">
      <c r="A131" s="43"/>
      <c r="B131" s="30"/>
      <c r="C131" s="30"/>
      <c r="D131" s="31"/>
      <c r="E131" s="31"/>
      <c r="F131" s="31"/>
      <c r="G131" s="31"/>
      <c r="H131" s="31"/>
      <c r="I131" s="31"/>
      <c r="J131" s="31"/>
      <c r="K131" s="31"/>
      <c r="L131" s="31"/>
      <c r="M131" s="31"/>
      <c r="N131" s="7"/>
      <c r="O131" s="7"/>
      <c r="P131" s="7"/>
      <c r="Q131" s="7"/>
      <c r="R131" s="7"/>
      <c r="S131" s="7"/>
      <c r="T131" s="7"/>
      <c r="U131" s="7"/>
      <c r="V131" s="7"/>
      <c r="W131" s="7"/>
      <c r="X131" s="7"/>
      <c r="Y131" s="7"/>
      <c r="Z131" s="7"/>
    </row>
    <row r="132" spans="1:26" ht="15.75" customHeight="1">
      <c r="A132" s="43"/>
      <c r="B132" s="30"/>
      <c r="C132" s="30"/>
      <c r="D132" s="31"/>
      <c r="E132" s="31"/>
      <c r="F132" s="31"/>
      <c r="G132" s="31"/>
      <c r="H132" s="31"/>
      <c r="I132" s="31"/>
      <c r="J132" s="31"/>
      <c r="K132" s="31"/>
      <c r="L132" s="31"/>
      <c r="M132" s="31"/>
      <c r="N132" s="7"/>
      <c r="O132" s="7"/>
      <c r="P132" s="7"/>
      <c r="Q132" s="7"/>
      <c r="R132" s="7"/>
      <c r="S132" s="7"/>
      <c r="T132" s="7"/>
      <c r="U132" s="7"/>
      <c r="V132" s="7"/>
      <c r="W132" s="7"/>
      <c r="X132" s="7"/>
      <c r="Y132" s="7"/>
      <c r="Z132" s="7"/>
    </row>
    <row r="133" spans="1:26" ht="15.75" customHeight="1">
      <c r="A133" s="43"/>
      <c r="B133" s="30"/>
      <c r="C133" s="30"/>
      <c r="D133" s="31"/>
      <c r="E133" s="31"/>
      <c r="F133" s="31"/>
      <c r="G133" s="31"/>
      <c r="H133" s="31"/>
      <c r="I133" s="31"/>
      <c r="J133" s="31"/>
      <c r="K133" s="31"/>
      <c r="L133" s="31"/>
      <c r="M133" s="31"/>
      <c r="N133" s="7"/>
      <c r="O133" s="7"/>
      <c r="P133" s="7"/>
      <c r="Q133" s="7"/>
      <c r="R133" s="7"/>
      <c r="S133" s="7"/>
      <c r="T133" s="7"/>
      <c r="U133" s="7"/>
      <c r="V133" s="7"/>
      <c r="W133" s="7"/>
      <c r="X133" s="7"/>
      <c r="Y133" s="7"/>
      <c r="Z133" s="7"/>
    </row>
    <row r="134" spans="1:26" ht="15.75" customHeight="1">
      <c r="A134" s="43"/>
      <c r="B134" s="30"/>
      <c r="C134" s="30"/>
      <c r="D134" s="31"/>
      <c r="E134" s="31"/>
      <c r="F134" s="31"/>
      <c r="G134" s="31"/>
      <c r="H134" s="31"/>
      <c r="I134" s="31"/>
      <c r="J134" s="31"/>
      <c r="K134" s="31"/>
      <c r="L134" s="31"/>
      <c r="M134" s="31"/>
      <c r="N134" s="7"/>
      <c r="O134" s="7"/>
      <c r="P134" s="7"/>
      <c r="Q134" s="7"/>
      <c r="R134" s="7"/>
      <c r="S134" s="7"/>
      <c r="T134" s="7"/>
      <c r="U134" s="7"/>
      <c r="V134" s="7"/>
      <c r="W134" s="7"/>
      <c r="X134" s="7"/>
      <c r="Y134" s="7"/>
      <c r="Z134" s="7"/>
    </row>
    <row r="135" spans="1:26" ht="15.75" customHeight="1">
      <c r="A135" s="43"/>
      <c r="B135" s="30"/>
      <c r="C135" s="30"/>
      <c r="D135" s="31"/>
      <c r="E135" s="31"/>
      <c r="F135" s="31"/>
      <c r="G135" s="31"/>
      <c r="H135" s="31"/>
      <c r="I135" s="31"/>
      <c r="J135" s="31"/>
      <c r="K135" s="31"/>
      <c r="L135" s="31"/>
      <c r="M135" s="31"/>
      <c r="N135" s="7"/>
      <c r="O135" s="7"/>
      <c r="P135" s="7"/>
      <c r="Q135" s="7"/>
      <c r="R135" s="7"/>
      <c r="S135" s="7"/>
      <c r="T135" s="7"/>
      <c r="U135" s="7"/>
      <c r="V135" s="7"/>
      <c r="W135" s="7"/>
      <c r="X135" s="7"/>
      <c r="Y135" s="7"/>
      <c r="Z135" s="7"/>
    </row>
    <row r="136" spans="1:26" ht="15.75" customHeight="1">
      <c r="A136" s="43"/>
      <c r="B136" s="30"/>
      <c r="C136" s="30"/>
      <c r="D136" s="31"/>
      <c r="E136" s="31"/>
      <c r="F136" s="31"/>
      <c r="G136" s="31"/>
      <c r="H136" s="31"/>
      <c r="I136" s="31"/>
      <c r="J136" s="31"/>
      <c r="K136" s="31"/>
      <c r="L136" s="31"/>
      <c r="M136" s="31"/>
      <c r="N136" s="7"/>
      <c r="O136" s="7"/>
      <c r="P136" s="7"/>
      <c r="Q136" s="7"/>
      <c r="R136" s="7"/>
      <c r="S136" s="7"/>
      <c r="T136" s="7"/>
      <c r="U136" s="7"/>
      <c r="V136" s="7"/>
      <c r="W136" s="7"/>
      <c r="X136" s="7"/>
      <c r="Y136" s="7"/>
      <c r="Z136" s="7"/>
    </row>
    <row r="137" spans="1:26" ht="15.75" customHeight="1">
      <c r="A137" s="43"/>
      <c r="B137" s="30"/>
      <c r="C137" s="30"/>
      <c r="D137" s="31"/>
      <c r="E137" s="31"/>
      <c r="F137" s="31"/>
      <c r="G137" s="31"/>
      <c r="H137" s="31"/>
      <c r="I137" s="31"/>
      <c r="J137" s="31"/>
      <c r="K137" s="31"/>
      <c r="L137" s="31"/>
      <c r="M137" s="31"/>
      <c r="N137" s="7"/>
      <c r="O137" s="7"/>
      <c r="P137" s="7"/>
      <c r="Q137" s="7"/>
      <c r="R137" s="7"/>
      <c r="S137" s="7"/>
      <c r="T137" s="7"/>
      <c r="U137" s="7"/>
      <c r="V137" s="7"/>
      <c r="W137" s="7"/>
      <c r="X137" s="7"/>
      <c r="Y137" s="7"/>
      <c r="Z137" s="7"/>
    </row>
    <row r="138" spans="1:26" ht="15.75" customHeight="1">
      <c r="A138" s="43"/>
      <c r="B138" s="30"/>
      <c r="C138" s="30"/>
      <c r="D138" s="31"/>
      <c r="E138" s="31"/>
      <c r="F138" s="31"/>
      <c r="G138" s="31"/>
      <c r="H138" s="31"/>
      <c r="I138" s="31"/>
      <c r="J138" s="31"/>
      <c r="K138" s="31"/>
      <c r="L138" s="31"/>
      <c r="M138" s="31"/>
      <c r="N138" s="7"/>
      <c r="O138" s="7"/>
      <c r="P138" s="7"/>
      <c r="Q138" s="7"/>
      <c r="R138" s="7"/>
      <c r="S138" s="7"/>
      <c r="T138" s="7"/>
      <c r="U138" s="7"/>
      <c r="V138" s="7"/>
      <c r="W138" s="7"/>
      <c r="X138" s="7"/>
      <c r="Y138" s="7"/>
      <c r="Z138" s="7"/>
    </row>
    <row r="139" spans="1:26" ht="15.75" customHeight="1">
      <c r="A139" s="43"/>
      <c r="B139" s="30"/>
      <c r="C139" s="30"/>
      <c r="D139" s="31"/>
      <c r="E139" s="31"/>
      <c r="F139" s="31"/>
      <c r="G139" s="31"/>
      <c r="H139" s="31"/>
      <c r="I139" s="31"/>
      <c r="J139" s="31"/>
      <c r="K139" s="31"/>
      <c r="L139" s="31"/>
      <c r="M139" s="31"/>
      <c r="N139" s="7"/>
      <c r="O139" s="7"/>
      <c r="P139" s="7"/>
      <c r="Q139" s="7"/>
      <c r="R139" s="7"/>
      <c r="S139" s="7"/>
      <c r="T139" s="7"/>
      <c r="U139" s="7"/>
      <c r="V139" s="7"/>
      <c r="W139" s="7"/>
      <c r="X139" s="7"/>
      <c r="Y139" s="7"/>
      <c r="Z139" s="7"/>
    </row>
    <row r="140" spans="1:26" ht="15.75" customHeight="1">
      <c r="A140" s="43"/>
      <c r="B140" s="30"/>
      <c r="C140" s="30"/>
      <c r="D140" s="31"/>
      <c r="E140" s="31"/>
      <c r="F140" s="31"/>
      <c r="G140" s="31"/>
      <c r="H140" s="31"/>
      <c r="I140" s="31"/>
      <c r="J140" s="31"/>
      <c r="K140" s="31"/>
      <c r="L140" s="31"/>
      <c r="M140" s="31"/>
      <c r="N140" s="7"/>
      <c r="O140" s="7"/>
      <c r="P140" s="7"/>
      <c r="Q140" s="7"/>
      <c r="R140" s="7"/>
      <c r="S140" s="7"/>
      <c r="T140" s="7"/>
      <c r="U140" s="7"/>
      <c r="V140" s="7"/>
      <c r="W140" s="7"/>
      <c r="X140" s="7"/>
      <c r="Y140" s="7"/>
      <c r="Z140" s="7"/>
    </row>
    <row r="141" spans="1:26" ht="15.75" customHeight="1">
      <c r="A141" s="43"/>
      <c r="B141" s="30"/>
      <c r="C141" s="30"/>
      <c r="D141" s="31"/>
      <c r="E141" s="31"/>
      <c r="F141" s="31"/>
      <c r="G141" s="31"/>
      <c r="H141" s="31"/>
      <c r="I141" s="31"/>
      <c r="J141" s="31"/>
      <c r="K141" s="31"/>
      <c r="L141" s="31"/>
      <c r="M141" s="31"/>
      <c r="N141" s="7"/>
      <c r="O141" s="7"/>
      <c r="P141" s="7"/>
      <c r="Q141" s="7"/>
      <c r="R141" s="7"/>
      <c r="S141" s="7"/>
      <c r="T141" s="7"/>
      <c r="U141" s="7"/>
      <c r="V141" s="7"/>
      <c r="W141" s="7"/>
      <c r="X141" s="7"/>
      <c r="Y141" s="7"/>
      <c r="Z141" s="7"/>
    </row>
    <row r="142" spans="1:26" ht="15.75" customHeight="1">
      <c r="A142" s="43"/>
      <c r="B142" s="30"/>
      <c r="C142" s="30"/>
      <c r="D142" s="31"/>
      <c r="E142" s="31"/>
      <c r="F142" s="31"/>
      <c r="G142" s="31"/>
      <c r="H142" s="31"/>
      <c r="I142" s="31"/>
      <c r="J142" s="31"/>
      <c r="K142" s="31"/>
      <c r="L142" s="31"/>
      <c r="M142" s="31"/>
      <c r="N142" s="7"/>
      <c r="O142" s="7"/>
      <c r="P142" s="7"/>
      <c r="Q142" s="7"/>
      <c r="R142" s="7"/>
      <c r="S142" s="7"/>
      <c r="T142" s="7"/>
      <c r="U142" s="7"/>
      <c r="V142" s="7"/>
      <c r="W142" s="7"/>
      <c r="X142" s="7"/>
      <c r="Y142" s="7"/>
      <c r="Z142" s="7"/>
    </row>
    <row r="143" spans="1:26" ht="15.75" customHeight="1">
      <c r="A143" s="43"/>
      <c r="B143" s="30"/>
      <c r="C143" s="30"/>
      <c r="D143" s="31"/>
      <c r="E143" s="31"/>
      <c r="F143" s="31"/>
      <c r="G143" s="31"/>
      <c r="H143" s="31"/>
      <c r="I143" s="31"/>
      <c r="J143" s="31"/>
      <c r="K143" s="31"/>
      <c r="L143" s="31"/>
      <c r="M143" s="31"/>
      <c r="N143" s="7"/>
      <c r="O143" s="7"/>
      <c r="P143" s="7"/>
      <c r="Q143" s="7"/>
      <c r="R143" s="7"/>
      <c r="S143" s="7"/>
      <c r="T143" s="7"/>
      <c r="U143" s="7"/>
      <c r="V143" s="7"/>
      <c r="W143" s="7"/>
      <c r="X143" s="7"/>
      <c r="Y143" s="7"/>
      <c r="Z143" s="7"/>
    </row>
    <row r="144" spans="1:26" ht="15.75" customHeight="1">
      <c r="A144" s="43"/>
      <c r="B144" s="30"/>
      <c r="C144" s="30"/>
      <c r="D144" s="31"/>
      <c r="E144" s="31"/>
      <c r="F144" s="31"/>
      <c r="G144" s="31"/>
      <c r="H144" s="31"/>
      <c r="I144" s="31"/>
      <c r="J144" s="31"/>
      <c r="K144" s="31"/>
      <c r="L144" s="31"/>
      <c r="M144" s="31"/>
      <c r="N144" s="7"/>
      <c r="O144" s="7"/>
      <c r="P144" s="7"/>
      <c r="Q144" s="7"/>
      <c r="R144" s="7"/>
      <c r="S144" s="7"/>
      <c r="T144" s="7"/>
      <c r="U144" s="7"/>
      <c r="V144" s="7"/>
      <c r="W144" s="7"/>
      <c r="X144" s="7"/>
      <c r="Y144" s="7"/>
      <c r="Z144" s="7"/>
    </row>
    <row r="145" spans="1:26" ht="15.75" customHeight="1">
      <c r="A145" s="43"/>
      <c r="B145" s="30"/>
      <c r="C145" s="30"/>
      <c r="D145" s="31"/>
      <c r="E145" s="31"/>
      <c r="F145" s="31"/>
      <c r="G145" s="31"/>
      <c r="H145" s="31"/>
      <c r="I145" s="31"/>
      <c r="J145" s="31"/>
      <c r="K145" s="31"/>
      <c r="L145" s="31"/>
      <c r="M145" s="31"/>
      <c r="N145" s="7"/>
      <c r="O145" s="7"/>
      <c r="P145" s="7"/>
      <c r="Q145" s="7"/>
      <c r="R145" s="7"/>
      <c r="S145" s="7"/>
      <c r="T145" s="7"/>
      <c r="U145" s="7"/>
      <c r="V145" s="7"/>
      <c r="W145" s="7"/>
      <c r="X145" s="7"/>
      <c r="Y145" s="7"/>
      <c r="Z145" s="7"/>
    </row>
    <row r="146" spans="1:26" ht="15.75" customHeight="1">
      <c r="A146" s="43"/>
      <c r="B146" s="30"/>
      <c r="C146" s="30"/>
      <c r="D146" s="31"/>
      <c r="E146" s="31"/>
      <c r="F146" s="31"/>
      <c r="G146" s="31"/>
      <c r="H146" s="31"/>
      <c r="I146" s="31"/>
      <c r="J146" s="31"/>
      <c r="K146" s="31"/>
      <c r="L146" s="31"/>
      <c r="M146" s="31"/>
      <c r="N146" s="7"/>
      <c r="O146" s="7"/>
      <c r="P146" s="7"/>
      <c r="Q146" s="7"/>
      <c r="R146" s="7"/>
      <c r="S146" s="7"/>
      <c r="T146" s="7"/>
      <c r="U146" s="7"/>
      <c r="V146" s="7"/>
      <c r="W146" s="7"/>
      <c r="X146" s="7"/>
      <c r="Y146" s="7"/>
      <c r="Z146" s="7"/>
    </row>
    <row r="147" spans="1:26" ht="15.75" customHeight="1">
      <c r="A147" s="43"/>
      <c r="B147" s="30"/>
      <c r="C147" s="30"/>
      <c r="D147" s="31"/>
      <c r="E147" s="31"/>
      <c r="F147" s="31"/>
      <c r="G147" s="31"/>
      <c r="H147" s="31"/>
      <c r="I147" s="31"/>
      <c r="J147" s="31"/>
      <c r="K147" s="31"/>
      <c r="L147" s="31"/>
      <c r="M147" s="31"/>
      <c r="N147" s="7"/>
      <c r="O147" s="7"/>
      <c r="P147" s="7"/>
      <c r="Q147" s="7"/>
      <c r="R147" s="7"/>
      <c r="S147" s="7"/>
      <c r="T147" s="7"/>
      <c r="U147" s="7"/>
      <c r="V147" s="7"/>
      <c r="W147" s="7"/>
      <c r="X147" s="7"/>
      <c r="Y147" s="7"/>
      <c r="Z147" s="7"/>
    </row>
    <row r="148" spans="1:26" ht="15.75" customHeight="1">
      <c r="A148" s="43"/>
      <c r="B148" s="30"/>
      <c r="C148" s="30"/>
      <c r="D148" s="31"/>
      <c r="E148" s="31"/>
      <c r="F148" s="31"/>
      <c r="G148" s="31"/>
      <c r="H148" s="31"/>
      <c r="I148" s="31"/>
      <c r="J148" s="31"/>
      <c r="K148" s="31"/>
      <c r="L148" s="31"/>
      <c r="M148" s="31"/>
      <c r="N148" s="7"/>
      <c r="O148" s="7"/>
      <c r="P148" s="7"/>
      <c r="Q148" s="7"/>
      <c r="R148" s="7"/>
      <c r="S148" s="7"/>
      <c r="T148" s="7"/>
      <c r="U148" s="7"/>
      <c r="V148" s="7"/>
      <c r="W148" s="7"/>
      <c r="X148" s="7"/>
      <c r="Y148" s="7"/>
      <c r="Z148" s="7"/>
    </row>
    <row r="149" spans="1:26" ht="15.75" customHeight="1">
      <c r="A149" s="43"/>
      <c r="B149" s="30"/>
      <c r="C149" s="30"/>
      <c r="D149" s="31"/>
      <c r="E149" s="31"/>
      <c r="F149" s="31"/>
      <c r="G149" s="31"/>
      <c r="H149" s="31"/>
      <c r="I149" s="31"/>
      <c r="J149" s="31"/>
      <c r="K149" s="31"/>
      <c r="L149" s="31"/>
      <c r="M149" s="31"/>
      <c r="N149" s="7"/>
      <c r="O149" s="7"/>
      <c r="P149" s="7"/>
      <c r="Q149" s="7"/>
      <c r="R149" s="7"/>
      <c r="S149" s="7"/>
      <c r="T149" s="7"/>
      <c r="U149" s="7"/>
      <c r="V149" s="7"/>
      <c r="W149" s="7"/>
      <c r="X149" s="7"/>
      <c r="Y149" s="7"/>
      <c r="Z149" s="7"/>
    </row>
    <row r="150" spans="1:26" ht="15.75" customHeight="1">
      <c r="A150" s="43"/>
      <c r="B150" s="30"/>
      <c r="C150" s="30"/>
      <c r="D150" s="31"/>
      <c r="E150" s="31"/>
      <c r="F150" s="31"/>
      <c r="G150" s="31"/>
      <c r="H150" s="31"/>
      <c r="I150" s="31"/>
      <c r="J150" s="31"/>
      <c r="K150" s="31"/>
      <c r="L150" s="31"/>
      <c r="M150" s="31"/>
      <c r="N150" s="7"/>
      <c r="O150" s="7"/>
      <c r="P150" s="7"/>
      <c r="Q150" s="7"/>
      <c r="R150" s="7"/>
      <c r="S150" s="7"/>
      <c r="T150" s="7"/>
      <c r="U150" s="7"/>
      <c r="V150" s="7"/>
      <c r="W150" s="7"/>
      <c r="X150" s="7"/>
      <c r="Y150" s="7"/>
      <c r="Z150" s="7"/>
    </row>
    <row r="151" spans="1:26" ht="15.75" customHeight="1">
      <c r="A151" s="43"/>
      <c r="B151" s="30"/>
      <c r="C151" s="30"/>
      <c r="D151" s="31"/>
      <c r="E151" s="31"/>
      <c r="F151" s="31"/>
      <c r="G151" s="31"/>
      <c r="H151" s="31"/>
      <c r="I151" s="31"/>
      <c r="J151" s="31"/>
      <c r="K151" s="31"/>
      <c r="L151" s="31"/>
      <c r="M151" s="31"/>
      <c r="N151" s="7"/>
      <c r="O151" s="7"/>
      <c r="P151" s="7"/>
      <c r="Q151" s="7"/>
      <c r="R151" s="7"/>
      <c r="S151" s="7"/>
      <c r="T151" s="7"/>
      <c r="U151" s="7"/>
      <c r="V151" s="7"/>
      <c r="W151" s="7"/>
      <c r="X151" s="7"/>
      <c r="Y151" s="7"/>
      <c r="Z151" s="7"/>
    </row>
    <row r="152" spans="1:26" ht="15.75" customHeight="1">
      <c r="A152" s="43"/>
      <c r="B152" s="30"/>
      <c r="C152" s="30"/>
      <c r="D152" s="31"/>
      <c r="E152" s="31"/>
      <c r="F152" s="31"/>
      <c r="G152" s="31"/>
      <c r="H152" s="31"/>
      <c r="I152" s="31"/>
      <c r="J152" s="31"/>
      <c r="K152" s="31"/>
      <c r="L152" s="31"/>
      <c r="M152" s="31"/>
      <c r="N152" s="7"/>
      <c r="O152" s="7"/>
      <c r="P152" s="7"/>
      <c r="Q152" s="7"/>
      <c r="R152" s="7"/>
      <c r="S152" s="7"/>
      <c r="T152" s="7"/>
      <c r="U152" s="7"/>
      <c r="V152" s="7"/>
      <c r="W152" s="7"/>
      <c r="X152" s="7"/>
      <c r="Y152" s="7"/>
      <c r="Z152" s="7"/>
    </row>
    <row r="153" spans="1:26" ht="15.75" customHeight="1">
      <c r="A153" s="43"/>
      <c r="B153" s="30"/>
      <c r="C153" s="30"/>
      <c r="D153" s="31"/>
      <c r="E153" s="31"/>
      <c r="F153" s="31"/>
      <c r="G153" s="31"/>
      <c r="H153" s="31"/>
      <c r="I153" s="31"/>
      <c r="J153" s="31"/>
      <c r="K153" s="31"/>
      <c r="L153" s="31"/>
      <c r="M153" s="31"/>
      <c r="N153" s="7"/>
      <c r="O153" s="7"/>
      <c r="P153" s="7"/>
      <c r="Q153" s="7"/>
      <c r="R153" s="7"/>
      <c r="S153" s="7"/>
      <c r="T153" s="7"/>
      <c r="U153" s="7"/>
      <c r="V153" s="7"/>
      <c r="W153" s="7"/>
      <c r="X153" s="7"/>
      <c r="Y153" s="7"/>
      <c r="Z153" s="7"/>
    </row>
    <row r="154" spans="1:26" ht="15.75" customHeight="1">
      <c r="A154" s="43"/>
      <c r="B154" s="30"/>
      <c r="C154" s="30"/>
      <c r="D154" s="31"/>
      <c r="E154" s="31"/>
      <c r="F154" s="31"/>
      <c r="G154" s="31"/>
      <c r="H154" s="31"/>
      <c r="I154" s="31"/>
      <c r="J154" s="31"/>
      <c r="K154" s="31"/>
      <c r="L154" s="31"/>
      <c r="M154" s="31"/>
      <c r="N154" s="7"/>
      <c r="O154" s="7"/>
      <c r="P154" s="7"/>
      <c r="Q154" s="7"/>
      <c r="R154" s="7"/>
      <c r="S154" s="7"/>
      <c r="T154" s="7"/>
      <c r="U154" s="7"/>
      <c r="V154" s="7"/>
      <c r="W154" s="7"/>
      <c r="X154" s="7"/>
      <c r="Y154" s="7"/>
      <c r="Z154" s="7"/>
    </row>
    <row r="155" spans="1:26" ht="15.75" customHeight="1">
      <c r="A155" s="43"/>
      <c r="B155" s="30"/>
      <c r="C155" s="30"/>
      <c r="D155" s="31"/>
      <c r="E155" s="31"/>
      <c r="F155" s="31"/>
      <c r="G155" s="31"/>
      <c r="H155" s="31"/>
      <c r="I155" s="31"/>
      <c r="J155" s="31"/>
      <c r="K155" s="31"/>
      <c r="L155" s="31"/>
      <c r="M155" s="31"/>
      <c r="N155" s="7"/>
      <c r="O155" s="7"/>
      <c r="P155" s="7"/>
      <c r="Q155" s="7"/>
      <c r="R155" s="7"/>
      <c r="S155" s="7"/>
      <c r="T155" s="7"/>
      <c r="U155" s="7"/>
      <c r="V155" s="7"/>
      <c r="W155" s="7"/>
      <c r="X155" s="7"/>
      <c r="Y155" s="7"/>
      <c r="Z155" s="7"/>
    </row>
    <row r="156" spans="1:26" ht="15.75" customHeight="1">
      <c r="A156" s="43"/>
      <c r="B156" s="30"/>
      <c r="C156" s="30"/>
      <c r="D156" s="31"/>
      <c r="E156" s="31"/>
      <c r="F156" s="31"/>
      <c r="G156" s="31"/>
      <c r="H156" s="31"/>
      <c r="I156" s="31"/>
      <c r="J156" s="31"/>
      <c r="K156" s="31"/>
      <c r="L156" s="31"/>
      <c r="M156" s="31"/>
      <c r="N156" s="7"/>
      <c r="O156" s="7"/>
      <c r="P156" s="7"/>
      <c r="Q156" s="7"/>
      <c r="R156" s="7"/>
      <c r="S156" s="7"/>
      <c r="T156" s="7"/>
      <c r="U156" s="7"/>
      <c r="V156" s="7"/>
      <c r="W156" s="7"/>
      <c r="X156" s="7"/>
      <c r="Y156" s="7"/>
      <c r="Z156" s="7"/>
    </row>
    <row r="157" spans="1:26" ht="15.75" customHeight="1">
      <c r="A157" s="43"/>
      <c r="B157" s="30"/>
      <c r="C157" s="30"/>
      <c r="D157" s="31"/>
      <c r="E157" s="31"/>
      <c r="F157" s="31"/>
      <c r="G157" s="31"/>
      <c r="H157" s="31"/>
      <c r="I157" s="31"/>
      <c r="J157" s="31"/>
      <c r="K157" s="31"/>
      <c r="L157" s="31"/>
      <c r="M157" s="31"/>
      <c r="N157" s="7"/>
      <c r="O157" s="7"/>
      <c r="P157" s="7"/>
      <c r="Q157" s="7"/>
      <c r="R157" s="7"/>
      <c r="S157" s="7"/>
      <c r="T157" s="7"/>
      <c r="U157" s="7"/>
      <c r="V157" s="7"/>
      <c r="W157" s="7"/>
      <c r="X157" s="7"/>
      <c r="Y157" s="7"/>
      <c r="Z157" s="7"/>
    </row>
    <row r="158" spans="1:26" ht="15.75" customHeight="1">
      <c r="A158" s="43"/>
      <c r="B158" s="30"/>
      <c r="C158" s="30"/>
      <c r="D158" s="31"/>
      <c r="E158" s="31"/>
      <c r="F158" s="31"/>
      <c r="G158" s="31"/>
      <c r="H158" s="31"/>
      <c r="I158" s="31"/>
      <c r="J158" s="31"/>
      <c r="K158" s="31"/>
      <c r="L158" s="31"/>
      <c r="M158" s="31"/>
      <c r="N158" s="7"/>
      <c r="O158" s="7"/>
      <c r="P158" s="7"/>
      <c r="Q158" s="7"/>
      <c r="R158" s="7"/>
      <c r="S158" s="7"/>
      <c r="T158" s="7"/>
      <c r="U158" s="7"/>
      <c r="V158" s="7"/>
      <c r="W158" s="7"/>
      <c r="X158" s="7"/>
      <c r="Y158" s="7"/>
      <c r="Z158" s="7"/>
    </row>
    <row r="159" spans="1:26" ht="15.75" customHeight="1">
      <c r="A159" s="43"/>
      <c r="B159" s="30"/>
      <c r="C159" s="30"/>
      <c r="D159" s="31"/>
      <c r="E159" s="31"/>
      <c r="F159" s="31"/>
      <c r="G159" s="31"/>
      <c r="H159" s="31"/>
      <c r="I159" s="31"/>
      <c r="J159" s="31"/>
      <c r="K159" s="31"/>
      <c r="L159" s="31"/>
      <c r="M159" s="31"/>
      <c r="N159" s="7"/>
      <c r="O159" s="7"/>
      <c r="P159" s="7"/>
      <c r="Q159" s="7"/>
      <c r="R159" s="7"/>
      <c r="S159" s="7"/>
      <c r="T159" s="7"/>
      <c r="U159" s="7"/>
      <c r="V159" s="7"/>
      <c r="W159" s="7"/>
      <c r="X159" s="7"/>
      <c r="Y159" s="7"/>
      <c r="Z159" s="7"/>
    </row>
    <row r="160" spans="1:26" ht="15.75" customHeight="1">
      <c r="A160" s="43"/>
      <c r="B160" s="30"/>
      <c r="C160" s="30"/>
      <c r="D160" s="31"/>
      <c r="E160" s="31"/>
      <c r="F160" s="31"/>
      <c r="G160" s="31"/>
      <c r="H160" s="31"/>
      <c r="I160" s="31"/>
      <c r="J160" s="31"/>
      <c r="K160" s="31"/>
      <c r="L160" s="31"/>
      <c r="M160" s="31"/>
      <c r="N160" s="7"/>
      <c r="O160" s="7"/>
      <c r="P160" s="7"/>
      <c r="Q160" s="7"/>
      <c r="R160" s="7"/>
      <c r="S160" s="7"/>
      <c r="T160" s="7"/>
      <c r="U160" s="7"/>
      <c r="V160" s="7"/>
      <c r="W160" s="7"/>
      <c r="X160" s="7"/>
      <c r="Y160" s="7"/>
      <c r="Z160" s="7"/>
    </row>
    <row r="161" spans="1:26" ht="15.75" customHeight="1">
      <c r="A161" s="43"/>
      <c r="B161" s="30"/>
      <c r="C161" s="30"/>
      <c r="D161" s="31"/>
      <c r="E161" s="31"/>
      <c r="F161" s="31"/>
      <c r="G161" s="31"/>
      <c r="H161" s="31"/>
      <c r="I161" s="31"/>
      <c r="J161" s="31"/>
      <c r="K161" s="31"/>
      <c r="L161" s="31"/>
      <c r="M161" s="31"/>
      <c r="N161" s="7"/>
      <c r="O161" s="7"/>
      <c r="P161" s="7"/>
      <c r="Q161" s="7"/>
      <c r="R161" s="7"/>
      <c r="S161" s="7"/>
      <c r="T161" s="7"/>
      <c r="U161" s="7"/>
      <c r="V161" s="7"/>
      <c r="W161" s="7"/>
      <c r="X161" s="7"/>
      <c r="Y161" s="7"/>
      <c r="Z161" s="7"/>
    </row>
    <row r="162" spans="1:26" ht="15.75" customHeight="1">
      <c r="A162" s="43"/>
      <c r="B162" s="30"/>
      <c r="C162" s="30"/>
      <c r="D162" s="31"/>
      <c r="E162" s="31"/>
      <c r="F162" s="31"/>
      <c r="G162" s="31"/>
      <c r="H162" s="31"/>
      <c r="I162" s="31"/>
      <c r="J162" s="31"/>
      <c r="K162" s="31"/>
      <c r="L162" s="31"/>
      <c r="M162" s="31"/>
      <c r="N162" s="7"/>
      <c r="O162" s="7"/>
      <c r="P162" s="7"/>
      <c r="Q162" s="7"/>
      <c r="R162" s="7"/>
      <c r="S162" s="7"/>
      <c r="T162" s="7"/>
      <c r="U162" s="7"/>
      <c r="V162" s="7"/>
      <c r="W162" s="7"/>
      <c r="X162" s="7"/>
      <c r="Y162" s="7"/>
      <c r="Z162" s="7"/>
    </row>
    <row r="163" spans="1:26" ht="15.75" customHeight="1">
      <c r="A163" s="43"/>
      <c r="B163" s="30"/>
      <c r="C163" s="30"/>
      <c r="D163" s="31"/>
      <c r="E163" s="31"/>
      <c r="F163" s="31"/>
      <c r="G163" s="31"/>
      <c r="H163" s="31"/>
      <c r="I163" s="31"/>
      <c r="J163" s="31"/>
      <c r="K163" s="31"/>
      <c r="L163" s="31"/>
      <c r="M163" s="31"/>
      <c r="N163" s="7"/>
      <c r="O163" s="7"/>
      <c r="P163" s="7"/>
      <c r="Q163" s="7"/>
      <c r="R163" s="7"/>
      <c r="S163" s="7"/>
      <c r="T163" s="7"/>
      <c r="U163" s="7"/>
      <c r="V163" s="7"/>
      <c r="W163" s="7"/>
      <c r="X163" s="7"/>
      <c r="Y163" s="7"/>
      <c r="Z163" s="7"/>
    </row>
    <row r="164" spans="1:26" ht="15.75" customHeight="1">
      <c r="A164" s="43"/>
      <c r="B164" s="30"/>
      <c r="C164" s="30"/>
      <c r="D164" s="31"/>
      <c r="E164" s="31"/>
      <c r="F164" s="31"/>
      <c r="G164" s="31"/>
      <c r="H164" s="31"/>
      <c r="I164" s="31"/>
      <c r="J164" s="31"/>
      <c r="K164" s="31"/>
      <c r="L164" s="31"/>
      <c r="M164" s="31"/>
      <c r="N164" s="7"/>
      <c r="O164" s="7"/>
      <c r="P164" s="7"/>
      <c r="Q164" s="7"/>
      <c r="R164" s="7"/>
      <c r="S164" s="7"/>
      <c r="T164" s="7"/>
      <c r="U164" s="7"/>
      <c r="V164" s="7"/>
      <c r="W164" s="7"/>
      <c r="X164" s="7"/>
      <c r="Y164" s="7"/>
      <c r="Z164" s="7"/>
    </row>
    <row r="165" spans="1:26" ht="15.75" customHeight="1">
      <c r="A165" s="43"/>
      <c r="B165" s="30"/>
      <c r="C165" s="30"/>
      <c r="D165" s="31"/>
      <c r="E165" s="31"/>
      <c r="F165" s="31"/>
      <c r="G165" s="31"/>
      <c r="H165" s="31"/>
      <c r="I165" s="31"/>
      <c r="J165" s="31"/>
      <c r="K165" s="31"/>
      <c r="L165" s="31"/>
      <c r="M165" s="31"/>
      <c r="N165" s="7"/>
      <c r="O165" s="7"/>
      <c r="P165" s="7"/>
      <c r="Q165" s="7"/>
      <c r="R165" s="7"/>
      <c r="S165" s="7"/>
      <c r="T165" s="7"/>
      <c r="U165" s="7"/>
      <c r="V165" s="7"/>
      <c r="W165" s="7"/>
      <c r="X165" s="7"/>
      <c r="Y165" s="7"/>
      <c r="Z165" s="7"/>
    </row>
    <row r="166" spans="1:26" ht="15.75" customHeight="1">
      <c r="A166" s="43"/>
      <c r="B166" s="30"/>
      <c r="C166" s="30"/>
      <c r="D166" s="31"/>
      <c r="E166" s="31"/>
      <c r="F166" s="31"/>
      <c r="G166" s="31"/>
      <c r="H166" s="31"/>
      <c r="I166" s="31"/>
      <c r="J166" s="31"/>
      <c r="K166" s="31"/>
      <c r="L166" s="31"/>
      <c r="M166" s="31"/>
      <c r="N166" s="7"/>
      <c r="O166" s="7"/>
      <c r="P166" s="7"/>
      <c r="Q166" s="7"/>
      <c r="R166" s="7"/>
      <c r="S166" s="7"/>
      <c r="T166" s="7"/>
      <c r="U166" s="7"/>
      <c r="V166" s="7"/>
      <c r="W166" s="7"/>
      <c r="X166" s="7"/>
      <c r="Y166" s="7"/>
      <c r="Z166" s="7"/>
    </row>
    <row r="167" spans="1:26" ht="15.75" customHeight="1">
      <c r="A167" s="43"/>
      <c r="B167" s="30"/>
      <c r="C167" s="30"/>
      <c r="D167" s="31"/>
      <c r="E167" s="31"/>
      <c r="F167" s="31"/>
      <c r="G167" s="31"/>
      <c r="H167" s="31"/>
      <c r="I167" s="31"/>
      <c r="J167" s="31"/>
      <c r="K167" s="31"/>
      <c r="L167" s="31"/>
      <c r="M167" s="31"/>
      <c r="N167" s="7"/>
      <c r="O167" s="7"/>
      <c r="P167" s="7"/>
      <c r="Q167" s="7"/>
      <c r="R167" s="7"/>
      <c r="S167" s="7"/>
      <c r="T167" s="7"/>
      <c r="U167" s="7"/>
      <c r="V167" s="7"/>
      <c r="W167" s="7"/>
      <c r="X167" s="7"/>
      <c r="Y167" s="7"/>
      <c r="Z167" s="7"/>
    </row>
    <row r="168" spans="1:26" ht="15.75" customHeight="1">
      <c r="A168" s="43"/>
      <c r="B168" s="30"/>
      <c r="C168" s="30"/>
      <c r="D168" s="31"/>
      <c r="E168" s="31"/>
      <c r="F168" s="31"/>
      <c r="G168" s="31"/>
      <c r="H168" s="31"/>
      <c r="I168" s="31"/>
      <c r="J168" s="31"/>
      <c r="K168" s="31"/>
      <c r="L168" s="31"/>
      <c r="M168" s="31"/>
      <c r="N168" s="7"/>
      <c r="O168" s="7"/>
      <c r="P168" s="7"/>
      <c r="Q168" s="7"/>
      <c r="R168" s="7"/>
      <c r="S168" s="7"/>
      <c r="T168" s="7"/>
      <c r="U168" s="7"/>
      <c r="V168" s="7"/>
      <c r="W168" s="7"/>
      <c r="X168" s="7"/>
      <c r="Y168" s="7"/>
      <c r="Z168" s="7"/>
    </row>
    <row r="169" spans="1:26" ht="15.75" customHeight="1">
      <c r="A169" s="43"/>
      <c r="B169" s="30"/>
      <c r="C169" s="30"/>
      <c r="D169" s="31"/>
      <c r="E169" s="31"/>
      <c r="F169" s="31"/>
      <c r="G169" s="31"/>
      <c r="H169" s="31"/>
      <c r="I169" s="31"/>
      <c r="J169" s="31"/>
      <c r="K169" s="31"/>
      <c r="L169" s="31"/>
      <c r="M169" s="31"/>
      <c r="N169" s="7"/>
      <c r="O169" s="7"/>
      <c r="P169" s="7"/>
      <c r="Q169" s="7"/>
      <c r="R169" s="7"/>
      <c r="S169" s="7"/>
      <c r="T169" s="7"/>
      <c r="U169" s="7"/>
      <c r="V169" s="7"/>
      <c r="W169" s="7"/>
      <c r="X169" s="7"/>
      <c r="Y169" s="7"/>
      <c r="Z169" s="7"/>
    </row>
    <row r="170" spans="1:26" ht="15.75" customHeight="1">
      <c r="A170" s="43"/>
      <c r="B170" s="30"/>
      <c r="C170" s="30"/>
      <c r="D170" s="31"/>
      <c r="E170" s="31"/>
      <c r="F170" s="31"/>
      <c r="G170" s="31"/>
      <c r="H170" s="31"/>
      <c r="I170" s="31"/>
      <c r="J170" s="31"/>
      <c r="K170" s="31"/>
      <c r="L170" s="31"/>
      <c r="M170" s="31"/>
      <c r="N170" s="7"/>
      <c r="O170" s="7"/>
      <c r="P170" s="7"/>
      <c r="Q170" s="7"/>
      <c r="R170" s="7"/>
      <c r="S170" s="7"/>
      <c r="T170" s="7"/>
      <c r="U170" s="7"/>
      <c r="V170" s="7"/>
      <c r="W170" s="7"/>
      <c r="X170" s="7"/>
      <c r="Y170" s="7"/>
      <c r="Z170" s="7"/>
    </row>
    <row r="171" spans="1:26" ht="15.75" customHeight="1">
      <c r="A171" s="43"/>
      <c r="B171" s="30"/>
      <c r="C171" s="30"/>
      <c r="D171" s="31"/>
      <c r="E171" s="31"/>
      <c r="F171" s="31"/>
      <c r="G171" s="31"/>
      <c r="H171" s="31"/>
      <c r="I171" s="31"/>
      <c r="J171" s="31"/>
      <c r="K171" s="31"/>
      <c r="L171" s="31"/>
      <c r="M171" s="31"/>
      <c r="N171" s="7"/>
      <c r="O171" s="7"/>
      <c r="P171" s="7"/>
      <c r="Q171" s="7"/>
      <c r="R171" s="7"/>
      <c r="S171" s="7"/>
      <c r="T171" s="7"/>
      <c r="U171" s="7"/>
      <c r="V171" s="7"/>
      <c r="W171" s="7"/>
      <c r="X171" s="7"/>
      <c r="Y171" s="7"/>
      <c r="Z171" s="7"/>
    </row>
    <row r="172" spans="1:26" ht="15.75" customHeight="1">
      <c r="A172" s="43"/>
      <c r="B172" s="30"/>
      <c r="C172" s="30"/>
      <c r="D172" s="31"/>
      <c r="E172" s="31"/>
      <c r="F172" s="31"/>
      <c r="G172" s="31"/>
      <c r="H172" s="31"/>
      <c r="I172" s="31"/>
      <c r="J172" s="31"/>
      <c r="K172" s="31"/>
      <c r="L172" s="31"/>
      <c r="M172" s="31"/>
      <c r="N172" s="7"/>
      <c r="O172" s="7"/>
      <c r="P172" s="7"/>
      <c r="Q172" s="7"/>
      <c r="R172" s="7"/>
      <c r="S172" s="7"/>
      <c r="T172" s="7"/>
      <c r="U172" s="7"/>
      <c r="V172" s="7"/>
      <c r="W172" s="7"/>
      <c r="X172" s="7"/>
      <c r="Y172" s="7"/>
      <c r="Z172" s="7"/>
    </row>
    <row r="173" spans="1:26" ht="15.75" customHeight="1">
      <c r="A173" s="43"/>
      <c r="B173" s="30"/>
      <c r="C173" s="30"/>
      <c r="D173" s="31"/>
      <c r="E173" s="31"/>
      <c r="F173" s="31"/>
      <c r="G173" s="31"/>
      <c r="H173" s="31"/>
      <c r="I173" s="31"/>
      <c r="J173" s="31"/>
      <c r="K173" s="31"/>
      <c r="L173" s="31"/>
      <c r="M173" s="31"/>
      <c r="N173" s="7"/>
      <c r="O173" s="7"/>
      <c r="P173" s="7"/>
      <c r="Q173" s="7"/>
      <c r="R173" s="7"/>
      <c r="S173" s="7"/>
      <c r="T173" s="7"/>
      <c r="U173" s="7"/>
      <c r="V173" s="7"/>
      <c r="W173" s="7"/>
      <c r="X173" s="7"/>
      <c r="Y173" s="7"/>
      <c r="Z173" s="7"/>
    </row>
    <row r="174" spans="1:26" ht="15.75" customHeight="1">
      <c r="A174" s="43"/>
      <c r="B174" s="30"/>
      <c r="C174" s="30"/>
      <c r="D174" s="31"/>
      <c r="E174" s="31"/>
      <c r="F174" s="31"/>
      <c r="G174" s="31"/>
      <c r="H174" s="31"/>
      <c r="I174" s="31"/>
      <c r="J174" s="31"/>
      <c r="K174" s="31"/>
      <c r="L174" s="31"/>
      <c r="M174" s="31"/>
      <c r="N174" s="7"/>
      <c r="O174" s="7"/>
      <c r="P174" s="7"/>
      <c r="Q174" s="7"/>
      <c r="R174" s="7"/>
      <c r="S174" s="7"/>
      <c r="T174" s="7"/>
      <c r="U174" s="7"/>
      <c r="V174" s="7"/>
      <c r="W174" s="7"/>
      <c r="X174" s="7"/>
      <c r="Y174" s="7"/>
      <c r="Z174" s="7"/>
    </row>
    <row r="175" spans="1:26" ht="15.75" customHeight="1">
      <c r="A175" s="43"/>
      <c r="B175" s="30"/>
      <c r="C175" s="30"/>
      <c r="D175" s="31"/>
      <c r="E175" s="31"/>
      <c r="F175" s="31"/>
      <c r="G175" s="31"/>
      <c r="H175" s="31"/>
      <c r="I175" s="31"/>
      <c r="J175" s="31"/>
      <c r="K175" s="31"/>
      <c r="L175" s="31"/>
      <c r="M175" s="31"/>
      <c r="N175" s="7"/>
      <c r="O175" s="7"/>
      <c r="P175" s="7"/>
      <c r="Q175" s="7"/>
      <c r="R175" s="7"/>
      <c r="S175" s="7"/>
      <c r="T175" s="7"/>
      <c r="U175" s="7"/>
      <c r="V175" s="7"/>
      <c r="W175" s="7"/>
      <c r="X175" s="7"/>
      <c r="Y175" s="7"/>
      <c r="Z175" s="7"/>
    </row>
    <row r="176" spans="1:26" ht="15.75" customHeight="1">
      <c r="A176" s="43"/>
      <c r="B176" s="30"/>
      <c r="C176" s="30"/>
      <c r="D176" s="31"/>
      <c r="E176" s="31"/>
      <c r="F176" s="31"/>
      <c r="G176" s="31"/>
      <c r="H176" s="31"/>
      <c r="I176" s="31"/>
      <c r="J176" s="31"/>
      <c r="K176" s="31"/>
      <c r="L176" s="31"/>
      <c r="M176" s="31"/>
      <c r="N176" s="7"/>
      <c r="O176" s="7"/>
      <c r="P176" s="7"/>
      <c r="Q176" s="7"/>
      <c r="R176" s="7"/>
      <c r="S176" s="7"/>
      <c r="T176" s="7"/>
      <c r="U176" s="7"/>
      <c r="V176" s="7"/>
      <c r="W176" s="7"/>
      <c r="X176" s="7"/>
      <c r="Y176" s="7"/>
      <c r="Z176" s="7"/>
    </row>
    <row r="177" spans="1:26" ht="15.75" customHeight="1">
      <c r="A177" s="43"/>
      <c r="B177" s="30"/>
      <c r="C177" s="30"/>
      <c r="D177" s="31"/>
      <c r="E177" s="31"/>
      <c r="F177" s="31"/>
      <c r="G177" s="31"/>
      <c r="H177" s="31"/>
      <c r="I177" s="31"/>
      <c r="J177" s="31"/>
      <c r="K177" s="31"/>
      <c r="L177" s="31"/>
      <c r="M177" s="31"/>
      <c r="N177" s="7"/>
      <c r="O177" s="7"/>
      <c r="P177" s="7"/>
      <c r="Q177" s="7"/>
      <c r="R177" s="7"/>
      <c r="S177" s="7"/>
      <c r="T177" s="7"/>
      <c r="U177" s="7"/>
      <c r="V177" s="7"/>
      <c r="W177" s="7"/>
      <c r="X177" s="7"/>
      <c r="Y177" s="7"/>
      <c r="Z177" s="7"/>
    </row>
    <row r="178" spans="1:26" ht="15.75" customHeight="1">
      <c r="A178" s="43"/>
      <c r="B178" s="30"/>
      <c r="C178" s="30"/>
      <c r="D178" s="31"/>
      <c r="E178" s="31"/>
      <c r="F178" s="31"/>
      <c r="G178" s="31"/>
      <c r="H178" s="31"/>
      <c r="I178" s="31"/>
      <c r="J178" s="31"/>
      <c r="K178" s="31"/>
      <c r="L178" s="31"/>
      <c r="M178" s="31"/>
      <c r="N178" s="7"/>
      <c r="O178" s="7"/>
      <c r="P178" s="7"/>
      <c r="Q178" s="7"/>
      <c r="R178" s="7"/>
      <c r="S178" s="7"/>
      <c r="T178" s="7"/>
      <c r="U178" s="7"/>
      <c r="V178" s="7"/>
      <c r="W178" s="7"/>
      <c r="X178" s="7"/>
      <c r="Y178" s="7"/>
      <c r="Z178" s="7"/>
    </row>
    <row r="179" spans="1:26" ht="15.75" customHeight="1">
      <c r="A179" s="43"/>
      <c r="B179" s="30"/>
      <c r="C179" s="30"/>
      <c r="D179" s="31"/>
      <c r="E179" s="31"/>
      <c r="F179" s="31"/>
      <c r="G179" s="31"/>
      <c r="H179" s="31"/>
      <c r="I179" s="31"/>
      <c r="J179" s="31"/>
      <c r="K179" s="31"/>
      <c r="L179" s="31"/>
      <c r="M179" s="31"/>
      <c r="N179" s="7"/>
      <c r="O179" s="7"/>
      <c r="P179" s="7"/>
      <c r="Q179" s="7"/>
      <c r="R179" s="7"/>
      <c r="S179" s="7"/>
      <c r="T179" s="7"/>
      <c r="U179" s="7"/>
      <c r="V179" s="7"/>
      <c r="W179" s="7"/>
      <c r="X179" s="7"/>
      <c r="Y179" s="7"/>
      <c r="Z179" s="7"/>
    </row>
    <row r="180" spans="1:26" ht="15.75" customHeight="1">
      <c r="A180" s="43"/>
      <c r="B180" s="30"/>
      <c r="C180" s="30"/>
      <c r="D180" s="31"/>
      <c r="E180" s="31"/>
      <c r="F180" s="31"/>
      <c r="G180" s="31"/>
      <c r="H180" s="31"/>
      <c r="I180" s="31"/>
      <c r="J180" s="31"/>
      <c r="K180" s="31"/>
      <c r="L180" s="31"/>
      <c r="M180" s="31"/>
      <c r="N180" s="7"/>
      <c r="O180" s="7"/>
      <c r="P180" s="7"/>
      <c r="Q180" s="7"/>
      <c r="R180" s="7"/>
      <c r="S180" s="7"/>
      <c r="T180" s="7"/>
      <c r="U180" s="7"/>
      <c r="V180" s="7"/>
      <c r="W180" s="7"/>
      <c r="X180" s="7"/>
      <c r="Y180" s="7"/>
      <c r="Z180" s="7"/>
    </row>
    <row r="181" spans="1:26" ht="15.75" customHeight="1">
      <c r="A181" s="43"/>
      <c r="B181" s="30"/>
      <c r="C181" s="30"/>
      <c r="D181" s="31"/>
      <c r="E181" s="31"/>
      <c r="F181" s="31"/>
      <c r="G181" s="31"/>
      <c r="H181" s="31"/>
      <c r="I181" s="31"/>
      <c r="J181" s="31"/>
      <c r="K181" s="31"/>
      <c r="L181" s="31"/>
      <c r="M181" s="31"/>
      <c r="N181" s="7"/>
      <c r="O181" s="7"/>
      <c r="P181" s="7"/>
      <c r="Q181" s="7"/>
      <c r="R181" s="7"/>
      <c r="S181" s="7"/>
      <c r="T181" s="7"/>
      <c r="U181" s="7"/>
      <c r="V181" s="7"/>
      <c r="W181" s="7"/>
      <c r="X181" s="7"/>
      <c r="Y181" s="7"/>
      <c r="Z181" s="7"/>
    </row>
    <row r="182" spans="1:26" ht="15.75" customHeight="1">
      <c r="A182" s="43"/>
      <c r="B182" s="30"/>
      <c r="C182" s="30"/>
      <c r="D182" s="31"/>
      <c r="E182" s="31"/>
      <c r="F182" s="31"/>
      <c r="G182" s="31"/>
      <c r="H182" s="31"/>
      <c r="I182" s="31"/>
      <c r="J182" s="31"/>
      <c r="K182" s="31"/>
      <c r="L182" s="31"/>
      <c r="M182" s="31"/>
      <c r="N182" s="7"/>
      <c r="O182" s="7"/>
      <c r="P182" s="7"/>
      <c r="Q182" s="7"/>
      <c r="R182" s="7"/>
      <c r="S182" s="7"/>
      <c r="T182" s="7"/>
      <c r="U182" s="7"/>
      <c r="V182" s="7"/>
      <c r="W182" s="7"/>
      <c r="X182" s="7"/>
      <c r="Y182" s="7"/>
      <c r="Z182" s="7"/>
    </row>
    <row r="183" spans="1:26" ht="15.75" customHeight="1">
      <c r="A183" s="43"/>
      <c r="B183" s="30"/>
      <c r="C183" s="30"/>
      <c r="D183" s="31"/>
      <c r="E183" s="31"/>
      <c r="F183" s="31"/>
      <c r="G183" s="31"/>
      <c r="H183" s="31"/>
      <c r="I183" s="31"/>
      <c r="J183" s="31"/>
      <c r="K183" s="31"/>
      <c r="L183" s="31"/>
      <c r="M183" s="31"/>
      <c r="N183" s="7"/>
      <c r="O183" s="7"/>
      <c r="P183" s="7"/>
      <c r="Q183" s="7"/>
      <c r="R183" s="7"/>
      <c r="S183" s="7"/>
      <c r="T183" s="7"/>
      <c r="U183" s="7"/>
      <c r="V183" s="7"/>
      <c r="W183" s="7"/>
      <c r="X183" s="7"/>
      <c r="Y183" s="7"/>
      <c r="Z183" s="7"/>
    </row>
    <row r="184" spans="1:26" ht="15.75" customHeight="1">
      <c r="A184" s="43"/>
      <c r="B184" s="30"/>
      <c r="C184" s="30"/>
      <c r="D184" s="31"/>
      <c r="E184" s="31"/>
      <c r="F184" s="31"/>
      <c r="G184" s="31"/>
      <c r="H184" s="31"/>
      <c r="I184" s="31"/>
      <c r="J184" s="31"/>
      <c r="K184" s="31"/>
      <c r="L184" s="31"/>
      <c r="M184" s="31"/>
      <c r="N184" s="7"/>
      <c r="O184" s="7"/>
      <c r="P184" s="7"/>
      <c r="Q184" s="7"/>
      <c r="R184" s="7"/>
      <c r="S184" s="7"/>
      <c r="T184" s="7"/>
      <c r="U184" s="7"/>
      <c r="V184" s="7"/>
      <c r="W184" s="7"/>
      <c r="X184" s="7"/>
      <c r="Y184" s="7"/>
      <c r="Z184" s="7"/>
    </row>
    <row r="185" spans="1:26" ht="15.75" customHeight="1">
      <c r="A185" s="43"/>
      <c r="B185" s="30"/>
      <c r="C185" s="30"/>
      <c r="D185" s="31"/>
      <c r="E185" s="31"/>
      <c r="F185" s="31"/>
      <c r="G185" s="31"/>
      <c r="H185" s="31"/>
      <c r="I185" s="31"/>
      <c r="J185" s="31"/>
      <c r="K185" s="31"/>
      <c r="L185" s="31"/>
      <c r="M185" s="31"/>
      <c r="N185" s="7"/>
      <c r="O185" s="7"/>
      <c r="P185" s="7"/>
      <c r="Q185" s="7"/>
      <c r="R185" s="7"/>
      <c r="S185" s="7"/>
      <c r="T185" s="7"/>
      <c r="U185" s="7"/>
      <c r="V185" s="7"/>
      <c r="W185" s="7"/>
      <c r="X185" s="7"/>
      <c r="Y185" s="7"/>
      <c r="Z185" s="7"/>
    </row>
    <row r="186" spans="1:26" ht="15.75" customHeight="1">
      <c r="A186" s="43"/>
      <c r="B186" s="30"/>
      <c r="C186" s="30"/>
      <c r="D186" s="31"/>
      <c r="E186" s="31"/>
      <c r="F186" s="31"/>
      <c r="G186" s="31"/>
      <c r="H186" s="31"/>
      <c r="I186" s="31"/>
      <c r="J186" s="31"/>
      <c r="K186" s="31"/>
      <c r="L186" s="31"/>
      <c r="M186" s="31"/>
      <c r="N186" s="7"/>
      <c r="O186" s="7"/>
      <c r="P186" s="7"/>
      <c r="Q186" s="7"/>
      <c r="R186" s="7"/>
      <c r="S186" s="7"/>
      <c r="T186" s="7"/>
      <c r="U186" s="7"/>
      <c r="V186" s="7"/>
      <c r="W186" s="7"/>
      <c r="X186" s="7"/>
      <c r="Y186" s="7"/>
      <c r="Z186" s="7"/>
    </row>
    <row r="187" spans="1:26" ht="15.75" customHeight="1">
      <c r="A187" s="43"/>
      <c r="B187" s="30"/>
      <c r="C187" s="30"/>
      <c r="D187" s="31"/>
      <c r="E187" s="31"/>
      <c r="F187" s="31"/>
      <c r="G187" s="31"/>
      <c r="H187" s="31"/>
      <c r="I187" s="31"/>
      <c r="J187" s="31"/>
      <c r="K187" s="31"/>
      <c r="L187" s="31"/>
      <c r="M187" s="31"/>
      <c r="N187" s="7"/>
      <c r="O187" s="7"/>
      <c r="P187" s="7"/>
      <c r="Q187" s="7"/>
      <c r="R187" s="7"/>
      <c r="S187" s="7"/>
      <c r="T187" s="7"/>
      <c r="U187" s="7"/>
      <c r="V187" s="7"/>
      <c r="W187" s="7"/>
      <c r="X187" s="7"/>
      <c r="Y187" s="7"/>
      <c r="Z187" s="7"/>
    </row>
    <row r="188" spans="1:26" ht="15.75" customHeight="1">
      <c r="A188" s="43"/>
      <c r="B188" s="30"/>
      <c r="C188" s="30"/>
      <c r="D188" s="31"/>
      <c r="E188" s="31"/>
      <c r="F188" s="31"/>
      <c r="G188" s="31"/>
      <c r="H188" s="31"/>
      <c r="I188" s="31"/>
      <c r="J188" s="31"/>
      <c r="K188" s="31"/>
      <c r="L188" s="31"/>
      <c r="M188" s="31"/>
      <c r="N188" s="7"/>
      <c r="O188" s="7"/>
      <c r="P188" s="7"/>
      <c r="Q188" s="7"/>
      <c r="R188" s="7"/>
      <c r="S188" s="7"/>
      <c r="T188" s="7"/>
      <c r="U188" s="7"/>
      <c r="V188" s="7"/>
      <c r="W188" s="7"/>
      <c r="X188" s="7"/>
      <c r="Y188" s="7"/>
      <c r="Z188" s="7"/>
    </row>
    <row r="189" spans="1:26" ht="15.75" customHeight="1">
      <c r="A189" s="43"/>
      <c r="B189" s="30"/>
      <c r="C189" s="30"/>
      <c r="D189" s="31"/>
      <c r="E189" s="31"/>
      <c r="F189" s="31"/>
      <c r="G189" s="31"/>
      <c r="H189" s="31"/>
      <c r="I189" s="31"/>
      <c r="J189" s="31"/>
      <c r="K189" s="31"/>
      <c r="L189" s="31"/>
      <c r="M189" s="31"/>
      <c r="N189" s="7"/>
      <c r="O189" s="7"/>
      <c r="P189" s="7"/>
      <c r="Q189" s="7"/>
      <c r="R189" s="7"/>
      <c r="S189" s="7"/>
      <c r="T189" s="7"/>
      <c r="U189" s="7"/>
      <c r="V189" s="7"/>
      <c r="W189" s="7"/>
      <c r="X189" s="7"/>
      <c r="Y189" s="7"/>
      <c r="Z189" s="7"/>
    </row>
    <row r="190" spans="1:26" ht="15.75" customHeight="1">
      <c r="A190" s="43"/>
      <c r="B190" s="30"/>
      <c r="C190" s="30"/>
      <c r="D190" s="31"/>
      <c r="E190" s="31"/>
      <c r="F190" s="31"/>
      <c r="G190" s="31"/>
      <c r="H190" s="31"/>
      <c r="I190" s="31"/>
      <c r="J190" s="31"/>
      <c r="K190" s="31"/>
      <c r="L190" s="31"/>
      <c r="M190" s="31"/>
      <c r="N190" s="7"/>
      <c r="O190" s="7"/>
      <c r="P190" s="7"/>
      <c r="Q190" s="7"/>
      <c r="R190" s="7"/>
      <c r="S190" s="7"/>
      <c r="T190" s="7"/>
      <c r="U190" s="7"/>
      <c r="V190" s="7"/>
      <c r="W190" s="7"/>
      <c r="X190" s="7"/>
      <c r="Y190" s="7"/>
      <c r="Z190" s="7"/>
    </row>
    <row r="191" spans="1:26" ht="15.75" customHeight="1">
      <c r="A191" s="43"/>
      <c r="B191" s="30"/>
      <c r="C191" s="30"/>
      <c r="D191" s="31"/>
      <c r="E191" s="31"/>
      <c r="F191" s="31"/>
      <c r="G191" s="31"/>
      <c r="H191" s="31"/>
      <c r="I191" s="31"/>
      <c r="J191" s="31"/>
      <c r="K191" s="31"/>
      <c r="L191" s="31"/>
      <c r="M191" s="31"/>
      <c r="N191" s="7"/>
      <c r="O191" s="7"/>
      <c r="P191" s="7"/>
      <c r="Q191" s="7"/>
      <c r="R191" s="7"/>
      <c r="S191" s="7"/>
      <c r="T191" s="7"/>
      <c r="U191" s="7"/>
      <c r="V191" s="7"/>
      <c r="W191" s="7"/>
      <c r="X191" s="7"/>
      <c r="Y191" s="7"/>
      <c r="Z191" s="7"/>
    </row>
    <row r="192" spans="1:26" ht="15.75" customHeight="1">
      <c r="A192" s="43"/>
      <c r="B192" s="30"/>
      <c r="C192" s="30"/>
      <c r="D192" s="31"/>
      <c r="E192" s="31"/>
      <c r="F192" s="31"/>
      <c r="G192" s="31"/>
      <c r="H192" s="31"/>
      <c r="I192" s="31"/>
      <c r="J192" s="31"/>
      <c r="K192" s="31"/>
      <c r="L192" s="31"/>
      <c r="M192" s="31"/>
      <c r="N192" s="7"/>
      <c r="O192" s="7"/>
      <c r="P192" s="7"/>
      <c r="Q192" s="7"/>
      <c r="R192" s="7"/>
      <c r="S192" s="7"/>
      <c r="T192" s="7"/>
      <c r="U192" s="7"/>
      <c r="V192" s="7"/>
      <c r="W192" s="7"/>
      <c r="X192" s="7"/>
      <c r="Y192" s="7"/>
      <c r="Z192" s="7"/>
    </row>
    <row r="193" spans="1:26" ht="15.75" customHeight="1">
      <c r="A193" s="43"/>
      <c r="B193" s="30"/>
      <c r="C193" s="30"/>
      <c r="D193" s="31"/>
      <c r="E193" s="31"/>
      <c r="F193" s="31"/>
      <c r="G193" s="31"/>
      <c r="H193" s="31"/>
      <c r="I193" s="31"/>
      <c r="J193" s="31"/>
      <c r="K193" s="31"/>
      <c r="L193" s="31"/>
      <c r="M193" s="31"/>
      <c r="N193" s="7"/>
      <c r="O193" s="7"/>
      <c r="P193" s="7"/>
      <c r="Q193" s="7"/>
      <c r="R193" s="7"/>
      <c r="S193" s="7"/>
      <c r="T193" s="7"/>
      <c r="U193" s="7"/>
      <c r="V193" s="7"/>
      <c r="W193" s="7"/>
      <c r="X193" s="7"/>
      <c r="Y193" s="7"/>
      <c r="Z193" s="7"/>
    </row>
    <row r="194" spans="1:26" ht="15.75" customHeight="1">
      <c r="A194" s="43"/>
      <c r="B194" s="30"/>
      <c r="C194" s="30"/>
      <c r="D194" s="31"/>
      <c r="E194" s="31"/>
      <c r="F194" s="31"/>
      <c r="G194" s="31"/>
      <c r="H194" s="31"/>
      <c r="I194" s="31"/>
      <c r="J194" s="31"/>
      <c r="K194" s="31"/>
      <c r="L194" s="31"/>
      <c r="M194" s="31"/>
      <c r="N194" s="7"/>
      <c r="O194" s="7"/>
      <c r="P194" s="7"/>
      <c r="Q194" s="7"/>
      <c r="R194" s="7"/>
      <c r="S194" s="7"/>
      <c r="T194" s="7"/>
      <c r="U194" s="7"/>
      <c r="V194" s="7"/>
      <c r="W194" s="7"/>
      <c r="X194" s="7"/>
      <c r="Y194" s="7"/>
      <c r="Z194" s="7"/>
    </row>
    <row r="195" spans="1:26" ht="15.75" customHeight="1">
      <c r="A195" s="43"/>
      <c r="B195" s="30"/>
      <c r="C195" s="30"/>
      <c r="D195" s="31"/>
      <c r="E195" s="31"/>
      <c r="F195" s="31"/>
      <c r="G195" s="31"/>
      <c r="H195" s="31"/>
      <c r="I195" s="31"/>
      <c r="J195" s="31"/>
      <c r="K195" s="31"/>
      <c r="L195" s="31"/>
      <c r="M195" s="31"/>
      <c r="N195" s="7"/>
      <c r="O195" s="7"/>
      <c r="P195" s="7"/>
      <c r="Q195" s="7"/>
      <c r="R195" s="7"/>
      <c r="S195" s="7"/>
      <c r="T195" s="7"/>
      <c r="U195" s="7"/>
      <c r="V195" s="7"/>
      <c r="W195" s="7"/>
      <c r="X195" s="7"/>
      <c r="Y195" s="7"/>
      <c r="Z195" s="7"/>
    </row>
    <row r="196" spans="1:26" ht="15.75" customHeight="1">
      <c r="A196" s="43"/>
      <c r="B196" s="30"/>
      <c r="C196" s="30"/>
      <c r="D196" s="31"/>
      <c r="E196" s="31"/>
      <c r="F196" s="31"/>
      <c r="G196" s="31"/>
      <c r="H196" s="31"/>
      <c r="I196" s="31"/>
      <c r="J196" s="31"/>
      <c r="K196" s="31"/>
      <c r="L196" s="31"/>
      <c r="M196" s="31"/>
      <c r="N196" s="7"/>
      <c r="O196" s="7"/>
      <c r="P196" s="7"/>
      <c r="Q196" s="7"/>
      <c r="R196" s="7"/>
      <c r="S196" s="7"/>
      <c r="T196" s="7"/>
      <c r="U196" s="7"/>
      <c r="V196" s="7"/>
      <c r="W196" s="7"/>
      <c r="X196" s="7"/>
      <c r="Y196" s="7"/>
      <c r="Z196" s="7"/>
    </row>
    <row r="197" spans="1:26" ht="15.75" customHeight="1">
      <c r="A197" s="43"/>
      <c r="B197" s="30"/>
      <c r="C197" s="30"/>
      <c r="D197" s="31"/>
      <c r="E197" s="31"/>
      <c r="F197" s="31"/>
      <c r="G197" s="31"/>
      <c r="H197" s="31"/>
      <c r="I197" s="31"/>
      <c r="J197" s="31"/>
      <c r="K197" s="31"/>
      <c r="L197" s="31"/>
      <c r="M197" s="31"/>
      <c r="N197" s="7"/>
      <c r="O197" s="7"/>
      <c r="P197" s="7"/>
      <c r="Q197" s="7"/>
      <c r="R197" s="7"/>
      <c r="S197" s="7"/>
      <c r="T197" s="7"/>
      <c r="U197" s="7"/>
      <c r="V197" s="7"/>
      <c r="W197" s="7"/>
      <c r="X197" s="7"/>
      <c r="Y197" s="7"/>
      <c r="Z197" s="7"/>
    </row>
    <row r="198" spans="1:26" ht="15.75" customHeight="1">
      <c r="A198" s="43"/>
      <c r="B198" s="30"/>
      <c r="C198" s="30"/>
      <c r="D198" s="31"/>
      <c r="E198" s="31"/>
      <c r="F198" s="31"/>
      <c r="G198" s="31"/>
      <c r="H198" s="31"/>
      <c r="I198" s="31"/>
      <c r="J198" s="31"/>
      <c r="K198" s="31"/>
      <c r="L198" s="31"/>
      <c r="M198" s="31"/>
      <c r="N198" s="7"/>
      <c r="O198" s="7"/>
      <c r="P198" s="7"/>
      <c r="Q198" s="7"/>
      <c r="R198" s="7"/>
      <c r="S198" s="7"/>
      <c r="T198" s="7"/>
      <c r="U198" s="7"/>
      <c r="V198" s="7"/>
      <c r="W198" s="7"/>
      <c r="X198" s="7"/>
      <c r="Y198" s="7"/>
      <c r="Z198" s="7"/>
    </row>
    <row r="199" spans="1:26" ht="15.75" customHeight="1">
      <c r="A199" s="43"/>
      <c r="B199" s="30"/>
      <c r="C199" s="30"/>
      <c r="D199" s="31"/>
      <c r="E199" s="31"/>
      <c r="F199" s="31"/>
      <c r="G199" s="31"/>
      <c r="H199" s="31"/>
      <c r="I199" s="31"/>
      <c r="J199" s="31"/>
      <c r="K199" s="31"/>
      <c r="L199" s="31"/>
      <c r="M199" s="31"/>
      <c r="N199" s="7"/>
      <c r="O199" s="7"/>
      <c r="P199" s="7"/>
      <c r="Q199" s="7"/>
      <c r="R199" s="7"/>
      <c r="S199" s="7"/>
      <c r="T199" s="7"/>
      <c r="U199" s="7"/>
      <c r="V199" s="7"/>
      <c r="W199" s="7"/>
      <c r="X199" s="7"/>
      <c r="Y199" s="7"/>
      <c r="Z199" s="7"/>
    </row>
    <row r="200" spans="1:26" ht="15.75" customHeight="1">
      <c r="A200" s="43"/>
      <c r="B200" s="30"/>
      <c r="C200" s="30"/>
      <c r="D200" s="31"/>
      <c r="E200" s="31"/>
      <c r="F200" s="31"/>
      <c r="G200" s="31"/>
      <c r="H200" s="31"/>
      <c r="I200" s="31"/>
      <c r="J200" s="31"/>
      <c r="K200" s="31"/>
      <c r="L200" s="31"/>
      <c r="M200" s="31"/>
      <c r="N200" s="7"/>
      <c r="O200" s="7"/>
      <c r="P200" s="7"/>
      <c r="Q200" s="7"/>
      <c r="R200" s="7"/>
      <c r="S200" s="7"/>
      <c r="T200" s="7"/>
      <c r="U200" s="7"/>
      <c r="V200" s="7"/>
      <c r="W200" s="7"/>
      <c r="X200" s="7"/>
      <c r="Y200" s="7"/>
      <c r="Z200" s="7"/>
    </row>
    <row r="201" spans="1:26" ht="15.75" customHeight="1">
      <c r="A201" s="43"/>
      <c r="B201" s="30"/>
      <c r="C201" s="30"/>
      <c r="D201" s="31"/>
      <c r="E201" s="31"/>
      <c r="F201" s="31"/>
      <c r="G201" s="31"/>
      <c r="H201" s="31"/>
      <c r="I201" s="31"/>
      <c r="J201" s="31"/>
      <c r="K201" s="31"/>
      <c r="L201" s="31"/>
      <c r="M201" s="31"/>
      <c r="N201" s="7"/>
      <c r="O201" s="7"/>
      <c r="P201" s="7"/>
      <c r="Q201" s="7"/>
      <c r="R201" s="7"/>
      <c r="S201" s="7"/>
      <c r="T201" s="7"/>
      <c r="U201" s="7"/>
      <c r="V201" s="7"/>
      <c r="W201" s="7"/>
      <c r="X201" s="7"/>
      <c r="Y201" s="7"/>
      <c r="Z201" s="7"/>
    </row>
    <row r="202" spans="1:26" ht="15.75" customHeight="1">
      <c r="A202" s="43"/>
      <c r="B202" s="30"/>
      <c r="C202" s="30"/>
      <c r="D202" s="31"/>
      <c r="E202" s="31"/>
      <c r="F202" s="31"/>
      <c r="G202" s="31"/>
      <c r="H202" s="31"/>
      <c r="I202" s="31"/>
      <c r="J202" s="31"/>
      <c r="K202" s="31"/>
      <c r="L202" s="31"/>
      <c r="M202" s="31"/>
      <c r="N202" s="7"/>
      <c r="O202" s="7"/>
      <c r="P202" s="7"/>
      <c r="Q202" s="7"/>
      <c r="R202" s="7"/>
      <c r="S202" s="7"/>
      <c r="T202" s="7"/>
      <c r="U202" s="7"/>
      <c r="V202" s="7"/>
      <c r="W202" s="7"/>
      <c r="X202" s="7"/>
      <c r="Y202" s="7"/>
      <c r="Z202" s="7"/>
    </row>
    <row r="203" spans="1:26" ht="15.75" customHeight="1">
      <c r="A203" s="43"/>
      <c r="B203" s="30"/>
      <c r="C203" s="30"/>
      <c r="D203" s="31"/>
      <c r="E203" s="31"/>
      <c r="F203" s="31"/>
      <c r="G203" s="31"/>
      <c r="H203" s="31"/>
      <c r="I203" s="31"/>
      <c r="J203" s="31"/>
      <c r="K203" s="31"/>
      <c r="L203" s="31"/>
      <c r="M203" s="31"/>
      <c r="N203" s="7"/>
      <c r="O203" s="7"/>
      <c r="P203" s="7"/>
      <c r="Q203" s="7"/>
      <c r="R203" s="7"/>
      <c r="S203" s="7"/>
      <c r="T203" s="7"/>
      <c r="U203" s="7"/>
      <c r="V203" s="7"/>
      <c r="W203" s="7"/>
      <c r="X203" s="7"/>
      <c r="Y203" s="7"/>
      <c r="Z203" s="7"/>
    </row>
    <row r="204" spans="1:26" ht="15.75" customHeight="1">
      <c r="A204" s="43"/>
      <c r="B204" s="30"/>
      <c r="C204" s="30"/>
      <c r="D204" s="31"/>
      <c r="E204" s="31"/>
      <c r="F204" s="31"/>
      <c r="G204" s="31"/>
      <c r="H204" s="31"/>
      <c r="I204" s="31"/>
      <c r="J204" s="31"/>
      <c r="K204" s="31"/>
      <c r="L204" s="31"/>
      <c r="M204" s="31"/>
      <c r="N204" s="7"/>
      <c r="O204" s="7"/>
      <c r="P204" s="7"/>
      <c r="Q204" s="7"/>
      <c r="R204" s="7"/>
      <c r="S204" s="7"/>
      <c r="T204" s="7"/>
      <c r="U204" s="7"/>
      <c r="V204" s="7"/>
      <c r="W204" s="7"/>
      <c r="X204" s="7"/>
      <c r="Y204" s="7"/>
      <c r="Z204" s="7"/>
    </row>
    <row r="205" spans="1:26" ht="15.75" customHeight="1">
      <c r="A205" s="43"/>
      <c r="B205" s="30"/>
      <c r="C205" s="30"/>
      <c r="D205" s="31"/>
      <c r="E205" s="31"/>
      <c r="F205" s="31"/>
      <c r="G205" s="31"/>
      <c r="H205" s="31"/>
      <c r="I205" s="31"/>
      <c r="J205" s="31"/>
      <c r="K205" s="31"/>
      <c r="L205" s="31"/>
      <c r="M205" s="31"/>
      <c r="N205" s="7"/>
      <c r="O205" s="7"/>
      <c r="P205" s="7"/>
      <c r="Q205" s="7"/>
      <c r="R205" s="7"/>
      <c r="S205" s="7"/>
      <c r="T205" s="7"/>
      <c r="U205" s="7"/>
      <c r="V205" s="7"/>
      <c r="W205" s="7"/>
      <c r="X205" s="7"/>
      <c r="Y205" s="7"/>
      <c r="Z205" s="7"/>
    </row>
    <row r="206" spans="1:26" ht="15.75" customHeight="1">
      <c r="A206" s="43"/>
      <c r="B206" s="30"/>
      <c r="C206" s="30"/>
      <c r="D206" s="31"/>
      <c r="E206" s="31"/>
      <c r="F206" s="31"/>
      <c r="G206" s="31"/>
      <c r="H206" s="31"/>
      <c r="I206" s="31"/>
      <c r="J206" s="31"/>
      <c r="K206" s="31"/>
      <c r="L206" s="31"/>
      <c r="M206" s="31"/>
      <c r="N206" s="7"/>
      <c r="O206" s="7"/>
      <c r="P206" s="7"/>
      <c r="Q206" s="7"/>
      <c r="R206" s="7"/>
      <c r="S206" s="7"/>
      <c r="T206" s="7"/>
      <c r="U206" s="7"/>
      <c r="V206" s="7"/>
      <c r="W206" s="7"/>
      <c r="X206" s="7"/>
      <c r="Y206" s="7"/>
      <c r="Z206" s="7"/>
    </row>
    <row r="207" spans="1:26" ht="15.75" customHeight="1">
      <c r="A207" s="43"/>
      <c r="B207" s="30"/>
      <c r="C207" s="30"/>
      <c r="D207" s="31"/>
      <c r="E207" s="31"/>
      <c r="F207" s="31"/>
      <c r="G207" s="31"/>
      <c r="H207" s="31"/>
      <c r="I207" s="31"/>
      <c r="J207" s="31"/>
      <c r="K207" s="31"/>
      <c r="L207" s="31"/>
      <c r="M207" s="31"/>
      <c r="N207" s="7"/>
      <c r="O207" s="7"/>
      <c r="P207" s="7"/>
      <c r="Q207" s="7"/>
      <c r="R207" s="7"/>
      <c r="S207" s="7"/>
      <c r="T207" s="7"/>
      <c r="U207" s="7"/>
      <c r="V207" s="7"/>
      <c r="W207" s="7"/>
      <c r="X207" s="7"/>
      <c r="Y207" s="7"/>
      <c r="Z207" s="7"/>
    </row>
    <row r="208" spans="1:26" ht="15.75" customHeight="1">
      <c r="A208" s="43"/>
      <c r="B208" s="30"/>
      <c r="C208" s="30"/>
      <c r="D208" s="31"/>
      <c r="E208" s="31"/>
      <c r="F208" s="31"/>
      <c r="G208" s="31"/>
      <c r="H208" s="31"/>
      <c r="I208" s="31"/>
      <c r="J208" s="31"/>
      <c r="K208" s="31"/>
      <c r="L208" s="31"/>
      <c r="M208" s="31"/>
      <c r="N208" s="7"/>
      <c r="O208" s="7"/>
      <c r="P208" s="7"/>
      <c r="Q208" s="7"/>
      <c r="R208" s="7"/>
      <c r="S208" s="7"/>
      <c r="T208" s="7"/>
      <c r="U208" s="7"/>
      <c r="V208" s="7"/>
      <c r="W208" s="7"/>
      <c r="X208" s="7"/>
      <c r="Y208" s="7"/>
      <c r="Z208" s="7"/>
    </row>
    <row r="209" spans="1:26" ht="15.75" customHeight="1">
      <c r="A209" s="43"/>
      <c r="B209" s="30"/>
      <c r="C209" s="30"/>
      <c r="D209" s="31"/>
      <c r="E209" s="31"/>
      <c r="F209" s="31"/>
      <c r="G209" s="31"/>
      <c r="H209" s="31"/>
      <c r="I209" s="31"/>
      <c r="J209" s="31"/>
      <c r="K209" s="31"/>
      <c r="L209" s="31"/>
      <c r="M209" s="31"/>
      <c r="N209" s="7"/>
      <c r="O209" s="7"/>
      <c r="P209" s="7"/>
      <c r="Q209" s="7"/>
      <c r="R209" s="7"/>
      <c r="S209" s="7"/>
      <c r="T209" s="7"/>
      <c r="U209" s="7"/>
      <c r="V209" s="7"/>
      <c r="W209" s="7"/>
      <c r="X209" s="7"/>
      <c r="Y209" s="7"/>
      <c r="Z209" s="7"/>
    </row>
    <row r="210" spans="1:26" ht="15.75" customHeight="1">
      <c r="A210" s="43"/>
      <c r="B210" s="30"/>
      <c r="C210" s="30"/>
      <c r="D210" s="31"/>
      <c r="E210" s="31"/>
      <c r="F210" s="31"/>
      <c r="G210" s="31"/>
      <c r="H210" s="31"/>
      <c r="I210" s="31"/>
      <c r="J210" s="31"/>
      <c r="K210" s="31"/>
      <c r="L210" s="31"/>
      <c r="M210" s="31"/>
      <c r="N210" s="7"/>
      <c r="O210" s="7"/>
      <c r="P210" s="7"/>
      <c r="Q210" s="7"/>
      <c r="R210" s="7"/>
      <c r="S210" s="7"/>
      <c r="T210" s="7"/>
      <c r="U210" s="7"/>
      <c r="V210" s="7"/>
      <c r="W210" s="7"/>
      <c r="X210" s="7"/>
      <c r="Y210" s="7"/>
      <c r="Z210" s="7"/>
    </row>
    <row r="211" spans="1:26" ht="15.75" customHeight="1">
      <c r="A211" s="43"/>
      <c r="B211" s="30"/>
      <c r="C211" s="30"/>
      <c r="D211" s="31"/>
      <c r="E211" s="31"/>
      <c r="F211" s="31"/>
      <c r="G211" s="31"/>
      <c r="H211" s="31"/>
      <c r="I211" s="31"/>
      <c r="J211" s="31"/>
      <c r="K211" s="31"/>
      <c r="L211" s="31"/>
      <c r="M211" s="31"/>
      <c r="N211" s="7"/>
      <c r="O211" s="7"/>
      <c r="P211" s="7"/>
      <c r="Q211" s="7"/>
      <c r="R211" s="7"/>
      <c r="S211" s="7"/>
      <c r="T211" s="7"/>
      <c r="U211" s="7"/>
      <c r="V211" s="7"/>
      <c r="W211" s="7"/>
      <c r="X211" s="7"/>
      <c r="Y211" s="7"/>
      <c r="Z211" s="7"/>
    </row>
    <row r="212" spans="1:26" ht="15.75" customHeight="1">
      <c r="A212" s="43"/>
      <c r="B212" s="30"/>
      <c r="C212" s="30"/>
      <c r="D212" s="31"/>
      <c r="E212" s="31"/>
      <c r="F212" s="31"/>
      <c r="G212" s="31"/>
      <c r="H212" s="31"/>
      <c r="I212" s="31"/>
      <c r="J212" s="31"/>
      <c r="K212" s="31"/>
      <c r="L212" s="31"/>
      <c r="M212" s="31"/>
      <c r="N212" s="7"/>
      <c r="O212" s="7"/>
      <c r="P212" s="7"/>
      <c r="Q212" s="7"/>
      <c r="R212" s="7"/>
      <c r="S212" s="7"/>
      <c r="T212" s="7"/>
      <c r="U212" s="7"/>
      <c r="V212" s="7"/>
      <c r="W212" s="7"/>
      <c r="X212" s="7"/>
      <c r="Y212" s="7"/>
      <c r="Z212" s="7"/>
    </row>
    <row r="213" spans="1:26" ht="15.75" customHeight="1">
      <c r="A213" s="43"/>
      <c r="B213" s="30"/>
      <c r="C213" s="30"/>
      <c r="D213" s="31"/>
      <c r="E213" s="31"/>
      <c r="F213" s="31"/>
      <c r="G213" s="31"/>
      <c r="H213" s="31"/>
      <c r="I213" s="31"/>
      <c r="J213" s="31"/>
      <c r="K213" s="31"/>
      <c r="L213" s="31"/>
      <c r="M213" s="31"/>
      <c r="N213" s="7"/>
      <c r="O213" s="7"/>
      <c r="P213" s="7"/>
      <c r="Q213" s="7"/>
      <c r="R213" s="7"/>
      <c r="S213" s="7"/>
      <c r="T213" s="7"/>
      <c r="U213" s="7"/>
      <c r="V213" s="7"/>
      <c r="W213" s="7"/>
      <c r="X213" s="7"/>
      <c r="Y213" s="7"/>
      <c r="Z213" s="7"/>
    </row>
    <row r="214" spans="1:26" ht="15.75" customHeight="1">
      <c r="A214" s="43"/>
      <c r="B214" s="30"/>
      <c r="C214" s="30"/>
      <c r="D214" s="31"/>
      <c r="E214" s="31"/>
      <c r="F214" s="31"/>
      <c r="G214" s="31"/>
      <c r="H214" s="31"/>
      <c r="I214" s="31"/>
      <c r="J214" s="31"/>
      <c r="K214" s="31"/>
      <c r="L214" s="31"/>
      <c r="M214" s="31"/>
      <c r="N214" s="7"/>
      <c r="O214" s="7"/>
      <c r="P214" s="7"/>
      <c r="Q214" s="7"/>
      <c r="R214" s="7"/>
      <c r="S214" s="7"/>
      <c r="T214" s="7"/>
      <c r="U214" s="7"/>
      <c r="V214" s="7"/>
      <c r="W214" s="7"/>
      <c r="X214" s="7"/>
      <c r="Y214" s="7"/>
      <c r="Z214" s="7"/>
    </row>
    <row r="215" spans="1:26" ht="15.75" customHeight="1">
      <c r="A215" s="43"/>
      <c r="B215" s="30"/>
      <c r="C215" s="30"/>
      <c r="D215" s="31"/>
      <c r="E215" s="31"/>
      <c r="F215" s="31"/>
      <c r="G215" s="31"/>
      <c r="H215" s="31"/>
      <c r="I215" s="31"/>
      <c r="J215" s="31"/>
      <c r="K215" s="31"/>
      <c r="L215" s="31"/>
      <c r="M215" s="31"/>
      <c r="N215" s="7"/>
      <c r="O215" s="7"/>
      <c r="P215" s="7"/>
      <c r="Q215" s="7"/>
      <c r="R215" s="7"/>
      <c r="S215" s="7"/>
      <c r="T215" s="7"/>
      <c r="U215" s="7"/>
      <c r="V215" s="7"/>
      <c r="W215" s="7"/>
      <c r="X215" s="7"/>
      <c r="Y215" s="7"/>
      <c r="Z215" s="7"/>
    </row>
    <row r="216" spans="1:26" ht="15.75" customHeight="1">
      <c r="A216" s="43"/>
      <c r="B216" s="30"/>
      <c r="C216" s="30"/>
      <c r="D216" s="31"/>
      <c r="E216" s="31"/>
      <c r="F216" s="31"/>
      <c r="G216" s="31"/>
      <c r="H216" s="31"/>
      <c r="I216" s="31"/>
      <c r="J216" s="31"/>
      <c r="K216" s="31"/>
      <c r="L216" s="31"/>
      <c r="M216" s="31"/>
      <c r="N216" s="7"/>
      <c r="O216" s="7"/>
      <c r="P216" s="7"/>
      <c r="Q216" s="7"/>
      <c r="R216" s="7"/>
      <c r="S216" s="7"/>
      <c r="T216" s="7"/>
      <c r="U216" s="7"/>
      <c r="V216" s="7"/>
      <c r="W216" s="7"/>
      <c r="X216" s="7"/>
      <c r="Y216" s="7"/>
      <c r="Z216" s="7"/>
    </row>
    <row r="217" spans="1:26" ht="15.75" customHeight="1">
      <c r="A217" s="43"/>
      <c r="B217" s="30"/>
      <c r="C217" s="30"/>
      <c r="D217" s="31"/>
      <c r="E217" s="31"/>
      <c r="F217" s="31"/>
      <c r="G217" s="31"/>
      <c r="H217" s="31"/>
      <c r="I217" s="31"/>
      <c r="J217" s="31"/>
      <c r="K217" s="31"/>
      <c r="L217" s="31"/>
      <c r="M217" s="31"/>
      <c r="N217" s="7"/>
      <c r="O217" s="7"/>
      <c r="P217" s="7"/>
      <c r="Q217" s="7"/>
      <c r="R217" s="7"/>
      <c r="S217" s="7"/>
      <c r="T217" s="7"/>
      <c r="U217" s="7"/>
      <c r="V217" s="7"/>
      <c r="W217" s="7"/>
      <c r="X217" s="7"/>
      <c r="Y217" s="7"/>
      <c r="Z217" s="7"/>
    </row>
    <row r="218" spans="1:26" ht="15.75" customHeight="1">
      <c r="A218" s="43"/>
      <c r="B218" s="30"/>
      <c r="C218" s="30"/>
      <c r="D218" s="31"/>
      <c r="E218" s="31"/>
      <c r="F218" s="31"/>
      <c r="G218" s="31"/>
      <c r="H218" s="31"/>
      <c r="I218" s="31"/>
      <c r="J218" s="31"/>
      <c r="K218" s="31"/>
      <c r="L218" s="31"/>
      <c r="M218" s="31"/>
      <c r="N218" s="7"/>
      <c r="O218" s="7"/>
      <c r="P218" s="7"/>
      <c r="Q218" s="7"/>
      <c r="R218" s="7"/>
      <c r="S218" s="7"/>
      <c r="T218" s="7"/>
      <c r="U218" s="7"/>
      <c r="V218" s="7"/>
      <c r="W218" s="7"/>
      <c r="X218" s="7"/>
      <c r="Y218" s="7"/>
      <c r="Z218" s="7"/>
    </row>
    <row r="219" spans="1:26" ht="15.75" customHeight="1">
      <c r="A219" s="43"/>
      <c r="B219" s="30"/>
      <c r="C219" s="30"/>
      <c r="D219" s="31"/>
      <c r="E219" s="31"/>
      <c r="F219" s="31"/>
      <c r="G219" s="31"/>
      <c r="H219" s="31"/>
      <c r="I219" s="31"/>
      <c r="J219" s="31"/>
      <c r="K219" s="31"/>
      <c r="L219" s="31"/>
      <c r="M219" s="31"/>
      <c r="N219" s="7"/>
      <c r="O219" s="7"/>
      <c r="P219" s="7"/>
      <c r="Q219" s="7"/>
      <c r="R219" s="7"/>
      <c r="S219" s="7"/>
      <c r="T219" s="7"/>
      <c r="U219" s="7"/>
      <c r="V219" s="7"/>
      <c r="W219" s="7"/>
      <c r="X219" s="7"/>
      <c r="Y219" s="7"/>
      <c r="Z219" s="7"/>
    </row>
    <row r="220" spans="1:26" ht="15.75" customHeight="1">
      <c r="A220" s="43"/>
      <c r="B220" s="30"/>
      <c r="C220" s="30"/>
      <c r="D220" s="31"/>
      <c r="E220" s="31"/>
      <c r="F220" s="31"/>
      <c r="G220" s="31"/>
      <c r="H220" s="31"/>
      <c r="I220" s="31"/>
      <c r="J220" s="31"/>
      <c r="K220" s="31"/>
      <c r="L220" s="31"/>
      <c r="M220" s="31"/>
      <c r="N220" s="7"/>
      <c r="O220" s="7"/>
      <c r="P220" s="7"/>
      <c r="Q220" s="7"/>
      <c r="R220" s="7"/>
      <c r="S220" s="7"/>
      <c r="T220" s="7"/>
      <c r="U220" s="7"/>
      <c r="V220" s="7"/>
      <c r="W220" s="7"/>
      <c r="X220" s="7"/>
      <c r="Y220" s="7"/>
      <c r="Z220" s="7"/>
    </row>
    <row r="221" spans="1:26" ht="15.75" customHeight="1">
      <c r="A221" s="43"/>
      <c r="B221" s="30"/>
      <c r="C221" s="30"/>
      <c r="D221" s="31"/>
      <c r="E221" s="31"/>
      <c r="F221" s="31"/>
      <c r="G221" s="31"/>
      <c r="H221" s="31"/>
      <c r="I221" s="31"/>
      <c r="J221" s="31"/>
      <c r="K221" s="31"/>
      <c r="L221" s="31"/>
      <c r="M221" s="31"/>
      <c r="N221" s="7"/>
      <c r="O221" s="7"/>
      <c r="P221" s="7"/>
      <c r="Q221" s="7"/>
      <c r="R221" s="7"/>
      <c r="S221" s="7"/>
      <c r="T221" s="7"/>
      <c r="U221" s="7"/>
      <c r="V221" s="7"/>
      <c r="W221" s="7"/>
      <c r="X221" s="7"/>
      <c r="Y221" s="7"/>
      <c r="Z221" s="7"/>
    </row>
    <row r="222" spans="1:26" ht="15.75" customHeight="1">
      <c r="A222" s="43"/>
      <c r="B222" s="30"/>
      <c r="C222" s="30"/>
      <c r="D222" s="31"/>
      <c r="E222" s="31"/>
      <c r="F222" s="31"/>
      <c r="G222" s="31"/>
      <c r="H222" s="31"/>
      <c r="I222" s="31"/>
      <c r="J222" s="31"/>
      <c r="K222" s="31"/>
      <c r="L222" s="31"/>
      <c r="M222" s="31"/>
      <c r="N222" s="7"/>
      <c r="O222" s="7"/>
      <c r="P222" s="7"/>
      <c r="Q222" s="7"/>
      <c r="R222" s="7"/>
      <c r="S222" s="7"/>
      <c r="T222" s="7"/>
      <c r="U222" s="7"/>
      <c r="V222" s="7"/>
      <c r="W222" s="7"/>
      <c r="X222" s="7"/>
      <c r="Y222" s="7"/>
      <c r="Z222" s="7"/>
    </row>
    <row r="223" spans="1:26" ht="15.75" customHeight="1">
      <c r="A223" s="43"/>
      <c r="B223" s="30"/>
      <c r="C223" s="30"/>
      <c r="D223" s="31"/>
      <c r="E223" s="31"/>
      <c r="F223" s="31"/>
      <c r="G223" s="31"/>
      <c r="H223" s="31"/>
      <c r="I223" s="31"/>
      <c r="J223" s="31"/>
      <c r="K223" s="31"/>
      <c r="L223" s="31"/>
      <c r="M223" s="31"/>
      <c r="N223" s="7"/>
      <c r="O223" s="7"/>
      <c r="P223" s="7"/>
      <c r="Q223" s="7"/>
      <c r="R223" s="7"/>
      <c r="S223" s="7"/>
      <c r="T223" s="7"/>
      <c r="U223" s="7"/>
      <c r="V223" s="7"/>
      <c r="W223" s="7"/>
      <c r="X223" s="7"/>
      <c r="Y223" s="7"/>
      <c r="Z223" s="7"/>
    </row>
    <row r="224" spans="1:26" ht="15.75" customHeight="1">
      <c r="A224" s="43"/>
      <c r="B224" s="30"/>
      <c r="C224" s="30"/>
      <c r="D224" s="31"/>
      <c r="E224" s="31"/>
      <c r="F224" s="31"/>
      <c r="G224" s="31"/>
      <c r="H224" s="31"/>
      <c r="I224" s="31"/>
      <c r="J224" s="31"/>
      <c r="K224" s="31"/>
      <c r="L224" s="31"/>
      <c r="M224" s="31"/>
      <c r="N224" s="7"/>
      <c r="O224" s="7"/>
      <c r="P224" s="7"/>
      <c r="Q224" s="7"/>
      <c r="R224" s="7"/>
      <c r="S224" s="7"/>
      <c r="T224" s="7"/>
      <c r="U224" s="7"/>
      <c r="V224" s="7"/>
      <c r="W224" s="7"/>
      <c r="X224" s="7"/>
      <c r="Y224" s="7"/>
      <c r="Z224" s="7"/>
    </row>
    <row r="225" spans="1:26" ht="15.75" customHeight="1">
      <c r="A225" s="43"/>
      <c r="B225" s="30"/>
      <c r="C225" s="30"/>
      <c r="D225" s="31"/>
      <c r="E225" s="31"/>
      <c r="F225" s="31"/>
      <c r="G225" s="31"/>
      <c r="H225" s="31"/>
      <c r="I225" s="31"/>
      <c r="J225" s="31"/>
      <c r="K225" s="31"/>
      <c r="L225" s="31"/>
      <c r="M225" s="31"/>
      <c r="N225" s="7"/>
      <c r="O225" s="7"/>
      <c r="P225" s="7"/>
      <c r="Q225" s="7"/>
      <c r="R225" s="7"/>
      <c r="S225" s="7"/>
      <c r="T225" s="7"/>
      <c r="U225" s="7"/>
      <c r="V225" s="7"/>
      <c r="W225" s="7"/>
      <c r="X225" s="7"/>
      <c r="Y225" s="7"/>
      <c r="Z225" s="7"/>
    </row>
    <row r="226" spans="1:26" ht="15.75" customHeight="1">
      <c r="A226" s="43"/>
      <c r="B226" s="30"/>
      <c r="C226" s="30"/>
      <c r="D226" s="31"/>
      <c r="E226" s="31"/>
      <c r="F226" s="31"/>
      <c r="G226" s="31"/>
      <c r="H226" s="31"/>
      <c r="I226" s="31"/>
      <c r="J226" s="31"/>
      <c r="K226" s="31"/>
      <c r="L226" s="31"/>
      <c r="M226" s="31"/>
      <c r="N226" s="7"/>
      <c r="O226" s="7"/>
      <c r="P226" s="7"/>
      <c r="Q226" s="7"/>
      <c r="R226" s="7"/>
      <c r="S226" s="7"/>
      <c r="T226" s="7"/>
      <c r="U226" s="7"/>
      <c r="V226" s="7"/>
      <c r="W226" s="7"/>
      <c r="X226" s="7"/>
      <c r="Y226" s="7"/>
      <c r="Z226" s="7"/>
    </row>
    <row r="227" spans="1:26" ht="15.75" customHeight="1">
      <c r="A227" s="43"/>
      <c r="B227" s="30"/>
      <c r="C227" s="30"/>
      <c r="D227" s="31"/>
      <c r="E227" s="31"/>
      <c r="F227" s="31"/>
      <c r="G227" s="31"/>
      <c r="H227" s="31"/>
      <c r="I227" s="31"/>
      <c r="J227" s="31"/>
      <c r="K227" s="31"/>
      <c r="L227" s="31"/>
      <c r="M227" s="31"/>
      <c r="N227" s="7"/>
      <c r="O227" s="7"/>
      <c r="P227" s="7"/>
      <c r="Q227" s="7"/>
      <c r="R227" s="7"/>
      <c r="S227" s="7"/>
      <c r="T227" s="7"/>
      <c r="U227" s="7"/>
      <c r="V227" s="7"/>
      <c r="W227" s="7"/>
      <c r="X227" s="7"/>
      <c r="Y227" s="7"/>
      <c r="Z227" s="7"/>
    </row>
    <row r="228" spans="1:26" ht="15.75" customHeight="1">
      <c r="A228" s="43"/>
      <c r="B228" s="30"/>
      <c r="C228" s="30"/>
      <c r="D228" s="31"/>
      <c r="E228" s="31"/>
      <c r="F228" s="31"/>
      <c r="G228" s="31"/>
      <c r="H228" s="31"/>
      <c r="I228" s="31"/>
      <c r="J228" s="31"/>
      <c r="K228" s="31"/>
      <c r="L228" s="31"/>
      <c r="M228" s="31"/>
      <c r="N228" s="7"/>
      <c r="O228" s="7"/>
      <c r="P228" s="7"/>
      <c r="Q228" s="7"/>
      <c r="R228" s="7"/>
      <c r="S228" s="7"/>
      <c r="T228" s="7"/>
      <c r="U228" s="7"/>
      <c r="V228" s="7"/>
      <c r="W228" s="7"/>
      <c r="X228" s="7"/>
      <c r="Y228" s="7"/>
      <c r="Z228" s="7"/>
    </row>
    <row r="229" spans="1:26" ht="15.75" customHeight="1">
      <c r="A229" s="43"/>
      <c r="B229" s="30"/>
      <c r="C229" s="30"/>
      <c r="D229" s="31"/>
      <c r="E229" s="31"/>
      <c r="F229" s="31"/>
      <c r="G229" s="31"/>
      <c r="H229" s="31"/>
      <c r="I229" s="31"/>
      <c r="J229" s="31"/>
      <c r="K229" s="31"/>
      <c r="L229" s="31"/>
      <c r="M229" s="31"/>
      <c r="N229" s="7"/>
      <c r="O229" s="7"/>
      <c r="P229" s="7"/>
      <c r="Q229" s="7"/>
      <c r="R229" s="7"/>
      <c r="S229" s="7"/>
      <c r="T229" s="7"/>
      <c r="U229" s="7"/>
      <c r="V229" s="7"/>
      <c r="W229" s="7"/>
      <c r="X229" s="7"/>
      <c r="Y229" s="7"/>
      <c r="Z229" s="7"/>
    </row>
    <row r="230" spans="1:26" ht="15.75" customHeight="1">
      <c r="A230" s="43"/>
      <c r="B230" s="30"/>
      <c r="C230" s="30"/>
      <c r="D230" s="31"/>
      <c r="E230" s="31"/>
      <c r="F230" s="31"/>
      <c r="G230" s="31"/>
      <c r="H230" s="31"/>
      <c r="I230" s="31"/>
      <c r="J230" s="31"/>
      <c r="K230" s="31"/>
      <c r="L230" s="31"/>
      <c r="M230" s="31"/>
      <c r="N230" s="7"/>
      <c r="O230" s="7"/>
      <c r="P230" s="7"/>
      <c r="Q230" s="7"/>
      <c r="R230" s="7"/>
      <c r="S230" s="7"/>
      <c r="T230" s="7"/>
      <c r="U230" s="7"/>
      <c r="V230" s="7"/>
      <c r="W230" s="7"/>
      <c r="X230" s="7"/>
      <c r="Y230" s="7"/>
      <c r="Z230" s="7"/>
    </row>
    <row r="231" spans="1:26" ht="15.75" customHeight="1">
      <c r="A231" s="43"/>
      <c r="B231" s="30"/>
      <c r="C231" s="30"/>
      <c r="D231" s="31"/>
      <c r="E231" s="31"/>
      <c r="F231" s="31"/>
      <c r="G231" s="31"/>
      <c r="H231" s="31"/>
      <c r="I231" s="31"/>
      <c r="J231" s="31"/>
      <c r="K231" s="31"/>
      <c r="L231" s="31"/>
      <c r="M231" s="31"/>
      <c r="N231" s="7"/>
      <c r="O231" s="7"/>
      <c r="P231" s="7"/>
      <c r="Q231" s="7"/>
      <c r="R231" s="7"/>
      <c r="S231" s="7"/>
      <c r="T231" s="7"/>
      <c r="U231" s="7"/>
      <c r="V231" s="7"/>
      <c r="W231" s="7"/>
      <c r="X231" s="7"/>
      <c r="Y231" s="7"/>
      <c r="Z231" s="7"/>
    </row>
    <row r="232" spans="1:26" ht="15.75" customHeight="1">
      <c r="A232" s="43"/>
      <c r="B232" s="30"/>
      <c r="C232" s="30"/>
      <c r="D232" s="31"/>
      <c r="E232" s="31"/>
      <c r="F232" s="31"/>
      <c r="G232" s="31"/>
      <c r="H232" s="31"/>
      <c r="I232" s="31"/>
      <c r="J232" s="31"/>
      <c r="K232" s="31"/>
      <c r="L232" s="31"/>
      <c r="M232" s="31"/>
      <c r="N232" s="7"/>
      <c r="O232" s="7"/>
      <c r="P232" s="7"/>
      <c r="Q232" s="7"/>
      <c r="R232" s="7"/>
      <c r="S232" s="7"/>
      <c r="T232" s="7"/>
      <c r="U232" s="7"/>
      <c r="V232" s="7"/>
      <c r="W232" s="7"/>
      <c r="X232" s="7"/>
      <c r="Y232" s="7"/>
      <c r="Z232" s="7"/>
    </row>
    <row r="233" spans="1:26" ht="15.75" customHeight="1">
      <c r="A233" s="43"/>
      <c r="B233" s="30"/>
      <c r="C233" s="30"/>
      <c r="D233" s="31"/>
      <c r="E233" s="31"/>
      <c r="F233" s="31"/>
      <c r="G233" s="31"/>
      <c r="H233" s="31"/>
      <c r="I233" s="31"/>
      <c r="J233" s="31"/>
      <c r="K233" s="31"/>
      <c r="L233" s="31"/>
      <c r="M233" s="31"/>
      <c r="N233" s="7"/>
      <c r="O233" s="7"/>
      <c r="P233" s="7"/>
      <c r="Q233" s="7"/>
      <c r="R233" s="7"/>
      <c r="S233" s="7"/>
      <c r="T233" s="7"/>
      <c r="U233" s="7"/>
      <c r="V233" s="7"/>
      <c r="W233" s="7"/>
      <c r="X233" s="7"/>
      <c r="Y233" s="7"/>
      <c r="Z233" s="7"/>
    </row>
    <row r="234" spans="1:26" ht="15.75" customHeight="1">
      <c r="A234" s="43"/>
      <c r="B234" s="30"/>
      <c r="C234" s="30"/>
      <c r="D234" s="31"/>
      <c r="E234" s="31"/>
      <c r="F234" s="31"/>
      <c r="G234" s="31"/>
      <c r="H234" s="31"/>
      <c r="I234" s="31"/>
      <c r="J234" s="31"/>
      <c r="K234" s="31"/>
      <c r="L234" s="31"/>
      <c r="M234" s="31"/>
      <c r="N234" s="7"/>
      <c r="O234" s="7"/>
      <c r="P234" s="7"/>
      <c r="Q234" s="7"/>
      <c r="R234" s="7"/>
      <c r="S234" s="7"/>
      <c r="T234" s="7"/>
      <c r="U234" s="7"/>
      <c r="V234" s="7"/>
      <c r="W234" s="7"/>
      <c r="X234" s="7"/>
      <c r="Y234" s="7"/>
      <c r="Z234" s="7"/>
    </row>
    <row r="235" spans="1:26" ht="15.75" customHeight="1">
      <c r="A235" s="43"/>
      <c r="B235" s="30"/>
      <c r="C235" s="30"/>
      <c r="D235" s="31"/>
      <c r="E235" s="31"/>
      <c r="F235" s="31"/>
      <c r="G235" s="31"/>
      <c r="H235" s="31"/>
      <c r="I235" s="31"/>
      <c r="J235" s="31"/>
      <c r="K235" s="31"/>
      <c r="L235" s="31"/>
      <c r="M235" s="31"/>
      <c r="N235" s="7"/>
      <c r="O235" s="7"/>
      <c r="P235" s="7"/>
      <c r="Q235" s="7"/>
      <c r="R235" s="7"/>
      <c r="S235" s="7"/>
      <c r="T235" s="7"/>
      <c r="U235" s="7"/>
      <c r="V235" s="7"/>
      <c r="W235" s="7"/>
      <c r="X235" s="7"/>
      <c r="Y235" s="7"/>
      <c r="Z235" s="7"/>
    </row>
    <row r="236" spans="1:26" ht="15.75" customHeight="1">
      <c r="A236" s="43"/>
      <c r="B236" s="30"/>
      <c r="C236" s="30"/>
      <c r="D236" s="31"/>
      <c r="E236" s="31"/>
      <c r="F236" s="31"/>
      <c r="G236" s="31"/>
      <c r="H236" s="31"/>
      <c r="I236" s="31"/>
      <c r="J236" s="31"/>
      <c r="K236" s="31"/>
      <c r="L236" s="31"/>
      <c r="M236" s="31"/>
      <c r="N236" s="7"/>
      <c r="O236" s="7"/>
      <c r="P236" s="7"/>
      <c r="Q236" s="7"/>
      <c r="R236" s="7"/>
      <c r="S236" s="7"/>
      <c r="T236" s="7"/>
      <c r="U236" s="7"/>
      <c r="V236" s="7"/>
      <c r="W236" s="7"/>
      <c r="X236" s="7"/>
      <c r="Y236" s="7"/>
      <c r="Z236" s="7"/>
    </row>
    <row r="237" spans="1:26" ht="15.75" customHeight="1">
      <c r="A237" s="43"/>
      <c r="B237" s="30"/>
      <c r="C237" s="30"/>
      <c r="D237" s="31"/>
      <c r="E237" s="31"/>
      <c r="F237" s="31"/>
      <c r="G237" s="31"/>
      <c r="H237" s="31"/>
      <c r="I237" s="31"/>
      <c r="J237" s="31"/>
      <c r="K237" s="31"/>
      <c r="L237" s="31"/>
      <c r="M237" s="31"/>
      <c r="N237" s="7"/>
      <c r="O237" s="7"/>
      <c r="P237" s="7"/>
      <c r="Q237" s="7"/>
      <c r="R237" s="7"/>
      <c r="S237" s="7"/>
      <c r="T237" s="7"/>
      <c r="U237" s="7"/>
      <c r="V237" s="7"/>
      <c r="W237" s="7"/>
      <c r="X237" s="7"/>
      <c r="Y237" s="7"/>
      <c r="Z237" s="7"/>
    </row>
    <row r="238" spans="1:26" ht="15.75" customHeight="1">
      <c r="A238" s="43"/>
      <c r="B238" s="30"/>
      <c r="C238" s="30"/>
      <c r="D238" s="31"/>
      <c r="E238" s="31"/>
      <c r="F238" s="31"/>
      <c r="G238" s="31"/>
      <c r="H238" s="31"/>
      <c r="I238" s="31"/>
      <c r="J238" s="31"/>
      <c r="K238" s="31"/>
      <c r="L238" s="31"/>
      <c r="M238" s="31"/>
      <c r="N238" s="7"/>
      <c r="O238" s="7"/>
      <c r="P238" s="7"/>
      <c r="Q238" s="7"/>
      <c r="R238" s="7"/>
      <c r="S238" s="7"/>
      <c r="T238" s="7"/>
      <c r="U238" s="7"/>
      <c r="V238" s="7"/>
      <c r="W238" s="7"/>
      <c r="X238" s="7"/>
      <c r="Y238" s="7"/>
      <c r="Z238" s="7"/>
    </row>
    <row r="239" spans="1:26" ht="15.75" customHeight="1">
      <c r="A239" s="43"/>
      <c r="B239" s="30"/>
      <c r="C239" s="30"/>
      <c r="D239" s="31"/>
      <c r="E239" s="31"/>
      <c r="F239" s="31"/>
      <c r="G239" s="31"/>
      <c r="H239" s="31"/>
      <c r="I239" s="31"/>
      <c r="J239" s="31"/>
      <c r="K239" s="31"/>
      <c r="L239" s="31"/>
      <c r="M239" s="31"/>
      <c r="N239" s="7"/>
      <c r="O239" s="7"/>
      <c r="P239" s="7"/>
      <c r="Q239" s="7"/>
      <c r="R239" s="7"/>
      <c r="S239" s="7"/>
      <c r="T239" s="7"/>
      <c r="U239" s="7"/>
      <c r="V239" s="7"/>
      <c r="W239" s="7"/>
      <c r="X239" s="7"/>
      <c r="Y239" s="7"/>
      <c r="Z239" s="7"/>
    </row>
    <row r="240" spans="1:26" ht="15.75" customHeight="1">
      <c r="A240" s="43"/>
      <c r="B240" s="30"/>
      <c r="C240" s="30"/>
      <c r="D240" s="31"/>
      <c r="E240" s="31"/>
      <c r="F240" s="31"/>
      <c r="G240" s="31"/>
      <c r="H240" s="31"/>
      <c r="I240" s="31"/>
      <c r="J240" s="31"/>
      <c r="K240" s="31"/>
      <c r="L240" s="31"/>
      <c r="M240" s="31"/>
      <c r="N240" s="7"/>
      <c r="O240" s="7"/>
      <c r="P240" s="7"/>
      <c r="Q240" s="7"/>
      <c r="R240" s="7"/>
      <c r="S240" s="7"/>
      <c r="T240" s="7"/>
      <c r="U240" s="7"/>
      <c r="V240" s="7"/>
      <c r="W240" s="7"/>
      <c r="X240" s="7"/>
      <c r="Y240" s="7"/>
      <c r="Z240" s="7"/>
    </row>
    <row r="241" spans="1:26" ht="15.75" customHeight="1">
      <c r="A241" s="43"/>
      <c r="B241" s="30"/>
      <c r="C241" s="30"/>
      <c r="D241" s="31"/>
      <c r="E241" s="31"/>
      <c r="F241" s="31"/>
      <c r="G241" s="31"/>
      <c r="H241" s="31"/>
      <c r="I241" s="31"/>
      <c r="J241" s="31"/>
      <c r="K241" s="31"/>
      <c r="L241" s="31"/>
      <c r="M241" s="31"/>
      <c r="N241" s="7"/>
      <c r="O241" s="7"/>
      <c r="P241" s="7"/>
      <c r="Q241" s="7"/>
      <c r="R241" s="7"/>
      <c r="S241" s="7"/>
      <c r="T241" s="7"/>
      <c r="U241" s="7"/>
      <c r="V241" s="7"/>
      <c r="W241" s="7"/>
      <c r="X241" s="7"/>
      <c r="Y241" s="7"/>
      <c r="Z241" s="7"/>
    </row>
    <row r="242" spans="1:26" ht="15.75" customHeight="1">
      <c r="A242" s="43"/>
      <c r="B242" s="30"/>
      <c r="C242" s="30"/>
      <c r="D242" s="31"/>
      <c r="E242" s="31"/>
      <c r="F242" s="31"/>
      <c r="G242" s="31"/>
      <c r="H242" s="31"/>
      <c r="I242" s="31"/>
      <c r="J242" s="31"/>
      <c r="K242" s="31"/>
      <c r="L242" s="31"/>
      <c r="M242" s="31"/>
      <c r="N242" s="7"/>
      <c r="O242" s="7"/>
      <c r="P242" s="7"/>
      <c r="Q242" s="7"/>
      <c r="R242" s="7"/>
      <c r="S242" s="7"/>
      <c r="T242" s="7"/>
      <c r="U242" s="7"/>
      <c r="V242" s="7"/>
      <c r="W242" s="7"/>
      <c r="X242" s="7"/>
      <c r="Y242" s="7"/>
      <c r="Z242" s="7"/>
    </row>
    <row r="243" spans="1:26" ht="15.75" customHeight="1">
      <c r="A243" s="43"/>
      <c r="B243" s="30"/>
      <c r="C243" s="30"/>
      <c r="D243" s="31"/>
      <c r="E243" s="31"/>
      <c r="F243" s="31"/>
      <c r="G243" s="31"/>
      <c r="H243" s="31"/>
      <c r="I243" s="31"/>
      <c r="J243" s="31"/>
      <c r="K243" s="31"/>
      <c r="L243" s="31"/>
      <c r="M243" s="31"/>
      <c r="N243" s="7"/>
      <c r="O243" s="7"/>
      <c r="P243" s="7"/>
      <c r="Q243" s="7"/>
      <c r="R243" s="7"/>
      <c r="S243" s="7"/>
      <c r="T243" s="7"/>
      <c r="U243" s="7"/>
      <c r="V243" s="7"/>
      <c r="W243" s="7"/>
      <c r="X243" s="7"/>
      <c r="Y243" s="7"/>
      <c r="Z243" s="7"/>
    </row>
    <row r="244" spans="1:26" ht="15.75" customHeight="1">
      <c r="A244" s="43"/>
      <c r="B244" s="30"/>
      <c r="C244" s="30"/>
      <c r="D244" s="31"/>
      <c r="E244" s="31"/>
      <c r="F244" s="31"/>
      <c r="G244" s="31"/>
      <c r="H244" s="31"/>
      <c r="I244" s="31"/>
      <c r="J244" s="31"/>
      <c r="K244" s="31"/>
      <c r="L244" s="31"/>
      <c r="M244" s="31"/>
      <c r="N244" s="7"/>
      <c r="O244" s="7"/>
      <c r="P244" s="7"/>
      <c r="Q244" s="7"/>
      <c r="R244" s="7"/>
      <c r="S244" s="7"/>
      <c r="T244" s="7"/>
      <c r="U244" s="7"/>
      <c r="V244" s="7"/>
      <c r="W244" s="7"/>
      <c r="X244" s="7"/>
      <c r="Y244" s="7"/>
      <c r="Z244" s="7"/>
    </row>
    <row r="245" spans="1:26" ht="15.75" customHeight="1">
      <c r="A245" s="43"/>
      <c r="B245" s="30"/>
      <c r="C245" s="30"/>
      <c r="D245" s="31"/>
      <c r="E245" s="31"/>
      <c r="F245" s="31"/>
      <c r="G245" s="31"/>
      <c r="H245" s="31"/>
      <c r="I245" s="31"/>
      <c r="J245" s="31"/>
      <c r="K245" s="31"/>
      <c r="L245" s="31"/>
      <c r="M245" s="31"/>
      <c r="N245" s="7"/>
      <c r="O245" s="7"/>
      <c r="P245" s="7"/>
      <c r="Q245" s="7"/>
      <c r="R245" s="7"/>
      <c r="S245" s="7"/>
      <c r="T245" s="7"/>
      <c r="U245" s="7"/>
      <c r="V245" s="7"/>
      <c r="W245" s="7"/>
      <c r="X245" s="7"/>
      <c r="Y245" s="7"/>
      <c r="Z245" s="7"/>
    </row>
    <row r="246" spans="1:26" ht="15.75" customHeight="1">
      <c r="A246" s="43"/>
      <c r="B246" s="30"/>
      <c r="C246" s="30"/>
      <c r="D246" s="31"/>
      <c r="E246" s="31"/>
      <c r="F246" s="31"/>
      <c r="G246" s="31"/>
      <c r="H246" s="31"/>
      <c r="I246" s="31"/>
      <c r="J246" s="31"/>
      <c r="K246" s="31"/>
      <c r="L246" s="31"/>
      <c r="M246" s="31"/>
      <c r="N246" s="7"/>
      <c r="O246" s="7"/>
      <c r="P246" s="7"/>
      <c r="Q246" s="7"/>
      <c r="R246" s="7"/>
      <c r="S246" s="7"/>
      <c r="T246" s="7"/>
      <c r="U246" s="7"/>
      <c r="V246" s="7"/>
      <c r="W246" s="7"/>
      <c r="X246" s="7"/>
      <c r="Y246" s="7"/>
      <c r="Z246" s="7"/>
    </row>
    <row r="247" spans="1:26" ht="15.75" customHeight="1">
      <c r="A247" s="43"/>
      <c r="B247" s="30"/>
      <c r="C247" s="30"/>
      <c r="D247" s="31"/>
      <c r="E247" s="31"/>
      <c r="F247" s="31"/>
      <c r="G247" s="31"/>
      <c r="H247" s="31"/>
      <c r="I247" s="31"/>
      <c r="J247" s="31"/>
      <c r="K247" s="31"/>
      <c r="L247" s="31"/>
      <c r="M247" s="31"/>
      <c r="N247" s="7"/>
      <c r="O247" s="7"/>
      <c r="P247" s="7"/>
      <c r="Q247" s="7"/>
      <c r="R247" s="7"/>
      <c r="S247" s="7"/>
      <c r="T247" s="7"/>
      <c r="U247" s="7"/>
      <c r="V247" s="7"/>
      <c r="W247" s="7"/>
      <c r="X247" s="7"/>
      <c r="Y247" s="7"/>
      <c r="Z247" s="7"/>
    </row>
    <row r="248" spans="1:26" ht="15.75" customHeight="1">
      <c r="A248" s="43"/>
      <c r="B248" s="30"/>
      <c r="C248" s="30"/>
      <c r="D248" s="31"/>
      <c r="E248" s="31"/>
      <c r="F248" s="31"/>
      <c r="G248" s="31"/>
      <c r="H248" s="31"/>
      <c r="I248" s="31"/>
      <c r="J248" s="31"/>
      <c r="K248" s="31"/>
      <c r="L248" s="31"/>
      <c r="M248" s="31"/>
      <c r="N248" s="7"/>
      <c r="O248" s="7"/>
      <c r="P248" s="7"/>
      <c r="Q248" s="7"/>
      <c r="R248" s="7"/>
      <c r="S248" s="7"/>
      <c r="T248" s="7"/>
      <c r="U248" s="7"/>
      <c r="V248" s="7"/>
      <c r="W248" s="7"/>
      <c r="X248" s="7"/>
      <c r="Y248" s="7"/>
      <c r="Z248" s="7"/>
    </row>
    <row r="249" spans="1:26" ht="15.75" customHeight="1">
      <c r="A249" s="43"/>
      <c r="B249" s="30"/>
      <c r="C249" s="30"/>
      <c r="D249" s="31"/>
      <c r="E249" s="31"/>
      <c r="F249" s="31"/>
      <c r="G249" s="31"/>
      <c r="H249" s="31"/>
      <c r="I249" s="31"/>
      <c r="J249" s="31"/>
      <c r="K249" s="31"/>
      <c r="L249" s="31"/>
      <c r="M249" s="31"/>
      <c r="N249" s="7"/>
      <c r="O249" s="7"/>
      <c r="P249" s="7"/>
      <c r="Q249" s="7"/>
      <c r="R249" s="7"/>
      <c r="S249" s="7"/>
      <c r="T249" s="7"/>
      <c r="U249" s="7"/>
      <c r="V249" s="7"/>
      <c r="W249" s="7"/>
      <c r="X249" s="7"/>
      <c r="Y249" s="7"/>
      <c r="Z249" s="7"/>
    </row>
    <row r="250" spans="1:26" ht="15.75" customHeight="1">
      <c r="A250" s="43"/>
      <c r="B250" s="30"/>
      <c r="C250" s="30"/>
      <c r="D250" s="31"/>
      <c r="E250" s="31"/>
      <c r="F250" s="31"/>
      <c r="G250" s="31"/>
      <c r="H250" s="31"/>
      <c r="I250" s="31"/>
      <c r="J250" s="31"/>
      <c r="K250" s="31"/>
      <c r="L250" s="31"/>
      <c r="M250" s="31"/>
      <c r="N250" s="7"/>
      <c r="O250" s="7"/>
      <c r="P250" s="7"/>
      <c r="Q250" s="7"/>
      <c r="R250" s="7"/>
      <c r="S250" s="7"/>
      <c r="T250" s="7"/>
      <c r="U250" s="7"/>
      <c r="V250" s="7"/>
      <c r="W250" s="7"/>
      <c r="X250" s="7"/>
      <c r="Y250" s="7"/>
      <c r="Z250" s="7"/>
    </row>
    <row r="251" spans="1:26" ht="15.75" customHeight="1">
      <c r="A251" s="43"/>
      <c r="B251" s="30"/>
      <c r="C251" s="30"/>
      <c r="D251" s="31"/>
      <c r="E251" s="31"/>
      <c r="F251" s="31"/>
      <c r="G251" s="31"/>
      <c r="H251" s="31"/>
      <c r="I251" s="31"/>
      <c r="J251" s="31"/>
      <c r="K251" s="31"/>
      <c r="L251" s="31"/>
      <c r="M251" s="31"/>
      <c r="N251" s="7"/>
      <c r="O251" s="7"/>
      <c r="P251" s="7"/>
      <c r="Q251" s="7"/>
      <c r="R251" s="7"/>
      <c r="S251" s="7"/>
      <c r="T251" s="7"/>
      <c r="U251" s="7"/>
      <c r="V251" s="7"/>
      <c r="W251" s="7"/>
      <c r="X251" s="7"/>
      <c r="Y251" s="7"/>
      <c r="Z251" s="7"/>
    </row>
    <row r="252" spans="1:26" ht="15.75" customHeight="1">
      <c r="A252" s="43"/>
      <c r="B252" s="30"/>
      <c r="C252" s="30"/>
      <c r="D252" s="31"/>
      <c r="E252" s="31"/>
      <c r="F252" s="31"/>
      <c r="G252" s="31"/>
      <c r="H252" s="31"/>
      <c r="I252" s="31"/>
      <c r="J252" s="31"/>
      <c r="K252" s="31"/>
      <c r="L252" s="31"/>
      <c r="M252" s="31"/>
      <c r="N252" s="7"/>
      <c r="O252" s="7"/>
      <c r="P252" s="7"/>
      <c r="Q252" s="7"/>
      <c r="R252" s="7"/>
      <c r="S252" s="7"/>
      <c r="T252" s="7"/>
      <c r="U252" s="7"/>
      <c r="V252" s="7"/>
      <c r="W252" s="7"/>
      <c r="X252" s="7"/>
      <c r="Y252" s="7"/>
      <c r="Z252" s="7"/>
    </row>
    <row r="253" spans="1:26" ht="15.75" customHeight="1">
      <c r="A253" s="43"/>
      <c r="B253" s="30"/>
      <c r="C253" s="30"/>
      <c r="D253" s="31"/>
      <c r="E253" s="31"/>
      <c r="F253" s="31"/>
      <c r="G253" s="31"/>
      <c r="H253" s="31"/>
      <c r="I253" s="31"/>
      <c r="J253" s="31"/>
      <c r="K253" s="31"/>
      <c r="L253" s="31"/>
      <c r="M253" s="31"/>
      <c r="N253" s="7"/>
      <c r="O253" s="7"/>
      <c r="P253" s="7"/>
      <c r="Q253" s="7"/>
      <c r="R253" s="7"/>
      <c r="S253" s="7"/>
      <c r="T253" s="7"/>
      <c r="U253" s="7"/>
      <c r="V253" s="7"/>
      <c r="W253" s="7"/>
      <c r="X253" s="7"/>
      <c r="Y253" s="7"/>
      <c r="Z253" s="7"/>
    </row>
    <row r="254" spans="1:26" ht="15.75" customHeight="1">
      <c r="A254" s="43"/>
      <c r="B254" s="30"/>
      <c r="C254" s="30"/>
      <c r="D254" s="31"/>
      <c r="E254" s="31"/>
      <c r="F254" s="31"/>
      <c r="G254" s="31"/>
      <c r="H254" s="31"/>
      <c r="I254" s="31"/>
      <c r="J254" s="31"/>
      <c r="K254" s="31"/>
      <c r="L254" s="31"/>
      <c r="M254" s="31"/>
      <c r="N254" s="7"/>
      <c r="O254" s="7"/>
      <c r="P254" s="7"/>
      <c r="Q254" s="7"/>
      <c r="R254" s="7"/>
      <c r="S254" s="7"/>
      <c r="T254" s="7"/>
      <c r="U254" s="7"/>
      <c r="V254" s="7"/>
      <c r="W254" s="7"/>
      <c r="X254" s="7"/>
      <c r="Y254" s="7"/>
      <c r="Z254" s="7"/>
    </row>
    <row r="255" spans="1:26" ht="15.75" customHeight="1">
      <c r="A255" s="43"/>
      <c r="B255" s="30"/>
      <c r="C255" s="30"/>
      <c r="D255" s="31"/>
      <c r="E255" s="31"/>
      <c r="F255" s="31"/>
      <c r="G255" s="31"/>
      <c r="H255" s="31"/>
      <c r="I255" s="31"/>
      <c r="J255" s="31"/>
      <c r="K255" s="31"/>
      <c r="L255" s="31"/>
      <c r="M255" s="31"/>
      <c r="N255" s="7"/>
      <c r="O255" s="7"/>
      <c r="P255" s="7"/>
      <c r="Q255" s="7"/>
      <c r="R255" s="7"/>
      <c r="S255" s="7"/>
      <c r="T255" s="7"/>
      <c r="U255" s="7"/>
      <c r="V255" s="7"/>
      <c r="W255" s="7"/>
      <c r="X255" s="7"/>
      <c r="Y255" s="7"/>
      <c r="Z255" s="7"/>
    </row>
    <row r="256" spans="1:26" ht="15.75" customHeight="1">
      <c r="A256" s="43"/>
      <c r="B256" s="30"/>
      <c r="C256" s="30"/>
      <c r="D256" s="31"/>
      <c r="E256" s="31"/>
      <c r="F256" s="31"/>
      <c r="G256" s="31"/>
      <c r="H256" s="31"/>
      <c r="I256" s="31"/>
      <c r="J256" s="31"/>
      <c r="K256" s="31"/>
      <c r="L256" s="31"/>
      <c r="M256" s="31"/>
      <c r="N256" s="7"/>
      <c r="O256" s="7"/>
      <c r="P256" s="7"/>
      <c r="Q256" s="7"/>
      <c r="R256" s="7"/>
      <c r="S256" s="7"/>
      <c r="T256" s="7"/>
      <c r="U256" s="7"/>
      <c r="V256" s="7"/>
      <c r="W256" s="7"/>
      <c r="X256" s="7"/>
      <c r="Y256" s="7"/>
      <c r="Z256" s="7"/>
    </row>
    <row r="257" spans="1:26" ht="15.75" customHeight="1">
      <c r="A257" s="43"/>
      <c r="B257" s="30"/>
      <c r="C257" s="30"/>
      <c r="D257" s="31"/>
      <c r="E257" s="31"/>
      <c r="F257" s="31"/>
      <c r="G257" s="31"/>
      <c r="H257" s="31"/>
      <c r="I257" s="31"/>
      <c r="J257" s="31"/>
      <c r="K257" s="31"/>
      <c r="L257" s="31"/>
      <c r="M257" s="31"/>
      <c r="N257" s="7"/>
      <c r="O257" s="7"/>
      <c r="P257" s="7"/>
      <c r="Q257" s="7"/>
      <c r="R257" s="7"/>
      <c r="S257" s="7"/>
      <c r="T257" s="7"/>
      <c r="U257" s="7"/>
      <c r="V257" s="7"/>
      <c r="W257" s="7"/>
      <c r="X257" s="7"/>
      <c r="Y257" s="7"/>
      <c r="Z257" s="7"/>
    </row>
    <row r="258" spans="1:26" ht="15.75" customHeight="1">
      <c r="A258" s="43"/>
      <c r="B258" s="30"/>
      <c r="C258" s="30"/>
      <c r="D258" s="31"/>
      <c r="E258" s="31"/>
      <c r="F258" s="31"/>
      <c r="G258" s="31"/>
      <c r="H258" s="31"/>
      <c r="I258" s="31"/>
      <c r="J258" s="31"/>
      <c r="K258" s="31"/>
      <c r="L258" s="31"/>
      <c r="M258" s="31"/>
      <c r="N258" s="7"/>
      <c r="O258" s="7"/>
      <c r="P258" s="7"/>
      <c r="Q258" s="7"/>
      <c r="R258" s="7"/>
      <c r="S258" s="7"/>
      <c r="T258" s="7"/>
      <c r="U258" s="7"/>
      <c r="V258" s="7"/>
      <c r="W258" s="7"/>
      <c r="X258" s="7"/>
      <c r="Y258" s="7"/>
      <c r="Z258" s="7"/>
    </row>
    <row r="259" spans="1:26" ht="15.75" customHeight="1">
      <c r="A259" s="43"/>
      <c r="B259" s="30"/>
      <c r="C259" s="30"/>
      <c r="D259" s="31"/>
      <c r="E259" s="31"/>
      <c r="F259" s="31"/>
      <c r="G259" s="31"/>
      <c r="H259" s="31"/>
      <c r="I259" s="31"/>
      <c r="J259" s="31"/>
      <c r="K259" s="31"/>
      <c r="L259" s="31"/>
      <c r="M259" s="31"/>
      <c r="N259" s="7"/>
      <c r="O259" s="7"/>
      <c r="P259" s="7"/>
      <c r="Q259" s="7"/>
      <c r="R259" s="7"/>
      <c r="S259" s="7"/>
      <c r="T259" s="7"/>
      <c r="U259" s="7"/>
      <c r="V259" s="7"/>
      <c r="W259" s="7"/>
      <c r="X259" s="7"/>
      <c r="Y259" s="7"/>
      <c r="Z259" s="7"/>
    </row>
    <row r="260" spans="1:26" ht="15.75" customHeight="1">
      <c r="A260" s="43"/>
      <c r="B260" s="30"/>
      <c r="C260" s="30"/>
      <c r="D260" s="31"/>
      <c r="E260" s="31"/>
      <c r="F260" s="31"/>
      <c r="G260" s="31"/>
      <c r="H260" s="31"/>
      <c r="I260" s="31"/>
      <c r="J260" s="31"/>
      <c r="K260" s="31"/>
      <c r="L260" s="31"/>
      <c r="M260" s="31"/>
      <c r="N260" s="7"/>
      <c r="O260" s="7"/>
      <c r="P260" s="7"/>
      <c r="Q260" s="7"/>
      <c r="R260" s="7"/>
      <c r="S260" s="7"/>
      <c r="T260" s="7"/>
      <c r="U260" s="7"/>
      <c r="V260" s="7"/>
      <c r="W260" s="7"/>
      <c r="X260" s="7"/>
      <c r="Y260" s="7"/>
      <c r="Z260" s="7"/>
    </row>
    <row r="261" spans="1:26" ht="15.75" customHeight="1">
      <c r="A261" s="43"/>
      <c r="B261" s="30"/>
      <c r="C261" s="30"/>
      <c r="D261" s="31"/>
      <c r="E261" s="31"/>
      <c r="F261" s="31"/>
      <c r="G261" s="31"/>
      <c r="H261" s="31"/>
      <c r="I261" s="31"/>
      <c r="J261" s="31"/>
      <c r="K261" s="31"/>
      <c r="L261" s="31"/>
      <c r="M261" s="31"/>
      <c r="N261" s="7"/>
      <c r="O261" s="7"/>
      <c r="P261" s="7"/>
      <c r="Q261" s="7"/>
      <c r="R261" s="7"/>
      <c r="S261" s="7"/>
      <c r="T261" s="7"/>
      <c r="U261" s="7"/>
      <c r="V261" s="7"/>
      <c r="W261" s="7"/>
      <c r="X261" s="7"/>
      <c r="Y261" s="7"/>
      <c r="Z261" s="7"/>
    </row>
    <row r="262" spans="1:26" ht="15.75" customHeight="1">
      <c r="A262" s="43"/>
      <c r="B262" s="30"/>
      <c r="C262" s="30"/>
      <c r="D262" s="31"/>
      <c r="E262" s="31"/>
      <c r="F262" s="31"/>
      <c r="G262" s="31"/>
      <c r="H262" s="31"/>
      <c r="I262" s="31"/>
      <c r="J262" s="31"/>
      <c r="K262" s="31"/>
      <c r="L262" s="31"/>
      <c r="M262" s="31"/>
      <c r="N262" s="7"/>
      <c r="O262" s="7"/>
      <c r="P262" s="7"/>
      <c r="Q262" s="7"/>
      <c r="R262" s="7"/>
      <c r="S262" s="7"/>
      <c r="T262" s="7"/>
      <c r="U262" s="7"/>
      <c r="V262" s="7"/>
      <c r="W262" s="7"/>
      <c r="X262" s="7"/>
      <c r="Y262" s="7"/>
      <c r="Z262" s="7"/>
    </row>
    <row r="263" spans="1:26" ht="15.75" customHeight="1">
      <c r="A263" s="43"/>
      <c r="B263" s="30"/>
      <c r="C263" s="30"/>
      <c r="D263" s="31"/>
      <c r="E263" s="31"/>
      <c r="F263" s="31"/>
      <c r="G263" s="31"/>
      <c r="H263" s="31"/>
      <c r="I263" s="31"/>
      <c r="J263" s="31"/>
      <c r="K263" s="31"/>
      <c r="L263" s="31"/>
      <c r="M263" s="31"/>
      <c r="N263" s="7"/>
      <c r="O263" s="7"/>
      <c r="P263" s="7"/>
      <c r="Q263" s="7"/>
      <c r="R263" s="7"/>
      <c r="S263" s="7"/>
      <c r="T263" s="7"/>
      <c r="U263" s="7"/>
      <c r="V263" s="7"/>
      <c r="W263" s="7"/>
      <c r="X263" s="7"/>
      <c r="Y263" s="7"/>
      <c r="Z263" s="7"/>
    </row>
    <row r="264" spans="1:26" ht="15.75" customHeight="1">
      <c r="A264" s="43"/>
      <c r="B264" s="30"/>
      <c r="C264" s="30"/>
      <c r="D264" s="31"/>
      <c r="E264" s="31"/>
      <c r="F264" s="31"/>
      <c r="G264" s="31"/>
      <c r="H264" s="31"/>
      <c r="I264" s="31"/>
      <c r="J264" s="31"/>
      <c r="K264" s="31"/>
      <c r="L264" s="31"/>
      <c r="M264" s="31"/>
      <c r="N264" s="7"/>
      <c r="O264" s="7"/>
      <c r="P264" s="7"/>
      <c r="Q264" s="7"/>
      <c r="R264" s="7"/>
      <c r="S264" s="7"/>
      <c r="T264" s="7"/>
      <c r="U264" s="7"/>
      <c r="V264" s="7"/>
      <c r="W264" s="7"/>
      <c r="X264" s="7"/>
      <c r="Y264" s="7"/>
      <c r="Z264" s="7"/>
    </row>
    <row r="265" spans="1:26" ht="15.75" customHeight="1">
      <c r="A265" s="43"/>
      <c r="B265" s="30"/>
      <c r="C265" s="30"/>
      <c r="D265" s="31"/>
      <c r="E265" s="31"/>
      <c r="F265" s="31"/>
      <c r="G265" s="31"/>
      <c r="H265" s="31"/>
      <c r="I265" s="31"/>
      <c r="J265" s="31"/>
      <c r="K265" s="31"/>
      <c r="L265" s="31"/>
      <c r="M265" s="31"/>
      <c r="N265" s="7"/>
      <c r="O265" s="7"/>
      <c r="P265" s="7"/>
      <c r="Q265" s="7"/>
      <c r="R265" s="7"/>
      <c r="S265" s="7"/>
      <c r="T265" s="7"/>
      <c r="U265" s="7"/>
      <c r="V265" s="7"/>
      <c r="W265" s="7"/>
      <c r="X265" s="7"/>
      <c r="Y265" s="7"/>
      <c r="Z265" s="7"/>
    </row>
    <row r="266" spans="1:26" ht="15.75" customHeight="1">
      <c r="A266" s="43"/>
      <c r="B266" s="30"/>
      <c r="C266" s="30"/>
      <c r="D266" s="31"/>
      <c r="E266" s="31"/>
      <c r="F266" s="31"/>
      <c r="G266" s="31"/>
      <c r="H266" s="31"/>
      <c r="I266" s="31"/>
      <c r="J266" s="31"/>
      <c r="K266" s="31"/>
      <c r="L266" s="31"/>
      <c r="M266" s="31"/>
      <c r="N266" s="7"/>
      <c r="O266" s="7"/>
      <c r="P266" s="7"/>
      <c r="Q266" s="7"/>
      <c r="R266" s="7"/>
      <c r="S266" s="7"/>
      <c r="T266" s="7"/>
      <c r="U266" s="7"/>
      <c r="V266" s="7"/>
      <c r="W266" s="7"/>
      <c r="X266" s="7"/>
      <c r="Y266" s="7"/>
      <c r="Z266" s="7"/>
    </row>
    <row r="267" spans="1:26" ht="15.75" customHeight="1">
      <c r="A267" s="43"/>
      <c r="B267" s="30"/>
      <c r="C267" s="30"/>
      <c r="D267" s="31"/>
      <c r="E267" s="31"/>
      <c r="F267" s="31"/>
      <c r="G267" s="31"/>
      <c r="H267" s="31"/>
      <c r="I267" s="31"/>
      <c r="J267" s="31"/>
      <c r="K267" s="31"/>
      <c r="L267" s="31"/>
      <c r="M267" s="31"/>
      <c r="N267" s="7"/>
      <c r="O267" s="7"/>
      <c r="P267" s="7"/>
      <c r="Q267" s="7"/>
      <c r="R267" s="7"/>
      <c r="S267" s="7"/>
      <c r="T267" s="7"/>
      <c r="U267" s="7"/>
      <c r="V267" s="7"/>
      <c r="W267" s="7"/>
      <c r="X267" s="7"/>
      <c r="Y267" s="7"/>
      <c r="Z267" s="7"/>
    </row>
    <row r="268" spans="1:26" ht="15.75" customHeight="1">
      <c r="A268" s="43"/>
      <c r="B268" s="30"/>
      <c r="C268" s="30"/>
      <c r="D268" s="31"/>
      <c r="E268" s="31"/>
      <c r="F268" s="31"/>
      <c r="G268" s="31"/>
      <c r="H268" s="31"/>
      <c r="I268" s="31"/>
      <c r="J268" s="31"/>
      <c r="K268" s="31"/>
      <c r="L268" s="31"/>
      <c r="M268" s="31"/>
      <c r="N268" s="7"/>
      <c r="O268" s="7"/>
      <c r="P268" s="7"/>
      <c r="Q268" s="7"/>
      <c r="R268" s="7"/>
      <c r="S268" s="7"/>
      <c r="T268" s="7"/>
      <c r="U268" s="7"/>
      <c r="V268" s="7"/>
      <c r="W268" s="7"/>
      <c r="X268" s="7"/>
      <c r="Y268" s="7"/>
      <c r="Z268" s="7"/>
    </row>
    <row r="269" spans="1:26" ht="15.75" customHeight="1">
      <c r="A269" s="43"/>
      <c r="B269" s="30"/>
      <c r="C269" s="30"/>
      <c r="D269" s="31"/>
      <c r="E269" s="31"/>
      <c r="F269" s="31"/>
      <c r="G269" s="31"/>
      <c r="H269" s="31"/>
      <c r="I269" s="31"/>
      <c r="J269" s="31"/>
      <c r="K269" s="31"/>
      <c r="L269" s="31"/>
      <c r="M269" s="31"/>
      <c r="N269" s="7"/>
      <c r="O269" s="7"/>
      <c r="P269" s="7"/>
      <c r="Q269" s="7"/>
      <c r="R269" s="7"/>
      <c r="S269" s="7"/>
      <c r="T269" s="7"/>
      <c r="U269" s="7"/>
      <c r="V269" s="7"/>
      <c r="W269" s="7"/>
      <c r="X269" s="7"/>
      <c r="Y269" s="7"/>
      <c r="Z269" s="7"/>
    </row>
    <row r="270" spans="1:26" ht="15.75" customHeight="1">
      <c r="A270" s="43"/>
      <c r="B270" s="30"/>
      <c r="C270" s="30"/>
      <c r="D270" s="31"/>
      <c r="E270" s="31"/>
      <c r="F270" s="31"/>
      <c r="G270" s="31"/>
      <c r="H270" s="31"/>
      <c r="I270" s="31"/>
      <c r="J270" s="31"/>
      <c r="K270" s="31"/>
      <c r="L270" s="31"/>
      <c r="M270" s="31"/>
      <c r="N270" s="7"/>
      <c r="O270" s="7"/>
      <c r="P270" s="7"/>
      <c r="Q270" s="7"/>
      <c r="R270" s="7"/>
      <c r="S270" s="7"/>
      <c r="T270" s="7"/>
      <c r="U270" s="7"/>
      <c r="V270" s="7"/>
      <c r="W270" s="7"/>
      <c r="X270" s="7"/>
      <c r="Y270" s="7"/>
      <c r="Z270" s="7"/>
    </row>
    <row r="271" spans="1:26" ht="15.75" customHeight="1">
      <c r="A271" s="43"/>
      <c r="B271" s="30"/>
      <c r="C271" s="30"/>
      <c r="D271" s="31"/>
      <c r="E271" s="31"/>
      <c r="F271" s="31"/>
      <c r="G271" s="31"/>
      <c r="H271" s="31"/>
      <c r="I271" s="31"/>
      <c r="J271" s="31"/>
      <c r="K271" s="31"/>
      <c r="L271" s="31"/>
      <c r="M271" s="31"/>
      <c r="N271" s="7"/>
      <c r="O271" s="7"/>
      <c r="P271" s="7"/>
      <c r="Q271" s="7"/>
      <c r="R271" s="7"/>
      <c r="S271" s="7"/>
      <c r="T271" s="7"/>
      <c r="U271" s="7"/>
      <c r="V271" s="7"/>
      <c r="W271" s="7"/>
      <c r="X271" s="7"/>
      <c r="Y271" s="7"/>
      <c r="Z271" s="7"/>
    </row>
    <row r="272" spans="1:26" ht="15.75" customHeight="1">
      <c r="A272" s="43"/>
      <c r="B272" s="30"/>
      <c r="C272" s="30"/>
      <c r="D272" s="31"/>
      <c r="E272" s="31"/>
      <c r="F272" s="31"/>
      <c r="G272" s="31"/>
      <c r="H272" s="31"/>
      <c r="I272" s="31"/>
      <c r="J272" s="31"/>
      <c r="K272" s="31"/>
      <c r="L272" s="31"/>
      <c r="M272" s="31"/>
      <c r="N272" s="7"/>
      <c r="O272" s="7"/>
      <c r="P272" s="7"/>
      <c r="Q272" s="7"/>
      <c r="R272" s="7"/>
      <c r="S272" s="7"/>
      <c r="T272" s="7"/>
      <c r="U272" s="7"/>
      <c r="V272" s="7"/>
      <c r="W272" s="7"/>
      <c r="X272" s="7"/>
      <c r="Y272" s="7"/>
      <c r="Z272" s="7"/>
    </row>
    <row r="273" spans="1:26" ht="15.75" customHeight="1">
      <c r="A273" s="43"/>
      <c r="B273" s="30"/>
      <c r="C273" s="30"/>
      <c r="D273" s="31"/>
      <c r="E273" s="31"/>
      <c r="F273" s="31"/>
      <c r="G273" s="31"/>
      <c r="H273" s="31"/>
      <c r="I273" s="31"/>
      <c r="J273" s="31"/>
      <c r="K273" s="31"/>
      <c r="L273" s="31"/>
      <c r="M273" s="31"/>
      <c r="N273" s="7"/>
      <c r="O273" s="7"/>
      <c r="P273" s="7"/>
      <c r="Q273" s="7"/>
      <c r="R273" s="7"/>
      <c r="S273" s="7"/>
      <c r="T273" s="7"/>
      <c r="U273" s="7"/>
      <c r="V273" s="7"/>
      <c r="W273" s="7"/>
      <c r="X273" s="7"/>
      <c r="Y273" s="7"/>
      <c r="Z273" s="7"/>
    </row>
    <row r="274" spans="1:26" ht="15.75" customHeight="1">
      <c r="A274" s="43"/>
      <c r="B274" s="30"/>
      <c r="C274" s="30"/>
      <c r="D274" s="31"/>
      <c r="E274" s="31"/>
      <c r="F274" s="31"/>
      <c r="G274" s="31"/>
      <c r="H274" s="31"/>
      <c r="I274" s="31"/>
      <c r="J274" s="31"/>
      <c r="K274" s="31"/>
      <c r="L274" s="31"/>
      <c r="M274" s="31"/>
      <c r="N274" s="7"/>
      <c r="O274" s="7"/>
      <c r="P274" s="7"/>
      <c r="Q274" s="7"/>
      <c r="R274" s="7"/>
      <c r="S274" s="7"/>
      <c r="T274" s="7"/>
      <c r="U274" s="7"/>
      <c r="V274" s="7"/>
      <c r="W274" s="7"/>
      <c r="X274" s="7"/>
      <c r="Y274" s="7"/>
      <c r="Z274" s="7"/>
    </row>
    <row r="275" spans="1:26" ht="15.75" customHeight="1">
      <c r="A275" s="43"/>
      <c r="B275" s="30"/>
      <c r="C275" s="30"/>
      <c r="D275" s="31"/>
      <c r="E275" s="31"/>
      <c r="F275" s="31"/>
      <c r="G275" s="31"/>
      <c r="H275" s="31"/>
      <c r="I275" s="31"/>
      <c r="J275" s="31"/>
      <c r="K275" s="31"/>
      <c r="L275" s="31"/>
      <c r="M275" s="31"/>
      <c r="N275" s="7"/>
      <c r="O275" s="7"/>
      <c r="P275" s="7"/>
      <c r="Q275" s="7"/>
      <c r="R275" s="7"/>
      <c r="S275" s="7"/>
      <c r="T275" s="7"/>
      <c r="U275" s="7"/>
      <c r="V275" s="7"/>
      <c r="W275" s="7"/>
      <c r="X275" s="7"/>
      <c r="Y275" s="7"/>
      <c r="Z275" s="7"/>
    </row>
    <row r="276" spans="1:26" ht="15.75" customHeight="1">
      <c r="A276" s="43"/>
      <c r="B276" s="30"/>
      <c r="C276" s="30"/>
      <c r="D276" s="31"/>
      <c r="E276" s="31"/>
      <c r="F276" s="31"/>
      <c r="G276" s="31"/>
      <c r="H276" s="31"/>
      <c r="I276" s="31"/>
      <c r="J276" s="31"/>
      <c r="K276" s="31"/>
      <c r="L276" s="31"/>
      <c r="M276" s="31"/>
      <c r="N276" s="7"/>
      <c r="O276" s="7"/>
      <c r="P276" s="7"/>
      <c r="Q276" s="7"/>
      <c r="R276" s="7"/>
      <c r="S276" s="7"/>
      <c r="T276" s="7"/>
      <c r="U276" s="7"/>
      <c r="V276" s="7"/>
      <c r="W276" s="7"/>
      <c r="X276" s="7"/>
      <c r="Y276" s="7"/>
      <c r="Z276" s="7"/>
    </row>
    <row r="277" spans="1:26" ht="15.75" customHeight="1">
      <c r="A277" s="43"/>
      <c r="B277" s="30"/>
      <c r="C277" s="30"/>
      <c r="D277" s="31"/>
      <c r="E277" s="31"/>
      <c r="F277" s="31"/>
      <c r="G277" s="31"/>
      <c r="H277" s="31"/>
      <c r="I277" s="31"/>
      <c r="J277" s="31"/>
      <c r="K277" s="31"/>
      <c r="L277" s="31"/>
      <c r="M277" s="31"/>
      <c r="N277" s="7"/>
      <c r="O277" s="7"/>
      <c r="P277" s="7"/>
      <c r="Q277" s="7"/>
      <c r="R277" s="7"/>
      <c r="S277" s="7"/>
      <c r="T277" s="7"/>
      <c r="U277" s="7"/>
      <c r="V277" s="7"/>
      <c r="W277" s="7"/>
      <c r="X277" s="7"/>
      <c r="Y277" s="7"/>
      <c r="Z277" s="7"/>
    </row>
    <row r="278" spans="1:26" ht="15.75" customHeight="1"/>
    <row r="279" spans="1:26" ht="15.75" customHeight="1"/>
    <row r="280" spans="1:26" ht="15.75" customHeight="1"/>
    <row r="281" spans="1:26" ht="15.75" customHeight="1"/>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K77" xr:uid="{00000000-0009-0000-0000-000005000000}"/>
  <phoneticPr fontId="22" type="noConversion"/>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998"/>
  <sheetViews>
    <sheetView workbookViewId="0">
      <pane ySplit="1" topLeftCell="A14" activePane="bottomLeft" state="frozen"/>
      <selection pane="bottomLeft" activeCell="B18" sqref="B18"/>
    </sheetView>
  </sheetViews>
  <sheetFormatPr defaultColWidth="14.42578125" defaultRowHeight="15" customHeight="1"/>
  <cols>
    <col min="1" max="1" width="65.28515625" customWidth="1"/>
    <col min="2" max="2" width="20.7109375" customWidth="1"/>
    <col min="3" max="3" width="16.42578125" customWidth="1"/>
    <col min="4" max="4" width="12.85546875" customWidth="1"/>
    <col min="5" max="5" width="15.5703125" customWidth="1"/>
    <col min="6" max="6" width="12.7109375" customWidth="1"/>
    <col min="7" max="7" width="22.7109375" customWidth="1"/>
    <col min="8" max="8" width="35.7109375" customWidth="1"/>
    <col min="9" max="9" width="18.85546875" customWidth="1"/>
    <col min="10" max="10" width="21.7109375" customWidth="1"/>
    <col min="11" max="11" width="18.7109375" customWidth="1"/>
    <col min="12" max="12" width="24.42578125" customWidth="1"/>
    <col min="13" max="13" width="37.42578125" customWidth="1"/>
    <col min="14" max="14" width="9.140625" customWidth="1"/>
    <col min="15" max="25" width="8.7109375" customWidth="1"/>
  </cols>
  <sheetData>
    <row r="1" spans="1:25" ht="15.75" customHeight="1">
      <c r="A1" s="33" t="s">
        <v>426</v>
      </c>
      <c r="B1" s="2" t="s">
        <v>5</v>
      </c>
      <c r="C1" s="3" t="s">
        <v>6</v>
      </c>
      <c r="D1" s="4" t="s">
        <v>0</v>
      </c>
      <c r="E1" s="4" t="s">
        <v>1</v>
      </c>
      <c r="F1" s="4" t="s">
        <v>2</v>
      </c>
      <c r="G1" s="4" t="s">
        <v>7</v>
      </c>
      <c r="H1" s="4" t="s">
        <v>3</v>
      </c>
      <c r="I1" s="5" t="s">
        <v>8</v>
      </c>
      <c r="J1" s="5" t="s">
        <v>9</v>
      </c>
      <c r="K1" s="5" t="s">
        <v>10</v>
      </c>
      <c r="L1" s="48" t="s">
        <v>11</v>
      </c>
      <c r="M1" s="48" t="s">
        <v>12</v>
      </c>
      <c r="N1" s="6"/>
      <c r="O1" s="7"/>
      <c r="P1" s="7"/>
      <c r="Q1" s="7"/>
      <c r="R1" s="7"/>
      <c r="S1" s="7"/>
      <c r="T1" s="7"/>
      <c r="U1" s="7"/>
      <c r="V1" s="7"/>
      <c r="W1" s="7"/>
      <c r="X1" s="7"/>
      <c r="Y1" s="7"/>
    </row>
    <row r="2" spans="1:25" ht="15.75" customHeight="1">
      <c r="A2" s="8" t="s">
        <v>427</v>
      </c>
      <c r="B2" s="3"/>
      <c r="C2" s="3" t="s">
        <v>17</v>
      </c>
      <c r="D2" s="3" t="s">
        <v>428</v>
      </c>
      <c r="E2" s="9" t="s">
        <v>17</v>
      </c>
      <c r="F2" s="9" t="s">
        <v>17</v>
      </c>
      <c r="G2" s="12" t="s">
        <v>17</v>
      </c>
      <c r="H2" s="12" t="s">
        <v>17</v>
      </c>
      <c r="I2" s="12">
        <f t="shared" ref="I2:M11" si="0">_xlfn.LET(
_xlpm.full,2,
_xlpm.ans,UPPER(SUBSTITUTE(SUBSTITUTE(SUBSTITUTE(SUBSTITUTE(SUBSTITUTE(SUBSTITUTE($C2&amp;"","，",""),",",""),"、","")," ",""),"　",""),CHAR(10),"")),
_xlpm.resp,UPPER(SUBSTITUTE(SUBSTITUTE(SUBSTITUTE(SUBSTITUTE(SUBSTITUTE(SUBSTITUTE(D2&amp;"","，",""),",",""),"、","")," ",""),"　",""),CHAR(10),"")),
IF(OR(_xlpm.resp="",LEN(_xlpm.resp)&lt;&gt;1),0,IF(_xlpm.resp=_xlpm.ans,_xlpm.full,0))
)</f>
        <v>2</v>
      </c>
      <c r="J2" s="12">
        <f t="shared" si="0"/>
        <v>2</v>
      </c>
      <c r="K2" s="12">
        <f t="shared" si="0"/>
        <v>2</v>
      </c>
      <c r="L2" s="12">
        <f t="shared" si="0"/>
        <v>2</v>
      </c>
      <c r="M2" s="12">
        <f t="shared" si="0"/>
        <v>2</v>
      </c>
      <c r="N2" s="6"/>
      <c r="O2" s="7"/>
      <c r="P2" s="7"/>
      <c r="Q2" s="7"/>
      <c r="R2" s="7"/>
      <c r="S2" s="7"/>
      <c r="T2" s="7"/>
      <c r="U2" s="7"/>
      <c r="V2" s="7"/>
      <c r="W2" s="7"/>
      <c r="X2" s="7"/>
      <c r="Y2" s="7"/>
    </row>
    <row r="3" spans="1:25" ht="15.75" customHeight="1">
      <c r="A3" s="8" t="s">
        <v>429</v>
      </c>
      <c r="B3" s="3"/>
      <c r="C3" s="3" t="s">
        <v>22</v>
      </c>
      <c r="D3" s="3" t="s">
        <v>430</v>
      </c>
      <c r="E3" s="9" t="s">
        <v>22</v>
      </c>
      <c r="F3" s="9" t="s">
        <v>22</v>
      </c>
      <c r="G3" s="12" t="s">
        <v>19</v>
      </c>
      <c r="H3" s="12" t="s">
        <v>22</v>
      </c>
      <c r="I3" s="12">
        <f t="shared" si="0"/>
        <v>2</v>
      </c>
      <c r="J3" s="12">
        <f t="shared" si="0"/>
        <v>2</v>
      </c>
      <c r="K3" s="12">
        <f t="shared" si="0"/>
        <v>2</v>
      </c>
      <c r="L3" s="12">
        <f t="shared" si="0"/>
        <v>0</v>
      </c>
      <c r="M3" s="12">
        <f t="shared" si="0"/>
        <v>2</v>
      </c>
      <c r="N3" s="13"/>
      <c r="O3" s="7"/>
      <c r="P3" s="7"/>
      <c r="Q3" s="7"/>
      <c r="R3" s="7"/>
      <c r="S3" s="7"/>
      <c r="T3" s="7"/>
      <c r="U3" s="7"/>
      <c r="V3" s="7"/>
      <c r="W3" s="7"/>
      <c r="X3" s="7"/>
      <c r="Y3" s="7"/>
    </row>
    <row r="4" spans="1:25" ht="15.75" customHeight="1">
      <c r="A4" s="8" t="s">
        <v>431</v>
      </c>
      <c r="B4" s="3" t="s">
        <v>16</v>
      </c>
      <c r="C4" s="3" t="s">
        <v>22</v>
      </c>
      <c r="D4" s="9" t="s">
        <v>21</v>
      </c>
      <c r="E4" s="9" t="s">
        <v>17</v>
      </c>
      <c r="F4" s="9" t="s">
        <v>22</v>
      </c>
      <c r="G4" s="12" t="s">
        <v>21</v>
      </c>
      <c r="H4" s="12" t="s">
        <v>14</v>
      </c>
      <c r="I4" s="12">
        <f t="shared" si="0"/>
        <v>0</v>
      </c>
      <c r="J4" s="12">
        <f t="shared" si="0"/>
        <v>0</v>
      </c>
      <c r="K4" s="12">
        <f t="shared" si="0"/>
        <v>2</v>
      </c>
      <c r="L4" s="12">
        <f t="shared" si="0"/>
        <v>0</v>
      </c>
      <c r="M4" s="12">
        <f t="shared" si="0"/>
        <v>0</v>
      </c>
      <c r="N4" s="13"/>
      <c r="O4" s="7"/>
      <c r="P4" s="7"/>
      <c r="Q4" s="7"/>
      <c r="R4" s="7"/>
      <c r="S4" s="7"/>
      <c r="T4" s="7"/>
      <c r="U4" s="7"/>
      <c r="V4" s="7"/>
      <c r="W4" s="7"/>
      <c r="X4" s="7"/>
      <c r="Y4" s="7"/>
    </row>
    <row r="5" spans="1:25" ht="15.75" customHeight="1">
      <c r="A5" s="8" t="s">
        <v>432</v>
      </c>
      <c r="B5" s="3" t="s">
        <v>16</v>
      </c>
      <c r="C5" s="3" t="s">
        <v>22</v>
      </c>
      <c r="D5" s="9" t="s">
        <v>19</v>
      </c>
      <c r="E5" s="9" t="s">
        <v>22</v>
      </c>
      <c r="F5" s="9" t="s">
        <v>22</v>
      </c>
      <c r="G5" s="12" t="s">
        <v>14</v>
      </c>
      <c r="H5" s="12" t="s">
        <v>22</v>
      </c>
      <c r="I5" s="12">
        <f t="shared" si="0"/>
        <v>0</v>
      </c>
      <c r="J5" s="12">
        <f t="shared" si="0"/>
        <v>2</v>
      </c>
      <c r="K5" s="12">
        <f t="shared" si="0"/>
        <v>2</v>
      </c>
      <c r="L5" s="12">
        <f t="shared" si="0"/>
        <v>0</v>
      </c>
      <c r="M5" s="12">
        <f t="shared" si="0"/>
        <v>2</v>
      </c>
      <c r="N5" s="6"/>
      <c r="O5" s="7"/>
      <c r="P5" s="7"/>
      <c r="Q5" s="7"/>
      <c r="R5" s="7"/>
      <c r="S5" s="7"/>
      <c r="T5" s="7"/>
      <c r="U5" s="7"/>
    </row>
    <row r="6" spans="1:25" ht="15.75" customHeight="1">
      <c r="A6" s="8" t="s">
        <v>433</v>
      </c>
      <c r="B6" s="3" t="s">
        <v>16</v>
      </c>
      <c r="C6" s="3" t="s">
        <v>22</v>
      </c>
      <c r="D6" s="9" t="s">
        <v>21</v>
      </c>
      <c r="E6" s="9" t="s">
        <v>22</v>
      </c>
      <c r="F6" s="9" t="s">
        <v>21</v>
      </c>
      <c r="G6" s="12" t="s">
        <v>21</v>
      </c>
      <c r="H6" s="12" t="s">
        <v>22</v>
      </c>
      <c r="I6" s="12">
        <f t="shared" si="0"/>
        <v>0</v>
      </c>
      <c r="J6" s="12">
        <f t="shared" si="0"/>
        <v>2</v>
      </c>
      <c r="K6" s="12">
        <f t="shared" si="0"/>
        <v>0</v>
      </c>
      <c r="L6" s="12">
        <f t="shared" si="0"/>
        <v>0</v>
      </c>
      <c r="M6" s="12">
        <f t="shared" si="0"/>
        <v>2</v>
      </c>
      <c r="N6" s="6"/>
      <c r="O6" s="7"/>
      <c r="P6" s="7"/>
      <c r="Q6" s="7"/>
      <c r="R6" s="7"/>
      <c r="S6" s="7"/>
      <c r="T6" s="7"/>
      <c r="U6" s="7"/>
    </row>
    <row r="7" spans="1:25" ht="15.75" customHeight="1">
      <c r="A7" s="8" t="s">
        <v>434</v>
      </c>
      <c r="B7" s="3"/>
      <c r="C7" s="3" t="s">
        <v>17</v>
      </c>
      <c r="D7" s="9" t="s">
        <v>428</v>
      </c>
      <c r="E7" s="9" t="s">
        <v>17</v>
      </c>
      <c r="F7" s="9" t="s">
        <v>17</v>
      </c>
      <c r="G7" s="12" t="s">
        <v>17</v>
      </c>
      <c r="H7" s="12" t="s">
        <v>17</v>
      </c>
      <c r="I7" s="12">
        <f t="shared" si="0"/>
        <v>2</v>
      </c>
      <c r="J7" s="12">
        <f t="shared" si="0"/>
        <v>2</v>
      </c>
      <c r="K7" s="12">
        <f t="shared" si="0"/>
        <v>2</v>
      </c>
      <c r="L7" s="12">
        <f t="shared" si="0"/>
        <v>2</v>
      </c>
      <c r="M7" s="12">
        <f t="shared" si="0"/>
        <v>2</v>
      </c>
      <c r="N7" s="6"/>
      <c r="O7" s="7"/>
      <c r="P7" s="7"/>
      <c r="Q7" s="7"/>
      <c r="R7" s="7"/>
      <c r="S7" s="7"/>
      <c r="T7" s="7"/>
      <c r="U7" s="7"/>
    </row>
    <row r="8" spans="1:25" ht="15.75" customHeight="1">
      <c r="A8" s="8" t="s">
        <v>435</v>
      </c>
      <c r="B8" s="3"/>
      <c r="C8" s="3" t="s">
        <v>14</v>
      </c>
      <c r="D8" s="3" t="s">
        <v>14</v>
      </c>
      <c r="E8" s="9" t="s">
        <v>14</v>
      </c>
      <c r="F8" s="9" t="s">
        <v>14</v>
      </c>
      <c r="G8" s="12" t="s">
        <v>22</v>
      </c>
      <c r="H8" s="12" t="s">
        <v>14</v>
      </c>
      <c r="I8" s="12">
        <f t="shared" si="0"/>
        <v>2</v>
      </c>
      <c r="J8" s="12">
        <f t="shared" si="0"/>
        <v>2</v>
      </c>
      <c r="K8" s="12">
        <f t="shared" si="0"/>
        <v>2</v>
      </c>
      <c r="L8" s="12">
        <f t="shared" si="0"/>
        <v>0</v>
      </c>
      <c r="M8" s="12">
        <f t="shared" si="0"/>
        <v>2</v>
      </c>
      <c r="N8" s="6"/>
      <c r="O8" s="7"/>
      <c r="P8" s="7"/>
      <c r="Q8" s="7"/>
      <c r="R8" s="7"/>
      <c r="S8" s="7"/>
      <c r="T8" s="7"/>
      <c r="U8" s="7"/>
    </row>
    <row r="9" spans="1:25" ht="15.75" customHeight="1">
      <c r="A9" s="8" t="s">
        <v>436</v>
      </c>
      <c r="B9" s="3"/>
      <c r="C9" s="3" t="s">
        <v>17</v>
      </c>
      <c r="D9" s="9" t="s">
        <v>428</v>
      </c>
      <c r="E9" s="9" t="s">
        <v>17</v>
      </c>
      <c r="F9" s="9" t="s">
        <v>17</v>
      </c>
      <c r="G9" s="12" t="s">
        <v>17</v>
      </c>
      <c r="H9" s="12" t="s">
        <v>17</v>
      </c>
      <c r="I9" s="12">
        <f t="shared" si="0"/>
        <v>2</v>
      </c>
      <c r="J9" s="12">
        <f t="shared" si="0"/>
        <v>2</v>
      </c>
      <c r="K9" s="12">
        <f t="shared" si="0"/>
        <v>2</v>
      </c>
      <c r="L9" s="12">
        <f t="shared" si="0"/>
        <v>2</v>
      </c>
      <c r="M9" s="12">
        <f t="shared" si="0"/>
        <v>2</v>
      </c>
      <c r="N9" s="6"/>
      <c r="O9" s="7"/>
      <c r="P9" s="7"/>
      <c r="Q9" s="7"/>
      <c r="R9" s="7"/>
      <c r="S9" s="7"/>
      <c r="T9" s="7"/>
      <c r="U9" s="7"/>
    </row>
    <row r="10" spans="1:25" ht="15.75" customHeight="1">
      <c r="A10" s="8" t="s">
        <v>437</v>
      </c>
      <c r="B10" s="3"/>
      <c r="C10" s="3" t="s">
        <v>14</v>
      </c>
      <c r="D10" s="9" t="s">
        <v>14</v>
      </c>
      <c r="E10" s="9" t="s">
        <v>14</v>
      </c>
      <c r="F10" s="9" t="s">
        <v>14</v>
      </c>
      <c r="G10" s="12" t="s">
        <v>14</v>
      </c>
      <c r="H10" s="12" t="s">
        <v>14</v>
      </c>
      <c r="I10" s="12">
        <f t="shared" si="0"/>
        <v>2</v>
      </c>
      <c r="J10" s="12">
        <f t="shared" si="0"/>
        <v>2</v>
      </c>
      <c r="K10" s="12">
        <f t="shared" si="0"/>
        <v>2</v>
      </c>
      <c r="L10" s="12">
        <f t="shared" si="0"/>
        <v>2</v>
      </c>
      <c r="M10" s="12">
        <f t="shared" si="0"/>
        <v>2</v>
      </c>
      <c r="N10" s="6"/>
      <c r="O10" s="7"/>
      <c r="P10" s="7"/>
      <c r="Q10" s="7"/>
      <c r="R10" s="7"/>
      <c r="S10" s="7"/>
      <c r="T10" s="7"/>
      <c r="U10" s="7"/>
    </row>
    <row r="11" spans="1:25" ht="15.75" customHeight="1">
      <c r="A11" s="8" t="s">
        <v>438</v>
      </c>
      <c r="B11" s="3" t="s">
        <v>16</v>
      </c>
      <c r="C11" s="3" t="s">
        <v>21</v>
      </c>
      <c r="D11" s="9" t="s">
        <v>21</v>
      </c>
      <c r="E11" s="9" t="s">
        <v>14</v>
      </c>
      <c r="F11" s="9" t="s">
        <v>14</v>
      </c>
      <c r="G11" s="12" t="s">
        <v>19</v>
      </c>
      <c r="H11" s="12" t="s">
        <v>21</v>
      </c>
      <c r="I11" s="12">
        <f t="shared" si="0"/>
        <v>2</v>
      </c>
      <c r="J11" s="12">
        <f t="shared" si="0"/>
        <v>0</v>
      </c>
      <c r="K11" s="12">
        <f t="shared" si="0"/>
        <v>0</v>
      </c>
      <c r="L11" s="12">
        <f t="shared" si="0"/>
        <v>0</v>
      </c>
      <c r="M11" s="12">
        <f t="shared" si="0"/>
        <v>2</v>
      </c>
      <c r="N11" s="6"/>
      <c r="O11" s="7"/>
      <c r="P11" s="7"/>
      <c r="Q11" s="7"/>
      <c r="R11" s="7"/>
      <c r="S11" s="7"/>
      <c r="T11" s="7"/>
      <c r="U11" s="7"/>
    </row>
    <row r="12" spans="1:25" ht="15.75" customHeight="1">
      <c r="A12" s="17" t="s">
        <v>439</v>
      </c>
      <c r="B12" s="18"/>
      <c r="C12" s="18" t="s">
        <v>294</v>
      </c>
      <c r="D12" s="19"/>
      <c r="E12" s="19"/>
      <c r="F12" s="19"/>
      <c r="G12" s="19"/>
      <c r="H12" s="19"/>
      <c r="I12" s="19"/>
      <c r="J12" s="19"/>
      <c r="K12" s="19"/>
      <c r="L12" s="19"/>
      <c r="M12" s="19"/>
      <c r="N12" s="6"/>
      <c r="O12" s="7"/>
      <c r="P12" s="7"/>
      <c r="Q12" s="7"/>
      <c r="R12" s="7"/>
      <c r="S12" s="7"/>
      <c r="T12" s="7"/>
      <c r="U12" s="7"/>
    </row>
    <row r="13" spans="1:25" ht="15.75" customHeight="1">
      <c r="A13" s="8" t="s">
        <v>440</v>
      </c>
      <c r="B13" s="3"/>
      <c r="C13" s="3" t="s">
        <v>14</v>
      </c>
      <c r="D13" s="9" t="s">
        <v>19</v>
      </c>
      <c r="E13" s="9" t="s">
        <v>14</v>
      </c>
      <c r="F13" s="9" t="s">
        <v>14</v>
      </c>
      <c r="G13" s="9" t="s">
        <v>14</v>
      </c>
      <c r="H13" s="9" t="s">
        <v>14</v>
      </c>
      <c r="I13" s="12">
        <f t="shared" ref="I13:M20" si="1">_xlfn.LET(
_xlpm.full,2,
_xlpm.ans,UPPER(SUBSTITUTE(SUBSTITUTE(SUBSTITUTE(SUBSTITUTE(SUBSTITUTE(SUBSTITUTE($C13&amp;"","，",""),",",""),"、","")," ",""),"　",""),CHAR(10),"")),
_xlpm.resp,UPPER(SUBSTITUTE(SUBSTITUTE(SUBSTITUTE(SUBSTITUTE(SUBSTITUTE(SUBSTITUTE(D13&amp;"","，",""),",",""),"、","")," ",""),"　",""),CHAR(10),"")),
IF(OR(_xlpm.resp="",LEN(_xlpm.resp)&lt;&gt;1),0,IF(_xlpm.resp=_xlpm.ans,_xlpm.full,0))
)</f>
        <v>0</v>
      </c>
      <c r="J13" s="12">
        <f t="shared" si="1"/>
        <v>2</v>
      </c>
      <c r="K13" s="12">
        <f t="shared" si="1"/>
        <v>2</v>
      </c>
      <c r="L13" s="12">
        <f t="shared" si="1"/>
        <v>2</v>
      </c>
      <c r="M13" s="12">
        <f t="shared" si="1"/>
        <v>2</v>
      </c>
      <c r="N13" s="6"/>
      <c r="O13" s="7"/>
      <c r="P13" s="7"/>
      <c r="Q13" s="7"/>
      <c r="R13" s="7"/>
      <c r="S13" s="7"/>
      <c r="T13" s="7"/>
      <c r="U13" s="7"/>
    </row>
    <row r="14" spans="1:25" ht="15.75" customHeight="1">
      <c r="A14" s="8" t="s">
        <v>441</v>
      </c>
      <c r="B14" s="3" t="s">
        <v>16</v>
      </c>
      <c r="C14" s="3" t="s">
        <v>14</v>
      </c>
      <c r="D14" s="9" t="s">
        <v>19</v>
      </c>
      <c r="E14" s="9" t="s">
        <v>14</v>
      </c>
      <c r="F14" s="9" t="s">
        <v>21</v>
      </c>
      <c r="G14" s="9" t="s">
        <v>21</v>
      </c>
      <c r="H14" s="9" t="s">
        <v>21</v>
      </c>
      <c r="I14" s="12">
        <f t="shared" si="1"/>
        <v>0</v>
      </c>
      <c r="J14" s="12">
        <f t="shared" si="1"/>
        <v>2</v>
      </c>
      <c r="K14" s="12">
        <f t="shared" si="1"/>
        <v>0</v>
      </c>
      <c r="L14" s="12">
        <f t="shared" si="1"/>
        <v>0</v>
      </c>
      <c r="M14" s="12">
        <f t="shared" si="1"/>
        <v>0</v>
      </c>
      <c r="N14" s="6"/>
      <c r="O14" s="7"/>
      <c r="P14" s="7"/>
      <c r="Q14" s="7"/>
      <c r="R14" s="7"/>
      <c r="S14" s="7"/>
      <c r="T14" s="7"/>
      <c r="U14" s="7"/>
    </row>
    <row r="15" spans="1:25" ht="15.75" customHeight="1">
      <c r="A15" s="8" t="s">
        <v>929</v>
      </c>
      <c r="B15" s="3"/>
      <c r="C15" s="3" t="s">
        <v>17</v>
      </c>
      <c r="D15" s="9" t="s">
        <v>17</v>
      </c>
      <c r="E15" s="9" t="s">
        <v>17</v>
      </c>
      <c r="F15" s="9" t="s">
        <v>17</v>
      </c>
      <c r="G15" s="9" t="s">
        <v>17</v>
      </c>
      <c r="H15" s="9" t="s">
        <v>17</v>
      </c>
      <c r="I15" s="12">
        <f t="shared" si="1"/>
        <v>2</v>
      </c>
      <c r="J15" s="12">
        <f t="shared" si="1"/>
        <v>2</v>
      </c>
      <c r="K15" s="12">
        <f t="shared" si="1"/>
        <v>2</v>
      </c>
      <c r="L15" s="12">
        <f t="shared" si="1"/>
        <v>2</v>
      </c>
      <c r="M15" s="12">
        <f t="shared" si="1"/>
        <v>2</v>
      </c>
      <c r="N15" s="6"/>
      <c r="O15" s="7"/>
      <c r="P15" s="7"/>
      <c r="Q15" s="7"/>
      <c r="R15" s="7"/>
      <c r="S15" s="7"/>
      <c r="T15" s="7"/>
      <c r="U15" s="7"/>
      <c r="V15" s="7"/>
      <c r="W15" s="7"/>
      <c r="X15" s="7"/>
      <c r="Y15" s="7"/>
    </row>
    <row r="16" spans="1:25" ht="15.75" customHeight="1">
      <c r="A16" s="8" t="s">
        <v>442</v>
      </c>
      <c r="B16" s="3"/>
      <c r="C16" s="3" t="s">
        <v>14</v>
      </c>
      <c r="D16" s="9" t="s">
        <v>17</v>
      </c>
      <c r="E16" s="9" t="s">
        <v>14</v>
      </c>
      <c r="F16" s="9" t="s">
        <v>14</v>
      </c>
      <c r="G16" s="9" t="s">
        <v>14</v>
      </c>
      <c r="H16" s="9" t="s">
        <v>14</v>
      </c>
      <c r="I16" s="12">
        <f t="shared" si="1"/>
        <v>0</v>
      </c>
      <c r="J16" s="12">
        <f t="shared" si="1"/>
        <v>2</v>
      </c>
      <c r="K16" s="12">
        <f t="shared" si="1"/>
        <v>2</v>
      </c>
      <c r="L16" s="12">
        <f t="shared" si="1"/>
        <v>2</v>
      </c>
      <c r="M16" s="12">
        <f t="shared" si="1"/>
        <v>2</v>
      </c>
      <c r="N16" s="6"/>
      <c r="O16" s="7"/>
      <c r="P16" s="7"/>
      <c r="Q16" s="7"/>
      <c r="R16" s="7"/>
      <c r="S16" s="7"/>
      <c r="T16" s="7"/>
      <c r="U16" s="7"/>
      <c r="V16" s="7"/>
      <c r="W16" s="7"/>
      <c r="X16" s="7"/>
      <c r="Y16" s="7"/>
    </row>
    <row r="17" spans="1:25" ht="15.75" customHeight="1">
      <c r="A17" s="8" t="s">
        <v>443</v>
      </c>
      <c r="B17" s="3"/>
      <c r="C17" s="3" t="s">
        <v>21</v>
      </c>
      <c r="D17" s="10" t="s">
        <v>21</v>
      </c>
      <c r="E17" s="10" t="s">
        <v>21</v>
      </c>
      <c r="F17" s="10" t="s">
        <v>21</v>
      </c>
      <c r="G17" s="10" t="s">
        <v>21</v>
      </c>
      <c r="H17" s="10" t="s">
        <v>21</v>
      </c>
      <c r="I17" s="12">
        <f t="shared" si="1"/>
        <v>2</v>
      </c>
      <c r="J17" s="12">
        <f t="shared" si="1"/>
        <v>2</v>
      </c>
      <c r="K17" s="12">
        <f t="shared" si="1"/>
        <v>2</v>
      </c>
      <c r="L17" s="12">
        <f t="shared" si="1"/>
        <v>2</v>
      </c>
      <c r="M17" s="12">
        <f t="shared" si="1"/>
        <v>2</v>
      </c>
      <c r="N17" s="6"/>
      <c r="O17" s="7"/>
      <c r="P17" s="7"/>
      <c r="Q17" s="7"/>
      <c r="R17" s="7"/>
      <c r="S17" s="7"/>
      <c r="T17" s="7"/>
      <c r="U17" s="7"/>
      <c r="V17" s="7"/>
      <c r="W17" s="7"/>
      <c r="X17" s="7"/>
      <c r="Y17" s="7"/>
    </row>
    <row r="18" spans="1:25" ht="15.75" customHeight="1">
      <c r="A18" s="8" t="s">
        <v>444</v>
      </c>
      <c r="B18" s="3" t="s">
        <v>34</v>
      </c>
      <c r="C18" s="3" t="s">
        <v>22</v>
      </c>
      <c r="D18" s="10" t="s">
        <v>22</v>
      </c>
      <c r="E18" s="10" t="s">
        <v>22</v>
      </c>
      <c r="F18" s="10" t="s">
        <v>17</v>
      </c>
      <c r="G18" s="10" t="s">
        <v>22</v>
      </c>
      <c r="H18" s="10" t="s">
        <v>22</v>
      </c>
      <c r="I18" s="12">
        <f t="shared" si="1"/>
        <v>2</v>
      </c>
      <c r="J18" s="12">
        <f t="shared" si="1"/>
        <v>2</v>
      </c>
      <c r="K18" s="12">
        <f t="shared" si="1"/>
        <v>0</v>
      </c>
      <c r="L18" s="12">
        <f t="shared" si="1"/>
        <v>2</v>
      </c>
      <c r="M18" s="12">
        <f t="shared" si="1"/>
        <v>2</v>
      </c>
      <c r="N18" s="6"/>
      <c r="O18" s="7"/>
      <c r="P18" s="7"/>
      <c r="Q18" s="7"/>
      <c r="R18" s="7"/>
      <c r="S18" s="7"/>
      <c r="T18" s="7"/>
      <c r="U18" s="7"/>
      <c r="V18" s="7"/>
      <c r="W18" s="7"/>
      <c r="X18" s="7"/>
      <c r="Y18" s="7"/>
    </row>
    <row r="19" spans="1:25" ht="15.75" customHeight="1">
      <c r="A19" s="8" t="s">
        <v>445</v>
      </c>
      <c r="B19" s="3" t="s">
        <v>34</v>
      </c>
      <c r="C19" s="3" t="s">
        <v>19</v>
      </c>
      <c r="D19" s="10" t="s">
        <v>21</v>
      </c>
      <c r="E19" s="10" t="s">
        <v>19</v>
      </c>
      <c r="F19" s="10" t="s">
        <v>19</v>
      </c>
      <c r="G19" s="10" t="s">
        <v>19</v>
      </c>
      <c r="H19" s="10" t="s">
        <v>19</v>
      </c>
      <c r="I19" s="12">
        <f t="shared" si="1"/>
        <v>0</v>
      </c>
      <c r="J19" s="12">
        <f t="shared" si="1"/>
        <v>2</v>
      </c>
      <c r="K19" s="12">
        <f t="shared" si="1"/>
        <v>2</v>
      </c>
      <c r="L19" s="12">
        <f t="shared" si="1"/>
        <v>2</v>
      </c>
      <c r="M19" s="12">
        <f t="shared" si="1"/>
        <v>2</v>
      </c>
      <c r="N19" s="6"/>
      <c r="O19" s="7"/>
      <c r="P19" s="7"/>
      <c r="Q19" s="7"/>
      <c r="R19" s="7"/>
      <c r="S19" s="7"/>
      <c r="T19" s="7"/>
      <c r="U19" s="7"/>
      <c r="V19" s="7"/>
      <c r="W19" s="7"/>
      <c r="X19" s="7"/>
      <c r="Y19" s="7"/>
    </row>
    <row r="20" spans="1:25" ht="15.75" customHeight="1">
      <c r="A20" s="8" t="s">
        <v>446</v>
      </c>
      <c r="B20" s="3"/>
      <c r="C20" s="3" t="s">
        <v>19</v>
      </c>
      <c r="D20" s="10" t="s">
        <v>14</v>
      </c>
      <c r="E20" s="10" t="s">
        <v>19</v>
      </c>
      <c r="F20" s="10" t="s">
        <v>19</v>
      </c>
      <c r="G20" s="10" t="s">
        <v>19</v>
      </c>
      <c r="H20" s="10" t="s">
        <v>19</v>
      </c>
      <c r="I20" s="12">
        <f t="shared" si="1"/>
        <v>0</v>
      </c>
      <c r="J20" s="12">
        <f t="shared" si="1"/>
        <v>2</v>
      </c>
      <c r="K20" s="12">
        <f t="shared" si="1"/>
        <v>2</v>
      </c>
      <c r="L20" s="12">
        <f t="shared" si="1"/>
        <v>2</v>
      </c>
      <c r="M20" s="12">
        <f t="shared" si="1"/>
        <v>2</v>
      </c>
      <c r="N20" s="6"/>
      <c r="O20" s="7"/>
      <c r="P20" s="7"/>
      <c r="Q20" s="7"/>
      <c r="R20" s="7"/>
      <c r="S20" s="7"/>
      <c r="T20" s="7"/>
      <c r="U20" s="7"/>
      <c r="V20" s="7"/>
      <c r="W20" s="7"/>
      <c r="X20" s="7"/>
      <c r="Y20" s="7"/>
    </row>
    <row r="21" spans="1:25" ht="15.75" customHeight="1">
      <c r="A21" s="17" t="s">
        <v>447</v>
      </c>
      <c r="B21" s="18"/>
      <c r="C21" s="18" t="s">
        <v>294</v>
      </c>
      <c r="D21" s="24"/>
      <c r="E21" s="24"/>
      <c r="F21" s="24"/>
      <c r="G21" s="24"/>
      <c r="H21" s="24"/>
      <c r="I21" s="76"/>
      <c r="J21" s="76"/>
      <c r="K21" s="76"/>
      <c r="L21" s="76"/>
      <c r="M21" s="76"/>
      <c r="N21" s="6"/>
      <c r="O21" s="7"/>
      <c r="P21" s="7"/>
      <c r="Q21" s="7"/>
      <c r="R21" s="7"/>
      <c r="S21" s="7"/>
      <c r="T21" s="7"/>
      <c r="U21" s="7"/>
      <c r="V21" s="7"/>
      <c r="W21" s="7"/>
      <c r="X21" s="7"/>
      <c r="Y21" s="7"/>
    </row>
    <row r="22" spans="1:25" ht="15.75" customHeight="1">
      <c r="A22" s="8" t="s">
        <v>448</v>
      </c>
      <c r="B22" s="3" t="s">
        <v>16</v>
      </c>
      <c r="C22" s="3" t="s">
        <v>14</v>
      </c>
      <c r="D22" s="10" t="s">
        <v>22</v>
      </c>
      <c r="E22" s="10" t="s">
        <v>22</v>
      </c>
      <c r="F22" s="10" t="s">
        <v>22</v>
      </c>
      <c r="G22" s="10" t="s">
        <v>22</v>
      </c>
      <c r="H22" s="10" t="s">
        <v>22</v>
      </c>
      <c r="I22" s="12">
        <f t="shared" ref="I22:M26" si="2">_xlfn.LET(
_xlpm.full,2,
_xlpm.ans,UPPER(SUBSTITUTE(SUBSTITUTE(SUBSTITUTE(SUBSTITUTE(SUBSTITUTE(SUBSTITUTE($C22&amp;"","，",""),",",""),"、","")," ",""),"　",""),CHAR(10),"")),
_xlpm.resp,UPPER(SUBSTITUTE(SUBSTITUTE(SUBSTITUTE(SUBSTITUTE(SUBSTITUTE(SUBSTITUTE(D22&amp;"","，",""),",",""),"、","")," ",""),"　",""),CHAR(10),"")),
IF(OR(_xlpm.resp="",LEN(_xlpm.resp)&lt;&gt;1),0,IF(_xlpm.resp=_xlpm.ans,_xlpm.full,0))
)</f>
        <v>0</v>
      </c>
      <c r="J22" s="12">
        <f t="shared" si="2"/>
        <v>0</v>
      </c>
      <c r="K22" s="12">
        <f t="shared" si="2"/>
        <v>0</v>
      </c>
      <c r="L22" s="12">
        <f t="shared" si="2"/>
        <v>0</v>
      </c>
      <c r="M22" s="12">
        <f t="shared" si="2"/>
        <v>0</v>
      </c>
      <c r="N22" s="6"/>
      <c r="O22" s="7"/>
      <c r="P22" s="7"/>
      <c r="Q22" s="7"/>
      <c r="R22" s="7"/>
      <c r="S22" s="7"/>
      <c r="T22" s="7"/>
      <c r="U22" s="7"/>
      <c r="V22" s="7"/>
      <c r="W22" s="7"/>
      <c r="X22" s="7"/>
      <c r="Y22" s="7"/>
    </row>
    <row r="23" spans="1:25" ht="15.75" customHeight="1">
      <c r="A23" s="8" t="s">
        <v>449</v>
      </c>
      <c r="B23" s="3" t="s">
        <v>16</v>
      </c>
      <c r="C23" s="3" t="s">
        <v>19</v>
      </c>
      <c r="D23" s="10" t="s">
        <v>19</v>
      </c>
      <c r="E23" s="10" t="s">
        <v>19</v>
      </c>
      <c r="F23" s="10" t="s">
        <v>19</v>
      </c>
      <c r="G23" s="10" t="s">
        <v>19</v>
      </c>
      <c r="H23" s="10" t="s">
        <v>19</v>
      </c>
      <c r="I23" s="12">
        <f t="shared" si="2"/>
        <v>2</v>
      </c>
      <c r="J23" s="12">
        <f t="shared" si="2"/>
        <v>2</v>
      </c>
      <c r="K23" s="12">
        <f t="shared" si="2"/>
        <v>2</v>
      </c>
      <c r="L23" s="12">
        <f t="shared" si="2"/>
        <v>2</v>
      </c>
      <c r="M23" s="12">
        <f t="shared" si="2"/>
        <v>2</v>
      </c>
      <c r="N23" s="13"/>
      <c r="O23" s="7"/>
      <c r="P23" s="7"/>
      <c r="Q23" s="7"/>
      <c r="R23" s="7"/>
      <c r="S23" s="7"/>
      <c r="T23" s="7"/>
      <c r="U23" s="7"/>
      <c r="V23" s="7"/>
      <c r="W23" s="7"/>
      <c r="X23" s="7"/>
      <c r="Y23" s="7"/>
    </row>
    <row r="24" spans="1:25" ht="15.75" customHeight="1">
      <c r="A24" s="8" t="s">
        <v>450</v>
      </c>
      <c r="B24" s="3" t="s">
        <v>16</v>
      </c>
      <c r="C24" s="3" t="s">
        <v>17</v>
      </c>
      <c r="D24" s="10" t="s">
        <v>17</v>
      </c>
      <c r="E24" s="10" t="s">
        <v>14</v>
      </c>
      <c r="F24" s="10" t="s">
        <v>22</v>
      </c>
      <c r="G24" s="11" t="s">
        <v>14</v>
      </c>
      <c r="H24" s="11" t="s">
        <v>17</v>
      </c>
      <c r="I24" s="12">
        <f t="shared" si="2"/>
        <v>2</v>
      </c>
      <c r="J24" s="12">
        <f t="shared" si="2"/>
        <v>0</v>
      </c>
      <c r="K24" s="12">
        <f t="shared" si="2"/>
        <v>0</v>
      </c>
      <c r="L24" s="12">
        <f t="shared" si="2"/>
        <v>0</v>
      </c>
      <c r="M24" s="12">
        <f t="shared" si="2"/>
        <v>2</v>
      </c>
      <c r="N24" s="13"/>
      <c r="O24" s="7"/>
      <c r="P24" s="7"/>
      <c r="Q24" s="7"/>
      <c r="R24" s="7"/>
      <c r="S24" s="7"/>
      <c r="T24" s="7"/>
      <c r="U24" s="7"/>
      <c r="V24" s="7"/>
      <c r="W24" s="7"/>
      <c r="X24" s="7"/>
      <c r="Y24" s="7"/>
    </row>
    <row r="25" spans="1:25" ht="15.75" customHeight="1">
      <c r="A25" s="8" t="s">
        <v>451</v>
      </c>
      <c r="B25" s="3"/>
      <c r="C25" s="3" t="s">
        <v>14</v>
      </c>
      <c r="D25" s="10" t="s">
        <v>14</v>
      </c>
      <c r="E25" s="10" t="s">
        <v>14</v>
      </c>
      <c r="F25" s="10" t="s">
        <v>14</v>
      </c>
      <c r="G25" s="11" t="s">
        <v>14</v>
      </c>
      <c r="H25" s="11" t="s">
        <v>14</v>
      </c>
      <c r="I25" s="12">
        <f t="shared" si="2"/>
        <v>2</v>
      </c>
      <c r="J25" s="12">
        <f t="shared" si="2"/>
        <v>2</v>
      </c>
      <c r="K25" s="12">
        <f t="shared" si="2"/>
        <v>2</v>
      </c>
      <c r="L25" s="12">
        <f t="shared" si="2"/>
        <v>2</v>
      </c>
      <c r="M25" s="12">
        <f t="shared" si="2"/>
        <v>2</v>
      </c>
      <c r="N25" s="13"/>
      <c r="O25" s="7"/>
      <c r="P25" s="7"/>
      <c r="Q25" s="7"/>
      <c r="R25" s="7"/>
      <c r="S25" s="7"/>
      <c r="T25" s="7"/>
      <c r="U25" s="7"/>
      <c r="V25" s="7"/>
      <c r="W25" s="7"/>
      <c r="X25" s="7"/>
      <c r="Y25" s="7"/>
    </row>
    <row r="26" spans="1:25" ht="15.75" customHeight="1">
      <c r="A26" s="8" t="s">
        <v>452</v>
      </c>
      <c r="B26" s="3"/>
      <c r="C26" s="3" t="s">
        <v>19</v>
      </c>
      <c r="D26" s="10" t="s">
        <v>19</v>
      </c>
      <c r="E26" s="10" t="s">
        <v>19</v>
      </c>
      <c r="F26" s="10" t="s">
        <v>19</v>
      </c>
      <c r="G26" s="11" t="s">
        <v>19</v>
      </c>
      <c r="H26" s="11" t="s">
        <v>19</v>
      </c>
      <c r="I26" s="12">
        <f t="shared" si="2"/>
        <v>2</v>
      </c>
      <c r="J26" s="12">
        <f t="shared" si="2"/>
        <v>2</v>
      </c>
      <c r="K26" s="12">
        <f t="shared" si="2"/>
        <v>2</v>
      </c>
      <c r="L26" s="12">
        <f t="shared" si="2"/>
        <v>2</v>
      </c>
      <c r="M26" s="12">
        <f t="shared" si="2"/>
        <v>2</v>
      </c>
      <c r="N26" s="13"/>
      <c r="O26" s="7"/>
      <c r="P26" s="7"/>
      <c r="Q26" s="7"/>
      <c r="R26" s="7"/>
      <c r="S26" s="7"/>
      <c r="T26" s="7"/>
      <c r="U26" s="7"/>
      <c r="V26" s="7"/>
      <c r="W26" s="7"/>
      <c r="X26" s="7"/>
      <c r="Y26" s="7"/>
    </row>
    <row r="27" spans="1:25" ht="15.75" customHeight="1">
      <c r="A27" s="8" t="s">
        <v>453</v>
      </c>
      <c r="B27" s="3"/>
      <c r="C27" s="3" t="s">
        <v>102</v>
      </c>
      <c r="D27" s="10" t="s">
        <v>102</v>
      </c>
      <c r="E27" s="10" t="s">
        <v>102</v>
      </c>
      <c r="F27" s="10" t="s">
        <v>102</v>
      </c>
      <c r="G27" s="11" t="s">
        <v>102</v>
      </c>
      <c r="H27" s="11" t="s">
        <v>102</v>
      </c>
      <c r="I27" s="22">
        <f t="shared" ref="I27:I38" si="3">_xlfn.LET(
_xlpm.full,2,
_xlpm.ans0,$C27&amp;"",
_xlpm.resp0,D27&amp;"",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J27" s="22">
        <f t="shared" ref="J27:M38" si="4">_xlfn.LET(
_xlpm.full,2,
_xlpm.ans0,$C27&amp;"",
_xlpm.resp0,E27&amp;"",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K27" s="22">
        <f t="shared" si="4"/>
        <v>2</v>
      </c>
      <c r="L27" s="22">
        <f t="shared" si="4"/>
        <v>2</v>
      </c>
      <c r="M27" s="22">
        <f t="shared" si="4"/>
        <v>2</v>
      </c>
      <c r="N27" s="13"/>
      <c r="O27" s="7"/>
      <c r="P27" s="7"/>
      <c r="Q27" s="7"/>
      <c r="R27" s="7"/>
      <c r="S27" s="7"/>
      <c r="T27" s="7"/>
      <c r="U27" s="7"/>
      <c r="V27" s="7"/>
      <c r="W27" s="7"/>
      <c r="X27" s="7"/>
      <c r="Y27" s="7"/>
    </row>
    <row r="28" spans="1:25" ht="15.75" customHeight="1">
      <c r="A28" s="8" t="s">
        <v>454</v>
      </c>
      <c r="B28" s="3" t="s">
        <v>34</v>
      </c>
      <c r="C28" s="3" t="s">
        <v>58</v>
      </c>
      <c r="D28" s="10" t="s">
        <v>57</v>
      </c>
      <c r="E28" s="10" t="s">
        <v>88</v>
      </c>
      <c r="F28" s="10" t="s">
        <v>58</v>
      </c>
      <c r="G28" s="11" t="s">
        <v>57</v>
      </c>
      <c r="H28" s="11" t="s">
        <v>58</v>
      </c>
      <c r="I28" s="22">
        <f t="shared" si="3"/>
        <v>0.4</v>
      </c>
      <c r="J28" s="22">
        <f t="shared" si="4"/>
        <v>0.4</v>
      </c>
      <c r="K28" s="22">
        <f t="shared" si="4"/>
        <v>2</v>
      </c>
      <c r="L28" s="22">
        <f t="shared" si="4"/>
        <v>0.4</v>
      </c>
      <c r="M28" s="22">
        <f t="shared" si="4"/>
        <v>2</v>
      </c>
      <c r="N28" s="13"/>
      <c r="O28" s="7"/>
      <c r="P28" s="7"/>
      <c r="Q28" s="7"/>
      <c r="R28" s="7"/>
      <c r="S28" s="7"/>
      <c r="T28" s="7"/>
      <c r="U28" s="7"/>
      <c r="V28" s="7"/>
      <c r="W28" s="7"/>
      <c r="X28" s="7"/>
      <c r="Y28" s="7"/>
    </row>
    <row r="29" spans="1:25" ht="15.75" customHeight="1">
      <c r="A29" s="8" t="s">
        <v>455</v>
      </c>
      <c r="B29" s="3" t="s">
        <v>16</v>
      </c>
      <c r="C29" s="3" t="s">
        <v>104</v>
      </c>
      <c r="D29" s="10" t="s">
        <v>72</v>
      </c>
      <c r="E29" s="10" t="s">
        <v>174</v>
      </c>
      <c r="F29" s="10" t="s">
        <v>64</v>
      </c>
      <c r="G29" s="11" t="s">
        <v>64</v>
      </c>
      <c r="H29" s="11" t="s">
        <v>64</v>
      </c>
      <c r="I29" s="22">
        <f t="shared" si="3"/>
        <v>0.4</v>
      </c>
      <c r="J29" s="22">
        <f t="shared" si="4"/>
        <v>0</v>
      </c>
      <c r="K29" s="22">
        <f t="shared" si="4"/>
        <v>0.4</v>
      </c>
      <c r="L29" s="22">
        <f t="shared" si="4"/>
        <v>0.4</v>
      </c>
      <c r="M29" s="22">
        <f t="shared" si="4"/>
        <v>0.4</v>
      </c>
      <c r="N29" s="13"/>
      <c r="O29" s="7"/>
      <c r="P29" s="7"/>
      <c r="Q29" s="7"/>
      <c r="R29" s="7"/>
      <c r="S29" s="7"/>
      <c r="T29" s="7"/>
      <c r="U29" s="7"/>
      <c r="V29" s="7"/>
      <c r="W29" s="7"/>
      <c r="X29" s="7"/>
      <c r="Y29" s="7"/>
    </row>
    <row r="30" spans="1:25" ht="15.75" customHeight="1">
      <c r="A30" s="8" t="s">
        <v>456</v>
      </c>
      <c r="B30" s="3"/>
      <c r="C30" s="3" t="s">
        <v>69</v>
      </c>
      <c r="D30" s="10" t="s">
        <v>69</v>
      </c>
      <c r="E30" s="10" t="s">
        <v>69</v>
      </c>
      <c r="F30" s="10" t="s">
        <v>69</v>
      </c>
      <c r="G30" s="11" t="s">
        <v>69</v>
      </c>
      <c r="H30" s="11" t="s">
        <v>69</v>
      </c>
      <c r="I30" s="22">
        <f t="shared" si="3"/>
        <v>2</v>
      </c>
      <c r="J30" s="22">
        <f t="shared" si="4"/>
        <v>2</v>
      </c>
      <c r="K30" s="22">
        <f t="shared" si="4"/>
        <v>2</v>
      </c>
      <c r="L30" s="22">
        <f t="shared" si="4"/>
        <v>2</v>
      </c>
      <c r="M30" s="22">
        <f t="shared" si="4"/>
        <v>2</v>
      </c>
      <c r="N30" s="13"/>
      <c r="O30" s="7"/>
      <c r="P30" s="7"/>
      <c r="Q30" s="7"/>
      <c r="R30" s="7"/>
      <c r="S30" s="7"/>
      <c r="T30" s="7"/>
      <c r="U30" s="7"/>
      <c r="V30" s="7"/>
      <c r="W30" s="7"/>
      <c r="X30" s="7"/>
      <c r="Y30" s="7"/>
    </row>
    <row r="31" spans="1:25" ht="15.75" customHeight="1">
      <c r="A31" s="8" t="s">
        <v>457</v>
      </c>
      <c r="B31" s="3"/>
      <c r="C31" s="3" t="s">
        <v>58</v>
      </c>
      <c r="D31" s="10" t="s">
        <v>48</v>
      </c>
      <c r="E31" s="10" t="s">
        <v>58</v>
      </c>
      <c r="F31" s="10" t="s">
        <v>48</v>
      </c>
      <c r="G31" s="11" t="s">
        <v>54</v>
      </c>
      <c r="H31" s="11" t="s">
        <v>58</v>
      </c>
      <c r="I31" s="22">
        <f t="shared" si="3"/>
        <v>0.4</v>
      </c>
      <c r="J31" s="22">
        <f t="shared" si="4"/>
        <v>2</v>
      </c>
      <c r="K31" s="22">
        <f t="shared" si="4"/>
        <v>0.4</v>
      </c>
      <c r="L31" s="22">
        <f t="shared" si="4"/>
        <v>0.4</v>
      </c>
      <c r="M31" s="22">
        <f t="shared" si="4"/>
        <v>2</v>
      </c>
      <c r="N31" s="13"/>
      <c r="O31" s="7"/>
      <c r="P31" s="7"/>
      <c r="Q31" s="7"/>
      <c r="R31" s="7"/>
      <c r="S31" s="7"/>
      <c r="T31" s="7"/>
      <c r="U31" s="7"/>
      <c r="V31" s="7"/>
      <c r="W31" s="7"/>
      <c r="X31" s="7"/>
      <c r="Y31" s="7"/>
    </row>
    <row r="32" spans="1:25" ht="15.75" customHeight="1">
      <c r="A32" s="8" t="s">
        <v>458</v>
      </c>
      <c r="B32" s="3"/>
      <c r="C32" s="3" t="s">
        <v>174</v>
      </c>
      <c r="D32" s="10" t="s">
        <v>174</v>
      </c>
      <c r="E32" s="10" t="s">
        <v>174</v>
      </c>
      <c r="F32" s="10" t="s">
        <v>174</v>
      </c>
      <c r="G32" s="11" t="s">
        <v>174</v>
      </c>
      <c r="H32" s="11" t="s">
        <v>174</v>
      </c>
      <c r="I32" s="22">
        <f t="shared" si="3"/>
        <v>2</v>
      </c>
      <c r="J32" s="22">
        <f t="shared" si="4"/>
        <v>2</v>
      </c>
      <c r="K32" s="22">
        <f t="shared" si="4"/>
        <v>2</v>
      </c>
      <c r="L32" s="22">
        <f t="shared" si="4"/>
        <v>2</v>
      </c>
      <c r="M32" s="22">
        <f t="shared" si="4"/>
        <v>2</v>
      </c>
      <c r="N32" s="13"/>
      <c r="O32" s="7"/>
      <c r="P32" s="7"/>
      <c r="Q32" s="7"/>
      <c r="R32" s="7"/>
      <c r="S32" s="7"/>
      <c r="T32" s="7"/>
      <c r="U32" s="7"/>
      <c r="V32" s="7"/>
      <c r="W32" s="7"/>
      <c r="X32" s="7"/>
      <c r="Y32" s="7"/>
    </row>
    <row r="33" spans="1:25" ht="15.75" customHeight="1">
      <c r="A33" s="8" t="s">
        <v>459</v>
      </c>
      <c r="B33" s="3"/>
      <c r="C33" s="3" t="s">
        <v>72</v>
      </c>
      <c r="D33" s="10" t="s">
        <v>72</v>
      </c>
      <c r="E33" s="10" t="s">
        <v>72</v>
      </c>
      <c r="F33" s="10" t="s">
        <v>72</v>
      </c>
      <c r="G33" s="11" t="s">
        <v>72</v>
      </c>
      <c r="H33" s="11" t="s">
        <v>72</v>
      </c>
      <c r="I33" s="22">
        <f t="shared" si="3"/>
        <v>2</v>
      </c>
      <c r="J33" s="22">
        <f t="shared" si="4"/>
        <v>2</v>
      </c>
      <c r="K33" s="22">
        <f t="shared" si="4"/>
        <v>2</v>
      </c>
      <c r="L33" s="22">
        <f t="shared" si="4"/>
        <v>2</v>
      </c>
      <c r="M33" s="22">
        <f t="shared" si="4"/>
        <v>2</v>
      </c>
      <c r="N33" s="13"/>
      <c r="O33" s="7"/>
      <c r="P33" s="7"/>
      <c r="Q33" s="7"/>
      <c r="R33" s="7"/>
      <c r="S33" s="7"/>
      <c r="T33" s="7"/>
      <c r="U33" s="7"/>
      <c r="V33" s="7"/>
      <c r="W33" s="7"/>
      <c r="X33" s="7"/>
      <c r="Y33" s="7"/>
    </row>
    <row r="34" spans="1:25" ht="15.75" customHeight="1">
      <c r="A34" s="52" t="s">
        <v>460</v>
      </c>
      <c r="B34" s="3" t="s">
        <v>16</v>
      </c>
      <c r="C34" s="3" t="s">
        <v>48</v>
      </c>
      <c r="D34" s="10" t="s">
        <v>48</v>
      </c>
      <c r="E34" s="10" t="s">
        <v>48</v>
      </c>
      <c r="F34" s="10" t="s">
        <v>58</v>
      </c>
      <c r="G34" s="11" t="s">
        <v>48</v>
      </c>
      <c r="H34" s="11" t="s">
        <v>48</v>
      </c>
      <c r="I34" s="22">
        <f t="shared" si="3"/>
        <v>2</v>
      </c>
      <c r="J34" s="22">
        <f t="shared" si="4"/>
        <v>2</v>
      </c>
      <c r="K34" s="22">
        <f t="shared" si="4"/>
        <v>0.4</v>
      </c>
      <c r="L34" s="22">
        <f t="shared" si="4"/>
        <v>2</v>
      </c>
      <c r="M34" s="22">
        <f t="shared" si="4"/>
        <v>2</v>
      </c>
      <c r="N34" s="13"/>
      <c r="O34" s="7"/>
      <c r="P34" s="7"/>
      <c r="Q34" s="7"/>
      <c r="R34" s="7"/>
      <c r="S34" s="7"/>
      <c r="T34" s="7"/>
      <c r="U34" s="7"/>
      <c r="V34" s="7"/>
      <c r="W34" s="7"/>
      <c r="X34" s="7"/>
      <c r="Y34" s="7"/>
    </row>
    <row r="35" spans="1:25" ht="15.75" customHeight="1">
      <c r="A35" s="8" t="s">
        <v>461</v>
      </c>
      <c r="B35" s="3"/>
      <c r="C35" s="3" t="s">
        <v>88</v>
      </c>
      <c r="D35" s="10" t="s">
        <v>88</v>
      </c>
      <c r="E35" s="10" t="s">
        <v>88</v>
      </c>
      <c r="F35" s="10" t="s">
        <v>88</v>
      </c>
      <c r="G35" s="11" t="s">
        <v>88</v>
      </c>
      <c r="H35" s="11" t="s">
        <v>88</v>
      </c>
      <c r="I35" s="22">
        <f t="shared" si="3"/>
        <v>2</v>
      </c>
      <c r="J35" s="22">
        <f t="shared" si="4"/>
        <v>2</v>
      </c>
      <c r="K35" s="22">
        <f t="shared" si="4"/>
        <v>2</v>
      </c>
      <c r="L35" s="22">
        <f t="shared" si="4"/>
        <v>2</v>
      </c>
      <c r="M35" s="22">
        <f t="shared" si="4"/>
        <v>2</v>
      </c>
      <c r="N35" s="13"/>
      <c r="O35" s="13"/>
      <c r="P35" s="13"/>
      <c r="Q35" s="13"/>
      <c r="R35" s="13"/>
      <c r="S35" s="13"/>
      <c r="T35" s="13"/>
      <c r="U35" s="13"/>
      <c r="V35" s="13"/>
      <c r="W35" s="13"/>
      <c r="X35" s="13"/>
      <c r="Y35" s="13"/>
    </row>
    <row r="36" spans="1:25" ht="15.75" customHeight="1">
      <c r="A36" s="8" t="s">
        <v>462</v>
      </c>
      <c r="B36" s="3"/>
      <c r="C36" s="3" t="s">
        <v>72</v>
      </c>
      <c r="D36" s="10" t="s">
        <v>72</v>
      </c>
      <c r="E36" s="10" t="s">
        <v>72</v>
      </c>
      <c r="F36" s="10" t="s">
        <v>72</v>
      </c>
      <c r="G36" s="11" t="s">
        <v>72</v>
      </c>
      <c r="H36" s="11" t="s">
        <v>72</v>
      </c>
      <c r="I36" s="22">
        <f t="shared" si="3"/>
        <v>2</v>
      </c>
      <c r="J36" s="22">
        <f t="shared" si="4"/>
        <v>2</v>
      </c>
      <c r="K36" s="22">
        <f t="shared" si="4"/>
        <v>2</v>
      </c>
      <c r="L36" s="22">
        <f t="shared" si="4"/>
        <v>2</v>
      </c>
      <c r="M36" s="22">
        <f t="shared" si="4"/>
        <v>2</v>
      </c>
      <c r="N36" s="13"/>
      <c r="O36" s="13"/>
      <c r="P36" s="13"/>
      <c r="Q36" s="13"/>
      <c r="R36" s="13"/>
      <c r="S36" s="13"/>
      <c r="T36" s="13"/>
      <c r="U36" s="13"/>
      <c r="V36" s="13"/>
      <c r="W36" s="13"/>
      <c r="X36" s="13"/>
      <c r="Y36" s="13"/>
    </row>
    <row r="37" spans="1:25" ht="15.75" customHeight="1">
      <c r="A37" s="8" t="s">
        <v>463</v>
      </c>
      <c r="B37" s="3"/>
      <c r="C37" s="3" t="s">
        <v>58</v>
      </c>
      <c r="D37" s="10" t="s">
        <v>57</v>
      </c>
      <c r="E37" s="10" t="s">
        <v>58</v>
      </c>
      <c r="F37" s="10" t="s">
        <v>57</v>
      </c>
      <c r="G37" s="11" t="s">
        <v>58</v>
      </c>
      <c r="H37" s="11" t="s">
        <v>58</v>
      </c>
      <c r="I37" s="22">
        <f t="shared" si="3"/>
        <v>0.4</v>
      </c>
      <c r="J37" s="22">
        <f t="shared" si="4"/>
        <v>2</v>
      </c>
      <c r="K37" s="22">
        <f t="shared" si="4"/>
        <v>0.4</v>
      </c>
      <c r="L37" s="22">
        <f t="shared" si="4"/>
        <v>2</v>
      </c>
      <c r="M37" s="22">
        <f t="shared" si="4"/>
        <v>2</v>
      </c>
      <c r="N37" s="13"/>
      <c r="O37" s="13"/>
      <c r="P37" s="13"/>
      <c r="Q37" s="13"/>
      <c r="R37" s="13"/>
      <c r="S37" s="13"/>
      <c r="T37" s="13"/>
      <c r="U37" s="13"/>
      <c r="V37" s="13"/>
      <c r="W37" s="13"/>
      <c r="X37" s="13"/>
      <c r="Y37" s="13"/>
    </row>
    <row r="38" spans="1:25" ht="15.75" customHeight="1">
      <c r="A38" s="8" t="s">
        <v>464</v>
      </c>
      <c r="B38" s="3"/>
      <c r="C38" s="3" t="s">
        <v>72</v>
      </c>
      <c r="D38" s="10" t="s">
        <v>72</v>
      </c>
      <c r="E38" s="10" t="s">
        <v>64</v>
      </c>
      <c r="F38" s="10" t="s">
        <v>57</v>
      </c>
      <c r="G38" s="10" t="s">
        <v>57</v>
      </c>
      <c r="H38" s="11" t="s">
        <v>72</v>
      </c>
      <c r="I38" s="22">
        <f t="shared" si="3"/>
        <v>2</v>
      </c>
      <c r="J38" s="22">
        <f t="shared" si="4"/>
        <v>0.4</v>
      </c>
      <c r="K38" s="22">
        <f t="shared" si="4"/>
        <v>1.2</v>
      </c>
      <c r="L38" s="22">
        <f t="shared" si="4"/>
        <v>1.2</v>
      </c>
      <c r="M38" s="22">
        <f t="shared" si="4"/>
        <v>2</v>
      </c>
      <c r="N38" s="13"/>
      <c r="O38" s="13"/>
      <c r="P38" s="13"/>
      <c r="Q38" s="13"/>
      <c r="R38" s="13"/>
      <c r="S38" s="13"/>
      <c r="T38" s="13"/>
      <c r="U38" s="13"/>
      <c r="V38" s="13"/>
      <c r="W38" s="13"/>
      <c r="X38" s="13"/>
      <c r="Y38" s="13"/>
    </row>
    <row r="39" spans="1:25" ht="15.75" customHeight="1">
      <c r="A39" s="23" t="s">
        <v>465</v>
      </c>
      <c r="B39" s="18"/>
      <c r="C39" s="76" t="s">
        <v>294</v>
      </c>
      <c r="D39" s="24"/>
      <c r="E39" s="24"/>
      <c r="F39" s="24"/>
      <c r="G39" s="24"/>
      <c r="H39" s="24"/>
      <c r="I39" s="76"/>
      <c r="J39" s="76"/>
      <c r="K39" s="76"/>
      <c r="L39" s="76"/>
      <c r="M39" s="76"/>
      <c r="N39" s="13"/>
      <c r="O39" s="13"/>
      <c r="P39" s="13"/>
      <c r="Q39" s="13"/>
      <c r="R39" s="13"/>
      <c r="S39" s="13"/>
      <c r="T39" s="13"/>
      <c r="U39" s="13"/>
      <c r="V39" s="13"/>
      <c r="W39" s="13"/>
      <c r="X39" s="13"/>
      <c r="Y39" s="13"/>
    </row>
    <row r="40" spans="1:25" ht="15.75" customHeight="1">
      <c r="A40" s="8" t="s">
        <v>466</v>
      </c>
      <c r="B40" s="3"/>
      <c r="C40" s="3" t="s">
        <v>50</v>
      </c>
      <c r="D40" s="10" t="s">
        <v>50</v>
      </c>
      <c r="E40" s="10" t="s">
        <v>50</v>
      </c>
      <c r="F40" s="10" t="s">
        <v>64</v>
      </c>
      <c r="G40" s="11" t="s">
        <v>50</v>
      </c>
      <c r="H40" s="11" t="s">
        <v>50</v>
      </c>
      <c r="I40" s="25">
        <f>_xlfn.LET(
_xlpm.full,2,
_xlpm.ans0,$C40&amp;"",
_xlpm.resp0,D40&amp;"",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0" s="25">
        <f t="shared" ref="J40:M44" si="5">_xlfn.LET(
_xlpm.full,2,
_xlpm.ans0,$C40&amp;"",
_xlpm.resp0,E40&amp;"",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40" s="25">
        <f t="shared" si="5"/>
        <v>0.4</v>
      </c>
      <c r="L40" s="25">
        <f t="shared" si="5"/>
        <v>2</v>
      </c>
      <c r="M40" s="25">
        <f t="shared" si="5"/>
        <v>2</v>
      </c>
      <c r="N40" s="13"/>
      <c r="O40" s="13"/>
      <c r="P40" s="13"/>
      <c r="Q40" s="13"/>
      <c r="R40" s="13"/>
      <c r="S40" s="13"/>
      <c r="T40" s="13"/>
      <c r="U40" s="13"/>
      <c r="V40" s="13"/>
      <c r="W40" s="13"/>
      <c r="X40" s="13"/>
      <c r="Y40" s="13"/>
    </row>
    <row r="41" spans="1:25" ht="15.75" customHeight="1">
      <c r="A41" s="8" t="s">
        <v>467</v>
      </c>
      <c r="B41" s="3"/>
      <c r="C41" s="3" t="s">
        <v>14</v>
      </c>
      <c r="D41" s="10" t="s">
        <v>14</v>
      </c>
      <c r="E41" s="10" t="s">
        <v>14</v>
      </c>
      <c r="F41" s="10" t="s">
        <v>102</v>
      </c>
      <c r="G41" s="11" t="s">
        <v>14</v>
      </c>
      <c r="H41" s="11" t="s">
        <v>14</v>
      </c>
      <c r="I41" s="25">
        <f>_xlfn.LET(
_xlpm.full,2,
_xlpm.ans0,$C41&amp;"",
_xlpm.resp0,D41&amp;"",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1" s="25">
        <f t="shared" si="5"/>
        <v>2</v>
      </c>
      <c r="K41" s="25">
        <f t="shared" si="5"/>
        <v>0</v>
      </c>
      <c r="L41" s="25">
        <f t="shared" si="5"/>
        <v>2</v>
      </c>
      <c r="M41" s="25">
        <f t="shared" si="5"/>
        <v>2</v>
      </c>
      <c r="N41" s="13"/>
      <c r="O41" s="13"/>
      <c r="P41" s="13"/>
      <c r="Q41" s="13"/>
      <c r="R41" s="13"/>
      <c r="S41" s="13"/>
      <c r="T41" s="13"/>
      <c r="U41" s="13"/>
      <c r="V41" s="13"/>
      <c r="W41" s="13"/>
      <c r="X41" s="13"/>
      <c r="Y41" s="13"/>
    </row>
    <row r="42" spans="1:25" ht="15.75" customHeight="1">
      <c r="A42" s="8" t="s">
        <v>468</v>
      </c>
      <c r="B42" s="3" t="s">
        <v>16</v>
      </c>
      <c r="C42" s="3" t="s">
        <v>17</v>
      </c>
      <c r="D42" s="10" t="s">
        <v>17</v>
      </c>
      <c r="E42" s="10" t="s">
        <v>17</v>
      </c>
      <c r="F42" s="10" t="s">
        <v>17</v>
      </c>
      <c r="G42" s="11" t="s">
        <v>17</v>
      </c>
      <c r="H42" s="11" t="s">
        <v>17</v>
      </c>
      <c r="I42" s="25">
        <f>_xlfn.LET(
_xlpm.full,2,
_xlpm.ans0,$C42&amp;"",
_xlpm.resp0,D42&amp;"",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2" s="25">
        <f t="shared" si="5"/>
        <v>2</v>
      </c>
      <c r="K42" s="25">
        <f t="shared" si="5"/>
        <v>2</v>
      </c>
      <c r="L42" s="25">
        <f t="shared" si="5"/>
        <v>2</v>
      </c>
      <c r="M42" s="25">
        <f t="shared" si="5"/>
        <v>2</v>
      </c>
      <c r="N42" s="13"/>
      <c r="O42" s="13"/>
      <c r="P42" s="13"/>
      <c r="Q42" s="13"/>
      <c r="R42" s="13"/>
      <c r="S42" s="13"/>
      <c r="T42" s="13"/>
      <c r="U42" s="13"/>
      <c r="V42" s="13"/>
      <c r="W42" s="13"/>
      <c r="X42" s="13"/>
      <c r="Y42" s="13"/>
    </row>
    <row r="43" spans="1:25" ht="15.75" customHeight="1">
      <c r="A43" s="8" t="s">
        <v>469</v>
      </c>
      <c r="B43" s="3"/>
      <c r="C43" s="3" t="s">
        <v>19</v>
      </c>
      <c r="D43" s="10" t="s">
        <v>14</v>
      </c>
      <c r="E43" s="10" t="s">
        <v>19</v>
      </c>
      <c r="F43" s="10" t="s">
        <v>19</v>
      </c>
      <c r="G43" s="11" t="s">
        <v>19</v>
      </c>
      <c r="H43" s="11" t="s">
        <v>19</v>
      </c>
      <c r="I43" s="25">
        <f>_xlfn.LET(
_xlpm.full,2,
_xlpm.ans0,$C43&amp;"",
_xlpm.resp0,D43&amp;"",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43" s="25">
        <f t="shared" si="5"/>
        <v>2</v>
      </c>
      <c r="K43" s="25">
        <f t="shared" si="5"/>
        <v>2</v>
      </c>
      <c r="L43" s="25">
        <f t="shared" si="5"/>
        <v>2</v>
      </c>
      <c r="M43" s="25">
        <f t="shared" si="5"/>
        <v>2</v>
      </c>
      <c r="N43" s="13"/>
      <c r="O43" s="13"/>
      <c r="P43" s="13"/>
      <c r="Q43" s="13"/>
      <c r="R43" s="13"/>
      <c r="S43" s="13"/>
      <c r="T43" s="13"/>
      <c r="U43" s="13"/>
      <c r="V43" s="13"/>
      <c r="W43" s="13"/>
      <c r="X43" s="13"/>
      <c r="Y43" s="13"/>
    </row>
    <row r="44" spans="1:25" ht="15.75" customHeight="1">
      <c r="A44" s="8" t="s">
        <v>470</v>
      </c>
      <c r="B44" s="3"/>
      <c r="C44" s="3" t="s">
        <v>88</v>
      </c>
      <c r="D44" s="10" t="s">
        <v>88</v>
      </c>
      <c r="E44" s="10" t="s">
        <v>88</v>
      </c>
      <c r="F44" s="10" t="s">
        <v>95</v>
      </c>
      <c r="G44" s="11" t="s">
        <v>88</v>
      </c>
      <c r="H44" s="11" t="s">
        <v>88</v>
      </c>
      <c r="I44" s="25">
        <f>_xlfn.LET(
_xlpm.full,2,
_xlpm.ans0,$C44&amp;"",
_xlpm.resp0,D44&amp;"",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4" s="25">
        <f t="shared" si="5"/>
        <v>2</v>
      </c>
      <c r="K44" s="25">
        <f t="shared" si="5"/>
        <v>1.2</v>
      </c>
      <c r="L44" s="25">
        <f t="shared" si="5"/>
        <v>2</v>
      </c>
      <c r="M44" s="25">
        <f t="shared" si="5"/>
        <v>2</v>
      </c>
      <c r="N44" s="13"/>
      <c r="O44" s="13"/>
      <c r="P44" s="13"/>
      <c r="Q44" s="13"/>
      <c r="R44" s="13"/>
      <c r="S44" s="13"/>
      <c r="T44" s="13"/>
      <c r="U44" s="13"/>
      <c r="V44" s="13"/>
      <c r="W44" s="13"/>
      <c r="X44" s="13"/>
      <c r="Y44" s="13"/>
    </row>
    <row r="45" spans="1:25" ht="15.75" customHeight="1">
      <c r="A45" s="23" t="s">
        <v>471</v>
      </c>
      <c r="B45" s="18"/>
      <c r="C45" s="18" t="s">
        <v>294</v>
      </c>
      <c r="D45" s="24"/>
      <c r="E45" s="24"/>
      <c r="F45" s="24"/>
      <c r="G45" s="24"/>
      <c r="H45" s="24"/>
      <c r="I45" s="76"/>
      <c r="J45" s="76"/>
      <c r="K45" s="76"/>
      <c r="L45" s="76"/>
      <c r="M45" s="76"/>
      <c r="N45" s="13"/>
      <c r="O45" s="13"/>
      <c r="P45" s="13"/>
      <c r="Q45" s="13"/>
      <c r="R45" s="13"/>
      <c r="S45" s="13"/>
      <c r="T45" s="13"/>
      <c r="U45" s="13"/>
      <c r="V45" s="13"/>
      <c r="W45" s="13"/>
      <c r="X45" s="13"/>
      <c r="Y45" s="13"/>
    </row>
    <row r="46" spans="1:25" ht="15.75" customHeight="1">
      <c r="A46" s="8" t="s">
        <v>472</v>
      </c>
      <c r="B46" s="3"/>
      <c r="C46" s="3" t="s">
        <v>19</v>
      </c>
      <c r="D46" s="10" t="s">
        <v>19</v>
      </c>
      <c r="E46" s="10" t="s">
        <v>19</v>
      </c>
      <c r="F46" s="10" t="s">
        <v>19</v>
      </c>
      <c r="G46" s="11" t="s">
        <v>19</v>
      </c>
      <c r="H46" s="11" t="s">
        <v>19</v>
      </c>
      <c r="I46" s="26">
        <f t="shared" ref="I46:M47" si="6">_xlfn.LET(
_xlpm.full,2,
_xlpm.ans0,$C46&amp;"",
_xlpm.resp0,D46&amp;"",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6" s="26">
        <f t="shared" si="6"/>
        <v>2</v>
      </c>
      <c r="K46" s="26">
        <f t="shared" si="6"/>
        <v>2</v>
      </c>
      <c r="L46" s="26">
        <f t="shared" si="6"/>
        <v>2</v>
      </c>
      <c r="M46" s="26">
        <f t="shared" si="6"/>
        <v>2</v>
      </c>
      <c r="N46" s="13"/>
      <c r="O46" s="13"/>
      <c r="P46" s="13"/>
      <c r="Q46" s="13"/>
      <c r="R46" s="13"/>
      <c r="S46" s="13"/>
      <c r="T46" s="13"/>
      <c r="U46" s="13"/>
      <c r="V46" s="13"/>
      <c r="W46" s="13"/>
      <c r="X46" s="13"/>
      <c r="Y46" s="13"/>
    </row>
    <row r="47" spans="1:25" ht="15.75" customHeight="1">
      <c r="A47" s="8" t="s">
        <v>473</v>
      </c>
      <c r="B47" s="3"/>
      <c r="C47" s="3" t="s">
        <v>52</v>
      </c>
      <c r="D47" s="10" t="s">
        <v>52</v>
      </c>
      <c r="E47" s="10" t="s">
        <v>52</v>
      </c>
      <c r="F47" s="10" t="s">
        <v>52</v>
      </c>
      <c r="G47" s="11" t="s">
        <v>52</v>
      </c>
      <c r="H47" s="11" t="s">
        <v>52</v>
      </c>
      <c r="I47" s="26">
        <f t="shared" si="6"/>
        <v>2</v>
      </c>
      <c r="J47" s="26">
        <f t="shared" si="6"/>
        <v>2</v>
      </c>
      <c r="K47" s="26">
        <f t="shared" si="6"/>
        <v>2</v>
      </c>
      <c r="L47" s="26">
        <f t="shared" si="6"/>
        <v>2</v>
      </c>
      <c r="M47" s="26">
        <f t="shared" si="6"/>
        <v>2</v>
      </c>
      <c r="N47" s="13"/>
      <c r="O47" s="13"/>
      <c r="P47" s="13"/>
      <c r="Q47" s="13"/>
      <c r="R47" s="13"/>
      <c r="S47" s="13"/>
      <c r="T47" s="13"/>
      <c r="U47" s="13"/>
      <c r="V47" s="13"/>
      <c r="W47" s="13"/>
      <c r="X47" s="13"/>
      <c r="Y47" s="13"/>
    </row>
    <row r="48" spans="1:25" ht="15.75" customHeight="1">
      <c r="A48" s="17" t="s">
        <v>474</v>
      </c>
      <c r="B48" s="18"/>
      <c r="C48" s="76" t="s">
        <v>294</v>
      </c>
      <c r="D48" s="24"/>
      <c r="E48" s="24"/>
      <c r="F48" s="24"/>
      <c r="G48" s="24"/>
      <c r="H48" s="24"/>
      <c r="I48" s="76"/>
      <c r="J48" s="76"/>
      <c r="K48" s="76"/>
      <c r="L48" s="76"/>
      <c r="M48" s="76"/>
      <c r="N48" s="13"/>
      <c r="O48" s="13"/>
      <c r="P48" s="13"/>
      <c r="Q48" s="13"/>
      <c r="R48" s="13"/>
      <c r="S48" s="13"/>
      <c r="T48" s="13"/>
      <c r="U48" s="13"/>
      <c r="V48" s="13"/>
      <c r="W48" s="13"/>
      <c r="X48" s="13"/>
      <c r="Y48" s="13"/>
    </row>
    <row r="49" spans="1:25" ht="15.75" customHeight="1">
      <c r="A49" s="8" t="s">
        <v>475</v>
      </c>
      <c r="B49" s="3" t="s">
        <v>16</v>
      </c>
      <c r="C49" s="3" t="s">
        <v>14</v>
      </c>
      <c r="D49" s="10" t="s">
        <v>17</v>
      </c>
      <c r="E49" s="10" t="s">
        <v>60</v>
      </c>
      <c r="F49" s="10" t="s">
        <v>14</v>
      </c>
      <c r="G49" s="11" t="s">
        <v>14</v>
      </c>
      <c r="H49" s="11" t="s">
        <v>14</v>
      </c>
      <c r="I49" s="26">
        <f t="shared" ref="I49:M50" si="7">_xlfn.LET(
_xlpm.full,2,
_xlpm.ans0,$C49&amp;"",
_xlpm.resp0,D49&amp;"",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49" s="26">
        <f t="shared" si="7"/>
        <v>0</v>
      </c>
      <c r="K49" s="26">
        <f t="shared" si="7"/>
        <v>2</v>
      </c>
      <c r="L49" s="26">
        <f t="shared" si="7"/>
        <v>2</v>
      </c>
      <c r="M49" s="26">
        <f t="shared" si="7"/>
        <v>2</v>
      </c>
      <c r="N49" s="13"/>
      <c r="O49" s="13"/>
      <c r="P49" s="13"/>
      <c r="Q49" s="13"/>
      <c r="R49" s="13"/>
      <c r="S49" s="13"/>
      <c r="T49" s="13"/>
      <c r="U49" s="13"/>
      <c r="V49" s="13"/>
      <c r="W49" s="13"/>
      <c r="X49" s="13"/>
      <c r="Y49" s="13"/>
    </row>
    <row r="50" spans="1:25" ht="15.75" customHeight="1">
      <c r="A50" s="8" t="s">
        <v>476</v>
      </c>
      <c r="B50" s="3" t="s">
        <v>16</v>
      </c>
      <c r="C50" s="3" t="s">
        <v>19</v>
      </c>
      <c r="D50" s="10" t="s">
        <v>19</v>
      </c>
      <c r="E50" s="10" t="s">
        <v>19</v>
      </c>
      <c r="F50" s="10" t="s">
        <v>22</v>
      </c>
      <c r="G50" s="11" t="s">
        <v>19</v>
      </c>
      <c r="H50" s="11" t="s">
        <v>19</v>
      </c>
      <c r="I50" s="26">
        <f t="shared" si="7"/>
        <v>2</v>
      </c>
      <c r="J50" s="26">
        <f t="shared" si="7"/>
        <v>2</v>
      </c>
      <c r="K50" s="26">
        <f t="shared" si="7"/>
        <v>0</v>
      </c>
      <c r="L50" s="26">
        <f t="shared" si="7"/>
        <v>2</v>
      </c>
      <c r="M50" s="26">
        <f t="shared" si="7"/>
        <v>2</v>
      </c>
      <c r="N50" s="13"/>
      <c r="O50" s="13"/>
      <c r="P50" s="13"/>
      <c r="Q50" s="13"/>
      <c r="R50" s="13"/>
      <c r="S50" s="13"/>
      <c r="T50" s="13"/>
      <c r="U50" s="13"/>
      <c r="V50" s="13"/>
      <c r="W50" s="13"/>
      <c r="X50" s="13"/>
      <c r="Y50" s="13"/>
    </row>
    <row r="51" spans="1:25" ht="15.75" customHeight="1">
      <c r="A51" s="8" t="s">
        <v>477</v>
      </c>
      <c r="B51" s="3"/>
      <c r="C51" s="3" t="s">
        <v>64</v>
      </c>
      <c r="D51" s="10" t="s">
        <v>64</v>
      </c>
      <c r="E51" s="10" t="s">
        <v>64</v>
      </c>
      <c r="F51" s="10" t="s">
        <v>64</v>
      </c>
      <c r="G51" s="11" t="s">
        <v>64</v>
      </c>
      <c r="H51" s="11" t="s">
        <v>64</v>
      </c>
      <c r="I51" s="26">
        <f t="shared" ref="I51" si="8">_xlfn.LET(
_xlpm.full,2,
_xlpm.ans0,$C51&amp;"",
_xlpm.resp0,D51&amp;"",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51" s="26">
        <f t="shared" ref="J51" si="9">_xlfn.LET(
_xlpm.full,2,
_xlpm.ans0,$C51&amp;"",
_xlpm.resp0,E51&amp;"",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51" s="26">
        <f t="shared" ref="K51" si="10">_xlfn.LET(
_xlpm.full,2,
_xlpm.ans0,$C51&amp;"",
_xlpm.resp0,F51&amp;"",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51" s="26">
        <f t="shared" ref="L51" si="11">_xlfn.LET(
_xlpm.full,2,
_xlpm.ans0,$C51&amp;"",
_xlpm.resp0,G51&amp;"",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51" s="26">
        <f t="shared" ref="M51" si="12">_xlfn.LET(
_xlpm.full,2,
_xlpm.ans0,$C51&amp;"",
_xlpm.resp0,H51&amp;"",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51" s="13"/>
      <c r="O51" s="13"/>
      <c r="P51" s="13"/>
      <c r="Q51" s="13"/>
      <c r="R51" s="13"/>
      <c r="S51" s="13"/>
      <c r="T51" s="13"/>
      <c r="U51" s="13"/>
      <c r="V51" s="13"/>
      <c r="W51" s="13"/>
      <c r="X51" s="13"/>
      <c r="Y51" s="13"/>
    </row>
    <row r="52" spans="1:25" ht="15.75" customHeight="1">
      <c r="A52" s="17" t="s">
        <v>478</v>
      </c>
      <c r="B52" s="18"/>
      <c r="C52" s="18" t="s">
        <v>294</v>
      </c>
      <c r="D52" s="24"/>
      <c r="E52" s="24"/>
      <c r="F52" s="24"/>
      <c r="G52" s="24"/>
      <c r="H52" s="24"/>
      <c r="I52" s="76"/>
      <c r="J52" s="76"/>
      <c r="K52" s="76"/>
      <c r="L52" s="76"/>
      <c r="M52" s="76"/>
      <c r="N52" s="13"/>
      <c r="O52" s="13"/>
      <c r="P52" s="13"/>
      <c r="Q52" s="13"/>
      <c r="R52" s="13"/>
      <c r="S52" s="13"/>
      <c r="T52" s="13"/>
      <c r="U52" s="13"/>
      <c r="V52" s="13"/>
      <c r="W52" s="13"/>
      <c r="X52" s="13"/>
      <c r="Y52" s="13"/>
    </row>
    <row r="53" spans="1:25" ht="15.75" customHeight="1">
      <c r="A53" s="8" t="s">
        <v>479</v>
      </c>
      <c r="B53" s="3" t="s">
        <v>16</v>
      </c>
      <c r="C53" s="3" t="s">
        <v>21</v>
      </c>
      <c r="D53" s="10" t="s">
        <v>21</v>
      </c>
      <c r="E53" s="10" t="s">
        <v>21</v>
      </c>
      <c r="F53" s="10" t="s">
        <v>53</v>
      </c>
      <c r="G53" s="11" t="s">
        <v>21</v>
      </c>
      <c r="H53" s="11" t="s">
        <v>21</v>
      </c>
      <c r="I53" s="26">
        <f t="shared" ref="I53:I54" si="13">_xlfn.LET(
_xlpm.full,2,
_xlpm.ans0,$C53&amp;"",
_xlpm.resp0,D53&amp;"",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53" s="26">
        <f t="shared" ref="J53:J54" si="14">_xlfn.LET(
_xlpm.full,2,
_xlpm.ans0,$C53&amp;"",
_xlpm.resp0,E53&amp;"",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53" s="26">
        <f t="shared" ref="K53:K54" si="15">_xlfn.LET(
_xlpm.full,2,
_xlpm.ans0,$C53&amp;"",
_xlpm.resp0,F53&amp;"",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L53" s="26">
        <f t="shared" ref="L53:L54" si="16">_xlfn.LET(
_xlpm.full,2,
_xlpm.ans0,$C53&amp;"",
_xlpm.resp0,G53&amp;"",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53" s="26">
        <f t="shared" ref="M53:M54" si="17">_xlfn.LET(
_xlpm.full,2,
_xlpm.ans0,$C53&amp;"",
_xlpm.resp0,H53&amp;"",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53" s="13"/>
      <c r="O53" s="13"/>
      <c r="P53" s="13"/>
      <c r="Q53" s="13"/>
      <c r="R53" s="13"/>
      <c r="S53" s="13"/>
      <c r="T53" s="13"/>
      <c r="U53" s="13"/>
      <c r="V53" s="13"/>
      <c r="W53" s="13"/>
      <c r="X53" s="13"/>
      <c r="Y53" s="13"/>
    </row>
    <row r="54" spans="1:25" ht="15.75" customHeight="1">
      <c r="A54" s="8" t="s">
        <v>480</v>
      </c>
      <c r="B54" s="3" t="s">
        <v>16</v>
      </c>
      <c r="C54" s="3" t="s">
        <v>17</v>
      </c>
      <c r="D54" s="10" t="s">
        <v>17</v>
      </c>
      <c r="E54" s="10" t="s">
        <v>17</v>
      </c>
      <c r="F54" s="10" t="s">
        <v>17</v>
      </c>
      <c r="G54" s="11" t="s">
        <v>17</v>
      </c>
      <c r="H54" s="11" t="s">
        <v>17</v>
      </c>
      <c r="I54" s="26">
        <f t="shared" si="13"/>
        <v>2</v>
      </c>
      <c r="J54" s="26">
        <f t="shared" si="14"/>
        <v>2</v>
      </c>
      <c r="K54" s="26">
        <f t="shared" si="15"/>
        <v>2</v>
      </c>
      <c r="L54" s="26">
        <f t="shared" si="16"/>
        <v>2</v>
      </c>
      <c r="M54" s="26">
        <f t="shared" si="17"/>
        <v>2</v>
      </c>
      <c r="N54" s="13"/>
      <c r="O54" s="13"/>
      <c r="P54" s="13"/>
      <c r="Q54" s="13"/>
      <c r="R54" s="13"/>
      <c r="S54" s="13"/>
      <c r="T54" s="13"/>
      <c r="U54" s="13"/>
      <c r="V54" s="13"/>
      <c r="W54" s="13"/>
      <c r="X54" s="13"/>
      <c r="Y54" s="13"/>
    </row>
    <row r="55" spans="1:25" ht="15.75" customHeight="1">
      <c r="A55" s="17" t="s">
        <v>481</v>
      </c>
      <c r="B55" s="18"/>
      <c r="C55" s="18" t="s">
        <v>294</v>
      </c>
      <c r="D55" s="24"/>
      <c r="E55" s="24"/>
      <c r="F55" s="24"/>
      <c r="G55" s="24"/>
      <c r="H55" s="24"/>
      <c r="I55" s="76"/>
      <c r="J55" s="76"/>
      <c r="K55" s="76"/>
      <c r="L55" s="76"/>
      <c r="M55" s="76"/>
      <c r="N55" s="13"/>
      <c r="O55" s="13"/>
      <c r="P55" s="13"/>
      <c r="Q55" s="13"/>
      <c r="R55" s="13"/>
      <c r="S55" s="13"/>
      <c r="T55" s="13"/>
      <c r="U55" s="13"/>
      <c r="V55" s="13"/>
      <c r="W55" s="13"/>
      <c r="X55" s="13"/>
      <c r="Y55" s="13"/>
    </row>
    <row r="56" spans="1:25" ht="15.75" customHeight="1">
      <c r="A56" s="8" t="s">
        <v>482</v>
      </c>
      <c r="B56" s="3" t="s">
        <v>16</v>
      </c>
      <c r="C56" s="3" t="s">
        <v>14</v>
      </c>
      <c r="D56" s="10" t="s">
        <v>14</v>
      </c>
      <c r="E56" s="10" t="s">
        <v>14</v>
      </c>
      <c r="F56" s="10" t="s">
        <v>14</v>
      </c>
      <c r="G56" s="11" t="s">
        <v>14</v>
      </c>
      <c r="H56" s="11" t="s">
        <v>14</v>
      </c>
      <c r="I56" s="26">
        <f t="shared" ref="I56:I76" si="18">_xlfn.LET(
_xlpm.full,2,
_xlpm.ans0,$C56&amp;"",
_xlpm.resp0,D56&amp;"",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56" s="26">
        <f t="shared" ref="J56:J76" si="19">_xlfn.LET(
_xlpm.full,2,
_xlpm.ans0,$C56&amp;"",
_xlpm.resp0,E56&amp;"",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56" s="26">
        <f t="shared" ref="K56:K76" si="20">_xlfn.LET(
_xlpm.full,2,
_xlpm.ans0,$C56&amp;"",
_xlpm.resp0,F56&amp;"",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56" s="26">
        <f t="shared" ref="L56:L76" si="21">_xlfn.LET(
_xlpm.full,2,
_xlpm.ans0,$C56&amp;"",
_xlpm.resp0,G56&amp;"",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56" s="26">
        <f t="shared" ref="M56:M76" si="22">_xlfn.LET(
_xlpm.full,2,
_xlpm.ans0,$C56&amp;"",
_xlpm.resp0,H56&amp;"",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56" s="13"/>
      <c r="O56" s="13"/>
      <c r="P56" s="13"/>
      <c r="Q56" s="13"/>
      <c r="R56" s="13"/>
      <c r="S56" s="13"/>
      <c r="T56" s="13"/>
      <c r="U56" s="13"/>
      <c r="V56" s="13"/>
      <c r="W56" s="13"/>
      <c r="X56" s="13"/>
      <c r="Y56" s="13"/>
    </row>
    <row r="57" spans="1:25" ht="15.75" customHeight="1">
      <c r="A57" s="8" t="s">
        <v>483</v>
      </c>
      <c r="B57" s="3" t="s">
        <v>16</v>
      </c>
      <c r="C57" s="3" t="s">
        <v>14</v>
      </c>
      <c r="D57" s="10" t="s">
        <v>22</v>
      </c>
      <c r="E57" s="10" t="s">
        <v>14</v>
      </c>
      <c r="F57" s="10" t="s">
        <v>22</v>
      </c>
      <c r="G57" s="11" t="s">
        <v>14</v>
      </c>
      <c r="H57" s="11" t="s">
        <v>14</v>
      </c>
      <c r="I57" s="26">
        <f t="shared" si="18"/>
        <v>0</v>
      </c>
      <c r="J57" s="26">
        <f t="shared" si="19"/>
        <v>2</v>
      </c>
      <c r="K57" s="26">
        <f t="shared" si="20"/>
        <v>0</v>
      </c>
      <c r="L57" s="26">
        <f t="shared" si="21"/>
        <v>2</v>
      </c>
      <c r="M57" s="26">
        <f t="shared" si="22"/>
        <v>2</v>
      </c>
      <c r="N57" s="13"/>
      <c r="O57" s="13"/>
      <c r="P57" s="13"/>
      <c r="Q57" s="13"/>
      <c r="R57" s="13"/>
      <c r="S57" s="13"/>
      <c r="T57" s="13"/>
      <c r="U57" s="13"/>
      <c r="V57" s="13"/>
      <c r="W57" s="13"/>
      <c r="X57" s="13"/>
      <c r="Y57" s="13"/>
    </row>
    <row r="58" spans="1:25" ht="15.75" customHeight="1">
      <c r="A58" s="8" t="s">
        <v>484</v>
      </c>
      <c r="B58" s="3"/>
      <c r="C58" s="3" t="s">
        <v>72</v>
      </c>
      <c r="D58" s="10" t="s">
        <v>72</v>
      </c>
      <c r="E58" s="10" t="s">
        <v>72</v>
      </c>
      <c r="F58" s="10" t="s">
        <v>72</v>
      </c>
      <c r="G58" s="11" t="s">
        <v>72</v>
      </c>
      <c r="H58" s="11" t="s">
        <v>72</v>
      </c>
      <c r="I58" s="26">
        <f t="shared" si="18"/>
        <v>2</v>
      </c>
      <c r="J58" s="26">
        <f t="shared" si="19"/>
        <v>2</v>
      </c>
      <c r="K58" s="26">
        <f t="shared" si="20"/>
        <v>2</v>
      </c>
      <c r="L58" s="26">
        <f t="shared" si="21"/>
        <v>2</v>
      </c>
      <c r="M58" s="26">
        <f t="shared" si="22"/>
        <v>2</v>
      </c>
      <c r="N58" s="13"/>
      <c r="O58" s="13"/>
      <c r="P58" s="13"/>
      <c r="Q58" s="13"/>
      <c r="R58" s="13"/>
      <c r="S58" s="13"/>
      <c r="T58" s="13"/>
      <c r="U58" s="13"/>
      <c r="V58" s="13"/>
      <c r="W58" s="13"/>
      <c r="X58" s="13"/>
      <c r="Y58" s="13"/>
    </row>
    <row r="59" spans="1:25" ht="15.75" customHeight="1">
      <c r="A59" s="8" t="s">
        <v>485</v>
      </c>
      <c r="B59" s="3" t="s">
        <v>16</v>
      </c>
      <c r="C59" s="3" t="s">
        <v>17</v>
      </c>
      <c r="D59" s="10" t="s">
        <v>72</v>
      </c>
      <c r="E59" s="10" t="s">
        <v>174</v>
      </c>
      <c r="F59" s="10" t="s">
        <v>54</v>
      </c>
      <c r="G59" s="11" t="s">
        <v>22</v>
      </c>
      <c r="H59" s="11" t="s">
        <v>22</v>
      </c>
      <c r="I59" s="26">
        <f t="shared" si="18"/>
        <v>0</v>
      </c>
      <c r="J59" s="26">
        <f t="shared" si="19"/>
        <v>0</v>
      </c>
      <c r="K59" s="26">
        <f t="shared" si="20"/>
        <v>0</v>
      </c>
      <c r="L59" s="26">
        <f t="shared" si="21"/>
        <v>0</v>
      </c>
      <c r="M59" s="26">
        <f t="shared" si="22"/>
        <v>0</v>
      </c>
      <c r="N59" s="13"/>
      <c r="O59" s="13"/>
      <c r="P59" s="13"/>
      <c r="Q59" s="13"/>
      <c r="R59" s="13"/>
      <c r="S59" s="13"/>
      <c r="T59" s="13"/>
      <c r="U59" s="13"/>
      <c r="V59" s="13"/>
      <c r="W59" s="13"/>
      <c r="X59" s="13"/>
      <c r="Y59" s="13"/>
    </row>
    <row r="60" spans="1:25" ht="15.75" customHeight="1">
      <c r="A60" s="8" t="s">
        <v>486</v>
      </c>
      <c r="B60" s="3"/>
      <c r="C60" s="3" t="s">
        <v>104</v>
      </c>
      <c r="D60" s="10" t="s">
        <v>104</v>
      </c>
      <c r="E60" s="10" t="s">
        <v>104</v>
      </c>
      <c r="F60" s="10" t="s">
        <v>104</v>
      </c>
      <c r="G60" s="11" t="s">
        <v>104</v>
      </c>
      <c r="H60" s="11" t="s">
        <v>104</v>
      </c>
      <c r="I60" s="26">
        <f t="shared" si="18"/>
        <v>2</v>
      </c>
      <c r="J60" s="26">
        <f t="shared" si="19"/>
        <v>2</v>
      </c>
      <c r="K60" s="26">
        <f t="shared" si="20"/>
        <v>2</v>
      </c>
      <c r="L60" s="26">
        <f t="shared" si="21"/>
        <v>2</v>
      </c>
      <c r="M60" s="26">
        <f t="shared" si="22"/>
        <v>2</v>
      </c>
      <c r="N60" s="13"/>
      <c r="O60" s="13"/>
      <c r="P60" s="13"/>
      <c r="Q60" s="13"/>
      <c r="R60" s="13"/>
      <c r="S60" s="13"/>
      <c r="T60" s="13"/>
      <c r="U60" s="13"/>
      <c r="V60" s="13"/>
      <c r="W60" s="13"/>
      <c r="X60" s="13"/>
      <c r="Y60" s="13"/>
    </row>
    <row r="61" spans="1:25" ht="15.75" customHeight="1">
      <c r="A61" s="8" t="s">
        <v>487</v>
      </c>
      <c r="B61" s="3"/>
      <c r="C61" s="3" t="s">
        <v>19</v>
      </c>
      <c r="D61" s="10" t="s">
        <v>19</v>
      </c>
      <c r="E61" s="10" t="s">
        <v>19</v>
      </c>
      <c r="F61" s="10" t="s">
        <v>19</v>
      </c>
      <c r="G61" s="11" t="s">
        <v>19</v>
      </c>
      <c r="H61" s="11" t="s">
        <v>19</v>
      </c>
      <c r="I61" s="26">
        <f t="shared" si="18"/>
        <v>2</v>
      </c>
      <c r="J61" s="26">
        <f t="shared" si="19"/>
        <v>2</v>
      </c>
      <c r="K61" s="26">
        <f t="shared" si="20"/>
        <v>2</v>
      </c>
      <c r="L61" s="26">
        <f t="shared" si="21"/>
        <v>2</v>
      </c>
      <c r="M61" s="26">
        <f t="shared" si="22"/>
        <v>2</v>
      </c>
      <c r="N61" s="13"/>
      <c r="O61" s="13"/>
      <c r="P61" s="13"/>
      <c r="Q61" s="13"/>
      <c r="R61" s="13"/>
      <c r="S61" s="13"/>
      <c r="T61" s="13"/>
      <c r="U61" s="13"/>
      <c r="V61" s="13"/>
      <c r="W61" s="13"/>
      <c r="X61" s="13"/>
      <c r="Y61" s="13"/>
    </row>
    <row r="62" spans="1:25" ht="15.75" customHeight="1">
      <c r="A62" s="8" t="s">
        <v>488</v>
      </c>
      <c r="B62" s="3" t="s">
        <v>16</v>
      </c>
      <c r="C62" s="3" t="s">
        <v>50</v>
      </c>
      <c r="D62" s="10" t="s">
        <v>50</v>
      </c>
      <c r="E62" s="10" t="s">
        <v>50</v>
      </c>
      <c r="F62" s="10" t="s">
        <v>50</v>
      </c>
      <c r="G62" s="11" t="s">
        <v>50</v>
      </c>
      <c r="H62" s="11" t="s">
        <v>50</v>
      </c>
      <c r="I62" s="26">
        <f t="shared" si="18"/>
        <v>2</v>
      </c>
      <c r="J62" s="26">
        <f t="shared" si="19"/>
        <v>2</v>
      </c>
      <c r="K62" s="26">
        <f t="shared" si="20"/>
        <v>2</v>
      </c>
      <c r="L62" s="26">
        <f t="shared" si="21"/>
        <v>2</v>
      </c>
      <c r="M62" s="26">
        <f t="shared" si="22"/>
        <v>2</v>
      </c>
      <c r="N62" s="13"/>
      <c r="O62" s="13"/>
      <c r="P62" s="13"/>
      <c r="Q62" s="13"/>
      <c r="R62" s="13"/>
      <c r="S62" s="13"/>
      <c r="T62" s="13"/>
      <c r="U62" s="13"/>
      <c r="V62" s="13"/>
      <c r="W62" s="13"/>
      <c r="X62" s="13"/>
      <c r="Y62" s="13"/>
    </row>
    <row r="63" spans="1:25" ht="15.75" customHeight="1">
      <c r="A63" s="8" t="s">
        <v>489</v>
      </c>
      <c r="B63" s="3"/>
      <c r="C63" s="3" t="s">
        <v>46</v>
      </c>
      <c r="D63" s="10" t="s">
        <v>46</v>
      </c>
      <c r="E63" s="10" t="s">
        <v>95</v>
      </c>
      <c r="F63" s="10" t="s">
        <v>46</v>
      </c>
      <c r="G63" s="11" t="s">
        <v>95</v>
      </c>
      <c r="H63" s="11" t="s">
        <v>46</v>
      </c>
      <c r="I63" s="26">
        <f t="shared" si="18"/>
        <v>2</v>
      </c>
      <c r="J63" s="26">
        <f t="shared" si="19"/>
        <v>0.4</v>
      </c>
      <c r="K63" s="26">
        <f t="shared" si="20"/>
        <v>2</v>
      </c>
      <c r="L63" s="26">
        <f t="shared" si="21"/>
        <v>0.4</v>
      </c>
      <c r="M63" s="26">
        <f t="shared" si="22"/>
        <v>2</v>
      </c>
      <c r="N63" s="13"/>
      <c r="O63" s="13"/>
      <c r="P63" s="13"/>
      <c r="Q63" s="13"/>
      <c r="R63" s="13"/>
      <c r="S63" s="13"/>
      <c r="T63" s="13"/>
      <c r="U63" s="13"/>
      <c r="V63" s="13"/>
      <c r="W63" s="13"/>
      <c r="X63" s="13"/>
      <c r="Y63" s="13"/>
    </row>
    <row r="64" spans="1:25" ht="15.75" customHeight="1">
      <c r="A64" s="8" t="s">
        <v>490</v>
      </c>
      <c r="B64" s="3" t="s">
        <v>34</v>
      </c>
      <c r="C64" s="3" t="s">
        <v>53</v>
      </c>
      <c r="D64" s="10" t="s">
        <v>55</v>
      </c>
      <c r="E64" s="10" t="s">
        <v>53</v>
      </c>
      <c r="F64" s="10" t="s">
        <v>53</v>
      </c>
      <c r="G64" s="11" t="s">
        <v>53</v>
      </c>
      <c r="H64" s="11" t="s">
        <v>53</v>
      </c>
      <c r="I64" s="26">
        <f t="shared" si="18"/>
        <v>0.4</v>
      </c>
      <c r="J64" s="26">
        <f t="shared" si="19"/>
        <v>2</v>
      </c>
      <c r="K64" s="26">
        <f t="shared" si="20"/>
        <v>2</v>
      </c>
      <c r="L64" s="26">
        <f t="shared" si="21"/>
        <v>2</v>
      </c>
      <c r="M64" s="26">
        <f t="shared" si="22"/>
        <v>2</v>
      </c>
      <c r="N64" s="13"/>
      <c r="O64" s="13"/>
      <c r="P64" s="13"/>
      <c r="Q64" s="13"/>
      <c r="R64" s="13"/>
      <c r="S64" s="13"/>
      <c r="T64" s="13"/>
      <c r="U64" s="13"/>
      <c r="V64" s="13"/>
      <c r="W64" s="13"/>
      <c r="X64" s="13"/>
      <c r="Y64" s="13"/>
    </row>
    <row r="65" spans="1:25" ht="15.75" customHeight="1">
      <c r="A65" s="8" t="s">
        <v>491</v>
      </c>
      <c r="B65" s="3" t="s">
        <v>16</v>
      </c>
      <c r="C65" s="3" t="s">
        <v>21</v>
      </c>
      <c r="D65" s="10" t="s">
        <v>21</v>
      </c>
      <c r="E65" s="10" t="s">
        <v>21</v>
      </c>
      <c r="F65" s="10" t="s">
        <v>21</v>
      </c>
      <c r="G65" s="11" t="s">
        <v>14</v>
      </c>
      <c r="H65" s="11" t="s">
        <v>21</v>
      </c>
      <c r="I65" s="26">
        <f t="shared" si="18"/>
        <v>2</v>
      </c>
      <c r="J65" s="26">
        <f t="shared" si="19"/>
        <v>2</v>
      </c>
      <c r="K65" s="26">
        <f t="shared" si="20"/>
        <v>2</v>
      </c>
      <c r="L65" s="26">
        <f t="shared" si="21"/>
        <v>0</v>
      </c>
      <c r="M65" s="26">
        <f t="shared" si="22"/>
        <v>2</v>
      </c>
      <c r="N65" s="13"/>
      <c r="O65" s="13"/>
      <c r="P65" s="13"/>
      <c r="Q65" s="13"/>
      <c r="R65" s="13"/>
      <c r="S65" s="13"/>
      <c r="T65" s="13"/>
      <c r="U65" s="13"/>
      <c r="V65" s="13"/>
      <c r="W65" s="13"/>
      <c r="X65" s="13"/>
      <c r="Y65" s="13"/>
    </row>
    <row r="66" spans="1:25" ht="15.75" customHeight="1">
      <c r="A66" s="8" t="s">
        <v>492</v>
      </c>
      <c r="B66" s="3"/>
      <c r="C66" s="3" t="s">
        <v>22</v>
      </c>
      <c r="D66" s="3" t="s">
        <v>21</v>
      </c>
      <c r="E66" s="3" t="s">
        <v>22</v>
      </c>
      <c r="F66" s="3" t="s">
        <v>22</v>
      </c>
      <c r="G66" s="27" t="s">
        <v>22</v>
      </c>
      <c r="H66" s="27" t="s">
        <v>22</v>
      </c>
      <c r="I66" s="26">
        <f t="shared" si="18"/>
        <v>0</v>
      </c>
      <c r="J66" s="26">
        <f t="shared" si="19"/>
        <v>2</v>
      </c>
      <c r="K66" s="26">
        <f t="shared" si="20"/>
        <v>2</v>
      </c>
      <c r="L66" s="26">
        <f t="shared" si="21"/>
        <v>2</v>
      </c>
      <c r="M66" s="26">
        <f t="shared" si="22"/>
        <v>2</v>
      </c>
      <c r="N66" s="13"/>
      <c r="O66" s="13"/>
      <c r="P66" s="13"/>
      <c r="Q66" s="13"/>
      <c r="R66" s="13"/>
      <c r="S66" s="13"/>
      <c r="T66" s="13"/>
      <c r="U66" s="13"/>
      <c r="V66" s="13"/>
      <c r="W66" s="13"/>
      <c r="X66" s="13"/>
      <c r="Y66" s="13"/>
    </row>
    <row r="67" spans="1:25" ht="15.75" customHeight="1">
      <c r="A67" s="8" t="s">
        <v>493</v>
      </c>
      <c r="B67" s="3" t="s">
        <v>16</v>
      </c>
      <c r="C67" s="3" t="s">
        <v>53</v>
      </c>
      <c r="D67" s="10" t="s">
        <v>53</v>
      </c>
      <c r="E67" s="10" t="s">
        <v>53</v>
      </c>
      <c r="F67" s="10" t="s">
        <v>53</v>
      </c>
      <c r="G67" s="11" t="s">
        <v>53</v>
      </c>
      <c r="H67" s="11" t="s">
        <v>53</v>
      </c>
      <c r="I67" s="26">
        <f t="shared" si="18"/>
        <v>2</v>
      </c>
      <c r="J67" s="26">
        <f t="shared" si="19"/>
        <v>2</v>
      </c>
      <c r="K67" s="26">
        <f t="shared" si="20"/>
        <v>2</v>
      </c>
      <c r="L67" s="26">
        <f t="shared" si="21"/>
        <v>2</v>
      </c>
      <c r="M67" s="26">
        <f t="shared" si="22"/>
        <v>2</v>
      </c>
      <c r="N67" s="13"/>
      <c r="O67" s="13"/>
      <c r="P67" s="13"/>
      <c r="Q67" s="13"/>
      <c r="R67" s="13"/>
      <c r="S67" s="13"/>
      <c r="T67" s="13"/>
      <c r="U67" s="13"/>
      <c r="V67" s="13"/>
      <c r="W67" s="13"/>
      <c r="X67" s="13"/>
      <c r="Y67" s="13"/>
    </row>
    <row r="68" spans="1:25" ht="15.75" customHeight="1">
      <c r="A68" s="8" t="s">
        <v>494</v>
      </c>
      <c r="B68" s="3"/>
      <c r="C68" s="3" t="s">
        <v>88</v>
      </c>
      <c r="D68" s="10" t="s">
        <v>48</v>
      </c>
      <c r="E68" s="10" t="s">
        <v>88</v>
      </c>
      <c r="F68" s="10" t="s">
        <v>48</v>
      </c>
      <c r="G68" s="11" t="s">
        <v>88</v>
      </c>
      <c r="H68" s="11" t="s">
        <v>88</v>
      </c>
      <c r="I68" s="26">
        <f t="shared" si="18"/>
        <v>0.4</v>
      </c>
      <c r="J68" s="26">
        <f t="shared" si="19"/>
        <v>2</v>
      </c>
      <c r="K68" s="26">
        <f t="shared" si="20"/>
        <v>0.4</v>
      </c>
      <c r="L68" s="26">
        <f t="shared" si="21"/>
        <v>2</v>
      </c>
      <c r="M68" s="26">
        <f t="shared" si="22"/>
        <v>2</v>
      </c>
      <c r="N68" s="13"/>
      <c r="O68" s="13"/>
      <c r="P68" s="13"/>
      <c r="Q68" s="13"/>
      <c r="R68" s="13"/>
      <c r="S68" s="13"/>
      <c r="T68" s="13"/>
      <c r="U68" s="13"/>
      <c r="V68" s="13"/>
      <c r="W68" s="13"/>
      <c r="X68" s="13"/>
      <c r="Y68" s="13"/>
    </row>
    <row r="69" spans="1:25" ht="15.75" customHeight="1">
      <c r="A69" s="8" t="s">
        <v>495</v>
      </c>
      <c r="B69" s="3"/>
      <c r="C69" s="3" t="s">
        <v>22</v>
      </c>
      <c r="D69" s="10" t="s">
        <v>22</v>
      </c>
      <c r="E69" s="10" t="s">
        <v>22</v>
      </c>
      <c r="F69" s="10" t="s">
        <v>19</v>
      </c>
      <c r="G69" s="11" t="s">
        <v>22</v>
      </c>
      <c r="H69" s="11" t="s">
        <v>22</v>
      </c>
      <c r="I69" s="26">
        <f t="shared" si="18"/>
        <v>2</v>
      </c>
      <c r="J69" s="26">
        <f t="shared" si="19"/>
        <v>2</v>
      </c>
      <c r="K69" s="26">
        <f t="shared" si="20"/>
        <v>0</v>
      </c>
      <c r="L69" s="26">
        <f t="shared" si="21"/>
        <v>2</v>
      </c>
      <c r="M69" s="26">
        <f t="shared" si="22"/>
        <v>2</v>
      </c>
      <c r="N69" s="13"/>
      <c r="O69" s="13"/>
      <c r="P69" s="13"/>
      <c r="Q69" s="13"/>
      <c r="R69" s="13"/>
      <c r="S69" s="13"/>
      <c r="T69" s="13"/>
      <c r="U69" s="13"/>
      <c r="V69" s="13"/>
      <c r="W69" s="13"/>
      <c r="X69" s="13"/>
      <c r="Y69" s="13"/>
    </row>
    <row r="70" spans="1:25" ht="15.75" customHeight="1">
      <c r="A70" s="8" t="s">
        <v>496</v>
      </c>
      <c r="B70" s="3"/>
      <c r="C70" s="3" t="s">
        <v>19</v>
      </c>
      <c r="D70" s="10" t="s">
        <v>14</v>
      </c>
      <c r="E70" s="10" t="s">
        <v>19</v>
      </c>
      <c r="F70" s="10" t="s">
        <v>19</v>
      </c>
      <c r="G70" s="11" t="s">
        <v>19</v>
      </c>
      <c r="H70" s="11" t="s">
        <v>19</v>
      </c>
      <c r="I70" s="26">
        <f t="shared" si="18"/>
        <v>0</v>
      </c>
      <c r="J70" s="26">
        <f t="shared" si="19"/>
        <v>2</v>
      </c>
      <c r="K70" s="26">
        <f t="shared" si="20"/>
        <v>2</v>
      </c>
      <c r="L70" s="26">
        <f t="shared" si="21"/>
        <v>2</v>
      </c>
      <c r="M70" s="26">
        <f t="shared" si="22"/>
        <v>2</v>
      </c>
      <c r="N70" s="13"/>
      <c r="O70" s="13"/>
      <c r="P70" s="13"/>
      <c r="Q70" s="13"/>
      <c r="R70" s="13"/>
      <c r="S70" s="13"/>
      <c r="T70" s="13"/>
      <c r="U70" s="13"/>
      <c r="V70" s="13"/>
      <c r="W70" s="13"/>
      <c r="X70" s="13"/>
      <c r="Y70" s="13"/>
    </row>
    <row r="71" spans="1:25" ht="15.75" customHeight="1">
      <c r="A71" s="8" t="s">
        <v>497</v>
      </c>
      <c r="B71" s="3"/>
      <c r="C71" s="3" t="s">
        <v>14</v>
      </c>
      <c r="D71" s="10" t="s">
        <v>14</v>
      </c>
      <c r="E71" s="10" t="s">
        <v>14</v>
      </c>
      <c r="F71" s="10" t="s">
        <v>14</v>
      </c>
      <c r="G71" s="11" t="s">
        <v>14</v>
      </c>
      <c r="H71" s="11" t="s">
        <v>14</v>
      </c>
      <c r="I71" s="26">
        <f t="shared" si="18"/>
        <v>2</v>
      </c>
      <c r="J71" s="26">
        <f t="shared" si="19"/>
        <v>2</v>
      </c>
      <c r="K71" s="26">
        <f t="shared" si="20"/>
        <v>2</v>
      </c>
      <c r="L71" s="26">
        <f t="shared" si="21"/>
        <v>2</v>
      </c>
      <c r="M71" s="26">
        <f t="shared" si="22"/>
        <v>2</v>
      </c>
      <c r="N71" s="13"/>
      <c r="O71" s="13"/>
      <c r="P71" s="13"/>
      <c r="Q71" s="13"/>
      <c r="R71" s="13"/>
      <c r="S71" s="13"/>
      <c r="T71" s="13"/>
      <c r="U71" s="13"/>
      <c r="V71" s="13"/>
      <c r="W71" s="13"/>
      <c r="X71" s="13"/>
      <c r="Y71" s="13"/>
    </row>
    <row r="72" spans="1:25" ht="15.75" customHeight="1">
      <c r="A72" s="8" t="s">
        <v>498</v>
      </c>
      <c r="B72" s="3"/>
      <c r="C72" s="3" t="s">
        <v>21</v>
      </c>
      <c r="D72" s="10" t="s">
        <v>19</v>
      </c>
      <c r="E72" s="10" t="s">
        <v>19</v>
      </c>
      <c r="F72" s="10" t="s">
        <v>21</v>
      </c>
      <c r="G72" s="11" t="s">
        <v>21</v>
      </c>
      <c r="H72" s="11" t="s">
        <v>21</v>
      </c>
      <c r="I72" s="26">
        <f t="shared" si="18"/>
        <v>0</v>
      </c>
      <c r="J72" s="26">
        <f t="shared" si="19"/>
        <v>0</v>
      </c>
      <c r="K72" s="26">
        <f t="shared" si="20"/>
        <v>2</v>
      </c>
      <c r="L72" s="26">
        <f t="shared" si="21"/>
        <v>2</v>
      </c>
      <c r="M72" s="26">
        <f t="shared" si="22"/>
        <v>2</v>
      </c>
      <c r="N72" s="13"/>
      <c r="O72" s="13"/>
      <c r="P72" s="13"/>
      <c r="Q72" s="13"/>
      <c r="R72" s="13"/>
      <c r="S72" s="13"/>
      <c r="T72" s="13"/>
      <c r="U72" s="13"/>
      <c r="V72" s="13"/>
      <c r="W72" s="13"/>
      <c r="X72" s="13"/>
      <c r="Y72" s="13"/>
    </row>
    <row r="73" spans="1:25" ht="15.75" customHeight="1">
      <c r="A73" s="8" t="s">
        <v>499</v>
      </c>
      <c r="B73" s="3" t="s">
        <v>16</v>
      </c>
      <c r="C73" s="3" t="s">
        <v>57</v>
      </c>
      <c r="D73" s="10" t="s">
        <v>57</v>
      </c>
      <c r="E73" s="10" t="s">
        <v>21</v>
      </c>
      <c r="F73" s="10" t="s">
        <v>58</v>
      </c>
      <c r="G73" s="10" t="s">
        <v>57</v>
      </c>
      <c r="H73" s="10" t="s">
        <v>57</v>
      </c>
      <c r="I73" s="26">
        <f t="shared" si="18"/>
        <v>2</v>
      </c>
      <c r="J73" s="26">
        <f t="shared" si="19"/>
        <v>1.2</v>
      </c>
      <c r="K73" s="26">
        <f t="shared" si="20"/>
        <v>0.4</v>
      </c>
      <c r="L73" s="26">
        <f t="shared" si="21"/>
        <v>2</v>
      </c>
      <c r="M73" s="26">
        <f t="shared" si="22"/>
        <v>2</v>
      </c>
      <c r="N73" s="13"/>
      <c r="O73" s="13"/>
      <c r="P73" s="13"/>
      <c r="Q73" s="13"/>
      <c r="R73" s="13"/>
      <c r="S73" s="13"/>
      <c r="T73" s="13"/>
      <c r="U73" s="13"/>
      <c r="V73" s="13"/>
      <c r="W73" s="13"/>
      <c r="X73" s="13"/>
      <c r="Y73" s="13"/>
    </row>
    <row r="74" spans="1:25" ht="15.75" customHeight="1">
      <c r="A74" s="8" t="s">
        <v>500</v>
      </c>
      <c r="B74" s="3" t="s">
        <v>16</v>
      </c>
      <c r="C74" s="3" t="s">
        <v>54</v>
      </c>
      <c r="D74" s="10" t="s">
        <v>54</v>
      </c>
      <c r="E74" s="10" t="s">
        <v>52</v>
      </c>
      <c r="F74" s="10" t="s">
        <v>54</v>
      </c>
      <c r="G74" s="11" t="s">
        <v>52</v>
      </c>
      <c r="H74" s="11" t="s">
        <v>54</v>
      </c>
      <c r="I74" s="26">
        <f t="shared" si="18"/>
        <v>2</v>
      </c>
      <c r="J74" s="26">
        <f t="shared" si="19"/>
        <v>0.4</v>
      </c>
      <c r="K74" s="26">
        <f t="shared" si="20"/>
        <v>2</v>
      </c>
      <c r="L74" s="26">
        <f t="shared" si="21"/>
        <v>0.4</v>
      </c>
      <c r="M74" s="26">
        <f t="shared" si="22"/>
        <v>2</v>
      </c>
      <c r="N74" s="13"/>
      <c r="O74" s="13"/>
      <c r="P74" s="13"/>
      <c r="Q74" s="13"/>
      <c r="R74" s="13"/>
      <c r="S74" s="13"/>
      <c r="T74" s="13"/>
      <c r="U74" s="13"/>
      <c r="V74" s="13"/>
      <c r="W74" s="13"/>
      <c r="X74" s="13"/>
      <c r="Y74" s="13"/>
    </row>
    <row r="75" spans="1:25" ht="15.75" customHeight="1">
      <c r="A75" s="8" t="s">
        <v>501</v>
      </c>
      <c r="B75" s="3"/>
      <c r="C75" s="3" t="s">
        <v>96</v>
      </c>
      <c r="D75" s="10" t="s">
        <v>96</v>
      </c>
      <c r="E75" s="10" t="s">
        <v>96</v>
      </c>
      <c r="F75" s="10" t="s">
        <v>96</v>
      </c>
      <c r="G75" s="11" t="s">
        <v>96</v>
      </c>
      <c r="H75" s="11" t="s">
        <v>96</v>
      </c>
      <c r="I75" s="26">
        <f t="shared" si="18"/>
        <v>2</v>
      </c>
      <c r="J75" s="26">
        <f t="shared" si="19"/>
        <v>2</v>
      </c>
      <c r="K75" s="26">
        <f t="shared" si="20"/>
        <v>2</v>
      </c>
      <c r="L75" s="26">
        <f t="shared" si="21"/>
        <v>2</v>
      </c>
      <c r="M75" s="26">
        <f t="shared" si="22"/>
        <v>2</v>
      </c>
      <c r="N75" s="13"/>
      <c r="O75" s="13"/>
      <c r="P75" s="13"/>
      <c r="Q75" s="13"/>
      <c r="R75" s="13"/>
      <c r="S75" s="13"/>
      <c r="T75" s="13"/>
      <c r="U75" s="13"/>
      <c r="V75" s="13"/>
      <c r="W75" s="13"/>
      <c r="X75" s="13"/>
      <c r="Y75" s="13"/>
    </row>
    <row r="76" spans="1:25" ht="15.75" customHeight="1">
      <c r="A76" s="8" t="s">
        <v>502</v>
      </c>
      <c r="B76" s="3"/>
      <c r="C76" s="3" t="s">
        <v>22</v>
      </c>
      <c r="D76" s="10" t="s">
        <v>22</v>
      </c>
      <c r="E76" s="10" t="s">
        <v>22</v>
      </c>
      <c r="F76" s="10" t="s">
        <v>22</v>
      </c>
      <c r="G76" s="11" t="s">
        <v>22</v>
      </c>
      <c r="H76" s="11" t="s">
        <v>22</v>
      </c>
      <c r="I76" s="26">
        <f t="shared" si="18"/>
        <v>2</v>
      </c>
      <c r="J76" s="26">
        <f t="shared" si="19"/>
        <v>2</v>
      </c>
      <c r="K76" s="26">
        <f t="shared" si="20"/>
        <v>2</v>
      </c>
      <c r="L76" s="26">
        <f t="shared" si="21"/>
        <v>2</v>
      </c>
      <c r="M76" s="26">
        <f t="shared" si="22"/>
        <v>2</v>
      </c>
      <c r="N76" s="13"/>
      <c r="O76" s="13"/>
      <c r="P76" s="13"/>
      <c r="Q76" s="13"/>
      <c r="R76" s="13"/>
      <c r="S76" s="13"/>
      <c r="T76" s="13"/>
      <c r="U76" s="13"/>
      <c r="V76" s="13"/>
      <c r="W76" s="13"/>
      <c r="X76" s="13"/>
      <c r="Y76" s="13"/>
    </row>
    <row r="77" spans="1:25" ht="15.75" customHeight="1">
      <c r="A77" s="45"/>
      <c r="B77" s="30"/>
      <c r="C77" s="30"/>
      <c r="D77" s="31"/>
      <c r="E77" s="31"/>
      <c r="F77" s="31"/>
      <c r="G77" s="31"/>
      <c r="H77" s="31"/>
      <c r="I77" s="13"/>
      <c r="J77" s="13"/>
      <c r="K77" s="13"/>
      <c r="L77" s="13"/>
      <c r="M77" s="13"/>
      <c r="N77" s="13"/>
      <c r="O77" s="13"/>
      <c r="P77" s="13"/>
      <c r="Q77" s="13"/>
      <c r="R77" s="13"/>
      <c r="S77" s="13"/>
      <c r="T77" s="13"/>
      <c r="U77" s="13"/>
      <c r="V77" s="13"/>
      <c r="W77" s="13"/>
      <c r="X77" s="13"/>
      <c r="Y77" s="13"/>
    </row>
    <row r="78" spans="1:25" ht="15.75" customHeight="1">
      <c r="A78" s="45"/>
      <c r="B78" s="30"/>
      <c r="C78" s="30"/>
      <c r="D78" s="31"/>
      <c r="E78" s="31"/>
      <c r="F78" s="31"/>
      <c r="G78" s="31"/>
      <c r="H78" s="31"/>
      <c r="I78" s="13"/>
      <c r="J78" s="13"/>
      <c r="K78" s="13"/>
      <c r="L78" s="13"/>
      <c r="M78" s="13"/>
      <c r="N78" s="13"/>
      <c r="O78" s="13"/>
      <c r="P78" s="13"/>
      <c r="Q78" s="13"/>
      <c r="R78" s="13"/>
      <c r="S78" s="13"/>
      <c r="T78" s="13"/>
      <c r="U78" s="13"/>
      <c r="V78" s="13"/>
      <c r="W78" s="13"/>
      <c r="X78" s="13"/>
      <c r="Y78" s="13"/>
    </row>
    <row r="79" spans="1:25" ht="15.75" customHeight="1">
      <c r="A79" s="45"/>
      <c r="B79" s="30"/>
      <c r="C79" s="30"/>
      <c r="D79" s="31"/>
      <c r="E79" s="31"/>
      <c r="F79" s="31"/>
      <c r="G79" s="31"/>
      <c r="H79" s="31"/>
      <c r="I79" s="13"/>
      <c r="J79" s="13"/>
      <c r="K79" s="13"/>
      <c r="L79" s="13"/>
      <c r="M79" s="13"/>
      <c r="N79" s="13"/>
      <c r="O79" s="13"/>
      <c r="P79" s="13"/>
      <c r="Q79" s="13"/>
      <c r="R79" s="13"/>
      <c r="S79" s="13"/>
      <c r="T79" s="13"/>
      <c r="U79" s="13"/>
      <c r="V79" s="13"/>
      <c r="W79" s="13"/>
      <c r="X79" s="13"/>
      <c r="Y79" s="13"/>
    </row>
    <row r="80" spans="1:25" ht="15.75" customHeight="1">
      <c r="A80" s="45"/>
      <c r="B80" s="30"/>
      <c r="C80" s="30"/>
      <c r="D80" s="31"/>
      <c r="E80" s="31"/>
      <c r="F80" s="31"/>
      <c r="G80" s="31"/>
      <c r="H80" s="31"/>
      <c r="I80" s="13"/>
      <c r="J80" s="13"/>
      <c r="K80" s="13"/>
      <c r="L80" s="13"/>
      <c r="M80" s="13"/>
      <c r="N80" s="13"/>
      <c r="O80" s="13"/>
      <c r="P80" s="13"/>
      <c r="Q80" s="13"/>
      <c r="R80" s="13"/>
      <c r="S80" s="13"/>
      <c r="T80" s="13"/>
      <c r="U80" s="13"/>
      <c r="V80" s="13"/>
      <c r="W80" s="13"/>
      <c r="X80" s="13"/>
      <c r="Y80" s="13"/>
    </row>
    <row r="81" spans="1:25" ht="15.75" customHeight="1">
      <c r="A81" s="45"/>
      <c r="B81" s="30"/>
      <c r="C81" s="30"/>
      <c r="D81" s="31"/>
      <c r="E81" s="31"/>
      <c r="F81" s="31"/>
      <c r="G81" s="31"/>
      <c r="H81" s="31"/>
      <c r="I81" s="13"/>
      <c r="J81" s="13"/>
      <c r="K81" s="13"/>
      <c r="L81" s="13"/>
      <c r="M81" s="13"/>
      <c r="N81" s="13"/>
      <c r="O81" s="13"/>
      <c r="P81" s="13"/>
      <c r="Q81" s="13"/>
      <c r="R81" s="13"/>
      <c r="S81" s="13"/>
      <c r="T81" s="13"/>
      <c r="U81" s="13"/>
      <c r="V81" s="13"/>
      <c r="W81" s="13"/>
      <c r="X81" s="13"/>
      <c r="Y81" s="13"/>
    </row>
    <row r="82" spans="1:25" ht="15.75" customHeight="1">
      <c r="A82" s="45"/>
      <c r="B82" s="30"/>
      <c r="C82" s="30"/>
      <c r="D82" s="31"/>
      <c r="E82" s="31"/>
      <c r="F82" s="31"/>
      <c r="G82" s="31"/>
      <c r="H82" s="31"/>
      <c r="I82" s="13"/>
      <c r="J82" s="13"/>
      <c r="K82" s="13"/>
      <c r="L82" s="13"/>
      <c r="M82" s="13"/>
      <c r="N82" s="13"/>
      <c r="O82" s="13"/>
      <c r="P82" s="13"/>
      <c r="Q82" s="13"/>
      <c r="R82" s="13"/>
      <c r="S82" s="13"/>
      <c r="T82" s="13"/>
      <c r="U82" s="13"/>
      <c r="V82" s="13"/>
      <c r="W82" s="13"/>
      <c r="X82" s="13"/>
      <c r="Y82" s="13"/>
    </row>
    <row r="83" spans="1:25" ht="15.75" customHeight="1">
      <c r="A83" s="45"/>
      <c r="B83" s="30"/>
      <c r="C83" s="30"/>
      <c r="D83" s="31"/>
      <c r="E83" s="31"/>
      <c r="F83" s="31"/>
      <c r="G83" s="31"/>
      <c r="H83" s="31"/>
      <c r="I83" s="13"/>
      <c r="J83" s="13"/>
      <c r="K83" s="13"/>
      <c r="L83" s="13"/>
      <c r="M83" s="13"/>
      <c r="N83" s="13"/>
      <c r="O83" s="13"/>
      <c r="P83" s="13"/>
      <c r="Q83" s="13"/>
      <c r="R83" s="13"/>
      <c r="S83" s="13"/>
      <c r="T83" s="13"/>
      <c r="U83" s="13"/>
      <c r="V83" s="13"/>
      <c r="W83" s="13"/>
      <c r="X83" s="13"/>
      <c r="Y83" s="13"/>
    </row>
    <row r="84" spans="1:25" ht="15.75" customHeight="1">
      <c r="A84" s="45"/>
      <c r="B84" s="30"/>
      <c r="C84" s="30"/>
      <c r="D84" s="31"/>
      <c r="E84" s="31"/>
      <c r="F84" s="31"/>
      <c r="G84" s="31"/>
      <c r="H84" s="31"/>
      <c r="I84" s="13"/>
      <c r="J84" s="13"/>
      <c r="K84" s="13"/>
      <c r="L84" s="13"/>
      <c r="M84" s="13"/>
      <c r="N84" s="13"/>
      <c r="O84" s="13"/>
      <c r="P84" s="13"/>
      <c r="Q84" s="13"/>
      <c r="R84" s="13"/>
      <c r="S84" s="13"/>
      <c r="T84" s="13"/>
      <c r="U84" s="13"/>
      <c r="V84" s="13"/>
      <c r="W84" s="13"/>
      <c r="X84" s="13"/>
      <c r="Y84" s="13"/>
    </row>
    <row r="85" spans="1:25" ht="15.75" customHeight="1">
      <c r="A85" s="45"/>
      <c r="B85" s="30"/>
      <c r="C85" s="30"/>
      <c r="D85" s="31"/>
      <c r="E85" s="31"/>
      <c r="F85" s="31"/>
      <c r="G85" s="31"/>
      <c r="H85" s="31"/>
      <c r="I85" s="13"/>
      <c r="J85" s="13"/>
      <c r="K85" s="13"/>
      <c r="L85" s="13"/>
      <c r="M85" s="13"/>
      <c r="N85" s="13"/>
      <c r="O85" s="13"/>
      <c r="P85" s="13"/>
      <c r="Q85" s="13"/>
      <c r="R85" s="13"/>
      <c r="S85" s="13"/>
      <c r="T85" s="13"/>
      <c r="U85" s="13"/>
      <c r="V85" s="13"/>
      <c r="W85" s="13"/>
      <c r="X85" s="13"/>
      <c r="Y85" s="13"/>
    </row>
    <row r="86" spans="1:25" ht="15.75" customHeight="1">
      <c r="A86" s="45"/>
      <c r="B86" s="30"/>
      <c r="C86" s="30"/>
      <c r="D86" s="31"/>
      <c r="E86" s="31"/>
      <c r="F86" s="31"/>
      <c r="G86" s="31"/>
      <c r="H86" s="31"/>
      <c r="I86" s="13"/>
      <c r="J86" s="13"/>
      <c r="K86" s="13"/>
      <c r="L86" s="13"/>
      <c r="M86" s="13"/>
      <c r="N86" s="13"/>
      <c r="O86" s="13"/>
      <c r="P86" s="13"/>
      <c r="Q86" s="13"/>
      <c r="R86" s="13"/>
      <c r="S86" s="13"/>
      <c r="T86" s="13"/>
      <c r="U86" s="13"/>
      <c r="V86" s="13"/>
      <c r="W86" s="13"/>
      <c r="X86" s="13"/>
      <c r="Y86" s="13"/>
    </row>
    <row r="87" spans="1:25" ht="15.75" customHeight="1">
      <c r="A87" s="46"/>
      <c r="B87" s="30"/>
      <c r="C87" s="30"/>
      <c r="D87" s="31"/>
      <c r="E87" s="31"/>
      <c r="F87" s="31"/>
      <c r="G87" s="31"/>
      <c r="H87" s="31"/>
      <c r="I87" s="13"/>
      <c r="J87" s="13"/>
      <c r="K87" s="13"/>
      <c r="L87" s="13"/>
      <c r="M87" s="13"/>
      <c r="N87" s="13"/>
      <c r="O87" s="13"/>
      <c r="P87" s="13"/>
      <c r="Q87" s="13"/>
      <c r="R87" s="13"/>
      <c r="S87" s="13"/>
      <c r="T87" s="13"/>
      <c r="U87" s="13"/>
      <c r="V87" s="13"/>
      <c r="W87" s="13"/>
      <c r="X87" s="13"/>
      <c r="Y87" s="13"/>
    </row>
    <row r="88" spans="1:25" ht="15.75" customHeight="1">
      <c r="A88" s="43"/>
      <c r="B88" s="30"/>
      <c r="C88" s="30"/>
      <c r="D88" s="31"/>
      <c r="E88" s="31"/>
      <c r="F88" s="31"/>
      <c r="G88" s="31"/>
      <c r="H88" s="31"/>
      <c r="I88" s="13"/>
      <c r="J88" s="13"/>
      <c r="K88" s="13"/>
      <c r="L88" s="13"/>
      <c r="M88" s="13"/>
      <c r="N88" s="13"/>
      <c r="O88" s="13"/>
      <c r="P88" s="13"/>
      <c r="Q88" s="13"/>
      <c r="R88" s="13"/>
      <c r="S88" s="13"/>
      <c r="T88" s="13"/>
      <c r="U88" s="13"/>
      <c r="V88" s="13"/>
      <c r="W88" s="13"/>
      <c r="X88" s="13"/>
      <c r="Y88" s="13"/>
    </row>
    <row r="89" spans="1:25" ht="15.75" customHeight="1">
      <c r="A89" s="43"/>
      <c r="B89" s="30"/>
      <c r="C89" s="30"/>
      <c r="D89" s="31"/>
      <c r="E89" s="31"/>
      <c r="F89" s="31"/>
      <c r="G89" s="31"/>
      <c r="H89" s="31"/>
      <c r="I89" s="13"/>
      <c r="J89" s="13"/>
      <c r="K89" s="13"/>
      <c r="L89" s="13"/>
      <c r="M89" s="13"/>
      <c r="N89" s="13"/>
      <c r="O89" s="13"/>
      <c r="P89" s="13"/>
      <c r="Q89" s="13"/>
      <c r="R89" s="13"/>
      <c r="S89" s="13"/>
      <c r="T89" s="13"/>
      <c r="U89" s="13"/>
      <c r="V89" s="13"/>
      <c r="W89" s="13"/>
      <c r="X89" s="13"/>
      <c r="Y89" s="13"/>
    </row>
    <row r="90" spans="1:25" ht="15.75" customHeight="1">
      <c r="A90" s="43"/>
      <c r="B90" s="30"/>
      <c r="C90" s="30"/>
      <c r="D90" s="31"/>
      <c r="E90" s="31"/>
      <c r="F90" s="31"/>
      <c r="G90" s="31"/>
      <c r="H90" s="31"/>
      <c r="I90" s="13"/>
      <c r="J90" s="13"/>
      <c r="K90" s="13"/>
      <c r="L90" s="13"/>
      <c r="M90" s="13"/>
      <c r="N90" s="13"/>
      <c r="O90" s="13"/>
      <c r="P90" s="13"/>
      <c r="Q90" s="13"/>
      <c r="R90" s="13"/>
      <c r="S90" s="13"/>
      <c r="T90" s="13"/>
      <c r="U90" s="13"/>
      <c r="V90" s="13"/>
      <c r="W90" s="13"/>
      <c r="X90" s="13"/>
      <c r="Y90" s="13"/>
    </row>
    <row r="91" spans="1:25" ht="15.75" customHeight="1">
      <c r="A91" s="43"/>
      <c r="B91" s="30"/>
      <c r="C91" s="30"/>
      <c r="D91" s="31"/>
      <c r="E91" s="31"/>
      <c r="F91" s="31"/>
      <c r="G91" s="31"/>
      <c r="H91" s="31"/>
      <c r="I91" s="13"/>
      <c r="J91" s="13"/>
      <c r="K91" s="13"/>
      <c r="L91" s="13"/>
      <c r="M91" s="13"/>
      <c r="N91" s="13"/>
      <c r="O91" s="7"/>
      <c r="P91" s="7"/>
      <c r="Q91" s="7"/>
      <c r="R91" s="7"/>
      <c r="S91" s="7"/>
      <c r="T91" s="7"/>
      <c r="U91" s="7"/>
      <c r="V91" s="7"/>
      <c r="W91" s="7"/>
      <c r="X91" s="7"/>
      <c r="Y91" s="7"/>
    </row>
    <row r="92" spans="1:25" ht="15.75" customHeight="1">
      <c r="A92" s="43"/>
      <c r="B92" s="30"/>
      <c r="C92" s="30"/>
      <c r="D92" s="31"/>
      <c r="E92" s="31"/>
      <c r="F92" s="31"/>
      <c r="G92" s="31"/>
      <c r="H92" s="31"/>
      <c r="I92" s="13"/>
      <c r="J92" s="13"/>
      <c r="K92" s="13"/>
      <c r="L92" s="13"/>
      <c r="M92" s="13"/>
      <c r="N92" s="13"/>
      <c r="O92" s="7"/>
      <c r="P92" s="7"/>
      <c r="Q92" s="7"/>
      <c r="R92" s="7"/>
      <c r="S92" s="7"/>
      <c r="T92" s="7"/>
      <c r="U92" s="7"/>
      <c r="V92" s="7"/>
      <c r="W92" s="7"/>
      <c r="X92" s="7"/>
      <c r="Y92" s="7"/>
    </row>
    <row r="93" spans="1:25" ht="15.75" customHeight="1">
      <c r="A93" s="43"/>
      <c r="B93" s="30"/>
      <c r="C93" s="30"/>
      <c r="D93" s="31"/>
      <c r="E93" s="31"/>
      <c r="F93" s="31"/>
      <c r="G93" s="31"/>
      <c r="H93" s="31"/>
      <c r="I93" s="13"/>
      <c r="J93" s="13"/>
      <c r="K93" s="13"/>
      <c r="L93" s="13"/>
      <c r="M93" s="13"/>
      <c r="N93" s="13"/>
      <c r="O93" s="7"/>
      <c r="P93" s="7"/>
      <c r="Q93" s="7"/>
      <c r="R93" s="7"/>
      <c r="S93" s="7"/>
      <c r="T93" s="7"/>
      <c r="U93" s="7"/>
      <c r="V93" s="7"/>
      <c r="W93" s="7"/>
      <c r="X93" s="7"/>
      <c r="Y93" s="7"/>
    </row>
    <row r="94" spans="1:25" ht="15.75" customHeight="1">
      <c r="A94" s="43"/>
      <c r="B94" s="30"/>
      <c r="C94" s="30"/>
      <c r="D94" s="31"/>
      <c r="E94" s="31"/>
      <c r="F94" s="31"/>
      <c r="G94" s="31"/>
      <c r="H94" s="31"/>
      <c r="I94" s="13"/>
      <c r="J94" s="13"/>
      <c r="K94" s="13"/>
      <c r="L94" s="13"/>
      <c r="M94" s="13"/>
      <c r="N94" s="13"/>
      <c r="O94" s="7"/>
      <c r="P94" s="7"/>
      <c r="Q94" s="7"/>
      <c r="R94" s="7"/>
      <c r="S94" s="7"/>
      <c r="T94" s="7"/>
      <c r="U94" s="7"/>
      <c r="V94" s="7"/>
      <c r="W94" s="7"/>
      <c r="X94" s="7"/>
      <c r="Y94" s="7"/>
    </row>
    <row r="95" spans="1:25" ht="15.75" customHeight="1">
      <c r="A95" s="43"/>
      <c r="B95" s="30"/>
      <c r="C95" s="30"/>
      <c r="D95" s="31"/>
      <c r="E95" s="31"/>
      <c r="F95" s="31"/>
      <c r="G95" s="31"/>
      <c r="H95" s="31"/>
      <c r="I95" s="13"/>
      <c r="J95" s="13"/>
      <c r="K95" s="13"/>
      <c r="L95" s="13"/>
      <c r="M95" s="13"/>
      <c r="N95" s="13"/>
      <c r="O95" s="7"/>
      <c r="P95" s="7"/>
      <c r="Q95" s="7"/>
      <c r="R95" s="7"/>
      <c r="S95" s="7"/>
      <c r="T95" s="7"/>
      <c r="U95" s="7"/>
      <c r="V95" s="7"/>
      <c r="W95" s="7"/>
      <c r="X95" s="7"/>
      <c r="Y95" s="7"/>
    </row>
    <row r="96" spans="1:25" ht="15.75" customHeight="1">
      <c r="A96" s="43"/>
      <c r="B96" s="30"/>
      <c r="C96" s="30"/>
      <c r="D96" s="31"/>
      <c r="E96" s="31"/>
      <c r="F96" s="31"/>
      <c r="G96" s="31"/>
      <c r="H96" s="31"/>
      <c r="I96" s="13"/>
      <c r="J96" s="13"/>
      <c r="K96" s="13"/>
      <c r="L96" s="13"/>
      <c r="M96" s="13"/>
      <c r="N96" s="13"/>
      <c r="O96" s="7"/>
      <c r="P96" s="7"/>
      <c r="Q96" s="7"/>
      <c r="R96" s="7"/>
      <c r="S96" s="7"/>
      <c r="T96" s="7"/>
      <c r="U96" s="7"/>
      <c r="V96" s="7"/>
      <c r="W96" s="7"/>
      <c r="X96" s="7"/>
      <c r="Y96" s="7"/>
    </row>
    <row r="97" spans="1:25" ht="15.75" customHeight="1">
      <c r="A97" s="43"/>
      <c r="B97" s="30"/>
      <c r="C97" s="30"/>
      <c r="D97" s="31"/>
      <c r="E97" s="31"/>
      <c r="F97" s="31"/>
      <c r="G97" s="31"/>
      <c r="H97" s="31"/>
      <c r="I97" s="13"/>
      <c r="J97" s="13"/>
      <c r="K97" s="13"/>
      <c r="L97" s="13"/>
      <c r="M97" s="13"/>
      <c r="N97" s="13"/>
      <c r="O97" s="7"/>
      <c r="P97" s="7"/>
      <c r="Q97" s="7"/>
      <c r="R97" s="7"/>
      <c r="S97" s="7"/>
      <c r="T97" s="7"/>
      <c r="U97" s="7"/>
      <c r="V97" s="7"/>
      <c r="W97" s="7"/>
      <c r="X97" s="7"/>
      <c r="Y97" s="7"/>
    </row>
    <row r="98" spans="1:25" ht="15.75" customHeight="1">
      <c r="A98" s="43"/>
      <c r="B98" s="30"/>
      <c r="C98" s="30"/>
      <c r="D98" s="31"/>
      <c r="E98" s="31"/>
      <c r="F98" s="31"/>
      <c r="G98" s="31"/>
      <c r="H98" s="31"/>
      <c r="I98" s="13"/>
      <c r="J98" s="13"/>
      <c r="K98" s="13"/>
      <c r="L98" s="13"/>
      <c r="M98" s="13"/>
      <c r="N98" s="13"/>
      <c r="O98" s="7"/>
      <c r="P98" s="7"/>
      <c r="Q98" s="7"/>
      <c r="R98" s="7"/>
      <c r="S98" s="7"/>
      <c r="T98" s="7"/>
      <c r="U98" s="7"/>
      <c r="V98" s="7"/>
      <c r="W98" s="7"/>
      <c r="X98" s="7"/>
      <c r="Y98" s="7"/>
    </row>
    <row r="99" spans="1:25" ht="15.75" customHeight="1">
      <c r="A99" s="43"/>
      <c r="B99" s="30"/>
      <c r="C99" s="30"/>
      <c r="D99" s="31"/>
      <c r="E99" s="31"/>
      <c r="F99" s="31"/>
      <c r="G99" s="31"/>
      <c r="H99" s="31"/>
      <c r="I99" s="13"/>
      <c r="J99" s="13"/>
      <c r="K99" s="13"/>
      <c r="L99" s="13"/>
      <c r="M99" s="13"/>
      <c r="N99" s="13"/>
      <c r="O99" s="7"/>
      <c r="P99" s="7"/>
      <c r="Q99" s="7"/>
      <c r="R99" s="7"/>
      <c r="S99" s="7"/>
      <c r="T99" s="7"/>
      <c r="U99" s="7"/>
      <c r="V99" s="7"/>
      <c r="W99" s="7"/>
      <c r="X99" s="7"/>
      <c r="Y99" s="7"/>
    </row>
    <row r="100" spans="1:25" ht="15.75" customHeight="1">
      <c r="A100" s="43"/>
      <c r="B100" s="30"/>
      <c r="C100" s="30"/>
      <c r="D100" s="31"/>
      <c r="E100" s="31"/>
      <c r="F100" s="31"/>
      <c r="G100" s="31"/>
      <c r="H100" s="31"/>
      <c r="I100" s="13"/>
      <c r="J100" s="13"/>
      <c r="K100" s="13"/>
      <c r="L100" s="13"/>
      <c r="M100" s="13"/>
      <c r="N100" s="13"/>
      <c r="O100" s="7"/>
      <c r="P100" s="7"/>
      <c r="Q100" s="7"/>
      <c r="R100" s="7"/>
      <c r="S100" s="7"/>
      <c r="T100" s="7"/>
      <c r="U100" s="7"/>
      <c r="V100" s="7"/>
      <c r="W100" s="7"/>
      <c r="X100" s="7"/>
      <c r="Y100" s="7"/>
    </row>
    <row r="101" spans="1:25" ht="15.75" customHeight="1">
      <c r="A101" s="43"/>
      <c r="B101" s="30"/>
      <c r="C101" s="30"/>
      <c r="D101" s="31"/>
      <c r="E101" s="31"/>
      <c r="F101" s="31"/>
      <c r="G101" s="31"/>
      <c r="H101" s="31"/>
      <c r="I101" s="13"/>
      <c r="J101" s="13"/>
      <c r="K101" s="13"/>
      <c r="L101" s="13"/>
      <c r="M101" s="13"/>
      <c r="N101" s="13"/>
      <c r="O101" s="7"/>
      <c r="P101" s="7"/>
      <c r="Q101" s="7"/>
      <c r="R101" s="7"/>
      <c r="S101" s="7"/>
      <c r="T101" s="7"/>
      <c r="U101" s="7"/>
      <c r="V101" s="7"/>
      <c r="W101" s="7"/>
      <c r="X101" s="7"/>
      <c r="Y101" s="7"/>
    </row>
    <row r="102" spans="1:25" ht="15.75" customHeight="1">
      <c r="A102" s="43"/>
      <c r="B102" s="30"/>
      <c r="C102" s="30"/>
      <c r="D102" s="31"/>
      <c r="E102" s="31"/>
      <c r="F102" s="31"/>
      <c r="G102" s="31"/>
      <c r="H102" s="31"/>
      <c r="I102" s="13"/>
      <c r="J102" s="13"/>
      <c r="K102" s="13"/>
      <c r="L102" s="13"/>
      <c r="M102" s="13"/>
      <c r="N102" s="13"/>
      <c r="O102" s="7"/>
      <c r="P102" s="7"/>
      <c r="Q102" s="7"/>
      <c r="R102" s="7"/>
      <c r="S102" s="7"/>
      <c r="T102" s="7"/>
      <c r="U102" s="7"/>
      <c r="V102" s="7"/>
      <c r="W102" s="7"/>
      <c r="X102" s="7"/>
      <c r="Y102" s="7"/>
    </row>
    <row r="103" spans="1:25" ht="15.75" customHeight="1">
      <c r="A103" s="43"/>
      <c r="B103" s="30"/>
      <c r="C103" s="30"/>
      <c r="D103" s="31"/>
      <c r="E103" s="31"/>
      <c r="F103" s="31"/>
      <c r="G103" s="31"/>
      <c r="H103" s="31"/>
      <c r="I103" s="13"/>
      <c r="J103" s="13"/>
      <c r="K103" s="13"/>
      <c r="L103" s="13"/>
      <c r="M103" s="13"/>
      <c r="N103" s="13"/>
      <c r="O103" s="7"/>
      <c r="P103" s="7"/>
      <c r="Q103" s="7"/>
      <c r="R103" s="7"/>
      <c r="S103" s="7"/>
      <c r="T103" s="7"/>
      <c r="U103" s="7"/>
      <c r="V103" s="7"/>
      <c r="W103" s="7"/>
      <c r="X103" s="7"/>
      <c r="Y103" s="7"/>
    </row>
    <row r="104" spans="1:25" ht="15.75" customHeight="1">
      <c r="A104" s="43"/>
      <c r="B104" s="30"/>
      <c r="C104" s="30"/>
      <c r="D104" s="31"/>
      <c r="E104" s="31"/>
      <c r="F104" s="31"/>
      <c r="G104" s="31"/>
      <c r="H104" s="31"/>
      <c r="I104" s="13"/>
      <c r="J104" s="13"/>
      <c r="K104" s="13"/>
      <c r="L104" s="13"/>
      <c r="M104" s="13"/>
      <c r="N104" s="13"/>
      <c r="O104" s="7"/>
      <c r="P104" s="7"/>
      <c r="Q104" s="7"/>
      <c r="R104" s="7"/>
      <c r="S104" s="7"/>
      <c r="T104" s="7"/>
      <c r="U104" s="7"/>
      <c r="V104" s="7"/>
      <c r="W104" s="7"/>
      <c r="X104" s="7"/>
      <c r="Y104" s="7"/>
    </row>
    <row r="105" spans="1:25" ht="15.75" customHeight="1">
      <c r="A105" s="43"/>
      <c r="B105" s="30"/>
      <c r="C105" s="30"/>
      <c r="D105" s="31"/>
      <c r="E105" s="31"/>
      <c r="F105" s="31"/>
      <c r="G105" s="31"/>
      <c r="H105" s="31"/>
      <c r="I105" s="13"/>
      <c r="J105" s="13"/>
      <c r="K105" s="13"/>
      <c r="L105" s="13"/>
      <c r="M105" s="13"/>
      <c r="N105" s="13"/>
      <c r="O105" s="7"/>
      <c r="P105" s="7"/>
      <c r="Q105" s="7"/>
      <c r="R105" s="7"/>
      <c r="S105" s="7"/>
      <c r="T105" s="7"/>
      <c r="U105" s="7"/>
      <c r="V105" s="7"/>
      <c r="W105" s="7"/>
      <c r="X105" s="7"/>
      <c r="Y105" s="7"/>
    </row>
    <row r="106" spans="1:25" ht="15.75" customHeight="1">
      <c r="A106" s="43"/>
      <c r="B106" s="30"/>
      <c r="C106" s="30"/>
      <c r="D106" s="31"/>
      <c r="E106" s="31"/>
      <c r="F106" s="31"/>
      <c r="G106" s="31"/>
      <c r="H106" s="31"/>
      <c r="I106" s="13"/>
      <c r="J106" s="13"/>
      <c r="K106" s="13"/>
      <c r="L106" s="13"/>
      <c r="M106" s="13"/>
      <c r="N106" s="13"/>
      <c r="O106" s="7"/>
      <c r="P106" s="7"/>
      <c r="Q106" s="7"/>
      <c r="R106" s="7"/>
      <c r="S106" s="7"/>
      <c r="T106" s="7"/>
      <c r="U106" s="7"/>
      <c r="V106" s="7"/>
      <c r="W106" s="7"/>
      <c r="X106" s="7"/>
      <c r="Y106" s="7"/>
    </row>
    <row r="107" spans="1:25" ht="15.75" customHeight="1">
      <c r="A107" s="43"/>
      <c r="B107" s="30"/>
      <c r="C107" s="30"/>
      <c r="D107" s="31"/>
      <c r="E107" s="31"/>
      <c r="F107" s="31"/>
      <c r="G107" s="31"/>
      <c r="H107" s="31"/>
      <c r="I107" s="13"/>
      <c r="J107" s="13"/>
      <c r="K107" s="13"/>
      <c r="L107" s="13"/>
      <c r="M107" s="13"/>
      <c r="N107" s="13"/>
      <c r="O107" s="7"/>
      <c r="P107" s="7"/>
      <c r="Q107" s="7"/>
      <c r="R107" s="7"/>
      <c r="S107" s="7"/>
      <c r="T107" s="7"/>
      <c r="U107" s="7"/>
      <c r="V107" s="7"/>
      <c r="W107" s="7"/>
      <c r="X107" s="7"/>
      <c r="Y107" s="7"/>
    </row>
    <row r="108" spans="1:25" ht="15.75" customHeight="1">
      <c r="A108" s="43"/>
      <c r="B108" s="30"/>
      <c r="C108" s="30"/>
      <c r="D108" s="31"/>
      <c r="E108" s="31"/>
      <c r="F108" s="31"/>
      <c r="G108" s="31"/>
      <c r="H108" s="31"/>
      <c r="I108" s="13"/>
      <c r="J108" s="13"/>
      <c r="K108" s="13"/>
      <c r="L108" s="13"/>
      <c r="M108" s="13"/>
      <c r="N108" s="13"/>
      <c r="O108" s="7"/>
      <c r="P108" s="7"/>
      <c r="Q108" s="7"/>
      <c r="R108" s="7"/>
      <c r="S108" s="7"/>
      <c r="T108" s="7"/>
      <c r="U108" s="7"/>
      <c r="V108" s="7"/>
      <c r="W108" s="7"/>
      <c r="X108" s="7"/>
      <c r="Y108" s="7"/>
    </row>
    <row r="109" spans="1:25" ht="15.75" customHeight="1">
      <c r="A109" s="43"/>
      <c r="B109" s="30"/>
      <c r="C109" s="30"/>
      <c r="D109" s="31"/>
      <c r="E109" s="31"/>
      <c r="F109" s="31"/>
      <c r="G109" s="31"/>
      <c r="H109" s="31"/>
      <c r="I109" s="13"/>
      <c r="J109" s="13"/>
      <c r="K109" s="13"/>
      <c r="L109" s="13"/>
      <c r="M109" s="13"/>
      <c r="N109" s="13"/>
      <c r="O109" s="7"/>
      <c r="P109" s="7"/>
      <c r="Q109" s="7"/>
      <c r="R109" s="7"/>
      <c r="S109" s="7"/>
      <c r="T109" s="7"/>
      <c r="U109" s="7"/>
      <c r="V109" s="7"/>
      <c r="W109" s="7"/>
      <c r="X109" s="7"/>
      <c r="Y109" s="7"/>
    </row>
    <row r="110" spans="1:25" ht="15.75" customHeight="1">
      <c r="A110" s="43"/>
      <c r="B110" s="30"/>
      <c r="C110" s="30"/>
      <c r="D110" s="31"/>
      <c r="E110" s="31"/>
      <c r="F110" s="31"/>
      <c r="G110" s="31"/>
      <c r="H110" s="31"/>
      <c r="I110" s="13"/>
      <c r="J110" s="13"/>
      <c r="K110" s="13"/>
      <c r="L110" s="13"/>
      <c r="M110" s="13"/>
      <c r="N110" s="13"/>
      <c r="O110" s="7"/>
      <c r="P110" s="7"/>
      <c r="Q110" s="7"/>
      <c r="R110" s="7"/>
      <c r="S110" s="7"/>
      <c r="T110" s="7"/>
      <c r="U110" s="7"/>
      <c r="V110" s="7"/>
      <c r="W110" s="7"/>
      <c r="X110" s="7"/>
      <c r="Y110" s="7"/>
    </row>
    <row r="111" spans="1:25" ht="15.75" customHeight="1">
      <c r="A111" s="43"/>
      <c r="B111" s="30"/>
      <c r="C111" s="30"/>
      <c r="D111" s="31"/>
      <c r="E111" s="31"/>
      <c r="F111" s="31"/>
      <c r="G111" s="31"/>
      <c r="H111" s="31"/>
      <c r="I111" s="13"/>
      <c r="J111" s="13"/>
      <c r="K111" s="13"/>
      <c r="L111" s="13"/>
      <c r="M111" s="13"/>
      <c r="N111" s="13"/>
      <c r="O111" s="7"/>
      <c r="P111" s="7"/>
      <c r="Q111" s="7"/>
      <c r="R111" s="7"/>
      <c r="S111" s="7"/>
      <c r="T111" s="7"/>
      <c r="U111" s="7"/>
      <c r="V111" s="7"/>
      <c r="W111" s="7"/>
      <c r="X111" s="7"/>
      <c r="Y111" s="7"/>
    </row>
    <row r="112" spans="1:25" ht="15.75" customHeight="1">
      <c r="A112" s="43"/>
      <c r="B112" s="30"/>
      <c r="C112" s="30"/>
      <c r="D112" s="31"/>
      <c r="E112" s="31"/>
      <c r="F112" s="31"/>
      <c r="G112" s="31"/>
      <c r="H112" s="31"/>
      <c r="I112" s="13"/>
      <c r="J112" s="13"/>
      <c r="K112" s="13"/>
      <c r="L112" s="13"/>
      <c r="M112" s="13"/>
      <c r="N112" s="13"/>
      <c r="O112" s="7"/>
      <c r="P112" s="7"/>
      <c r="Q112" s="7"/>
      <c r="R112" s="7"/>
      <c r="S112" s="7"/>
      <c r="T112" s="7"/>
      <c r="U112" s="7"/>
      <c r="V112" s="7"/>
      <c r="W112" s="7"/>
      <c r="X112" s="7"/>
      <c r="Y112" s="7"/>
    </row>
    <row r="113" spans="1:25" ht="15.75" customHeight="1">
      <c r="A113" s="43"/>
      <c r="B113" s="30"/>
      <c r="C113" s="30"/>
      <c r="D113" s="31"/>
      <c r="E113" s="31"/>
      <c r="F113" s="31"/>
      <c r="G113" s="31"/>
      <c r="H113" s="31"/>
      <c r="I113" s="13"/>
      <c r="J113" s="13"/>
      <c r="K113" s="13"/>
      <c r="L113" s="13"/>
      <c r="M113" s="13"/>
      <c r="N113" s="13"/>
      <c r="O113" s="7"/>
      <c r="P113" s="7"/>
      <c r="Q113" s="7"/>
      <c r="R113" s="7"/>
      <c r="S113" s="7"/>
      <c r="T113" s="7"/>
      <c r="U113" s="7"/>
      <c r="V113" s="7"/>
      <c r="W113" s="7"/>
      <c r="X113" s="7"/>
      <c r="Y113" s="7"/>
    </row>
    <row r="114" spans="1:25" ht="15.75" customHeight="1">
      <c r="A114" s="43"/>
      <c r="B114" s="30"/>
      <c r="C114" s="30"/>
      <c r="D114" s="31"/>
      <c r="E114" s="31"/>
      <c r="F114" s="31"/>
      <c r="G114" s="31"/>
      <c r="H114" s="31"/>
      <c r="I114" s="13"/>
      <c r="J114" s="13"/>
      <c r="K114" s="13"/>
      <c r="L114" s="13"/>
      <c r="M114" s="13"/>
      <c r="N114" s="13"/>
      <c r="O114" s="7"/>
      <c r="P114" s="7"/>
      <c r="Q114" s="7"/>
      <c r="R114" s="7"/>
      <c r="S114" s="7"/>
      <c r="T114" s="7"/>
      <c r="U114" s="7"/>
      <c r="V114" s="7"/>
      <c r="W114" s="7"/>
      <c r="X114" s="7"/>
      <c r="Y114" s="7"/>
    </row>
    <row r="115" spans="1:25" ht="15.75" customHeight="1">
      <c r="A115" s="43"/>
      <c r="B115" s="30"/>
      <c r="C115" s="30"/>
      <c r="D115" s="31"/>
      <c r="E115" s="31"/>
      <c r="F115" s="31"/>
      <c r="G115" s="31"/>
      <c r="H115" s="31"/>
      <c r="I115" s="13"/>
      <c r="J115" s="13"/>
      <c r="K115" s="13"/>
      <c r="L115" s="13"/>
      <c r="M115" s="13"/>
      <c r="N115" s="13"/>
      <c r="O115" s="7"/>
      <c r="P115" s="7"/>
      <c r="Q115" s="7"/>
      <c r="R115" s="7"/>
      <c r="S115" s="7"/>
      <c r="T115" s="7"/>
      <c r="U115" s="7"/>
      <c r="V115" s="7"/>
      <c r="W115" s="7"/>
      <c r="X115" s="7"/>
      <c r="Y115" s="7"/>
    </row>
    <row r="116" spans="1:25" ht="15.75" customHeight="1">
      <c r="A116" s="43"/>
      <c r="B116" s="30"/>
      <c r="C116" s="30"/>
      <c r="D116" s="31"/>
      <c r="E116" s="31"/>
      <c r="F116" s="31"/>
      <c r="G116" s="31"/>
      <c r="H116" s="31"/>
      <c r="I116" s="13"/>
      <c r="J116" s="13"/>
      <c r="K116" s="13"/>
      <c r="L116" s="13"/>
      <c r="M116" s="13"/>
      <c r="N116" s="13"/>
      <c r="O116" s="7"/>
      <c r="P116" s="7"/>
      <c r="Q116" s="7"/>
      <c r="R116" s="7"/>
      <c r="S116" s="7"/>
      <c r="T116" s="7"/>
      <c r="U116" s="7"/>
      <c r="V116" s="7"/>
      <c r="W116" s="7"/>
      <c r="X116" s="7"/>
      <c r="Y116" s="7"/>
    </row>
    <row r="117" spans="1:25" ht="15.75" customHeight="1">
      <c r="A117" s="43"/>
      <c r="B117" s="30"/>
      <c r="C117" s="30"/>
      <c r="D117" s="31"/>
      <c r="E117" s="31"/>
      <c r="F117" s="31"/>
      <c r="G117" s="31"/>
      <c r="H117" s="31"/>
      <c r="I117" s="13"/>
      <c r="J117" s="13"/>
      <c r="K117" s="13"/>
      <c r="L117" s="13"/>
      <c r="M117" s="13"/>
      <c r="N117" s="13"/>
      <c r="O117" s="7"/>
      <c r="P117" s="7"/>
      <c r="Q117" s="7"/>
      <c r="R117" s="7"/>
      <c r="S117" s="7"/>
      <c r="T117" s="7"/>
      <c r="U117" s="7"/>
      <c r="V117" s="7"/>
      <c r="W117" s="7"/>
      <c r="X117" s="7"/>
      <c r="Y117" s="7"/>
    </row>
    <row r="118" spans="1:25" ht="15.75" customHeight="1">
      <c r="A118" s="43"/>
      <c r="B118" s="30"/>
      <c r="C118" s="30"/>
      <c r="D118" s="31"/>
      <c r="E118" s="31"/>
      <c r="F118" s="31"/>
      <c r="G118" s="31"/>
      <c r="H118" s="31"/>
      <c r="I118" s="13"/>
      <c r="J118" s="13"/>
      <c r="K118" s="13"/>
      <c r="L118" s="13"/>
      <c r="M118" s="13"/>
      <c r="N118" s="13"/>
      <c r="O118" s="7"/>
      <c r="P118" s="7"/>
      <c r="Q118" s="7"/>
      <c r="R118" s="7"/>
      <c r="S118" s="7"/>
      <c r="T118" s="7"/>
      <c r="U118" s="7"/>
      <c r="V118" s="7"/>
      <c r="W118" s="7"/>
      <c r="X118" s="7"/>
      <c r="Y118" s="7"/>
    </row>
    <row r="119" spans="1:25" ht="15.75" customHeight="1">
      <c r="A119" s="43"/>
      <c r="B119" s="30"/>
      <c r="C119" s="30"/>
      <c r="D119" s="31"/>
      <c r="E119" s="31"/>
      <c r="F119" s="31"/>
      <c r="G119" s="31"/>
      <c r="H119" s="31"/>
      <c r="I119" s="13"/>
      <c r="J119" s="13"/>
      <c r="K119" s="13"/>
      <c r="L119" s="13"/>
      <c r="M119" s="13"/>
      <c r="N119" s="13"/>
      <c r="O119" s="7"/>
      <c r="P119" s="7"/>
      <c r="Q119" s="7"/>
      <c r="R119" s="7"/>
      <c r="S119" s="7"/>
      <c r="T119" s="7"/>
      <c r="U119" s="7"/>
      <c r="V119" s="7"/>
      <c r="W119" s="7"/>
      <c r="X119" s="7"/>
      <c r="Y119" s="7"/>
    </row>
    <row r="120" spans="1:25" ht="15.75" customHeight="1">
      <c r="A120" s="43"/>
      <c r="B120" s="30"/>
      <c r="C120" s="30"/>
      <c r="D120" s="31"/>
      <c r="E120" s="31"/>
      <c r="F120" s="31"/>
      <c r="G120" s="31"/>
      <c r="H120" s="31"/>
      <c r="I120" s="13"/>
      <c r="J120" s="13"/>
      <c r="K120" s="13"/>
      <c r="L120" s="13"/>
      <c r="M120" s="13"/>
      <c r="N120" s="13"/>
      <c r="O120" s="7"/>
      <c r="P120" s="7"/>
      <c r="Q120" s="7"/>
      <c r="R120" s="7"/>
      <c r="S120" s="7"/>
      <c r="T120" s="7"/>
      <c r="U120" s="7"/>
      <c r="V120" s="7"/>
      <c r="W120" s="7"/>
      <c r="X120" s="7"/>
      <c r="Y120" s="7"/>
    </row>
    <row r="121" spans="1:25" ht="15.75" customHeight="1">
      <c r="A121" s="43"/>
      <c r="B121" s="30"/>
      <c r="C121" s="30"/>
      <c r="D121" s="31"/>
      <c r="E121" s="31"/>
      <c r="F121" s="31"/>
      <c r="G121" s="31"/>
      <c r="H121" s="31"/>
      <c r="I121" s="13"/>
      <c r="J121" s="13"/>
      <c r="K121" s="13"/>
      <c r="L121" s="13"/>
      <c r="M121" s="13"/>
      <c r="N121" s="13"/>
      <c r="O121" s="7"/>
      <c r="P121" s="7"/>
      <c r="Q121" s="7"/>
      <c r="R121" s="7"/>
      <c r="S121" s="7"/>
      <c r="T121" s="7"/>
      <c r="U121" s="7"/>
      <c r="V121" s="7"/>
      <c r="W121" s="7"/>
      <c r="X121" s="7"/>
      <c r="Y121" s="7"/>
    </row>
    <row r="122" spans="1:25" ht="15.75" customHeight="1">
      <c r="A122" s="43"/>
      <c r="B122" s="30"/>
      <c r="C122" s="30"/>
      <c r="D122" s="31"/>
      <c r="E122" s="31"/>
      <c r="F122" s="31"/>
      <c r="G122" s="31"/>
      <c r="H122" s="31"/>
      <c r="I122" s="13"/>
      <c r="J122" s="13"/>
      <c r="K122" s="13"/>
      <c r="L122" s="13"/>
      <c r="M122" s="13"/>
      <c r="N122" s="13"/>
      <c r="O122" s="7"/>
      <c r="P122" s="7"/>
      <c r="Q122" s="7"/>
      <c r="R122" s="7"/>
      <c r="S122" s="7"/>
      <c r="T122" s="7"/>
      <c r="U122" s="7"/>
      <c r="V122" s="7"/>
      <c r="W122" s="7"/>
      <c r="X122" s="7"/>
      <c r="Y122" s="7"/>
    </row>
    <row r="123" spans="1:25" ht="15.75" customHeight="1">
      <c r="A123" s="43"/>
      <c r="B123" s="30"/>
      <c r="C123" s="30"/>
      <c r="D123" s="31"/>
      <c r="E123" s="31"/>
      <c r="F123" s="31"/>
      <c r="G123" s="31"/>
      <c r="H123" s="31"/>
      <c r="I123" s="13"/>
      <c r="J123" s="13"/>
      <c r="K123" s="13"/>
      <c r="L123" s="13"/>
      <c r="M123" s="13"/>
      <c r="N123" s="13"/>
      <c r="O123" s="7"/>
      <c r="P123" s="7"/>
      <c r="Q123" s="7"/>
      <c r="R123" s="7"/>
      <c r="S123" s="7"/>
      <c r="T123" s="7"/>
      <c r="U123" s="7"/>
      <c r="V123" s="7"/>
      <c r="W123" s="7"/>
      <c r="X123" s="7"/>
      <c r="Y123" s="7"/>
    </row>
    <row r="124" spans="1:25" ht="15.75" customHeight="1">
      <c r="A124" s="43"/>
      <c r="B124" s="30"/>
      <c r="C124" s="30"/>
      <c r="D124" s="31"/>
      <c r="E124" s="31"/>
      <c r="F124" s="31"/>
      <c r="G124" s="31"/>
      <c r="H124" s="31"/>
      <c r="I124" s="13"/>
      <c r="J124" s="13"/>
      <c r="K124" s="13"/>
      <c r="L124" s="13"/>
      <c r="M124" s="13"/>
      <c r="N124" s="13"/>
      <c r="O124" s="7"/>
      <c r="P124" s="7"/>
      <c r="Q124" s="7"/>
      <c r="R124" s="7"/>
      <c r="S124" s="7"/>
      <c r="T124" s="7"/>
      <c r="U124" s="7"/>
      <c r="V124" s="7"/>
      <c r="W124" s="7"/>
      <c r="X124" s="7"/>
      <c r="Y124" s="7"/>
    </row>
    <row r="125" spans="1:25" ht="15.75" customHeight="1">
      <c r="A125" s="43"/>
      <c r="B125" s="30"/>
      <c r="C125" s="30"/>
      <c r="D125" s="31"/>
      <c r="E125" s="31"/>
      <c r="F125" s="31"/>
      <c r="G125" s="31"/>
      <c r="H125" s="31"/>
      <c r="I125" s="13"/>
      <c r="J125" s="13"/>
      <c r="K125" s="13"/>
      <c r="L125" s="13"/>
      <c r="M125" s="13"/>
      <c r="N125" s="13"/>
      <c r="O125" s="7"/>
      <c r="P125" s="7"/>
      <c r="Q125" s="7"/>
      <c r="R125" s="7"/>
      <c r="S125" s="7"/>
      <c r="T125" s="7"/>
      <c r="U125" s="7"/>
      <c r="V125" s="7"/>
      <c r="W125" s="7"/>
      <c r="X125" s="7"/>
      <c r="Y125" s="7"/>
    </row>
    <row r="126" spans="1:25" ht="15.75" customHeight="1">
      <c r="A126" s="43"/>
      <c r="B126" s="30"/>
      <c r="C126" s="30"/>
      <c r="D126" s="31"/>
      <c r="E126" s="31"/>
      <c r="F126" s="31"/>
      <c r="G126" s="31"/>
      <c r="H126" s="31"/>
      <c r="I126" s="13"/>
      <c r="J126" s="13"/>
      <c r="K126" s="13"/>
      <c r="L126" s="13"/>
      <c r="M126" s="13"/>
      <c r="N126" s="13"/>
      <c r="O126" s="7"/>
      <c r="P126" s="7"/>
      <c r="Q126" s="7"/>
      <c r="R126" s="7"/>
      <c r="S126" s="7"/>
      <c r="T126" s="7"/>
      <c r="U126" s="7"/>
      <c r="V126" s="7"/>
      <c r="W126" s="7"/>
      <c r="X126" s="7"/>
      <c r="Y126" s="7"/>
    </row>
    <row r="127" spans="1:25" ht="15.75" customHeight="1">
      <c r="A127" s="43"/>
      <c r="B127" s="30"/>
      <c r="C127" s="30"/>
      <c r="D127" s="31"/>
      <c r="E127" s="31"/>
      <c r="F127" s="31"/>
      <c r="G127" s="31"/>
      <c r="H127" s="31"/>
      <c r="I127" s="13"/>
      <c r="J127" s="13"/>
      <c r="K127" s="13"/>
      <c r="L127" s="13"/>
      <c r="M127" s="13"/>
      <c r="N127" s="13"/>
      <c r="O127" s="7"/>
      <c r="P127" s="7"/>
      <c r="Q127" s="7"/>
      <c r="R127" s="7"/>
      <c r="S127" s="7"/>
      <c r="T127" s="7"/>
      <c r="U127" s="7"/>
      <c r="V127" s="7"/>
      <c r="W127" s="7"/>
      <c r="X127" s="7"/>
      <c r="Y127" s="7"/>
    </row>
    <row r="128" spans="1:25" ht="15.75" customHeight="1">
      <c r="A128" s="43"/>
      <c r="B128" s="30"/>
      <c r="C128" s="30"/>
      <c r="D128" s="31"/>
      <c r="E128" s="31"/>
      <c r="F128" s="31"/>
      <c r="G128" s="31"/>
      <c r="H128" s="31"/>
      <c r="I128" s="13"/>
      <c r="J128" s="13"/>
      <c r="K128" s="13"/>
      <c r="L128" s="13"/>
      <c r="M128" s="13"/>
      <c r="N128" s="13"/>
      <c r="O128" s="7"/>
      <c r="P128" s="7"/>
      <c r="Q128" s="7"/>
      <c r="R128" s="7"/>
      <c r="S128" s="7"/>
      <c r="T128" s="7"/>
      <c r="U128" s="7"/>
      <c r="V128" s="7"/>
      <c r="W128" s="7"/>
      <c r="X128" s="7"/>
      <c r="Y128" s="7"/>
    </row>
    <row r="129" spans="1:25" ht="15.75" customHeight="1">
      <c r="A129" s="43"/>
      <c r="B129" s="30"/>
      <c r="C129" s="30"/>
      <c r="D129" s="31"/>
      <c r="E129" s="31"/>
      <c r="F129" s="31"/>
      <c r="G129" s="31"/>
      <c r="H129" s="31"/>
      <c r="I129" s="13"/>
      <c r="J129" s="13"/>
      <c r="K129" s="13"/>
      <c r="L129" s="13"/>
      <c r="M129" s="13"/>
      <c r="N129" s="13"/>
      <c r="O129" s="7"/>
      <c r="P129" s="7"/>
      <c r="Q129" s="7"/>
      <c r="R129" s="7"/>
      <c r="S129" s="7"/>
      <c r="T129" s="7"/>
      <c r="U129" s="7"/>
      <c r="V129" s="7"/>
      <c r="W129" s="7"/>
      <c r="X129" s="7"/>
      <c r="Y129" s="7"/>
    </row>
    <row r="130" spans="1:25" ht="15.75" customHeight="1">
      <c r="A130" s="43"/>
      <c r="B130" s="30"/>
      <c r="C130" s="30"/>
      <c r="D130" s="31"/>
      <c r="E130" s="31"/>
      <c r="F130" s="31"/>
      <c r="G130" s="31"/>
      <c r="H130" s="31"/>
      <c r="I130" s="13"/>
      <c r="J130" s="13"/>
      <c r="K130" s="13"/>
      <c r="L130" s="13"/>
      <c r="M130" s="13"/>
      <c r="N130" s="13"/>
      <c r="O130" s="7"/>
      <c r="P130" s="7"/>
      <c r="Q130" s="7"/>
      <c r="R130" s="7"/>
      <c r="S130" s="7"/>
      <c r="T130" s="7"/>
      <c r="U130" s="7"/>
      <c r="V130" s="7"/>
      <c r="W130" s="7"/>
      <c r="X130" s="7"/>
      <c r="Y130" s="7"/>
    </row>
    <row r="131" spans="1:25" ht="15.75" customHeight="1">
      <c r="A131" s="43"/>
      <c r="B131" s="30"/>
      <c r="C131" s="30"/>
      <c r="D131" s="31"/>
      <c r="E131" s="31"/>
      <c r="F131" s="31"/>
      <c r="G131" s="31"/>
      <c r="H131" s="31"/>
      <c r="I131" s="13"/>
      <c r="J131" s="13"/>
      <c r="K131" s="13"/>
      <c r="L131" s="13"/>
      <c r="M131" s="13"/>
      <c r="N131" s="13"/>
      <c r="O131" s="7"/>
      <c r="P131" s="7"/>
      <c r="Q131" s="7"/>
      <c r="R131" s="7"/>
      <c r="S131" s="7"/>
      <c r="T131" s="7"/>
      <c r="U131" s="7"/>
      <c r="V131" s="7"/>
      <c r="W131" s="7"/>
      <c r="X131" s="7"/>
      <c r="Y131" s="7"/>
    </row>
    <row r="132" spans="1:25" ht="15.75" customHeight="1">
      <c r="A132" s="43"/>
      <c r="B132" s="30"/>
      <c r="C132" s="30"/>
      <c r="D132" s="31"/>
      <c r="E132" s="31"/>
      <c r="F132" s="31"/>
      <c r="G132" s="31"/>
      <c r="H132" s="31"/>
      <c r="I132" s="13"/>
      <c r="J132" s="13"/>
      <c r="K132" s="13"/>
      <c r="L132" s="13"/>
      <c r="M132" s="13"/>
      <c r="N132" s="13"/>
      <c r="O132" s="7"/>
      <c r="P132" s="7"/>
      <c r="Q132" s="7"/>
      <c r="R132" s="7"/>
      <c r="S132" s="7"/>
      <c r="T132" s="7"/>
      <c r="U132" s="7"/>
      <c r="V132" s="7"/>
      <c r="W132" s="7"/>
      <c r="X132" s="7"/>
      <c r="Y132" s="7"/>
    </row>
    <row r="133" spans="1:25" ht="15.75" customHeight="1">
      <c r="A133" s="43"/>
      <c r="B133" s="30"/>
      <c r="C133" s="30"/>
      <c r="D133" s="31"/>
      <c r="E133" s="31"/>
      <c r="F133" s="31"/>
      <c r="G133" s="31"/>
      <c r="H133" s="31"/>
      <c r="I133" s="13"/>
      <c r="J133" s="13"/>
      <c r="K133" s="13"/>
      <c r="L133" s="13"/>
      <c r="M133" s="13"/>
      <c r="N133" s="13"/>
      <c r="O133" s="7"/>
      <c r="P133" s="7"/>
      <c r="Q133" s="7"/>
      <c r="R133" s="7"/>
      <c r="S133" s="7"/>
      <c r="T133" s="7"/>
      <c r="U133" s="7"/>
      <c r="V133" s="7"/>
      <c r="W133" s="7"/>
      <c r="X133" s="7"/>
      <c r="Y133" s="7"/>
    </row>
    <row r="134" spans="1:25" ht="15.75" customHeight="1">
      <c r="A134" s="43"/>
      <c r="B134" s="30"/>
      <c r="C134" s="30"/>
      <c r="D134" s="31"/>
      <c r="E134" s="31"/>
      <c r="F134" s="31"/>
      <c r="G134" s="31"/>
      <c r="H134" s="31"/>
      <c r="I134" s="13"/>
      <c r="J134" s="13"/>
      <c r="K134" s="13"/>
      <c r="L134" s="13"/>
      <c r="M134" s="13"/>
      <c r="N134" s="13"/>
      <c r="O134" s="7"/>
      <c r="P134" s="7"/>
      <c r="Q134" s="7"/>
      <c r="R134" s="7"/>
      <c r="S134" s="7"/>
      <c r="T134" s="7"/>
      <c r="U134" s="7"/>
      <c r="V134" s="7"/>
      <c r="W134" s="7"/>
      <c r="X134" s="7"/>
      <c r="Y134" s="7"/>
    </row>
    <row r="135" spans="1:25" ht="15.75" customHeight="1">
      <c r="A135" s="43"/>
      <c r="B135" s="30"/>
      <c r="C135" s="30"/>
      <c r="D135" s="31"/>
      <c r="E135" s="31"/>
      <c r="F135" s="31"/>
      <c r="G135" s="31"/>
      <c r="H135" s="31"/>
      <c r="I135" s="13"/>
      <c r="J135" s="13"/>
      <c r="K135" s="13"/>
      <c r="L135" s="13"/>
      <c r="M135" s="13"/>
      <c r="N135" s="13"/>
      <c r="O135" s="7"/>
      <c r="P135" s="7"/>
      <c r="Q135" s="7"/>
      <c r="R135" s="7"/>
      <c r="S135" s="7"/>
      <c r="T135" s="7"/>
      <c r="U135" s="7"/>
      <c r="V135" s="7"/>
      <c r="W135" s="7"/>
      <c r="X135" s="7"/>
      <c r="Y135" s="7"/>
    </row>
    <row r="136" spans="1:25" ht="15.75" customHeight="1">
      <c r="A136" s="43"/>
      <c r="B136" s="30"/>
      <c r="C136" s="30"/>
      <c r="D136" s="31"/>
      <c r="E136" s="31"/>
      <c r="F136" s="31"/>
      <c r="G136" s="31"/>
      <c r="H136" s="31"/>
      <c r="I136" s="13"/>
      <c r="J136" s="13"/>
      <c r="K136" s="13"/>
      <c r="L136" s="13"/>
      <c r="M136" s="13"/>
      <c r="N136" s="13"/>
      <c r="O136" s="7"/>
      <c r="P136" s="7"/>
      <c r="Q136" s="7"/>
      <c r="R136" s="7"/>
      <c r="S136" s="7"/>
      <c r="T136" s="7"/>
      <c r="U136" s="7"/>
      <c r="V136" s="7"/>
      <c r="W136" s="7"/>
      <c r="X136" s="7"/>
      <c r="Y136" s="7"/>
    </row>
    <row r="137" spans="1:25" ht="15.75" customHeight="1">
      <c r="A137" s="43"/>
      <c r="B137" s="30"/>
      <c r="C137" s="30"/>
      <c r="D137" s="31"/>
      <c r="E137" s="31"/>
      <c r="F137" s="31"/>
      <c r="G137" s="31"/>
      <c r="H137" s="31"/>
      <c r="I137" s="13"/>
      <c r="J137" s="13"/>
      <c r="K137" s="13"/>
      <c r="L137" s="13"/>
      <c r="M137" s="13"/>
      <c r="N137" s="13"/>
      <c r="O137" s="7"/>
      <c r="P137" s="7"/>
      <c r="Q137" s="7"/>
      <c r="R137" s="7"/>
      <c r="S137" s="7"/>
      <c r="T137" s="7"/>
      <c r="U137" s="7"/>
      <c r="V137" s="7"/>
      <c r="W137" s="7"/>
      <c r="X137" s="7"/>
      <c r="Y137" s="7"/>
    </row>
    <row r="138" spans="1:25" ht="15.75" customHeight="1">
      <c r="A138" s="43"/>
      <c r="B138" s="30"/>
      <c r="C138" s="30"/>
      <c r="D138" s="31"/>
      <c r="E138" s="31"/>
      <c r="F138" s="31"/>
      <c r="G138" s="31"/>
      <c r="H138" s="31"/>
      <c r="I138" s="13"/>
      <c r="J138" s="13"/>
      <c r="K138" s="13"/>
      <c r="L138" s="13"/>
      <c r="M138" s="13"/>
      <c r="N138" s="13"/>
      <c r="O138" s="7"/>
      <c r="P138" s="7"/>
      <c r="Q138" s="7"/>
      <c r="R138" s="7"/>
      <c r="S138" s="7"/>
      <c r="T138" s="7"/>
      <c r="U138" s="7"/>
      <c r="V138" s="7"/>
      <c r="W138" s="7"/>
      <c r="X138" s="7"/>
      <c r="Y138" s="7"/>
    </row>
    <row r="139" spans="1:25" ht="15.75" customHeight="1">
      <c r="A139" s="43"/>
      <c r="B139" s="30"/>
      <c r="C139" s="30"/>
      <c r="D139" s="31"/>
      <c r="E139" s="31"/>
      <c r="F139" s="31"/>
      <c r="G139" s="31"/>
      <c r="H139" s="31"/>
      <c r="I139" s="13"/>
      <c r="J139" s="13"/>
      <c r="K139" s="13"/>
      <c r="L139" s="13"/>
      <c r="M139" s="13"/>
      <c r="N139" s="13"/>
      <c r="O139" s="7"/>
      <c r="P139" s="7"/>
      <c r="Q139" s="7"/>
      <c r="R139" s="7"/>
      <c r="S139" s="7"/>
      <c r="T139" s="7"/>
      <c r="U139" s="7"/>
      <c r="V139" s="7"/>
      <c r="W139" s="7"/>
      <c r="X139" s="7"/>
      <c r="Y139" s="7"/>
    </row>
    <row r="140" spans="1:25" ht="15.75" customHeight="1">
      <c r="A140" s="43"/>
      <c r="B140" s="30"/>
      <c r="C140" s="30"/>
      <c r="D140" s="31"/>
      <c r="E140" s="31"/>
      <c r="F140" s="31"/>
      <c r="G140" s="31"/>
      <c r="H140" s="31"/>
      <c r="I140" s="13"/>
      <c r="J140" s="13"/>
      <c r="K140" s="13"/>
      <c r="L140" s="13"/>
      <c r="M140" s="13"/>
      <c r="N140" s="13"/>
      <c r="O140" s="7"/>
      <c r="P140" s="7"/>
      <c r="Q140" s="7"/>
      <c r="R140" s="7"/>
      <c r="S140" s="7"/>
      <c r="T140" s="7"/>
      <c r="U140" s="7"/>
      <c r="V140" s="7"/>
      <c r="W140" s="7"/>
      <c r="X140" s="7"/>
      <c r="Y140" s="7"/>
    </row>
    <row r="141" spans="1:25" ht="15.75" customHeight="1">
      <c r="A141" s="43"/>
      <c r="B141" s="30"/>
      <c r="C141" s="30"/>
      <c r="D141" s="31"/>
      <c r="E141" s="31"/>
      <c r="F141" s="31"/>
      <c r="G141" s="31"/>
      <c r="H141" s="31"/>
      <c r="I141" s="13"/>
      <c r="J141" s="13"/>
      <c r="K141" s="13"/>
      <c r="L141" s="13"/>
      <c r="M141" s="13"/>
      <c r="N141" s="13"/>
      <c r="O141" s="7"/>
      <c r="P141" s="7"/>
      <c r="Q141" s="7"/>
      <c r="R141" s="7"/>
      <c r="S141" s="7"/>
      <c r="T141" s="7"/>
      <c r="U141" s="7"/>
      <c r="V141" s="7"/>
      <c r="W141" s="7"/>
      <c r="X141" s="7"/>
      <c r="Y141" s="7"/>
    </row>
    <row r="142" spans="1:25" ht="15.75" customHeight="1">
      <c r="A142" s="43"/>
      <c r="B142" s="30"/>
      <c r="C142" s="30"/>
      <c r="D142" s="31"/>
      <c r="E142" s="31"/>
      <c r="F142" s="31"/>
      <c r="G142" s="31"/>
      <c r="H142" s="31"/>
      <c r="I142" s="13"/>
      <c r="J142" s="13"/>
      <c r="K142" s="13"/>
      <c r="L142" s="13"/>
      <c r="M142" s="13"/>
      <c r="N142" s="13"/>
      <c r="O142" s="7"/>
      <c r="P142" s="7"/>
      <c r="Q142" s="7"/>
      <c r="R142" s="7"/>
      <c r="S142" s="7"/>
      <c r="T142" s="7"/>
      <c r="U142" s="7"/>
      <c r="V142" s="7"/>
      <c r="W142" s="7"/>
      <c r="X142" s="7"/>
      <c r="Y142" s="7"/>
    </row>
    <row r="143" spans="1:25" ht="15.75" customHeight="1">
      <c r="A143" s="43"/>
      <c r="B143" s="30"/>
      <c r="C143" s="30"/>
      <c r="D143" s="31"/>
      <c r="E143" s="31"/>
      <c r="F143" s="31"/>
      <c r="G143" s="31"/>
      <c r="H143" s="31"/>
      <c r="I143" s="13"/>
      <c r="J143" s="13"/>
      <c r="K143" s="13"/>
      <c r="L143" s="13"/>
      <c r="M143" s="13"/>
      <c r="N143" s="13"/>
      <c r="O143" s="7"/>
      <c r="P143" s="7"/>
      <c r="Q143" s="7"/>
      <c r="R143" s="7"/>
      <c r="S143" s="7"/>
      <c r="T143" s="7"/>
      <c r="U143" s="7"/>
      <c r="V143" s="7"/>
      <c r="W143" s="7"/>
      <c r="X143" s="7"/>
      <c r="Y143" s="7"/>
    </row>
    <row r="144" spans="1:25" ht="15.75" customHeight="1">
      <c r="A144" s="43"/>
      <c r="B144" s="30"/>
      <c r="C144" s="30"/>
      <c r="D144" s="31"/>
      <c r="E144" s="31"/>
      <c r="F144" s="31"/>
      <c r="G144" s="31"/>
      <c r="H144" s="31"/>
      <c r="I144" s="13"/>
      <c r="J144" s="13"/>
      <c r="K144" s="13"/>
      <c r="L144" s="13"/>
      <c r="M144" s="13"/>
      <c r="N144" s="13"/>
      <c r="O144" s="7"/>
      <c r="P144" s="7"/>
      <c r="Q144" s="7"/>
      <c r="R144" s="7"/>
      <c r="S144" s="7"/>
      <c r="T144" s="7"/>
      <c r="U144" s="7"/>
      <c r="V144" s="7"/>
      <c r="W144" s="7"/>
      <c r="X144" s="7"/>
      <c r="Y144" s="7"/>
    </row>
    <row r="145" spans="1:25" ht="15.75" customHeight="1">
      <c r="A145" s="43"/>
      <c r="B145" s="30"/>
      <c r="C145" s="30"/>
      <c r="D145" s="31"/>
      <c r="E145" s="31"/>
      <c r="F145" s="31"/>
      <c r="G145" s="31"/>
      <c r="H145" s="31"/>
      <c r="I145" s="13"/>
      <c r="J145" s="13"/>
      <c r="K145" s="13"/>
      <c r="L145" s="13"/>
      <c r="M145" s="13"/>
      <c r="N145" s="13"/>
      <c r="O145" s="7"/>
      <c r="P145" s="7"/>
      <c r="Q145" s="7"/>
      <c r="R145" s="7"/>
      <c r="S145" s="7"/>
      <c r="T145" s="7"/>
      <c r="U145" s="7"/>
      <c r="V145" s="7"/>
      <c r="W145" s="7"/>
      <c r="X145" s="7"/>
      <c r="Y145" s="7"/>
    </row>
    <row r="146" spans="1:25" ht="15.75" customHeight="1">
      <c r="A146" s="43"/>
      <c r="B146" s="30"/>
      <c r="C146" s="30"/>
      <c r="D146" s="31"/>
      <c r="E146" s="31"/>
      <c r="F146" s="31"/>
      <c r="G146" s="31"/>
      <c r="H146" s="31"/>
      <c r="I146" s="13"/>
      <c r="J146" s="13"/>
      <c r="K146" s="13"/>
      <c r="L146" s="13"/>
      <c r="M146" s="13"/>
      <c r="N146" s="13"/>
      <c r="O146" s="7"/>
      <c r="P146" s="7"/>
      <c r="Q146" s="7"/>
      <c r="R146" s="7"/>
      <c r="S146" s="7"/>
      <c r="T146" s="7"/>
      <c r="U146" s="7"/>
      <c r="V146" s="7"/>
      <c r="W146" s="7"/>
      <c r="X146" s="7"/>
      <c r="Y146" s="7"/>
    </row>
    <row r="147" spans="1:25" ht="15.75" customHeight="1">
      <c r="A147" s="43"/>
      <c r="B147" s="30"/>
      <c r="C147" s="30"/>
      <c r="D147" s="31"/>
      <c r="E147" s="31"/>
      <c r="F147" s="31"/>
      <c r="G147" s="31"/>
      <c r="H147" s="31"/>
      <c r="I147" s="13"/>
      <c r="J147" s="13"/>
      <c r="K147" s="13"/>
      <c r="L147" s="13"/>
      <c r="M147" s="13"/>
      <c r="N147" s="13"/>
      <c r="O147" s="7"/>
      <c r="P147" s="7"/>
      <c r="Q147" s="7"/>
      <c r="R147" s="7"/>
      <c r="S147" s="7"/>
      <c r="T147" s="7"/>
      <c r="U147" s="7"/>
      <c r="V147" s="7"/>
      <c r="W147" s="7"/>
      <c r="X147" s="7"/>
      <c r="Y147" s="7"/>
    </row>
    <row r="148" spans="1:25" ht="15.75" customHeight="1">
      <c r="A148" s="43"/>
      <c r="B148" s="30"/>
      <c r="C148" s="30"/>
      <c r="D148" s="31"/>
      <c r="E148" s="31"/>
      <c r="F148" s="31"/>
      <c r="G148" s="31"/>
      <c r="H148" s="31"/>
      <c r="I148" s="13"/>
      <c r="J148" s="13"/>
      <c r="K148" s="13"/>
      <c r="L148" s="13"/>
      <c r="M148" s="13"/>
      <c r="N148" s="13"/>
      <c r="O148" s="7"/>
      <c r="P148" s="7"/>
      <c r="Q148" s="7"/>
      <c r="R148" s="7"/>
      <c r="S148" s="7"/>
      <c r="T148" s="7"/>
      <c r="U148" s="7"/>
      <c r="V148" s="7"/>
      <c r="W148" s="7"/>
      <c r="X148" s="7"/>
      <c r="Y148" s="7"/>
    </row>
    <row r="149" spans="1:25" ht="15.75" customHeight="1">
      <c r="A149" s="43"/>
      <c r="B149" s="30"/>
      <c r="C149" s="30"/>
      <c r="D149" s="31"/>
      <c r="E149" s="31"/>
      <c r="F149" s="31"/>
      <c r="G149" s="31"/>
      <c r="H149" s="31"/>
      <c r="I149" s="13"/>
      <c r="J149" s="13"/>
      <c r="K149" s="13"/>
      <c r="L149" s="13"/>
      <c r="M149" s="13"/>
      <c r="N149" s="13"/>
      <c r="O149" s="7"/>
      <c r="P149" s="7"/>
      <c r="Q149" s="7"/>
      <c r="R149" s="7"/>
      <c r="S149" s="7"/>
      <c r="T149" s="7"/>
      <c r="U149" s="7"/>
      <c r="V149" s="7"/>
      <c r="W149" s="7"/>
      <c r="X149" s="7"/>
      <c r="Y149" s="7"/>
    </row>
    <row r="150" spans="1:25" ht="15.75" customHeight="1">
      <c r="A150" s="43"/>
      <c r="B150" s="30"/>
      <c r="C150" s="30"/>
      <c r="D150" s="31"/>
      <c r="E150" s="31"/>
      <c r="F150" s="31"/>
      <c r="G150" s="31"/>
      <c r="H150" s="31"/>
      <c r="I150" s="13"/>
      <c r="J150" s="13"/>
      <c r="K150" s="13"/>
      <c r="L150" s="13"/>
      <c r="M150" s="13"/>
      <c r="N150" s="13"/>
      <c r="O150" s="7"/>
      <c r="P150" s="7"/>
      <c r="Q150" s="7"/>
      <c r="R150" s="7"/>
      <c r="S150" s="7"/>
      <c r="T150" s="7"/>
      <c r="U150" s="7"/>
      <c r="V150" s="7"/>
      <c r="W150" s="7"/>
      <c r="X150" s="7"/>
      <c r="Y150" s="7"/>
    </row>
    <row r="151" spans="1:25" ht="15.75" customHeight="1">
      <c r="A151" s="43"/>
      <c r="B151" s="30"/>
      <c r="C151" s="30"/>
      <c r="D151" s="31"/>
      <c r="E151" s="31"/>
      <c r="F151" s="31"/>
      <c r="G151" s="31"/>
      <c r="H151" s="31"/>
      <c r="I151" s="13"/>
      <c r="J151" s="13"/>
      <c r="K151" s="13"/>
      <c r="L151" s="13"/>
      <c r="M151" s="13"/>
      <c r="N151" s="13"/>
      <c r="O151" s="7"/>
      <c r="P151" s="7"/>
      <c r="Q151" s="7"/>
      <c r="R151" s="7"/>
      <c r="S151" s="7"/>
      <c r="T151" s="7"/>
      <c r="U151" s="7"/>
      <c r="V151" s="7"/>
      <c r="W151" s="7"/>
      <c r="X151" s="7"/>
      <c r="Y151" s="7"/>
    </row>
    <row r="152" spans="1:25" ht="15.75" customHeight="1">
      <c r="A152" s="43"/>
      <c r="B152" s="30"/>
      <c r="C152" s="30"/>
      <c r="D152" s="31"/>
      <c r="E152" s="31"/>
      <c r="F152" s="31"/>
      <c r="G152" s="31"/>
      <c r="H152" s="31"/>
      <c r="I152" s="13"/>
      <c r="J152" s="13"/>
      <c r="K152" s="13"/>
      <c r="L152" s="13"/>
      <c r="M152" s="13"/>
      <c r="N152" s="13"/>
      <c r="O152" s="7"/>
      <c r="P152" s="7"/>
      <c r="Q152" s="7"/>
      <c r="R152" s="7"/>
      <c r="S152" s="7"/>
      <c r="T152" s="7"/>
      <c r="U152" s="7"/>
      <c r="V152" s="7"/>
      <c r="W152" s="7"/>
      <c r="X152" s="7"/>
      <c r="Y152" s="7"/>
    </row>
    <row r="153" spans="1:25" ht="15.75" customHeight="1">
      <c r="A153" s="43"/>
      <c r="B153" s="30"/>
      <c r="C153" s="30"/>
      <c r="D153" s="31"/>
      <c r="E153" s="31"/>
      <c r="F153" s="31"/>
      <c r="G153" s="31"/>
      <c r="H153" s="31"/>
      <c r="I153" s="13"/>
      <c r="J153" s="13"/>
      <c r="K153" s="13"/>
      <c r="L153" s="13"/>
      <c r="M153" s="13"/>
      <c r="N153" s="13"/>
      <c r="O153" s="7"/>
      <c r="P153" s="7"/>
      <c r="Q153" s="7"/>
      <c r="R153" s="7"/>
      <c r="S153" s="7"/>
      <c r="T153" s="7"/>
      <c r="U153" s="7"/>
      <c r="V153" s="7"/>
      <c r="W153" s="7"/>
      <c r="X153" s="7"/>
      <c r="Y153" s="7"/>
    </row>
    <row r="154" spans="1:25" ht="15.75" customHeight="1">
      <c r="A154" s="43"/>
      <c r="B154" s="30"/>
      <c r="C154" s="30"/>
      <c r="D154" s="31"/>
      <c r="E154" s="31"/>
      <c r="F154" s="31"/>
      <c r="G154" s="31"/>
      <c r="H154" s="31"/>
      <c r="I154" s="13"/>
      <c r="J154" s="13"/>
      <c r="K154" s="13"/>
      <c r="L154" s="13"/>
      <c r="M154" s="13"/>
      <c r="N154" s="13"/>
      <c r="O154" s="7"/>
      <c r="P154" s="7"/>
      <c r="Q154" s="7"/>
      <c r="R154" s="7"/>
      <c r="S154" s="7"/>
      <c r="T154" s="7"/>
      <c r="U154" s="7"/>
      <c r="V154" s="7"/>
      <c r="W154" s="7"/>
      <c r="X154" s="7"/>
      <c r="Y154" s="7"/>
    </row>
    <row r="155" spans="1:25" ht="15.75" customHeight="1">
      <c r="A155" s="43"/>
      <c r="B155" s="30"/>
      <c r="C155" s="30"/>
      <c r="D155" s="31"/>
      <c r="E155" s="31"/>
      <c r="F155" s="31"/>
      <c r="G155" s="31"/>
      <c r="H155" s="31"/>
      <c r="I155" s="13"/>
      <c r="J155" s="13"/>
      <c r="K155" s="13"/>
      <c r="L155" s="13"/>
      <c r="M155" s="13"/>
      <c r="N155" s="13"/>
      <c r="O155" s="7"/>
      <c r="P155" s="7"/>
      <c r="Q155" s="7"/>
      <c r="R155" s="7"/>
      <c r="S155" s="7"/>
      <c r="T155" s="7"/>
      <c r="U155" s="7"/>
      <c r="V155" s="7"/>
      <c r="W155" s="7"/>
      <c r="X155" s="7"/>
      <c r="Y155" s="7"/>
    </row>
    <row r="156" spans="1:25" ht="15.75" customHeight="1">
      <c r="A156" s="43"/>
      <c r="B156" s="30"/>
      <c r="C156" s="30"/>
      <c r="D156" s="31"/>
      <c r="E156" s="31"/>
      <c r="F156" s="31"/>
      <c r="G156" s="31"/>
      <c r="H156" s="31"/>
      <c r="I156" s="13"/>
      <c r="J156" s="13"/>
      <c r="K156" s="13"/>
      <c r="L156" s="13"/>
      <c r="M156" s="13"/>
      <c r="N156" s="13"/>
      <c r="O156" s="7"/>
      <c r="P156" s="7"/>
      <c r="Q156" s="7"/>
      <c r="R156" s="7"/>
      <c r="S156" s="7"/>
      <c r="T156" s="7"/>
      <c r="U156" s="7"/>
      <c r="V156" s="7"/>
      <c r="W156" s="7"/>
      <c r="X156" s="7"/>
      <c r="Y156" s="7"/>
    </row>
    <row r="157" spans="1:25" ht="15.75" customHeight="1">
      <c r="A157" s="43"/>
      <c r="B157" s="30"/>
      <c r="C157" s="30"/>
      <c r="D157" s="31"/>
      <c r="E157" s="31"/>
      <c r="F157" s="31"/>
      <c r="G157" s="31"/>
      <c r="H157" s="31"/>
      <c r="I157" s="13"/>
      <c r="J157" s="13"/>
      <c r="K157" s="13"/>
      <c r="L157" s="13"/>
      <c r="M157" s="13"/>
      <c r="N157" s="13"/>
      <c r="O157" s="7"/>
      <c r="P157" s="7"/>
      <c r="Q157" s="7"/>
      <c r="R157" s="7"/>
      <c r="S157" s="7"/>
      <c r="T157" s="7"/>
      <c r="U157" s="7"/>
      <c r="V157" s="7"/>
      <c r="W157" s="7"/>
      <c r="X157" s="7"/>
      <c r="Y157" s="7"/>
    </row>
    <row r="158" spans="1:25" ht="15.75" customHeight="1">
      <c r="A158" s="43"/>
      <c r="B158" s="30"/>
      <c r="C158" s="30"/>
      <c r="D158" s="31"/>
      <c r="E158" s="31"/>
      <c r="F158" s="31"/>
      <c r="G158" s="31"/>
      <c r="H158" s="31"/>
      <c r="I158" s="13"/>
      <c r="J158" s="13"/>
      <c r="K158" s="13"/>
      <c r="L158" s="13"/>
      <c r="M158" s="13"/>
      <c r="N158" s="13"/>
      <c r="O158" s="7"/>
      <c r="P158" s="7"/>
      <c r="Q158" s="7"/>
      <c r="R158" s="7"/>
      <c r="S158" s="7"/>
      <c r="T158" s="7"/>
      <c r="U158" s="7"/>
      <c r="V158" s="7"/>
      <c r="W158" s="7"/>
      <c r="X158" s="7"/>
      <c r="Y158" s="7"/>
    </row>
    <row r="159" spans="1:25" ht="15.75" customHeight="1">
      <c r="A159" s="43"/>
      <c r="B159" s="30"/>
      <c r="C159" s="30"/>
      <c r="D159" s="31"/>
      <c r="E159" s="31"/>
      <c r="F159" s="31"/>
      <c r="G159" s="31"/>
      <c r="H159" s="31"/>
      <c r="I159" s="13"/>
      <c r="J159" s="13"/>
      <c r="K159" s="13"/>
      <c r="L159" s="13"/>
      <c r="M159" s="13"/>
      <c r="N159" s="13"/>
      <c r="O159" s="7"/>
      <c r="P159" s="7"/>
      <c r="Q159" s="7"/>
      <c r="R159" s="7"/>
      <c r="S159" s="7"/>
      <c r="T159" s="7"/>
      <c r="U159" s="7"/>
      <c r="V159" s="7"/>
      <c r="W159" s="7"/>
      <c r="X159" s="7"/>
      <c r="Y159" s="7"/>
    </row>
    <row r="160" spans="1:25" ht="15.75" customHeight="1">
      <c r="A160" s="43"/>
      <c r="B160" s="30"/>
      <c r="C160" s="30"/>
      <c r="D160" s="31"/>
      <c r="E160" s="31"/>
      <c r="F160" s="31"/>
      <c r="G160" s="31"/>
      <c r="H160" s="31"/>
      <c r="I160" s="13"/>
      <c r="J160" s="13"/>
      <c r="K160" s="13"/>
      <c r="L160" s="13"/>
      <c r="M160" s="13"/>
      <c r="N160" s="13"/>
      <c r="O160" s="7"/>
      <c r="P160" s="7"/>
      <c r="Q160" s="7"/>
      <c r="R160" s="7"/>
      <c r="S160" s="7"/>
      <c r="T160" s="7"/>
      <c r="U160" s="7"/>
      <c r="V160" s="7"/>
      <c r="W160" s="7"/>
      <c r="X160" s="7"/>
      <c r="Y160" s="7"/>
    </row>
    <row r="161" spans="1:25" ht="15.75" customHeight="1">
      <c r="A161" s="43"/>
      <c r="B161" s="30"/>
      <c r="C161" s="30"/>
      <c r="D161" s="31"/>
      <c r="E161" s="31"/>
      <c r="F161" s="31"/>
      <c r="G161" s="31"/>
      <c r="H161" s="31"/>
      <c r="I161" s="13"/>
      <c r="J161" s="13"/>
      <c r="K161" s="13"/>
      <c r="L161" s="13"/>
      <c r="M161" s="13"/>
      <c r="N161" s="13"/>
      <c r="O161" s="7"/>
      <c r="P161" s="7"/>
      <c r="Q161" s="7"/>
      <c r="R161" s="7"/>
      <c r="S161" s="7"/>
      <c r="T161" s="7"/>
      <c r="U161" s="7"/>
      <c r="V161" s="7"/>
      <c r="W161" s="7"/>
      <c r="X161" s="7"/>
      <c r="Y161" s="7"/>
    </row>
    <row r="162" spans="1:25" ht="15.75" customHeight="1">
      <c r="A162" s="43"/>
      <c r="B162" s="30"/>
      <c r="C162" s="30"/>
      <c r="D162" s="31"/>
      <c r="E162" s="31"/>
      <c r="F162" s="31"/>
      <c r="G162" s="31"/>
      <c r="H162" s="31"/>
      <c r="I162" s="13"/>
      <c r="J162" s="13"/>
      <c r="K162" s="13"/>
      <c r="L162" s="13"/>
      <c r="M162" s="13"/>
      <c r="N162" s="13"/>
      <c r="O162" s="7"/>
      <c r="P162" s="7"/>
      <c r="Q162" s="7"/>
      <c r="R162" s="7"/>
      <c r="S162" s="7"/>
      <c r="T162" s="7"/>
      <c r="U162" s="7"/>
      <c r="V162" s="7"/>
      <c r="W162" s="7"/>
      <c r="X162" s="7"/>
      <c r="Y162" s="7"/>
    </row>
    <row r="163" spans="1:25" ht="15.75" customHeight="1">
      <c r="A163" s="43"/>
      <c r="B163" s="30"/>
      <c r="C163" s="30"/>
      <c r="D163" s="31"/>
      <c r="E163" s="31"/>
      <c r="F163" s="31"/>
      <c r="G163" s="31"/>
      <c r="H163" s="31"/>
      <c r="I163" s="13"/>
      <c r="J163" s="13"/>
      <c r="K163" s="13"/>
      <c r="L163" s="13"/>
      <c r="M163" s="13"/>
      <c r="N163" s="13"/>
      <c r="O163" s="7"/>
      <c r="P163" s="7"/>
      <c r="Q163" s="7"/>
      <c r="R163" s="7"/>
      <c r="S163" s="7"/>
      <c r="T163" s="7"/>
      <c r="U163" s="7"/>
      <c r="V163" s="7"/>
      <c r="W163" s="7"/>
      <c r="X163" s="7"/>
      <c r="Y163" s="7"/>
    </row>
    <row r="164" spans="1:25" ht="15.75" customHeight="1">
      <c r="A164" s="43"/>
      <c r="B164" s="30"/>
      <c r="C164" s="30"/>
      <c r="D164" s="31"/>
      <c r="E164" s="31"/>
      <c r="F164" s="31"/>
      <c r="G164" s="31"/>
      <c r="H164" s="31"/>
      <c r="I164" s="13"/>
      <c r="J164" s="13"/>
      <c r="K164" s="13"/>
      <c r="L164" s="13"/>
      <c r="M164" s="13"/>
      <c r="N164" s="13"/>
      <c r="O164" s="7"/>
      <c r="P164" s="7"/>
      <c r="Q164" s="7"/>
      <c r="R164" s="7"/>
      <c r="S164" s="7"/>
      <c r="T164" s="7"/>
      <c r="U164" s="7"/>
      <c r="V164" s="7"/>
      <c r="W164" s="7"/>
      <c r="X164" s="7"/>
      <c r="Y164" s="7"/>
    </row>
    <row r="165" spans="1:25" ht="15.75" customHeight="1">
      <c r="A165" s="43"/>
      <c r="B165" s="30"/>
      <c r="C165" s="30"/>
      <c r="D165" s="31"/>
      <c r="E165" s="31"/>
      <c r="F165" s="31"/>
      <c r="G165" s="31"/>
      <c r="H165" s="31"/>
      <c r="I165" s="13"/>
      <c r="J165" s="13"/>
      <c r="K165" s="13"/>
      <c r="L165" s="13"/>
      <c r="M165" s="13"/>
      <c r="N165" s="13"/>
      <c r="O165" s="7"/>
      <c r="P165" s="7"/>
      <c r="Q165" s="7"/>
      <c r="R165" s="7"/>
      <c r="S165" s="7"/>
      <c r="T165" s="7"/>
      <c r="U165" s="7"/>
      <c r="V165" s="7"/>
      <c r="W165" s="7"/>
      <c r="X165" s="7"/>
      <c r="Y165" s="7"/>
    </row>
    <row r="166" spans="1:25" ht="15.75" customHeight="1">
      <c r="A166" s="43"/>
      <c r="B166" s="30"/>
      <c r="C166" s="30"/>
      <c r="D166" s="31"/>
      <c r="E166" s="31"/>
      <c r="F166" s="31"/>
      <c r="G166" s="31"/>
      <c r="H166" s="31"/>
      <c r="I166" s="13"/>
      <c r="J166" s="13"/>
      <c r="K166" s="13"/>
      <c r="L166" s="13"/>
      <c r="M166" s="13"/>
      <c r="N166" s="13"/>
      <c r="O166" s="7"/>
      <c r="P166" s="7"/>
      <c r="Q166" s="7"/>
      <c r="R166" s="7"/>
      <c r="S166" s="7"/>
      <c r="T166" s="7"/>
      <c r="U166" s="7"/>
      <c r="V166" s="7"/>
      <c r="W166" s="7"/>
      <c r="X166" s="7"/>
      <c r="Y166" s="7"/>
    </row>
    <row r="167" spans="1:25" ht="15.75" customHeight="1">
      <c r="A167" s="43"/>
      <c r="B167" s="30"/>
      <c r="C167" s="30"/>
      <c r="D167" s="31"/>
      <c r="E167" s="31"/>
      <c r="F167" s="31"/>
      <c r="G167" s="31"/>
      <c r="H167" s="31"/>
      <c r="I167" s="13"/>
      <c r="J167" s="13"/>
      <c r="K167" s="13"/>
      <c r="L167" s="13"/>
      <c r="M167" s="13"/>
      <c r="N167" s="13"/>
      <c r="O167" s="7"/>
      <c r="P167" s="7"/>
      <c r="Q167" s="7"/>
      <c r="R167" s="7"/>
      <c r="S167" s="7"/>
      <c r="T167" s="7"/>
      <c r="U167" s="7"/>
      <c r="V167" s="7"/>
      <c r="W167" s="7"/>
      <c r="X167" s="7"/>
      <c r="Y167" s="7"/>
    </row>
    <row r="168" spans="1:25" ht="15.75" customHeight="1">
      <c r="A168" s="43"/>
      <c r="B168" s="30"/>
      <c r="C168" s="30"/>
      <c r="D168" s="31"/>
      <c r="E168" s="31"/>
      <c r="F168" s="31"/>
      <c r="G168" s="31"/>
      <c r="H168" s="31"/>
      <c r="I168" s="13"/>
      <c r="J168" s="13"/>
      <c r="K168" s="13"/>
      <c r="L168" s="13"/>
      <c r="M168" s="13"/>
      <c r="N168" s="13"/>
      <c r="O168" s="7"/>
      <c r="P168" s="7"/>
      <c r="Q168" s="7"/>
      <c r="R168" s="7"/>
      <c r="S168" s="7"/>
      <c r="T168" s="7"/>
      <c r="U168" s="7"/>
      <c r="V168" s="7"/>
      <c r="W168" s="7"/>
      <c r="X168" s="7"/>
      <c r="Y168" s="7"/>
    </row>
    <row r="169" spans="1:25" ht="15.75" customHeight="1">
      <c r="A169" s="43"/>
      <c r="B169" s="30"/>
      <c r="C169" s="30"/>
      <c r="D169" s="31"/>
      <c r="E169" s="31"/>
      <c r="F169" s="31"/>
      <c r="G169" s="31"/>
      <c r="H169" s="31"/>
      <c r="I169" s="13"/>
      <c r="J169" s="13"/>
      <c r="K169" s="13"/>
      <c r="L169" s="13"/>
      <c r="M169" s="13"/>
      <c r="N169" s="13"/>
      <c r="O169" s="7"/>
      <c r="P169" s="7"/>
      <c r="Q169" s="7"/>
      <c r="R169" s="7"/>
      <c r="S169" s="7"/>
      <c r="T169" s="7"/>
      <c r="U169" s="7"/>
      <c r="V169" s="7"/>
      <c r="W169" s="7"/>
      <c r="X169" s="7"/>
      <c r="Y169" s="7"/>
    </row>
    <row r="170" spans="1:25" ht="15.75" customHeight="1">
      <c r="A170" s="43"/>
      <c r="B170" s="30"/>
      <c r="C170" s="30"/>
      <c r="D170" s="31"/>
      <c r="E170" s="31"/>
      <c r="F170" s="31"/>
      <c r="G170" s="31"/>
      <c r="H170" s="31"/>
      <c r="I170" s="13"/>
      <c r="J170" s="13"/>
      <c r="K170" s="13"/>
      <c r="L170" s="13"/>
      <c r="M170" s="13"/>
      <c r="N170" s="13"/>
      <c r="O170" s="7"/>
      <c r="P170" s="7"/>
      <c r="Q170" s="7"/>
      <c r="R170" s="7"/>
      <c r="S170" s="7"/>
      <c r="T170" s="7"/>
      <c r="U170" s="7"/>
      <c r="V170" s="7"/>
      <c r="W170" s="7"/>
      <c r="X170" s="7"/>
      <c r="Y170" s="7"/>
    </row>
    <row r="171" spans="1:25" ht="15.75" customHeight="1">
      <c r="A171" s="43"/>
      <c r="B171" s="30"/>
      <c r="C171" s="30"/>
      <c r="D171" s="31"/>
      <c r="E171" s="31"/>
      <c r="F171" s="31"/>
      <c r="G171" s="31"/>
      <c r="H171" s="31"/>
      <c r="I171" s="13"/>
      <c r="J171" s="13"/>
      <c r="K171" s="13"/>
      <c r="L171" s="13"/>
      <c r="M171" s="13"/>
      <c r="N171" s="13"/>
      <c r="O171" s="7"/>
      <c r="P171" s="7"/>
      <c r="Q171" s="7"/>
      <c r="R171" s="7"/>
      <c r="S171" s="7"/>
      <c r="T171" s="7"/>
      <c r="U171" s="7"/>
      <c r="V171" s="7"/>
      <c r="W171" s="7"/>
      <c r="X171" s="7"/>
      <c r="Y171" s="7"/>
    </row>
    <row r="172" spans="1:25" ht="15.75" customHeight="1">
      <c r="A172" s="43"/>
      <c r="B172" s="30"/>
      <c r="C172" s="30"/>
      <c r="D172" s="31"/>
      <c r="E172" s="31"/>
      <c r="F172" s="31"/>
      <c r="G172" s="31"/>
      <c r="H172" s="31"/>
      <c r="I172" s="13"/>
      <c r="J172" s="13"/>
      <c r="K172" s="13"/>
      <c r="L172" s="13"/>
      <c r="M172" s="13"/>
      <c r="N172" s="13"/>
      <c r="O172" s="7"/>
      <c r="P172" s="7"/>
      <c r="Q172" s="7"/>
      <c r="R172" s="7"/>
      <c r="S172" s="7"/>
      <c r="T172" s="7"/>
      <c r="U172" s="7"/>
      <c r="V172" s="7"/>
      <c r="W172" s="7"/>
      <c r="X172" s="7"/>
      <c r="Y172" s="7"/>
    </row>
    <row r="173" spans="1:25" ht="15.75" customHeight="1">
      <c r="A173" s="43"/>
      <c r="B173" s="30"/>
      <c r="C173" s="30"/>
      <c r="D173" s="31"/>
      <c r="E173" s="31"/>
      <c r="F173" s="31"/>
      <c r="G173" s="31"/>
      <c r="H173" s="31"/>
      <c r="I173" s="13"/>
      <c r="J173" s="13"/>
      <c r="K173" s="13"/>
      <c r="L173" s="13"/>
      <c r="M173" s="13"/>
      <c r="N173" s="13"/>
      <c r="O173" s="7"/>
      <c r="P173" s="7"/>
      <c r="Q173" s="7"/>
      <c r="R173" s="7"/>
      <c r="S173" s="7"/>
      <c r="T173" s="7"/>
      <c r="U173" s="7"/>
      <c r="V173" s="7"/>
      <c r="W173" s="7"/>
      <c r="X173" s="7"/>
      <c r="Y173" s="7"/>
    </row>
    <row r="174" spans="1:25" ht="15.75" customHeight="1">
      <c r="A174" s="43"/>
      <c r="B174" s="30"/>
      <c r="C174" s="30"/>
      <c r="D174" s="31"/>
      <c r="E174" s="31"/>
      <c r="F174" s="31"/>
      <c r="G174" s="31"/>
      <c r="H174" s="31"/>
      <c r="I174" s="13"/>
      <c r="J174" s="13"/>
      <c r="K174" s="13"/>
      <c r="L174" s="13"/>
      <c r="M174" s="13"/>
      <c r="N174" s="13"/>
      <c r="O174" s="7"/>
      <c r="P174" s="7"/>
      <c r="Q174" s="7"/>
      <c r="R174" s="7"/>
      <c r="S174" s="7"/>
      <c r="T174" s="7"/>
      <c r="U174" s="7"/>
      <c r="V174" s="7"/>
      <c r="W174" s="7"/>
      <c r="X174" s="7"/>
      <c r="Y174" s="7"/>
    </row>
    <row r="175" spans="1:25" ht="15.75" customHeight="1">
      <c r="A175" s="43"/>
      <c r="B175" s="30"/>
      <c r="C175" s="30"/>
      <c r="D175" s="31"/>
      <c r="E175" s="31"/>
      <c r="F175" s="31"/>
      <c r="G175" s="31"/>
      <c r="H175" s="31"/>
      <c r="I175" s="13"/>
      <c r="J175" s="13"/>
      <c r="K175" s="13"/>
      <c r="L175" s="13"/>
      <c r="M175" s="13"/>
      <c r="N175" s="13"/>
      <c r="O175" s="7"/>
      <c r="P175" s="7"/>
      <c r="Q175" s="7"/>
      <c r="R175" s="7"/>
      <c r="S175" s="7"/>
      <c r="T175" s="7"/>
      <c r="U175" s="7"/>
      <c r="V175" s="7"/>
      <c r="W175" s="7"/>
      <c r="X175" s="7"/>
      <c r="Y175" s="7"/>
    </row>
    <row r="176" spans="1:25" ht="15.75" customHeight="1">
      <c r="A176" s="43"/>
      <c r="B176" s="30"/>
      <c r="C176" s="30"/>
      <c r="D176" s="31"/>
      <c r="E176" s="31"/>
      <c r="F176" s="31"/>
      <c r="G176" s="31"/>
      <c r="H176" s="31"/>
      <c r="I176" s="13"/>
      <c r="J176" s="13"/>
      <c r="K176" s="13"/>
      <c r="L176" s="13"/>
      <c r="M176" s="13"/>
      <c r="N176" s="13"/>
      <c r="O176" s="7"/>
      <c r="P176" s="7"/>
      <c r="Q176" s="7"/>
      <c r="R176" s="7"/>
      <c r="S176" s="7"/>
      <c r="T176" s="7"/>
      <c r="U176" s="7"/>
      <c r="V176" s="7"/>
      <c r="W176" s="7"/>
      <c r="X176" s="7"/>
      <c r="Y176" s="7"/>
    </row>
    <row r="177" spans="1:25" ht="15.75" customHeight="1">
      <c r="A177" s="43"/>
      <c r="B177" s="30"/>
      <c r="C177" s="30"/>
      <c r="D177" s="31"/>
      <c r="E177" s="31"/>
      <c r="F177" s="31"/>
      <c r="G177" s="31"/>
      <c r="H177" s="31"/>
      <c r="I177" s="13"/>
      <c r="J177" s="13"/>
      <c r="K177" s="13"/>
      <c r="L177" s="13"/>
      <c r="M177" s="13"/>
      <c r="N177" s="13"/>
      <c r="O177" s="7"/>
      <c r="P177" s="7"/>
      <c r="Q177" s="7"/>
      <c r="R177" s="7"/>
      <c r="S177" s="7"/>
      <c r="T177" s="7"/>
      <c r="U177" s="7"/>
      <c r="V177" s="7"/>
      <c r="W177" s="7"/>
      <c r="X177" s="7"/>
      <c r="Y177" s="7"/>
    </row>
    <row r="178" spans="1:25" ht="15.75" customHeight="1">
      <c r="A178" s="43"/>
      <c r="B178" s="30"/>
      <c r="C178" s="30"/>
      <c r="D178" s="31"/>
      <c r="E178" s="31"/>
      <c r="F178" s="31"/>
      <c r="G178" s="31"/>
      <c r="H178" s="31"/>
      <c r="I178" s="13"/>
      <c r="J178" s="13"/>
      <c r="K178" s="13"/>
      <c r="L178" s="13"/>
      <c r="M178" s="13"/>
      <c r="N178" s="13"/>
      <c r="O178" s="7"/>
      <c r="P178" s="7"/>
      <c r="Q178" s="7"/>
      <c r="R178" s="7"/>
      <c r="S178" s="7"/>
      <c r="T178" s="7"/>
      <c r="U178" s="7"/>
      <c r="V178" s="7"/>
      <c r="W178" s="7"/>
      <c r="X178" s="7"/>
      <c r="Y178" s="7"/>
    </row>
    <row r="179" spans="1:25" ht="15.75" customHeight="1">
      <c r="A179" s="43"/>
      <c r="B179" s="30"/>
      <c r="C179" s="30"/>
      <c r="D179" s="31"/>
      <c r="E179" s="31"/>
      <c r="F179" s="31"/>
      <c r="G179" s="31"/>
      <c r="H179" s="31"/>
      <c r="I179" s="13"/>
      <c r="J179" s="13"/>
      <c r="K179" s="13"/>
      <c r="L179" s="13"/>
      <c r="M179" s="13"/>
      <c r="N179" s="13"/>
      <c r="O179" s="7"/>
      <c r="P179" s="7"/>
      <c r="Q179" s="7"/>
      <c r="R179" s="7"/>
      <c r="S179" s="7"/>
      <c r="T179" s="7"/>
      <c r="U179" s="7"/>
      <c r="V179" s="7"/>
      <c r="W179" s="7"/>
      <c r="X179" s="7"/>
      <c r="Y179" s="7"/>
    </row>
    <row r="180" spans="1:25" ht="15.75" customHeight="1">
      <c r="A180" s="43"/>
      <c r="B180" s="30"/>
      <c r="C180" s="30"/>
      <c r="D180" s="31"/>
      <c r="E180" s="31"/>
      <c r="F180" s="31"/>
      <c r="G180" s="31"/>
      <c r="H180" s="31"/>
      <c r="I180" s="13"/>
      <c r="J180" s="13"/>
      <c r="K180" s="13"/>
      <c r="L180" s="13"/>
      <c r="M180" s="13"/>
      <c r="N180" s="13"/>
      <c r="O180" s="7"/>
      <c r="P180" s="7"/>
      <c r="Q180" s="7"/>
      <c r="R180" s="7"/>
      <c r="S180" s="7"/>
      <c r="T180" s="7"/>
      <c r="U180" s="7"/>
      <c r="V180" s="7"/>
      <c r="W180" s="7"/>
      <c r="X180" s="7"/>
      <c r="Y180" s="7"/>
    </row>
    <row r="181" spans="1:25" ht="15.75" customHeight="1">
      <c r="A181" s="43"/>
      <c r="B181" s="30"/>
      <c r="C181" s="30"/>
      <c r="D181" s="31"/>
      <c r="E181" s="31"/>
      <c r="F181" s="31"/>
      <c r="G181" s="31"/>
      <c r="H181" s="31"/>
      <c r="I181" s="13"/>
      <c r="J181" s="13"/>
      <c r="K181" s="13"/>
      <c r="L181" s="13"/>
      <c r="M181" s="13"/>
      <c r="N181" s="13"/>
      <c r="O181" s="7"/>
      <c r="P181" s="7"/>
      <c r="Q181" s="7"/>
      <c r="R181" s="7"/>
      <c r="S181" s="7"/>
      <c r="T181" s="7"/>
      <c r="U181" s="7"/>
      <c r="V181" s="7"/>
      <c r="W181" s="7"/>
      <c r="X181" s="7"/>
      <c r="Y181" s="7"/>
    </row>
    <row r="182" spans="1:25" ht="15.75" customHeight="1">
      <c r="A182" s="43"/>
      <c r="B182" s="30"/>
      <c r="C182" s="30"/>
      <c r="D182" s="31"/>
      <c r="E182" s="31"/>
      <c r="F182" s="31"/>
      <c r="G182" s="31"/>
      <c r="H182" s="31"/>
      <c r="I182" s="13"/>
      <c r="J182" s="13"/>
      <c r="K182" s="13"/>
      <c r="L182" s="13"/>
      <c r="M182" s="13"/>
      <c r="N182" s="13"/>
      <c r="O182" s="7"/>
      <c r="P182" s="7"/>
      <c r="Q182" s="7"/>
      <c r="R182" s="7"/>
      <c r="S182" s="7"/>
      <c r="T182" s="7"/>
      <c r="U182" s="7"/>
      <c r="V182" s="7"/>
      <c r="W182" s="7"/>
      <c r="X182" s="7"/>
      <c r="Y182" s="7"/>
    </row>
    <row r="183" spans="1:25" ht="15.75" customHeight="1">
      <c r="A183" s="43"/>
      <c r="B183" s="30"/>
      <c r="C183" s="30"/>
      <c r="D183" s="31"/>
      <c r="E183" s="31"/>
      <c r="F183" s="31"/>
      <c r="G183" s="31"/>
      <c r="H183" s="31"/>
      <c r="I183" s="13"/>
      <c r="J183" s="13"/>
      <c r="K183" s="13"/>
      <c r="L183" s="13"/>
      <c r="M183" s="13"/>
      <c r="N183" s="13"/>
      <c r="O183" s="7"/>
      <c r="P183" s="7"/>
      <c r="Q183" s="7"/>
      <c r="R183" s="7"/>
      <c r="S183" s="7"/>
      <c r="T183" s="7"/>
      <c r="U183" s="7"/>
      <c r="V183" s="7"/>
      <c r="W183" s="7"/>
      <c r="X183" s="7"/>
      <c r="Y183" s="7"/>
    </row>
    <row r="184" spans="1:25" ht="15.75" customHeight="1">
      <c r="A184" s="43"/>
      <c r="B184" s="30"/>
      <c r="C184" s="30"/>
      <c r="D184" s="31"/>
      <c r="E184" s="31"/>
      <c r="F184" s="31"/>
      <c r="G184" s="31"/>
      <c r="H184" s="31"/>
      <c r="I184" s="13"/>
      <c r="J184" s="13"/>
      <c r="K184" s="13"/>
      <c r="L184" s="13"/>
      <c r="M184" s="13"/>
      <c r="N184" s="13"/>
      <c r="O184" s="7"/>
      <c r="P184" s="7"/>
      <c r="Q184" s="7"/>
      <c r="R184" s="7"/>
      <c r="S184" s="7"/>
      <c r="T184" s="7"/>
      <c r="U184" s="7"/>
      <c r="V184" s="7"/>
      <c r="W184" s="7"/>
      <c r="X184" s="7"/>
      <c r="Y184" s="7"/>
    </row>
    <row r="185" spans="1:25" ht="15.75" customHeight="1">
      <c r="A185" s="43"/>
      <c r="B185" s="30"/>
      <c r="C185" s="30"/>
      <c r="D185" s="31"/>
      <c r="E185" s="31"/>
      <c r="F185" s="31"/>
      <c r="G185" s="31"/>
      <c r="H185" s="31"/>
      <c r="I185" s="13"/>
      <c r="J185" s="13"/>
      <c r="K185" s="13"/>
      <c r="L185" s="13"/>
      <c r="M185" s="13"/>
      <c r="N185" s="13"/>
      <c r="O185" s="7"/>
      <c r="P185" s="7"/>
      <c r="Q185" s="7"/>
      <c r="R185" s="7"/>
      <c r="S185" s="7"/>
      <c r="T185" s="7"/>
      <c r="U185" s="7"/>
      <c r="V185" s="7"/>
      <c r="W185" s="7"/>
      <c r="X185" s="7"/>
      <c r="Y185" s="7"/>
    </row>
    <row r="186" spans="1:25" ht="15.75" customHeight="1">
      <c r="A186" s="43"/>
      <c r="B186" s="30"/>
      <c r="C186" s="30"/>
      <c r="D186" s="31"/>
      <c r="E186" s="31"/>
      <c r="F186" s="31"/>
      <c r="G186" s="31"/>
      <c r="H186" s="31"/>
      <c r="I186" s="13"/>
      <c r="J186" s="13"/>
      <c r="K186" s="13"/>
      <c r="L186" s="13"/>
      <c r="M186" s="13"/>
      <c r="N186" s="13"/>
      <c r="O186" s="7"/>
      <c r="P186" s="7"/>
      <c r="Q186" s="7"/>
      <c r="R186" s="7"/>
      <c r="S186" s="7"/>
      <c r="T186" s="7"/>
      <c r="U186" s="7"/>
      <c r="V186" s="7"/>
      <c r="W186" s="7"/>
      <c r="X186" s="7"/>
      <c r="Y186" s="7"/>
    </row>
    <row r="187" spans="1:25" ht="15.75" customHeight="1">
      <c r="A187" s="43"/>
      <c r="B187" s="30"/>
      <c r="C187" s="30"/>
      <c r="D187" s="31"/>
      <c r="E187" s="31"/>
      <c r="F187" s="31"/>
      <c r="G187" s="31"/>
      <c r="H187" s="31"/>
      <c r="I187" s="13"/>
      <c r="J187" s="13"/>
      <c r="K187" s="13"/>
      <c r="L187" s="13"/>
      <c r="M187" s="13"/>
      <c r="N187" s="13"/>
      <c r="O187" s="7"/>
      <c r="P187" s="7"/>
      <c r="Q187" s="7"/>
      <c r="R187" s="7"/>
      <c r="S187" s="7"/>
      <c r="T187" s="7"/>
      <c r="U187" s="7"/>
      <c r="V187" s="7"/>
      <c r="W187" s="7"/>
      <c r="X187" s="7"/>
      <c r="Y187" s="7"/>
    </row>
    <row r="188" spans="1:25" ht="15.75" customHeight="1">
      <c r="A188" s="43"/>
      <c r="B188" s="30"/>
      <c r="C188" s="30"/>
      <c r="D188" s="31"/>
      <c r="E188" s="31"/>
      <c r="F188" s="31"/>
      <c r="G188" s="31"/>
      <c r="H188" s="31"/>
      <c r="I188" s="13"/>
      <c r="J188" s="13"/>
      <c r="K188" s="13"/>
      <c r="L188" s="13"/>
      <c r="M188" s="13"/>
      <c r="N188" s="13"/>
      <c r="O188" s="7"/>
      <c r="P188" s="7"/>
      <c r="Q188" s="7"/>
      <c r="R188" s="7"/>
      <c r="S188" s="7"/>
      <c r="T188" s="7"/>
      <c r="U188" s="7"/>
      <c r="V188" s="7"/>
      <c r="W188" s="7"/>
      <c r="X188" s="7"/>
      <c r="Y188" s="7"/>
    </row>
    <row r="189" spans="1:25" ht="15.75" customHeight="1">
      <c r="A189" s="43"/>
      <c r="B189" s="30"/>
      <c r="C189" s="30"/>
      <c r="D189" s="31"/>
      <c r="E189" s="31"/>
      <c r="F189" s="31"/>
      <c r="G189" s="31"/>
      <c r="H189" s="31"/>
      <c r="I189" s="13"/>
      <c r="J189" s="13"/>
      <c r="K189" s="13"/>
      <c r="L189" s="13"/>
      <c r="M189" s="13"/>
      <c r="N189" s="13"/>
      <c r="O189" s="7"/>
      <c r="P189" s="7"/>
      <c r="Q189" s="7"/>
      <c r="R189" s="7"/>
      <c r="S189" s="7"/>
      <c r="T189" s="7"/>
      <c r="U189" s="7"/>
      <c r="V189" s="7"/>
      <c r="W189" s="7"/>
      <c r="X189" s="7"/>
      <c r="Y189" s="7"/>
    </row>
    <row r="190" spans="1:25" ht="15.75" customHeight="1">
      <c r="A190" s="43"/>
      <c r="B190" s="30"/>
      <c r="C190" s="30"/>
      <c r="D190" s="31"/>
      <c r="E190" s="31"/>
      <c r="F190" s="31"/>
      <c r="G190" s="31"/>
      <c r="H190" s="31"/>
      <c r="I190" s="13"/>
      <c r="J190" s="13"/>
      <c r="K190" s="13"/>
      <c r="L190" s="13"/>
      <c r="M190" s="13"/>
      <c r="N190" s="13"/>
      <c r="O190" s="7"/>
      <c r="P190" s="7"/>
      <c r="Q190" s="7"/>
      <c r="R190" s="7"/>
      <c r="S190" s="7"/>
      <c r="T190" s="7"/>
      <c r="U190" s="7"/>
      <c r="V190" s="7"/>
      <c r="W190" s="7"/>
      <c r="X190" s="7"/>
      <c r="Y190" s="7"/>
    </row>
    <row r="191" spans="1:25" ht="15.75" customHeight="1">
      <c r="A191" s="43"/>
      <c r="B191" s="30"/>
      <c r="C191" s="30"/>
      <c r="D191" s="31"/>
      <c r="E191" s="31"/>
      <c r="F191" s="31"/>
      <c r="G191" s="31"/>
      <c r="H191" s="31"/>
      <c r="I191" s="13"/>
      <c r="J191" s="13"/>
      <c r="K191" s="13"/>
      <c r="L191" s="13"/>
      <c r="M191" s="13"/>
      <c r="N191" s="13"/>
      <c r="O191" s="7"/>
      <c r="P191" s="7"/>
      <c r="Q191" s="7"/>
      <c r="R191" s="7"/>
      <c r="S191" s="7"/>
      <c r="T191" s="7"/>
      <c r="U191" s="7"/>
      <c r="V191" s="7"/>
      <c r="W191" s="7"/>
      <c r="X191" s="7"/>
      <c r="Y191" s="7"/>
    </row>
    <row r="192" spans="1:25" ht="15.75" customHeight="1">
      <c r="A192" s="43"/>
      <c r="B192" s="30"/>
      <c r="C192" s="30"/>
      <c r="D192" s="31"/>
      <c r="E192" s="31"/>
      <c r="F192" s="31"/>
      <c r="G192" s="31"/>
      <c r="H192" s="31"/>
      <c r="I192" s="13"/>
      <c r="J192" s="13"/>
      <c r="K192" s="13"/>
      <c r="L192" s="13"/>
      <c r="M192" s="13"/>
      <c r="N192" s="13"/>
      <c r="O192" s="7"/>
      <c r="P192" s="7"/>
      <c r="Q192" s="7"/>
      <c r="R192" s="7"/>
      <c r="S192" s="7"/>
      <c r="T192" s="7"/>
      <c r="U192" s="7"/>
      <c r="V192" s="7"/>
      <c r="W192" s="7"/>
      <c r="X192" s="7"/>
      <c r="Y192" s="7"/>
    </row>
    <row r="193" spans="1:25" ht="15.75" customHeight="1">
      <c r="A193" s="43"/>
      <c r="B193" s="30"/>
      <c r="C193" s="30"/>
      <c r="D193" s="31"/>
      <c r="E193" s="31"/>
      <c r="F193" s="31"/>
      <c r="G193" s="31"/>
      <c r="H193" s="31"/>
      <c r="I193" s="13"/>
      <c r="J193" s="13"/>
      <c r="K193" s="13"/>
      <c r="L193" s="13"/>
      <c r="M193" s="13"/>
      <c r="N193" s="13"/>
      <c r="O193" s="7"/>
      <c r="P193" s="7"/>
      <c r="Q193" s="7"/>
      <c r="R193" s="7"/>
      <c r="S193" s="7"/>
      <c r="T193" s="7"/>
      <c r="U193" s="7"/>
      <c r="V193" s="7"/>
      <c r="W193" s="7"/>
      <c r="X193" s="7"/>
      <c r="Y193" s="7"/>
    </row>
    <row r="194" spans="1:25" ht="15.75" customHeight="1">
      <c r="A194" s="43"/>
      <c r="B194" s="30"/>
      <c r="C194" s="30"/>
      <c r="D194" s="31"/>
      <c r="E194" s="31"/>
      <c r="F194" s="31"/>
      <c r="G194" s="31"/>
      <c r="H194" s="31"/>
      <c r="I194" s="13"/>
      <c r="J194" s="13"/>
      <c r="K194" s="13"/>
      <c r="L194" s="13"/>
      <c r="M194" s="13"/>
      <c r="N194" s="13"/>
      <c r="O194" s="7"/>
      <c r="P194" s="7"/>
      <c r="Q194" s="7"/>
      <c r="R194" s="7"/>
      <c r="S194" s="7"/>
      <c r="T194" s="7"/>
      <c r="U194" s="7"/>
      <c r="V194" s="7"/>
      <c r="W194" s="7"/>
      <c r="X194" s="7"/>
      <c r="Y194" s="7"/>
    </row>
    <row r="195" spans="1:25" ht="15.75" customHeight="1">
      <c r="A195" s="43"/>
      <c r="B195" s="30"/>
      <c r="C195" s="30"/>
      <c r="D195" s="31"/>
      <c r="E195" s="31"/>
      <c r="F195" s="31"/>
      <c r="G195" s="31"/>
      <c r="H195" s="31"/>
      <c r="I195" s="13"/>
      <c r="J195" s="13"/>
      <c r="K195" s="13"/>
      <c r="L195" s="13"/>
      <c r="M195" s="13"/>
      <c r="N195" s="13"/>
      <c r="O195" s="7"/>
      <c r="P195" s="7"/>
      <c r="Q195" s="7"/>
      <c r="R195" s="7"/>
      <c r="S195" s="7"/>
      <c r="T195" s="7"/>
      <c r="U195" s="7"/>
      <c r="V195" s="7"/>
      <c r="W195" s="7"/>
      <c r="X195" s="7"/>
      <c r="Y195" s="7"/>
    </row>
    <row r="196" spans="1:25" ht="15.75" customHeight="1">
      <c r="A196" s="43"/>
      <c r="B196" s="30"/>
      <c r="C196" s="30"/>
      <c r="D196" s="31"/>
      <c r="E196" s="31"/>
      <c r="F196" s="31"/>
      <c r="G196" s="31"/>
      <c r="H196" s="31"/>
      <c r="I196" s="13"/>
      <c r="J196" s="13"/>
      <c r="K196" s="13"/>
      <c r="L196" s="13"/>
      <c r="M196" s="13"/>
      <c r="N196" s="13"/>
      <c r="O196" s="7"/>
      <c r="P196" s="7"/>
      <c r="Q196" s="7"/>
      <c r="R196" s="7"/>
      <c r="S196" s="7"/>
      <c r="T196" s="7"/>
      <c r="U196" s="7"/>
      <c r="V196" s="7"/>
      <c r="W196" s="7"/>
      <c r="X196" s="7"/>
      <c r="Y196" s="7"/>
    </row>
    <row r="197" spans="1:25" ht="15.75" customHeight="1">
      <c r="A197" s="43"/>
      <c r="B197" s="30"/>
      <c r="C197" s="30"/>
      <c r="D197" s="31"/>
      <c r="E197" s="31"/>
      <c r="F197" s="31"/>
      <c r="G197" s="31"/>
      <c r="H197" s="31"/>
      <c r="I197" s="13"/>
      <c r="J197" s="13"/>
      <c r="K197" s="13"/>
      <c r="L197" s="13"/>
      <c r="M197" s="13"/>
      <c r="N197" s="13"/>
      <c r="O197" s="7"/>
      <c r="P197" s="7"/>
      <c r="Q197" s="7"/>
      <c r="R197" s="7"/>
      <c r="S197" s="7"/>
      <c r="T197" s="7"/>
      <c r="U197" s="7"/>
      <c r="V197" s="7"/>
      <c r="W197" s="7"/>
      <c r="X197" s="7"/>
      <c r="Y197" s="7"/>
    </row>
    <row r="198" spans="1:25" ht="15.75" customHeight="1">
      <c r="A198" s="43"/>
      <c r="B198" s="30"/>
      <c r="C198" s="30"/>
      <c r="D198" s="31"/>
      <c r="E198" s="31"/>
      <c r="F198" s="31"/>
      <c r="G198" s="31"/>
      <c r="H198" s="31"/>
      <c r="I198" s="13"/>
      <c r="J198" s="13"/>
      <c r="K198" s="13"/>
      <c r="L198" s="13"/>
      <c r="M198" s="13"/>
      <c r="N198" s="13"/>
      <c r="O198" s="7"/>
      <c r="P198" s="7"/>
      <c r="Q198" s="7"/>
      <c r="R198" s="7"/>
      <c r="S198" s="7"/>
      <c r="T198" s="7"/>
      <c r="U198" s="7"/>
      <c r="V198" s="7"/>
      <c r="W198" s="7"/>
      <c r="X198" s="7"/>
      <c r="Y198" s="7"/>
    </row>
    <row r="199" spans="1:25" ht="15.75" customHeight="1">
      <c r="A199" s="43"/>
      <c r="B199" s="30"/>
      <c r="C199" s="30"/>
      <c r="D199" s="31"/>
      <c r="E199" s="31"/>
      <c r="F199" s="31"/>
      <c r="G199" s="31"/>
      <c r="H199" s="31"/>
      <c r="I199" s="13"/>
      <c r="J199" s="13"/>
      <c r="K199" s="13"/>
      <c r="L199" s="13"/>
      <c r="M199" s="13"/>
      <c r="N199" s="13"/>
      <c r="O199" s="7"/>
      <c r="P199" s="7"/>
      <c r="Q199" s="7"/>
      <c r="R199" s="7"/>
      <c r="S199" s="7"/>
      <c r="T199" s="7"/>
      <c r="U199" s="7"/>
      <c r="V199" s="7"/>
      <c r="W199" s="7"/>
      <c r="X199" s="7"/>
      <c r="Y199" s="7"/>
    </row>
    <row r="200" spans="1:25" ht="15.75" customHeight="1">
      <c r="A200" s="43"/>
      <c r="B200" s="30"/>
      <c r="C200" s="30"/>
      <c r="D200" s="31"/>
      <c r="E200" s="31"/>
      <c r="F200" s="31"/>
      <c r="G200" s="31"/>
      <c r="H200" s="31"/>
      <c r="I200" s="13"/>
      <c r="J200" s="13"/>
      <c r="K200" s="13"/>
      <c r="L200" s="13"/>
      <c r="M200" s="13"/>
      <c r="N200" s="13"/>
      <c r="O200" s="7"/>
      <c r="P200" s="7"/>
      <c r="Q200" s="7"/>
      <c r="R200" s="7"/>
      <c r="S200" s="7"/>
      <c r="T200" s="7"/>
      <c r="U200" s="7"/>
      <c r="V200" s="7"/>
      <c r="W200" s="7"/>
      <c r="X200" s="7"/>
      <c r="Y200" s="7"/>
    </row>
    <row r="201" spans="1:25" ht="15.75" customHeight="1">
      <c r="A201" s="43"/>
      <c r="B201" s="30"/>
      <c r="C201" s="30"/>
      <c r="D201" s="31"/>
      <c r="E201" s="31"/>
      <c r="F201" s="31"/>
      <c r="G201" s="31"/>
      <c r="H201" s="31"/>
      <c r="I201" s="13"/>
      <c r="J201" s="13"/>
      <c r="K201" s="13"/>
      <c r="L201" s="13"/>
      <c r="M201" s="13"/>
      <c r="N201" s="13"/>
      <c r="O201" s="7"/>
      <c r="P201" s="7"/>
      <c r="Q201" s="7"/>
      <c r="R201" s="7"/>
      <c r="S201" s="7"/>
      <c r="T201" s="7"/>
      <c r="U201" s="7"/>
      <c r="V201" s="7"/>
      <c r="W201" s="7"/>
      <c r="X201" s="7"/>
      <c r="Y201" s="7"/>
    </row>
    <row r="202" spans="1:25" ht="15.75" customHeight="1">
      <c r="A202" s="43"/>
      <c r="B202" s="30"/>
      <c r="C202" s="30"/>
      <c r="D202" s="31"/>
      <c r="E202" s="31"/>
      <c r="F202" s="31"/>
      <c r="G202" s="31"/>
      <c r="H202" s="31"/>
      <c r="I202" s="13"/>
      <c r="J202" s="13"/>
      <c r="K202" s="13"/>
      <c r="L202" s="13"/>
      <c r="M202" s="13"/>
      <c r="N202" s="13"/>
      <c r="O202" s="7"/>
      <c r="P202" s="7"/>
      <c r="Q202" s="7"/>
      <c r="R202" s="7"/>
      <c r="S202" s="7"/>
      <c r="T202" s="7"/>
      <c r="U202" s="7"/>
      <c r="V202" s="7"/>
      <c r="W202" s="7"/>
      <c r="X202" s="7"/>
      <c r="Y202" s="7"/>
    </row>
    <row r="203" spans="1:25" ht="15.75" customHeight="1">
      <c r="A203" s="43"/>
      <c r="B203" s="30"/>
      <c r="C203" s="30"/>
      <c r="D203" s="31"/>
      <c r="E203" s="31"/>
      <c r="F203" s="31"/>
      <c r="G203" s="31"/>
      <c r="H203" s="31"/>
      <c r="I203" s="13"/>
      <c r="J203" s="13"/>
      <c r="K203" s="13"/>
      <c r="L203" s="13"/>
      <c r="M203" s="13"/>
      <c r="N203" s="13"/>
      <c r="O203" s="7"/>
      <c r="P203" s="7"/>
      <c r="Q203" s="7"/>
      <c r="R203" s="7"/>
      <c r="S203" s="7"/>
      <c r="T203" s="7"/>
      <c r="U203" s="7"/>
      <c r="V203" s="7"/>
      <c r="W203" s="7"/>
      <c r="X203" s="7"/>
      <c r="Y203" s="7"/>
    </row>
    <row r="204" spans="1:25" ht="15.75" customHeight="1">
      <c r="A204" s="43"/>
      <c r="B204" s="30"/>
      <c r="C204" s="30"/>
      <c r="D204" s="31"/>
      <c r="E204" s="31"/>
      <c r="F204" s="31"/>
      <c r="G204" s="31"/>
      <c r="H204" s="31"/>
      <c r="I204" s="13"/>
      <c r="J204" s="13"/>
      <c r="K204" s="13"/>
      <c r="L204" s="13"/>
      <c r="M204" s="13"/>
      <c r="N204" s="13"/>
      <c r="O204" s="7"/>
      <c r="P204" s="7"/>
      <c r="Q204" s="7"/>
      <c r="R204" s="7"/>
      <c r="S204" s="7"/>
      <c r="T204" s="7"/>
      <c r="U204" s="7"/>
      <c r="V204" s="7"/>
      <c r="W204" s="7"/>
      <c r="X204" s="7"/>
      <c r="Y204" s="7"/>
    </row>
    <row r="205" spans="1:25" ht="15.75" customHeight="1">
      <c r="A205" s="43"/>
      <c r="B205" s="30"/>
      <c r="C205" s="30"/>
      <c r="D205" s="31"/>
      <c r="E205" s="31"/>
      <c r="F205" s="31"/>
      <c r="G205" s="31"/>
      <c r="H205" s="31"/>
      <c r="I205" s="13"/>
      <c r="J205" s="13"/>
      <c r="K205" s="13"/>
      <c r="L205" s="13"/>
      <c r="M205" s="13"/>
      <c r="N205" s="13"/>
      <c r="O205" s="7"/>
      <c r="P205" s="7"/>
      <c r="Q205" s="7"/>
      <c r="R205" s="7"/>
      <c r="S205" s="7"/>
      <c r="T205" s="7"/>
      <c r="U205" s="7"/>
      <c r="V205" s="7"/>
      <c r="W205" s="7"/>
      <c r="X205" s="7"/>
      <c r="Y205" s="7"/>
    </row>
    <row r="206" spans="1:25" ht="15.75" customHeight="1">
      <c r="A206" s="43"/>
      <c r="B206" s="30"/>
      <c r="C206" s="30"/>
      <c r="D206" s="31"/>
      <c r="E206" s="31"/>
      <c r="F206" s="31"/>
      <c r="G206" s="31"/>
      <c r="H206" s="31"/>
      <c r="I206" s="13"/>
      <c r="J206" s="13"/>
      <c r="K206" s="13"/>
      <c r="L206" s="13"/>
      <c r="M206" s="13"/>
      <c r="N206" s="13"/>
      <c r="O206" s="7"/>
      <c r="P206" s="7"/>
      <c r="Q206" s="7"/>
      <c r="R206" s="7"/>
      <c r="S206" s="7"/>
      <c r="T206" s="7"/>
      <c r="U206" s="7"/>
      <c r="V206" s="7"/>
      <c r="W206" s="7"/>
      <c r="X206" s="7"/>
      <c r="Y206" s="7"/>
    </row>
    <row r="207" spans="1:25" ht="15.75" customHeight="1">
      <c r="A207" s="43"/>
      <c r="B207" s="30"/>
      <c r="C207" s="30"/>
      <c r="D207" s="31"/>
      <c r="E207" s="31"/>
      <c r="F207" s="31"/>
      <c r="G207" s="31"/>
      <c r="H207" s="31"/>
      <c r="I207" s="13"/>
      <c r="J207" s="13"/>
      <c r="K207" s="13"/>
      <c r="L207" s="13"/>
      <c r="M207" s="13"/>
      <c r="N207" s="13"/>
      <c r="O207" s="7"/>
      <c r="P207" s="7"/>
      <c r="Q207" s="7"/>
      <c r="R207" s="7"/>
      <c r="S207" s="7"/>
      <c r="T207" s="7"/>
      <c r="U207" s="7"/>
      <c r="V207" s="7"/>
      <c r="W207" s="7"/>
      <c r="X207" s="7"/>
      <c r="Y207" s="7"/>
    </row>
    <row r="208" spans="1:25" ht="15.75" customHeight="1">
      <c r="A208" s="43"/>
      <c r="B208" s="30"/>
      <c r="C208" s="30"/>
      <c r="D208" s="31"/>
      <c r="E208" s="31"/>
      <c r="F208" s="31"/>
      <c r="G208" s="31"/>
      <c r="H208" s="31"/>
      <c r="I208" s="13"/>
      <c r="J208" s="13"/>
      <c r="K208" s="13"/>
      <c r="L208" s="13"/>
      <c r="M208" s="13"/>
      <c r="N208" s="13"/>
      <c r="O208" s="7"/>
      <c r="P208" s="7"/>
      <c r="Q208" s="7"/>
      <c r="R208" s="7"/>
      <c r="S208" s="7"/>
      <c r="T208" s="7"/>
      <c r="U208" s="7"/>
      <c r="V208" s="7"/>
      <c r="W208" s="7"/>
      <c r="X208" s="7"/>
      <c r="Y208" s="7"/>
    </row>
    <row r="209" spans="1:25" ht="15.75" customHeight="1">
      <c r="A209" s="43"/>
      <c r="B209" s="30"/>
      <c r="C209" s="30"/>
      <c r="D209" s="31"/>
      <c r="E209" s="31"/>
      <c r="F209" s="31"/>
      <c r="G209" s="31"/>
      <c r="H209" s="31"/>
      <c r="I209" s="13"/>
      <c r="J209" s="13"/>
      <c r="K209" s="13"/>
      <c r="L209" s="13"/>
      <c r="M209" s="13"/>
      <c r="N209" s="13"/>
      <c r="O209" s="7"/>
      <c r="P209" s="7"/>
      <c r="Q209" s="7"/>
      <c r="R209" s="7"/>
      <c r="S209" s="7"/>
      <c r="T209" s="7"/>
      <c r="U209" s="7"/>
      <c r="V209" s="7"/>
      <c r="W209" s="7"/>
      <c r="X209" s="7"/>
      <c r="Y209" s="7"/>
    </row>
    <row r="210" spans="1:25" ht="15.75" customHeight="1">
      <c r="A210" s="43"/>
      <c r="B210" s="30"/>
      <c r="C210" s="30"/>
      <c r="D210" s="31"/>
      <c r="E210" s="31"/>
      <c r="F210" s="31"/>
      <c r="G210" s="31"/>
      <c r="H210" s="31"/>
      <c r="I210" s="13"/>
      <c r="J210" s="13"/>
      <c r="K210" s="13"/>
      <c r="L210" s="13"/>
      <c r="M210" s="13"/>
      <c r="N210" s="13"/>
      <c r="O210" s="7"/>
      <c r="P210" s="7"/>
      <c r="Q210" s="7"/>
      <c r="R210" s="7"/>
      <c r="S210" s="7"/>
      <c r="T210" s="7"/>
      <c r="U210" s="7"/>
      <c r="V210" s="7"/>
      <c r="W210" s="7"/>
      <c r="X210" s="7"/>
      <c r="Y210" s="7"/>
    </row>
    <row r="211" spans="1:25" ht="15.75" customHeight="1">
      <c r="A211" s="43"/>
      <c r="B211" s="30"/>
      <c r="C211" s="30"/>
      <c r="D211" s="31"/>
      <c r="E211" s="31"/>
      <c r="F211" s="31"/>
      <c r="G211" s="31"/>
      <c r="H211" s="31"/>
      <c r="I211" s="13"/>
      <c r="J211" s="13"/>
      <c r="K211" s="13"/>
      <c r="L211" s="13"/>
      <c r="M211" s="13"/>
      <c r="N211" s="13"/>
      <c r="O211" s="7"/>
      <c r="P211" s="7"/>
      <c r="Q211" s="7"/>
      <c r="R211" s="7"/>
      <c r="S211" s="7"/>
      <c r="T211" s="7"/>
      <c r="U211" s="7"/>
      <c r="V211" s="7"/>
      <c r="W211" s="7"/>
      <c r="X211" s="7"/>
      <c r="Y211" s="7"/>
    </row>
    <row r="212" spans="1:25" ht="15.75" customHeight="1">
      <c r="A212" s="43"/>
      <c r="B212" s="30"/>
      <c r="C212" s="30"/>
      <c r="D212" s="31"/>
      <c r="E212" s="31"/>
      <c r="F212" s="31"/>
      <c r="G212" s="31"/>
      <c r="H212" s="31"/>
      <c r="I212" s="13"/>
      <c r="J212" s="13"/>
      <c r="K212" s="13"/>
      <c r="L212" s="13"/>
      <c r="M212" s="13"/>
      <c r="N212" s="13"/>
      <c r="O212" s="7"/>
      <c r="P212" s="7"/>
      <c r="Q212" s="7"/>
      <c r="R212" s="7"/>
      <c r="S212" s="7"/>
      <c r="T212" s="7"/>
      <c r="U212" s="7"/>
      <c r="V212" s="7"/>
      <c r="W212" s="7"/>
      <c r="X212" s="7"/>
      <c r="Y212" s="7"/>
    </row>
    <row r="213" spans="1:25" ht="15.75" customHeight="1">
      <c r="A213" s="43"/>
      <c r="B213" s="30"/>
      <c r="C213" s="30"/>
      <c r="D213" s="31"/>
      <c r="E213" s="31"/>
      <c r="F213" s="31"/>
      <c r="G213" s="31"/>
      <c r="H213" s="31"/>
      <c r="I213" s="13"/>
      <c r="J213" s="13"/>
      <c r="K213" s="13"/>
      <c r="L213" s="13"/>
      <c r="M213" s="13"/>
      <c r="N213" s="13"/>
      <c r="O213" s="7"/>
      <c r="P213" s="7"/>
      <c r="Q213" s="7"/>
      <c r="R213" s="7"/>
      <c r="S213" s="7"/>
      <c r="T213" s="7"/>
      <c r="U213" s="7"/>
      <c r="V213" s="7"/>
      <c r="W213" s="7"/>
      <c r="X213" s="7"/>
      <c r="Y213" s="7"/>
    </row>
    <row r="214" spans="1:25" ht="15.75" customHeight="1">
      <c r="A214" s="43"/>
      <c r="B214" s="30"/>
      <c r="C214" s="30"/>
      <c r="D214" s="31"/>
      <c r="E214" s="31"/>
      <c r="F214" s="31"/>
      <c r="G214" s="31"/>
      <c r="H214" s="31"/>
      <c r="I214" s="13"/>
      <c r="J214" s="13"/>
      <c r="K214" s="13"/>
      <c r="L214" s="13"/>
      <c r="M214" s="13"/>
      <c r="N214" s="13"/>
      <c r="O214" s="7"/>
      <c r="P214" s="7"/>
      <c r="Q214" s="7"/>
      <c r="R214" s="7"/>
      <c r="S214" s="7"/>
      <c r="T214" s="7"/>
      <c r="U214" s="7"/>
      <c r="V214" s="7"/>
      <c r="W214" s="7"/>
      <c r="X214" s="7"/>
      <c r="Y214" s="7"/>
    </row>
    <row r="215" spans="1:25" ht="15.75" customHeight="1">
      <c r="A215" s="43"/>
      <c r="B215" s="30"/>
      <c r="C215" s="30"/>
      <c r="D215" s="31"/>
      <c r="E215" s="31"/>
      <c r="F215" s="31"/>
      <c r="G215" s="31"/>
      <c r="H215" s="31"/>
      <c r="I215" s="13"/>
      <c r="J215" s="13"/>
      <c r="K215" s="13"/>
      <c r="L215" s="13"/>
      <c r="M215" s="13"/>
      <c r="N215" s="13"/>
      <c r="O215" s="7"/>
      <c r="P215" s="7"/>
      <c r="Q215" s="7"/>
      <c r="R215" s="7"/>
      <c r="S215" s="7"/>
      <c r="T215" s="7"/>
      <c r="U215" s="7"/>
      <c r="V215" s="7"/>
      <c r="W215" s="7"/>
      <c r="X215" s="7"/>
      <c r="Y215" s="7"/>
    </row>
    <row r="216" spans="1:25" ht="15.75" customHeight="1">
      <c r="A216" s="43"/>
      <c r="B216" s="30"/>
      <c r="C216" s="30"/>
      <c r="D216" s="31"/>
      <c r="E216" s="31"/>
      <c r="F216" s="31"/>
      <c r="G216" s="31"/>
      <c r="H216" s="31"/>
      <c r="I216" s="13"/>
      <c r="J216" s="13"/>
      <c r="K216" s="13"/>
      <c r="L216" s="13"/>
      <c r="M216" s="13"/>
      <c r="N216" s="13"/>
      <c r="O216" s="7"/>
      <c r="P216" s="7"/>
      <c r="Q216" s="7"/>
      <c r="R216" s="7"/>
      <c r="S216" s="7"/>
      <c r="T216" s="7"/>
      <c r="U216" s="7"/>
      <c r="V216" s="7"/>
      <c r="W216" s="7"/>
      <c r="X216" s="7"/>
      <c r="Y216" s="7"/>
    </row>
    <row r="217" spans="1:25" ht="15.75" customHeight="1">
      <c r="A217" s="43"/>
      <c r="B217" s="30"/>
      <c r="C217" s="30"/>
      <c r="D217" s="31"/>
      <c r="E217" s="31"/>
      <c r="F217" s="31"/>
      <c r="G217" s="31"/>
      <c r="H217" s="31"/>
      <c r="I217" s="13"/>
      <c r="J217" s="13"/>
      <c r="K217" s="13"/>
      <c r="L217" s="13"/>
      <c r="M217" s="13"/>
      <c r="N217" s="13"/>
      <c r="O217" s="7"/>
      <c r="P217" s="7"/>
      <c r="Q217" s="7"/>
      <c r="R217" s="7"/>
      <c r="S217" s="7"/>
      <c r="T217" s="7"/>
      <c r="U217" s="7"/>
      <c r="V217" s="7"/>
      <c r="W217" s="7"/>
      <c r="X217" s="7"/>
      <c r="Y217" s="7"/>
    </row>
    <row r="218" spans="1:25" ht="15.75" customHeight="1">
      <c r="A218" s="43"/>
      <c r="B218" s="30"/>
      <c r="C218" s="30"/>
      <c r="D218" s="31"/>
      <c r="E218" s="31"/>
      <c r="F218" s="31"/>
      <c r="G218" s="31"/>
      <c r="H218" s="31"/>
      <c r="I218" s="13"/>
      <c r="J218" s="13"/>
      <c r="K218" s="13"/>
      <c r="L218" s="13"/>
      <c r="M218" s="13"/>
      <c r="N218" s="13"/>
      <c r="O218" s="7"/>
      <c r="P218" s="7"/>
      <c r="Q218" s="7"/>
      <c r="R218" s="7"/>
      <c r="S218" s="7"/>
      <c r="T218" s="7"/>
      <c r="U218" s="7"/>
      <c r="V218" s="7"/>
      <c r="W218" s="7"/>
      <c r="X218" s="7"/>
      <c r="Y218" s="7"/>
    </row>
    <row r="219" spans="1:25" ht="15.75" customHeight="1">
      <c r="A219" s="43"/>
      <c r="B219" s="30"/>
      <c r="C219" s="30"/>
      <c r="D219" s="31"/>
      <c r="E219" s="31"/>
      <c r="F219" s="31"/>
      <c r="G219" s="31"/>
      <c r="H219" s="31"/>
      <c r="I219" s="13"/>
      <c r="J219" s="13"/>
      <c r="K219" s="13"/>
      <c r="L219" s="13"/>
      <c r="M219" s="13"/>
      <c r="N219" s="13"/>
      <c r="O219" s="7"/>
      <c r="P219" s="7"/>
      <c r="Q219" s="7"/>
      <c r="R219" s="7"/>
      <c r="S219" s="7"/>
      <c r="T219" s="7"/>
      <c r="U219" s="7"/>
      <c r="V219" s="7"/>
      <c r="W219" s="7"/>
      <c r="X219" s="7"/>
      <c r="Y219" s="7"/>
    </row>
    <row r="220" spans="1:25" ht="15.75" customHeight="1">
      <c r="A220" s="43"/>
      <c r="B220" s="30"/>
      <c r="C220" s="30"/>
      <c r="D220" s="31"/>
      <c r="E220" s="31"/>
      <c r="F220" s="31"/>
      <c r="G220" s="31"/>
      <c r="H220" s="31"/>
      <c r="I220" s="13"/>
      <c r="J220" s="13"/>
      <c r="K220" s="13"/>
      <c r="L220" s="13"/>
      <c r="M220" s="13"/>
      <c r="N220" s="13"/>
      <c r="O220" s="7"/>
      <c r="P220" s="7"/>
      <c r="Q220" s="7"/>
      <c r="R220" s="7"/>
      <c r="S220" s="7"/>
      <c r="T220" s="7"/>
      <c r="U220" s="7"/>
      <c r="V220" s="7"/>
      <c r="W220" s="7"/>
      <c r="X220" s="7"/>
      <c r="Y220" s="7"/>
    </row>
    <row r="221" spans="1:25" ht="15.75" customHeight="1">
      <c r="A221" s="43"/>
      <c r="B221" s="30"/>
      <c r="C221" s="30"/>
      <c r="D221" s="31"/>
      <c r="E221" s="31"/>
      <c r="F221" s="31"/>
      <c r="G221" s="31"/>
      <c r="H221" s="31"/>
      <c r="I221" s="13"/>
      <c r="J221" s="13"/>
      <c r="K221" s="13"/>
      <c r="L221" s="13"/>
      <c r="M221" s="13"/>
      <c r="N221" s="13"/>
      <c r="O221" s="7"/>
      <c r="P221" s="7"/>
      <c r="Q221" s="7"/>
      <c r="R221" s="7"/>
      <c r="S221" s="7"/>
      <c r="T221" s="7"/>
      <c r="U221" s="7"/>
      <c r="V221" s="7"/>
      <c r="W221" s="7"/>
      <c r="X221" s="7"/>
      <c r="Y221" s="7"/>
    </row>
    <row r="222" spans="1:25" ht="15.75" customHeight="1">
      <c r="A222" s="43"/>
      <c r="B222" s="30"/>
      <c r="C222" s="30"/>
      <c r="D222" s="31"/>
      <c r="E222" s="31"/>
      <c r="F222" s="31"/>
      <c r="G222" s="31"/>
      <c r="H222" s="31"/>
      <c r="I222" s="13"/>
      <c r="J222" s="13"/>
      <c r="K222" s="13"/>
      <c r="L222" s="13"/>
      <c r="M222" s="13"/>
      <c r="N222" s="13"/>
      <c r="O222" s="7"/>
      <c r="P222" s="7"/>
      <c r="Q222" s="7"/>
      <c r="R222" s="7"/>
      <c r="S222" s="7"/>
      <c r="T222" s="7"/>
      <c r="U222" s="7"/>
      <c r="V222" s="7"/>
      <c r="W222" s="7"/>
      <c r="X222" s="7"/>
      <c r="Y222" s="7"/>
    </row>
    <row r="223" spans="1:25" ht="15.75" customHeight="1">
      <c r="A223" s="43"/>
      <c r="B223" s="30"/>
      <c r="C223" s="30"/>
      <c r="D223" s="31"/>
      <c r="E223" s="31"/>
      <c r="F223" s="31"/>
      <c r="G223" s="31"/>
      <c r="H223" s="31"/>
      <c r="I223" s="13"/>
      <c r="J223" s="13"/>
      <c r="K223" s="13"/>
      <c r="L223" s="13"/>
      <c r="M223" s="13"/>
      <c r="N223" s="13"/>
      <c r="O223" s="7"/>
      <c r="P223" s="7"/>
      <c r="Q223" s="7"/>
      <c r="R223" s="7"/>
      <c r="S223" s="7"/>
      <c r="T223" s="7"/>
      <c r="U223" s="7"/>
      <c r="V223" s="7"/>
      <c r="W223" s="7"/>
      <c r="X223" s="7"/>
      <c r="Y223" s="7"/>
    </row>
    <row r="224" spans="1:25" ht="15.75" customHeight="1">
      <c r="A224" s="43"/>
      <c r="B224" s="30"/>
      <c r="C224" s="30"/>
      <c r="D224" s="31"/>
      <c r="E224" s="31"/>
      <c r="F224" s="31"/>
      <c r="G224" s="31"/>
      <c r="H224" s="31"/>
      <c r="I224" s="13"/>
      <c r="J224" s="13"/>
      <c r="K224" s="13"/>
      <c r="L224" s="13"/>
      <c r="M224" s="13"/>
      <c r="N224" s="13"/>
      <c r="O224" s="7"/>
      <c r="P224" s="7"/>
      <c r="Q224" s="7"/>
      <c r="R224" s="7"/>
      <c r="S224" s="7"/>
      <c r="T224" s="7"/>
      <c r="U224" s="7"/>
      <c r="V224" s="7"/>
      <c r="W224" s="7"/>
      <c r="X224" s="7"/>
      <c r="Y224" s="7"/>
    </row>
    <row r="225" spans="1:25" ht="15.75" customHeight="1">
      <c r="A225" s="43"/>
      <c r="B225" s="30"/>
      <c r="C225" s="30"/>
      <c r="D225" s="31"/>
      <c r="E225" s="31"/>
      <c r="F225" s="31"/>
      <c r="G225" s="31"/>
      <c r="H225" s="31"/>
      <c r="I225" s="13"/>
      <c r="J225" s="13"/>
      <c r="K225" s="13"/>
      <c r="L225" s="13"/>
      <c r="M225" s="13"/>
      <c r="N225" s="13"/>
      <c r="O225" s="7"/>
      <c r="P225" s="7"/>
      <c r="Q225" s="7"/>
      <c r="R225" s="7"/>
      <c r="S225" s="7"/>
      <c r="T225" s="7"/>
      <c r="U225" s="7"/>
      <c r="V225" s="7"/>
      <c r="W225" s="7"/>
      <c r="X225" s="7"/>
      <c r="Y225" s="7"/>
    </row>
    <row r="226" spans="1:25" ht="15.75" customHeight="1">
      <c r="A226" s="43"/>
      <c r="B226" s="30"/>
      <c r="C226" s="30"/>
      <c r="D226" s="31"/>
      <c r="E226" s="31"/>
      <c r="F226" s="31"/>
      <c r="G226" s="31"/>
      <c r="H226" s="31"/>
      <c r="I226" s="13"/>
      <c r="J226" s="13"/>
      <c r="K226" s="13"/>
      <c r="L226" s="13"/>
      <c r="M226" s="13"/>
      <c r="N226" s="13"/>
      <c r="O226" s="7"/>
      <c r="P226" s="7"/>
      <c r="Q226" s="7"/>
      <c r="R226" s="7"/>
      <c r="S226" s="7"/>
      <c r="T226" s="7"/>
      <c r="U226" s="7"/>
      <c r="V226" s="7"/>
      <c r="W226" s="7"/>
      <c r="X226" s="7"/>
      <c r="Y226" s="7"/>
    </row>
    <row r="227" spans="1:25" ht="15.75" customHeight="1">
      <c r="A227" s="43"/>
      <c r="B227" s="30"/>
      <c r="C227" s="30"/>
      <c r="D227" s="31"/>
      <c r="E227" s="31"/>
      <c r="F227" s="31"/>
      <c r="G227" s="31"/>
      <c r="H227" s="31"/>
      <c r="I227" s="13"/>
      <c r="J227" s="13"/>
      <c r="K227" s="13"/>
      <c r="L227" s="13"/>
      <c r="M227" s="13"/>
      <c r="N227" s="13"/>
      <c r="O227" s="7"/>
      <c r="P227" s="7"/>
      <c r="Q227" s="7"/>
      <c r="R227" s="7"/>
      <c r="S227" s="7"/>
      <c r="T227" s="7"/>
      <c r="U227" s="7"/>
      <c r="V227" s="7"/>
      <c r="W227" s="7"/>
      <c r="X227" s="7"/>
      <c r="Y227" s="7"/>
    </row>
    <row r="228" spans="1:25" ht="15.75" customHeight="1">
      <c r="A228" s="43"/>
      <c r="B228" s="30"/>
      <c r="C228" s="30"/>
      <c r="D228" s="31"/>
      <c r="E228" s="31"/>
      <c r="F228" s="31"/>
      <c r="G228" s="31"/>
      <c r="H228" s="31"/>
      <c r="I228" s="13"/>
      <c r="J228" s="13"/>
      <c r="K228" s="13"/>
      <c r="L228" s="13"/>
      <c r="M228" s="13"/>
      <c r="N228" s="13"/>
      <c r="O228" s="7"/>
      <c r="P228" s="7"/>
      <c r="Q228" s="7"/>
      <c r="R228" s="7"/>
      <c r="S228" s="7"/>
      <c r="T228" s="7"/>
      <c r="U228" s="7"/>
      <c r="V228" s="7"/>
      <c r="W228" s="7"/>
      <c r="X228" s="7"/>
      <c r="Y228" s="7"/>
    </row>
    <row r="229" spans="1:25" ht="15.75" customHeight="1">
      <c r="A229" s="43"/>
      <c r="B229" s="30"/>
      <c r="C229" s="30"/>
      <c r="D229" s="31"/>
      <c r="E229" s="31"/>
      <c r="F229" s="31"/>
      <c r="G229" s="31"/>
      <c r="H229" s="31"/>
      <c r="I229" s="13"/>
      <c r="J229" s="13"/>
      <c r="K229" s="13"/>
      <c r="L229" s="13"/>
      <c r="M229" s="13"/>
      <c r="N229" s="13"/>
      <c r="O229" s="7"/>
      <c r="P229" s="7"/>
      <c r="Q229" s="7"/>
      <c r="R229" s="7"/>
      <c r="S229" s="7"/>
      <c r="T229" s="7"/>
      <c r="U229" s="7"/>
      <c r="V229" s="7"/>
      <c r="W229" s="7"/>
      <c r="X229" s="7"/>
      <c r="Y229" s="7"/>
    </row>
    <row r="230" spans="1:25" ht="15.75" customHeight="1">
      <c r="A230" s="43"/>
      <c r="B230" s="30"/>
      <c r="C230" s="30"/>
      <c r="D230" s="31"/>
      <c r="E230" s="31"/>
      <c r="F230" s="31"/>
      <c r="G230" s="31"/>
      <c r="H230" s="31"/>
      <c r="I230" s="13"/>
      <c r="J230" s="13"/>
      <c r="K230" s="13"/>
      <c r="L230" s="13"/>
      <c r="M230" s="13"/>
      <c r="N230" s="13"/>
      <c r="O230" s="7"/>
      <c r="P230" s="7"/>
      <c r="Q230" s="7"/>
      <c r="R230" s="7"/>
      <c r="S230" s="7"/>
      <c r="T230" s="7"/>
      <c r="U230" s="7"/>
      <c r="V230" s="7"/>
      <c r="W230" s="7"/>
      <c r="X230" s="7"/>
      <c r="Y230" s="7"/>
    </row>
    <row r="231" spans="1:25" ht="15.75" customHeight="1">
      <c r="A231" s="43"/>
      <c r="B231" s="30"/>
      <c r="C231" s="30"/>
      <c r="D231" s="31"/>
      <c r="E231" s="31"/>
      <c r="F231" s="31"/>
      <c r="G231" s="31"/>
      <c r="H231" s="31"/>
      <c r="I231" s="13"/>
      <c r="J231" s="13"/>
      <c r="K231" s="13"/>
      <c r="L231" s="13"/>
      <c r="M231" s="13"/>
      <c r="N231" s="13"/>
      <c r="O231" s="7"/>
      <c r="P231" s="7"/>
      <c r="Q231" s="7"/>
      <c r="R231" s="7"/>
      <c r="S231" s="7"/>
      <c r="T231" s="7"/>
      <c r="U231" s="7"/>
      <c r="V231" s="7"/>
      <c r="W231" s="7"/>
      <c r="X231" s="7"/>
      <c r="Y231" s="7"/>
    </row>
    <row r="232" spans="1:25" ht="15.75" customHeight="1">
      <c r="A232" s="43"/>
      <c r="B232" s="30"/>
      <c r="C232" s="30"/>
      <c r="D232" s="31"/>
      <c r="E232" s="31"/>
      <c r="F232" s="31"/>
      <c r="G232" s="31"/>
      <c r="H232" s="31"/>
      <c r="I232" s="13"/>
      <c r="J232" s="13"/>
      <c r="K232" s="13"/>
      <c r="L232" s="13"/>
      <c r="M232" s="13"/>
      <c r="N232" s="13"/>
      <c r="O232" s="7"/>
      <c r="P232" s="7"/>
      <c r="Q232" s="7"/>
      <c r="R232" s="7"/>
      <c r="S232" s="7"/>
      <c r="T232" s="7"/>
      <c r="U232" s="7"/>
      <c r="V232" s="7"/>
      <c r="W232" s="7"/>
      <c r="X232" s="7"/>
      <c r="Y232" s="7"/>
    </row>
    <row r="233" spans="1:25" ht="15.75" customHeight="1">
      <c r="A233" s="43"/>
      <c r="B233" s="30"/>
      <c r="C233" s="30"/>
      <c r="D233" s="31"/>
      <c r="E233" s="31"/>
      <c r="F233" s="31"/>
      <c r="G233" s="31"/>
      <c r="H233" s="31"/>
      <c r="I233" s="13"/>
      <c r="J233" s="13"/>
      <c r="K233" s="13"/>
      <c r="L233" s="13"/>
      <c r="M233" s="13"/>
      <c r="N233" s="13"/>
      <c r="O233" s="7"/>
      <c r="P233" s="7"/>
      <c r="Q233" s="7"/>
      <c r="R233" s="7"/>
      <c r="S233" s="7"/>
      <c r="T233" s="7"/>
      <c r="U233" s="7"/>
      <c r="V233" s="7"/>
      <c r="W233" s="7"/>
      <c r="X233" s="7"/>
      <c r="Y233" s="7"/>
    </row>
    <row r="234" spans="1:25" ht="15.75" customHeight="1">
      <c r="A234" s="43"/>
      <c r="B234" s="30"/>
      <c r="C234" s="30"/>
      <c r="D234" s="31"/>
      <c r="E234" s="31"/>
      <c r="F234" s="31"/>
      <c r="G234" s="31"/>
      <c r="H234" s="31"/>
      <c r="I234" s="13"/>
      <c r="J234" s="13"/>
      <c r="K234" s="13"/>
      <c r="L234" s="13"/>
      <c r="M234" s="13"/>
      <c r="N234" s="13"/>
      <c r="O234" s="7"/>
      <c r="P234" s="7"/>
      <c r="Q234" s="7"/>
      <c r="R234" s="7"/>
      <c r="S234" s="7"/>
      <c r="T234" s="7"/>
      <c r="U234" s="7"/>
      <c r="V234" s="7"/>
      <c r="W234" s="7"/>
      <c r="X234" s="7"/>
      <c r="Y234" s="7"/>
    </row>
    <row r="235" spans="1:25" ht="15.75" customHeight="1">
      <c r="A235" s="43"/>
      <c r="B235" s="30"/>
      <c r="C235" s="30"/>
      <c r="D235" s="31"/>
      <c r="E235" s="31"/>
      <c r="F235" s="31"/>
      <c r="G235" s="31"/>
      <c r="H235" s="31"/>
      <c r="I235" s="13"/>
      <c r="J235" s="13"/>
      <c r="K235" s="13"/>
      <c r="L235" s="13"/>
      <c r="M235" s="13"/>
      <c r="N235" s="13"/>
      <c r="O235" s="7"/>
      <c r="P235" s="7"/>
      <c r="Q235" s="7"/>
      <c r="R235" s="7"/>
      <c r="S235" s="7"/>
      <c r="T235" s="7"/>
      <c r="U235" s="7"/>
      <c r="V235" s="7"/>
      <c r="W235" s="7"/>
      <c r="X235" s="7"/>
      <c r="Y235" s="7"/>
    </row>
    <row r="236" spans="1:25" ht="15.75" customHeight="1">
      <c r="A236" s="43"/>
      <c r="B236" s="30"/>
      <c r="C236" s="30"/>
      <c r="D236" s="31"/>
      <c r="E236" s="31"/>
      <c r="F236" s="31"/>
      <c r="G236" s="31"/>
      <c r="H236" s="31"/>
      <c r="I236" s="13"/>
      <c r="J236" s="13"/>
      <c r="K236" s="13"/>
      <c r="L236" s="13"/>
      <c r="M236" s="13"/>
      <c r="N236" s="13"/>
      <c r="O236" s="7"/>
      <c r="P236" s="7"/>
      <c r="Q236" s="7"/>
      <c r="R236" s="7"/>
      <c r="S236" s="7"/>
      <c r="T236" s="7"/>
      <c r="U236" s="7"/>
      <c r="V236" s="7"/>
      <c r="W236" s="7"/>
      <c r="X236" s="7"/>
      <c r="Y236" s="7"/>
    </row>
    <row r="237" spans="1:25" ht="15.75" customHeight="1">
      <c r="A237" s="43"/>
      <c r="B237" s="30"/>
      <c r="C237" s="30"/>
      <c r="D237" s="31"/>
      <c r="E237" s="31"/>
      <c r="F237" s="31"/>
      <c r="G237" s="31"/>
      <c r="H237" s="31"/>
      <c r="I237" s="13"/>
      <c r="J237" s="13"/>
      <c r="K237" s="13"/>
      <c r="L237" s="13"/>
      <c r="M237" s="13"/>
      <c r="N237" s="13"/>
      <c r="O237" s="7"/>
      <c r="P237" s="7"/>
      <c r="Q237" s="7"/>
      <c r="R237" s="7"/>
      <c r="S237" s="7"/>
      <c r="T237" s="7"/>
      <c r="U237" s="7"/>
      <c r="V237" s="7"/>
      <c r="W237" s="7"/>
      <c r="X237" s="7"/>
      <c r="Y237" s="7"/>
    </row>
    <row r="238" spans="1:25" ht="15.75" customHeight="1">
      <c r="A238" s="43"/>
      <c r="B238" s="30"/>
      <c r="C238" s="30"/>
      <c r="D238" s="31"/>
      <c r="E238" s="31"/>
      <c r="F238" s="31"/>
      <c r="G238" s="31"/>
      <c r="H238" s="31"/>
      <c r="I238" s="13"/>
      <c r="J238" s="13"/>
      <c r="K238" s="13"/>
      <c r="L238" s="13"/>
      <c r="M238" s="13"/>
      <c r="N238" s="13"/>
      <c r="O238" s="7"/>
      <c r="P238" s="7"/>
      <c r="Q238" s="7"/>
      <c r="R238" s="7"/>
      <c r="S238" s="7"/>
      <c r="T238" s="7"/>
      <c r="U238" s="7"/>
      <c r="V238" s="7"/>
      <c r="W238" s="7"/>
      <c r="X238" s="7"/>
      <c r="Y238" s="7"/>
    </row>
    <row r="239" spans="1:25" ht="15.75" customHeight="1">
      <c r="A239" s="43"/>
      <c r="B239" s="30"/>
      <c r="C239" s="30"/>
      <c r="D239" s="31"/>
      <c r="E239" s="31"/>
      <c r="F239" s="31"/>
      <c r="G239" s="31"/>
      <c r="H239" s="31"/>
      <c r="I239" s="13"/>
      <c r="J239" s="13"/>
      <c r="K239" s="13"/>
      <c r="L239" s="13"/>
      <c r="M239" s="13"/>
      <c r="N239" s="13"/>
      <c r="O239" s="7"/>
      <c r="P239" s="7"/>
      <c r="Q239" s="7"/>
      <c r="R239" s="7"/>
      <c r="S239" s="7"/>
      <c r="T239" s="7"/>
      <c r="U239" s="7"/>
      <c r="V239" s="7"/>
      <c r="W239" s="7"/>
      <c r="X239" s="7"/>
      <c r="Y239" s="7"/>
    </row>
    <row r="240" spans="1:25" ht="15.75" customHeight="1">
      <c r="A240" s="43"/>
      <c r="B240" s="30"/>
      <c r="C240" s="30"/>
      <c r="D240" s="31"/>
      <c r="E240" s="31"/>
      <c r="F240" s="31"/>
      <c r="G240" s="31"/>
      <c r="H240" s="31"/>
      <c r="I240" s="13"/>
      <c r="J240" s="13"/>
      <c r="K240" s="13"/>
      <c r="L240" s="13"/>
      <c r="M240" s="13"/>
      <c r="N240" s="13"/>
      <c r="O240" s="7"/>
      <c r="P240" s="7"/>
      <c r="Q240" s="7"/>
      <c r="R240" s="7"/>
      <c r="S240" s="7"/>
      <c r="T240" s="7"/>
      <c r="U240" s="7"/>
      <c r="V240" s="7"/>
      <c r="W240" s="7"/>
      <c r="X240" s="7"/>
      <c r="Y240" s="7"/>
    </row>
    <row r="241" spans="1:25" ht="15.75" customHeight="1">
      <c r="A241" s="43"/>
      <c r="B241" s="30"/>
      <c r="C241" s="30"/>
      <c r="D241" s="31"/>
      <c r="E241" s="31"/>
      <c r="F241" s="31"/>
      <c r="G241" s="31"/>
      <c r="H241" s="31"/>
      <c r="I241" s="13"/>
      <c r="J241" s="13"/>
      <c r="K241" s="13"/>
      <c r="L241" s="13"/>
      <c r="M241" s="13"/>
      <c r="N241" s="13"/>
      <c r="O241" s="7"/>
      <c r="P241" s="7"/>
      <c r="Q241" s="7"/>
      <c r="R241" s="7"/>
      <c r="S241" s="7"/>
      <c r="T241" s="7"/>
      <c r="U241" s="7"/>
      <c r="V241" s="7"/>
      <c r="W241" s="7"/>
      <c r="X241" s="7"/>
      <c r="Y241" s="7"/>
    </row>
    <row r="242" spans="1:25" ht="15.75" customHeight="1">
      <c r="A242" s="43"/>
      <c r="B242" s="30"/>
      <c r="C242" s="30"/>
      <c r="D242" s="31"/>
      <c r="E242" s="31"/>
      <c r="F242" s="31"/>
      <c r="G242" s="31"/>
      <c r="H242" s="31"/>
      <c r="I242" s="13"/>
      <c r="J242" s="13"/>
      <c r="K242" s="13"/>
      <c r="L242" s="13"/>
      <c r="M242" s="13"/>
      <c r="N242" s="13"/>
      <c r="O242" s="7"/>
      <c r="P242" s="7"/>
      <c r="Q242" s="7"/>
      <c r="R242" s="7"/>
      <c r="S242" s="7"/>
      <c r="T242" s="7"/>
      <c r="U242" s="7"/>
      <c r="V242" s="7"/>
      <c r="W242" s="7"/>
      <c r="X242" s="7"/>
      <c r="Y242" s="7"/>
    </row>
    <row r="243" spans="1:25" ht="15.75" customHeight="1">
      <c r="A243" s="43"/>
      <c r="B243" s="30"/>
      <c r="C243" s="30"/>
      <c r="D243" s="31"/>
      <c r="E243" s="31"/>
      <c r="F243" s="31"/>
      <c r="G243" s="31"/>
      <c r="H243" s="31"/>
      <c r="I243" s="13"/>
      <c r="J243" s="13"/>
      <c r="K243" s="13"/>
      <c r="L243" s="13"/>
      <c r="M243" s="13"/>
      <c r="N243" s="13"/>
      <c r="O243" s="7"/>
      <c r="P243" s="7"/>
      <c r="Q243" s="7"/>
      <c r="R243" s="7"/>
      <c r="S243" s="7"/>
      <c r="T243" s="7"/>
      <c r="U243" s="7"/>
      <c r="V243" s="7"/>
      <c r="W243" s="7"/>
      <c r="X243" s="7"/>
      <c r="Y243" s="7"/>
    </row>
    <row r="244" spans="1:25" ht="15.75" customHeight="1">
      <c r="A244" s="43"/>
      <c r="B244" s="30"/>
      <c r="C244" s="30"/>
      <c r="D244" s="31"/>
      <c r="E244" s="31"/>
      <c r="F244" s="31"/>
      <c r="G244" s="31"/>
      <c r="H244" s="31"/>
      <c r="I244" s="13"/>
      <c r="J244" s="13"/>
      <c r="K244" s="13"/>
      <c r="L244" s="13"/>
      <c r="M244" s="13"/>
      <c r="N244" s="13"/>
      <c r="O244" s="7"/>
      <c r="P244" s="7"/>
      <c r="Q244" s="7"/>
      <c r="R244" s="7"/>
      <c r="S244" s="7"/>
      <c r="T244" s="7"/>
      <c r="U244" s="7"/>
      <c r="V244" s="7"/>
      <c r="W244" s="7"/>
      <c r="X244" s="7"/>
      <c r="Y244" s="7"/>
    </row>
    <row r="245" spans="1:25" ht="15.75" customHeight="1">
      <c r="A245" s="43"/>
      <c r="B245" s="30"/>
      <c r="C245" s="30"/>
      <c r="D245" s="31"/>
      <c r="E245" s="31"/>
      <c r="F245" s="31"/>
      <c r="G245" s="31"/>
      <c r="H245" s="31"/>
      <c r="I245" s="13"/>
      <c r="J245" s="13"/>
      <c r="K245" s="13"/>
      <c r="L245" s="13"/>
      <c r="M245" s="13"/>
      <c r="N245" s="13"/>
      <c r="O245" s="7"/>
      <c r="P245" s="7"/>
      <c r="Q245" s="7"/>
      <c r="R245" s="7"/>
      <c r="S245" s="7"/>
      <c r="T245" s="7"/>
      <c r="U245" s="7"/>
      <c r="V245" s="7"/>
      <c r="W245" s="7"/>
      <c r="X245" s="7"/>
      <c r="Y245" s="7"/>
    </row>
    <row r="246" spans="1:25" ht="15.75" customHeight="1">
      <c r="A246" s="43"/>
      <c r="B246" s="30"/>
      <c r="C246" s="30"/>
      <c r="D246" s="31"/>
      <c r="E246" s="31"/>
      <c r="F246" s="31"/>
      <c r="G246" s="31"/>
      <c r="H246" s="31"/>
      <c r="I246" s="13"/>
      <c r="J246" s="13"/>
      <c r="K246" s="13"/>
      <c r="L246" s="13"/>
      <c r="M246" s="13"/>
      <c r="N246" s="13"/>
      <c r="O246" s="7"/>
      <c r="P246" s="7"/>
      <c r="Q246" s="7"/>
      <c r="R246" s="7"/>
      <c r="S246" s="7"/>
      <c r="T246" s="7"/>
      <c r="U246" s="7"/>
      <c r="V246" s="7"/>
      <c r="W246" s="7"/>
      <c r="X246" s="7"/>
      <c r="Y246" s="7"/>
    </row>
    <row r="247" spans="1:25" ht="15.75" customHeight="1">
      <c r="A247" s="43"/>
      <c r="B247" s="30"/>
      <c r="C247" s="30"/>
      <c r="D247" s="31"/>
      <c r="E247" s="31"/>
      <c r="F247" s="31"/>
      <c r="G247" s="31"/>
      <c r="H247" s="31"/>
      <c r="I247" s="13"/>
      <c r="J247" s="13"/>
      <c r="K247" s="13"/>
      <c r="L247" s="13"/>
      <c r="M247" s="13"/>
      <c r="N247" s="13"/>
      <c r="O247" s="7"/>
      <c r="P247" s="7"/>
      <c r="Q247" s="7"/>
      <c r="R247" s="7"/>
      <c r="S247" s="7"/>
      <c r="T247" s="7"/>
      <c r="U247" s="7"/>
      <c r="V247" s="7"/>
      <c r="W247" s="7"/>
      <c r="X247" s="7"/>
      <c r="Y247" s="7"/>
    </row>
    <row r="248" spans="1:25" ht="15.75" customHeight="1">
      <c r="A248" s="43"/>
      <c r="B248" s="30"/>
      <c r="C248" s="30"/>
      <c r="D248" s="31"/>
      <c r="E248" s="31"/>
      <c r="F248" s="31"/>
      <c r="G248" s="31"/>
      <c r="H248" s="31"/>
      <c r="I248" s="13"/>
      <c r="J248" s="13"/>
      <c r="K248" s="13"/>
      <c r="L248" s="13"/>
      <c r="M248" s="13"/>
      <c r="N248" s="13"/>
      <c r="O248" s="7"/>
      <c r="P248" s="7"/>
      <c r="Q248" s="7"/>
      <c r="R248" s="7"/>
      <c r="S248" s="7"/>
      <c r="T248" s="7"/>
      <c r="U248" s="7"/>
      <c r="V248" s="7"/>
      <c r="W248" s="7"/>
      <c r="X248" s="7"/>
      <c r="Y248" s="7"/>
    </row>
    <row r="249" spans="1:25" ht="15.75" customHeight="1">
      <c r="A249" s="43"/>
      <c r="B249" s="30"/>
      <c r="C249" s="30"/>
      <c r="D249" s="31"/>
      <c r="E249" s="31"/>
      <c r="F249" s="31"/>
      <c r="G249" s="31"/>
      <c r="H249" s="31"/>
      <c r="I249" s="13"/>
      <c r="J249" s="13"/>
      <c r="K249" s="13"/>
      <c r="L249" s="13"/>
      <c r="M249" s="13"/>
      <c r="N249" s="13"/>
      <c r="O249" s="7"/>
      <c r="P249" s="7"/>
      <c r="Q249" s="7"/>
      <c r="R249" s="7"/>
      <c r="S249" s="7"/>
      <c r="T249" s="7"/>
      <c r="U249" s="7"/>
      <c r="V249" s="7"/>
      <c r="W249" s="7"/>
      <c r="X249" s="7"/>
      <c r="Y249" s="7"/>
    </row>
    <row r="250" spans="1:25" ht="15.75" customHeight="1">
      <c r="A250" s="43"/>
      <c r="B250" s="30"/>
      <c r="C250" s="30"/>
      <c r="D250" s="31"/>
      <c r="E250" s="31"/>
      <c r="F250" s="31"/>
      <c r="G250" s="31"/>
      <c r="H250" s="31"/>
      <c r="I250" s="13"/>
      <c r="J250" s="13"/>
      <c r="K250" s="13"/>
      <c r="L250" s="13"/>
      <c r="M250" s="13"/>
      <c r="N250" s="13"/>
      <c r="O250" s="7"/>
      <c r="P250" s="7"/>
      <c r="Q250" s="7"/>
      <c r="R250" s="7"/>
      <c r="S250" s="7"/>
      <c r="T250" s="7"/>
      <c r="U250" s="7"/>
      <c r="V250" s="7"/>
      <c r="W250" s="7"/>
      <c r="X250" s="7"/>
      <c r="Y250" s="7"/>
    </row>
    <row r="251" spans="1:25" ht="15.75" customHeight="1">
      <c r="A251" s="43"/>
      <c r="B251" s="30"/>
      <c r="C251" s="30"/>
      <c r="D251" s="31"/>
      <c r="E251" s="31"/>
      <c r="F251" s="31"/>
      <c r="G251" s="31"/>
      <c r="H251" s="31"/>
      <c r="I251" s="13"/>
      <c r="J251" s="13"/>
      <c r="K251" s="13"/>
      <c r="L251" s="13"/>
      <c r="M251" s="13"/>
      <c r="N251" s="13"/>
      <c r="O251" s="7"/>
      <c r="P251" s="7"/>
      <c r="Q251" s="7"/>
      <c r="R251" s="7"/>
      <c r="S251" s="7"/>
      <c r="T251" s="7"/>
      <c r="U251" s="7"/>
      <c r="V251" s="7"/>
      <c r="W251" s="7"/>
      <c r="X251" s="7"/>
      <c r="Y251" s="7"/>
    </row>
    <row r="252" spans="1:25" ht="15.75" customHeight="1">
      <c r="A252" s="43"/>
      <c r="B252" s="30"/>
      <c r="C252" s="30"/>
      <c r="D252" s="31"/>
      <c r="E252" s="31"/>
      <c r="F252" s="31"/>
      <c r="G252" s="31"/>
      <c r="H252" s="31"/>
      <c r="I252" s="13"/>
      <c r="J252" s="13"/>
      <c r="K252" s="13"/>
      <c r="L252" s="13"/>
      <c r="M252" s="13"/>
      <c r="N252" s="13"/>
      <c r="O252" s="7"/>
      <c r="P252" s="7"/>
      <c r="Q252" s="7"/>
      <c r="R252" s="7"/>
      <c r="S252" s="7"/>
      <c r="T252" s="7"/>
      <c r="U252" s="7"/>
      <c r="V252" s="7"/>
      <c r="W252" s="7"/>
      <c r="X252" s="7"/>
      <c r="Y252" s="7"/>
    </row>
    <row r="253" spans="1:25" ht="15.75" customHeight="1">
      <c r="A253" s="43"/>
      <c r="B253" s="30"/>
      <c r="C253" s="30"/>
      <c r="D253" s="31"/>
      <c r="E253" s="31"/>
      <c r="F253" s="31"/>
      <c r="G253" s="31"/>
      <c r="H253" s="31"/>
      <c r="I253" s="13"/>
      <c r="J253" s="13"/>
      <c r="K253" s="13"/>
      <c r="L253" s="13"/>
      <c r="M253" s="13"/>
      <c r="N253" s="13"/>
      <c r="O253" s="7"/>
      <c r="P253" s="7"/>
      <c r="Q253" s="7"/>
      <c r="R253" s="7"/>
      <c r="S253" s="7"/>
      <c r="T253" s="7"/>
      <c r="U253" s="7"/>
      <c r="V253" s="7"/>
      <c r="W253" s="7"/>
      <c r="X253" s="7"/>
      <c r="Y253" s="7"/>
    </row>
    <row r="254" spans="1:25" ht="15.75" customHeight="1">
      <c r="A254" s="43"/>
      <c r="B254" s="30"/>
      <c r="C254" s="30"/>
      <c r="D254" s="31"/>
      <c r="E254" s="31"/>
      <c r="F254" s="31"/>
      <c r="G254" s="31"/>
      <c r="H254" s="31"/>
      <c r="I254" s="13"/>
      <c r="J254" s="13"/>
      <c r="K254" s="13"/>
      <c r="L254" s="13"/>
      <c r="M254" s="13"/>
      <c r="N254" s="13"/>
      <c r="O254" s="7"/>
      <c r="P254" s="7"/>
      <c r="Q254" s="7"/>
      <c r="R254" s="7"/>
      <c r="S254" s="7"/>
      <c r="T254" s="7"/>
      <c r="U254" s="7"/>
      <c r="V254" s="7"/>
      <c r="W254" s="7"/>
      <c r="X254" s="7"/>
      <c r="Y254" s="7"/>
    </row>
    <row r="255" spans="1:25" ht="15.75" customHeight="1">
      <c r="A255" s="43"/>
      <c r="B255" s="30"/>
      <c r="C255" s="30"/>
      <c r="D255" s="31"/>
      <c r="E255" s="31"/>
      <c r="F255" s="31"/>
      <c r="G255" s="31"/>
      <c r="H255" s="31"/>
      <c r="I255" s="13"/>
      <c r="J255" s="13"/>
      <c r="K255" s="13"/>
      <c r="L255" s="13"/>
      <c r="M255" s="13"/>
      <c r="N255" s="13"/>
      <c r="O255" s="7"/>
      <c r="P255" s="7"/>
      <c r="Q255" s="7"/>
      <c r="R255" s="7"/>
      <c r="S255" s="7"/>
      <c r="T255" s="7"/>
      <c r="U255" s="7"/>
      <c r="V255" s="7"/>
      <c r="W255" s="7"/>
      <c r="X255" s="7"/>
      <c r="Y255" s="7"/>
    </row>
    <row r="256" spans="1:25" ht="15.75" customHeight="1">
      <c r="A256" s="43"/>
      <c r="B256" s="30"/>
      <c r="C256" s="30"/>
      <c r="D256" s="31"/>
      <c r="E256" s="31"/>
      <c r="F256" s="31"/>
      <c r="G256" s="31"/>
      <c r="H256" s="31"/>
      <c r="I256" s="13"/>
      <c r="J256" s="13"/>
      <c r="K256" s="13"/>
      <c r="L256" s="13"/>
      <c r="M256" s="13"/>
      <c r="N256" s="13"/>
      <c r="O256" s="7"/>
      <c r="P256" s="7"/>
      <c r="Q256" s="7"/>
      <c r="R256" s="7"/>
      <c r="S256" s="7"/>
      <c r="T256" s="7"/>
      <c r="U256" s="7"/>
      <c r="V256" s="7"/>
      <c r="W256" s="7"/>
      <c r="X256" s="7"/>
      <c r="Y256" s="7"/>
    </row>
    <row r="257" spans="1:25" ht="15.75" customHeight="1">
      <c r="A257" s="43"/>
      <c r="B257" s="30"/>
      <c r="C257" s="30"/>
      <c r="D257" s="31"/>
      <c r="E257" s="31"/>
      <c r="F257" s="31"/>
      <c r="G257" s="31"/>
      <c r="H257" s="31"/>
      <c r="I257" s="13"/>
      <c r="J257" s="13"/>
      <c r="K257" s="13"/>
      <c r="L257" s="13"/>
      <c r="M257" s="13"/>
      <c r="N257" s="13"/>
      <c r="O257" s="7"/>
      <c r="P257" s="7"/>
      <c r="Q257" s="7"/>
      <c r="R257" s="7"/>
      <c r="S257" s="7"/>
      <c r="T257" s="7"/>
      <c r="U257" s="7"/>
      <c r="V257" s="7"/>
      <c r="W257" s="7"/>
      <c r="X257" s="7"/>
      <c r="Y257" s="7"/>
    </row>
    <row r="258" spans="1:25" ht="15.75" customHeight="1">
      <c r="A258" s="43"/>
      <c r="B258" s="30"/>
      <c r="C258" s="30"/>
      <c r="D258" s="31"/>
      <c r="E258" s="31"/>
      <c r="F258" s="31"/>
      <c r="G258" s="31"/>
      <c r="H258" s="31"/>
      <c r="I258" s="13"/>
      <c r="J258" s="13"/>
      <c r="K258" s="13"/>
      <c r="L258" s="13"/>
      <c r="M258" s="13"/>
      <c r="N258" s="13"/>
      <c r="O258" s="7"/>
      <c r="P258" s="7"/>
      <c r="Q258" s="7"/>
      <c r="R258" s="7"/>
      <c r="S258" s="7"/>
      <c r="T258" s="7"/>
      <c r="U258" s="7"/>
      <c r="V258" s="7"/>
      <c r="W258" s="7"/>
      <c r="X258" s="7"/>
      <c r="Y258" s="7"/>
    </row>
    <row r="259" spans="1:25" ht="15.75" customHeight="1">
      <c r="A259" s="43"/>
      <c r="B259" s="30"/>
      <c r="C259" s="30"/>
      <c r="D259" s="31"/>
      <c r="E259" s="31"/>
      <c r="F259" s="31"/>
      <c r="G259" s="31"/>
      <c r="H259" s="31"/>
      <c r="I259" s="13"/>
      <c r="J259" s="13"/>
      <c r="K259" s="13"/>
      <c r="L259" s="13"/>
      <c r="M259" s="13"/>
      <c r="N259" s="13"/>
      <c r="O259" s="7"/>
      <c r="P259" s="7"/>
      <c r="Q259" s="7"/>
      <c r="R259" s="7"/>
      <c r="S259" s="7"/>
      <c r="T259" s="7"/>
      <c r="U259" s="7"/>
      <c r="V259" s="7"/>
      <c r="W259" s="7"/>
      <c r="X259" s="7"/>
      <c r="Y259" s="7"/>
    </row>
    <row r="260" spans="1:25" ht="15.75" customHeight="1">
      <c r="A260" s="43"/>
      <c r="B260" s="30"/>
      <c r="C260" s="30"/>
      <c r="D260" s="31"/>
      <c r="E260" s="31"/>
      <c r="F260" s="31"/>
      <c r="G260" s="31"/>
      <c r="H260" s="31"/>
      <c r="I260" s="13"/>
      <c r="J260" s="13"/>
      <c r="K260" s="13"/>
      <c r="L260" s="13"/>
      <c r="M260" s="13"/>
      <c r="N260" s="13"/>
      <c r="O260" s="7"/>
      <c r="P260" s="7"/>
      <c r="Q260" s="7"/>
      <c r="R260" s="7"/>
      <c r="S260" s="7"/>
      <c r="T260" s="7"/>
      <c r="U260" s="7"/>
      <c r="V260" s="7"/>
      <c r="W260" s="7"/>
      <c r="X260" s="7"/>
      <c r="Y260" s="7"/>
    </row>
    <row r="261" spans="1:25" ht="15.75" customHeight="1">
      <c r="A261" s="43"/>
      <c r="B261" s="30"/>
      <c r="C261" s="30"/>
      <c r="D261" s="31"/>
      <c r="E261" s="31"/>
      <c r="F261" s="31"/>
      <c r="G261" s="31"/>
      <c r="H261" s="31"/>
      <c r="I261" s="13"/>
      <c r="J261" s="13"/>
      <c r="K261" s="13"/>
      <c r="L261" s="13"/>
      <c r="M261" s="13"/>
      <c r="N261" s="13"/>
      <c r="O261" s="7"/>
      <c r="P261" s="7"/>
      <c r="Q261" s="7"/>
      <c r="R261" s="7"/>
      <c r="S261" s="7"/>
      <c r="T261" s="7"/>
      <c r="U261" s="7"/>
      <c r="V261" s="7"/>
      <c r="W261" s="7"/>
      <c r="X261" s="7"/>
      <c r="Y261" s="7"/>
    </row>
    <row r="262" spans="1:25" ht="15.75" customHeight="1">
      <c r="A262" s="43"/>
      <c r="B262" s="30"/>
      <c r="C262" s="30"/>
      <c r="D262" s="31"/>
      <c r="E262" s="31"/>
      <c r="F262" s="31"/>
      <c r="G262" s="31"/>
      <c r="H262" s="31"/>
      <c r="I262" s="13"/>
      <c r="J262" s="13"/>
      <c r="K262" s="13"/>
      <c r="L262" s="13"/>
      <c r="M262" s="13"/>
      <c r="N262" s="13"/>
      <c r="O262" s="7"/>
      <c r="P262" s="7"/>
      <c r="Q262" s="7"/>
      <c r="R262" s="7"/>
      <c r="S262" s="7"/>
      <c r="T262" s="7"/>
      <c r="U262" s="7"/>
      <c r="V262" s="7"/>
      <c r="W262" s="7"/>
      <c r="X262" s="7"/>
      <c r="Y262" s="7"/>
    </row>
    <row r="263" spans="1:25" ht="15.75" customHeight="1">
      <c r="A263" s="43"/>
      <c r="B263" s="30"/>
      <c r="C263" s="30"/>
      <c r="D263" s="31"/>
      <c r="E263" s="31"/>
      <c r="F263" s="31"/>
      <c r="G263" s="31"/>
      <c r="H263" s="31"/>
      <c r="I263" s="13"/>
      <c r="J263" s="13"/>
      <c r="K263" s="13"/>
      <c r="L263" s="13"/>
      <c r="M263" s="13"/>
      <c r="N263" s="13"/>
      <c r="O263" s="7"/>
      <c r="P263" s="7"/>
      <c r="Q263" s="7"/>
      <c r="R263" s="7"/>
      <c r="S263" s="7"/>
      <c r="T263" s="7"/>
      <c r="U263" s="7"/>
      <c r="V263" s="7"/>
      <c r="W263" s="7"/>
      <c r="X263" s="7"/>
      <c r="Y263" s="7"/>
    </row>
    <row r="264" spans="1:25" ht="15.75" customHeight="1">
      <c r="A264" s="43"/>
      <c r="B264" s="30"/>
      <c r="C264" s="30"/>
      <c r="D264" s="31"/>
      <c r="E264" s="31"/>
      <c r="F264" s="31"/>
      <c r="G264" s="31"/>
      <c r="H264" s="31"/>
      <c r="I264" s="13"/>
      <c r="J264" s="13"/>
      <c r="K264" s="13"/>
      <c r="L264" s="13"/>
      <c r="M264" s="13"/>
      <c r="N264" s="13"/>
      <c r="O264" s="7"/>
      <c r="P264" s="7"/>
      <c r="Q264" s="7"/>
      <c r="R264" s="7"/>
      <c r="S264" s="7"/>
      <c r="T264" s="7"/>
      <c r="U264" s="7"/>
      <c r="V264" s="7"/>
      <c r="W264" s="7"/>
      <c r="X264" s="7"/>
      <c r="Y264" s="7"/>
    </row>
    <row r="265" spans="1:25" ht="15.75" customHeight="1">
      <c r="A265" s="43"/>
      <c r="B265" s="30"/>
      <c r="C265" s="30"/>
      <c r="D265" s="31"/>
      <c r="E265" s="31"/>
      <c r="F265" s="31"/>
      <c r="G265" s="31"/>
      <c r="H265" s="31"/>
      <c r="I265" s="13"/>
      <c r="J265" s="13"/>
      <c r="K265" s="13"/>
      <c r="L265" s="13"/>
      <c r="M265" s="13"/>
      <c r="N265" s="13"/>
      <c r="O265" s="7"/>
      <c r="P265" s="7"/>
      <c r="Q265" s="7"/>
      <c r="R265" s="7"/>
      <c r="S265" s="7"/>
      <c r="T265" s="7"/>
      <c r="U265" s="7"/>
      <c r="V265" s="7"/>
      <c r="W265" s="7"/>
      <c r="X265" s="7"/>
      <c r="Y265" s="7"/>
    </row>
    <row r="266" spans="1:25" ht="15.75" customHeight="1">
      <c r="A266" s="43"/>
      <c r="B266" s="30"/>
      <c r="C266" s="30"/>
      <c r="D266" s="31"/>
      <c r="E266" s="31"/>
      <c r="F266" s="31"/>
      <c r="G266" s="31"/>
      <c r="H266" s="31"/>
      <c r="I266" s="13"/>
      <c r="J266" s="13"/>
      <c r="K266" s="13"/>
      <c r="L266" s="13"/>
      <c r="M266" s="13"/>
      <c r="N266" s="13"/>
      <c r="O266" s="7"/>
      <c r="P266" s="7"/>
      <c r="Q266" s="7"/>
      <c r="R266" s="7"/>
      <c r="S266" s="7"/>
      <c r="T266" s="7"/>
      <c r="U266" s="7"/>
      <c r="V266" s="7"/>
      <c r="W266" s="7"/>
      <c r="X266" s="7"/>
      <c r="Y266" s="7"/>
    </row>
    <row r="267" spans="1:25" ht="15.75" customHeight="1">
      <c r="A267" s="43"/>
      <c r="B267" s="30"/>
      <c r="C267" s="30"/>
      <c r="D267" s="31"/>
      <c r="E267" s="31"/>
      <c r="F267" s="31"/>
      <c r="G267" s="31"/>
      <c r="H267" s="31"/>
      <c r="I267" s="13"/>
      <c r="J267" s="13"/>
      <c r="K267" s="13"/>
      <c r="L267" s="13"/>
      <c r="M267" s="13"/>
      <c r="N267" s="13"/>
      <c r="O267" s="7"/>
      <c r="P267" s="7"/>
      <c r="Q267" s="7"/>
      <c r="R267" s="7"/>
      <c r="S267" s="7"/>
      <c r="T267" s="7"/>
      <c r="U267" s="7"/>
      <c r="V267" s="7"/>
      <c r="W267" s="7"/>
      <c r="X267" s="7"/>
      <c r="Y267" s="7"/>
    </row>
    <row r="268" spans="1:25" ht="15.75" customHeight="1">
      <c r="A268" s="43"/>
      <c r="B268" s="30"/>
      <c r="C268" s="30"/>
      <c r="D268" s="31"/>
      <c r="E268" s="31"/>
      <c r="F268" s="31"/>
      <c r="G268" s="31"/>
      <c r="H268" s="31"/>
      <c r="I268" s="13"/>
      <c r="J268" s="13"/>
      <c r="K268" s="13"/>
      <c r="L268" s="13"/>
      <c r="M268" s="13"/>
      <c r="N268" s="13"/>
      <c r="O268" s="7"/>
      <c r="P268" s="7"/>
      <c r="Q268" s="7"/>
      <c r="R268" s="7"/>
      <c r="S268" s="7"/>
      <c r="T268" s="7"/>
      <c r="U268" s="7"/>
      <c r="V268" s="7"/>
      <c r="W268" s="7"/>
      <c r="X268" s="7"/>
      <c r="Y268" s="7"/>
    </row>
    <row r="269" spans="1:25" ht="15.75" customHeight="1">
      <c r="A269" s="43"/>
      <c r="B269" s="30"/>
      <c r="C269" s="30"/>
      <c r="D269" s="31"/>
      <c r="E269" s="31"/>
      <c r="F269" s="31"/>
      <c r="G269" s="31"/>
      <c r="H269" s="31"/>
      <c r="I269" s="13"/>
      <c r="J269" s="13"/>
      <c r="K269" s="13"/>
      <c r="L269" s="13"/>
      <c r="M269" s="13"/>
      <c r="N269" s="13"/>
      <c r="O269" s="7"/>
      <c r="P269" s="7"/>
      <c r="Q269" s="7"/>
      <c r="R269" s="7"/>
      <c r="S269" s="7"/>
      <c r="T269" s="7"/>
      <c r="U269" s="7"/>
      <c r="V269" s="7"/>
      <c r="W269" s="7"/>
      <c r="X269" s="7"/>
      <c r="Y269" s="7"/>
    </row>
    <row r="270" spans="1:25" ht="15.75" customHeight="1">
      <c r="A270" s="43"/>
      <c r="B270" s="30"/>
      <c r="C270" s="30"/>
      <c r="D270" s="31"/>
      <c r="E270" s="31"/>
      <c r="F270" s="31"/>
      <c r="G270" s="31"/>
      <c r="H270" s="31"/>
      <c r="I270" s="13"/>
      <c r="J270" s="13"/>
      <c r="K270" s="13"/>
      <c r="L270" s="13"/>
      <c r="M270" s="13"/>
      <c r="N270" s="13"/>
      <c r="O270" s="7"/>
      <c r="P270" s="7"/>
      <c r="Q270" s="7"/>
      <c r="R270" s="7"/>
      <c r="S270" s="7"/>
      <c r="T270" s="7"/>
      <c r="U270" s="7"/>
      <c r="V270" s="7"/>
      <c r="W270" s="7"/>
      <c r="X270" s="7"/>
      <c r="Y270" s="7"/>
    </row>
    <row r="271" spans="1:25" ht="15.75" customHeight="1">
      <c r="A271" s="43"/>
      <c r="B271" s="30"/>
      <c r="C271" s="30"/>
      <c r="D271" s="31"/>
      <c r="E271" s="31"/>
      <c r="F271" s="31"/>
      <c r="G271" s="31"/>
      <c r="H271" s="31"/>
      <c r="I271" s="13"/>
      <c r="J271" s="13"/>
      <c r="K271" s="13"/>
      <c r="L271" s="13"/>
      <c r="M271" s="13"/>
      <c r="N271" s="13"/>
      <c r="O271" s="7"/>
      <c r="P271" s="7"/>
      <c r="Q271" s="7"/>
      <c r="R271" s="7"/>
      <c r="S271" s="7"/>
      <c r="T271" s="7"/>
      <c r="U271" s="7"/>
      <c r="V271" s="7"/>
      <c r="W271" s="7"/>
      <c r="X271" s="7"/>
      <c r="Y271" s="7"/>
    </row>
    <row r="272" spans="1:25" ht="15.75" customHeight="1">
      <c r="A272" s="43"/>
      <c r="B272" s="30"/>
      <c r="C272" s="30"/>
      <c r="D272" s="31"/>
      <c r="E272" s="31"/>
      <c r="F272" s="31"/>
      <c r="G272" s="31"/>
      <c r="H272" s="31"/>
      <c r="I272" s="13"/>
      <c r="J272" s="13"/>
      <c r="K272" s="13"/>
      <c r="L272" s="13"/>
      <c r="M272" s="13"/>
      <c r="N272" s="13"/>
      <c r="O272" s="7"/>
      <c r="P272" s="7"/>
      <c r="Q272" s="7"/>
      <c r="R272" s="7"/>
      <c r="S272" s="7"/>
      <c r="T272" s="7"/>
      <c r="U272" s="7"/>
      <c r="V272" s="7"/>
      <c r="W272" s="7"/>
      <c r="X272" s="7"/>
      <c r="Y272" s="7"/>
    </row>
    <row r="273" spans="1:25" ht="15.75" customHeight="1">
      <c r="A273" s="43"/>
      <c r="B273" s="30"/>
      <c r="C273" s="30"/>
      <c r="D273" s="31"/>
      <c r="E273" s="31"/>
      <c r="F273" s="31"/>
      <c r="G273" s="31"/>
      <c r="H273" s="31"/>
      <c r="I273" s="13"/>
      <c r="J273" s="13"/>
      <c r="K273" s="13"/>
      <c r="L273" s="13"/>
      <c r="M273" s="13"/>
      <c r="N273" s="13"/>
      <c r="O273" s="7"/>
      <c r="P273" s="7"/>
      <c r="Q273" s="7"/>
      <c r="R273" s="7"/>
      <c r="S273" s="7"/>
      <c r="T273" s="7"/>
      <c r="U273" s="7"/>
      <c r="V273" s="7"/>
      <c r="W273" s="7"/>
      <c r="X273" s="7"/>
      <c r="Y273" s="7"/>
    </row>
    <row r="274" spans="1:25" ht="15.75" customHeight="1">
      <c r="A274" s="43"/>
      <c r="B274" s="30"/>
      <c r="C274" s="30"/>
      <c r="D274" s="31"/>
      <c r="E274" s="31"/>
      <c r="F274" s="31"/>
      <c r="G274" s="31"/>
      <c r="H274" s="31"/>
      <c r="I274" s="13"/>
      <c r="J274" s="13"/>
      <c r="K274" s="13"/>
      <c r="L274" s="13"/>
      <c r="M274" s="13"/>
      <c r="N274" s="13"/>
      <c r="O274" s="7"/>
      <c r="P274" s="7"/>
      <c r="Q274" s="7"/>
      <c r="R274" s="7"/>
      <c r="S274" s="7"/>
      <c r="T274" s="7"/>
      <c r="U274" s="7"/>
      <c r="V274" s="7"/>
      <c r="W274" s="7"/>
      <c r="X274" s="7"/>
      <c r="Y274" s="7"/>
    </row>
    <row r="275" spans="1:25" ht="15.75" customHeight="1">
      <c r="A275" s="43"/>
      <c r="B275" s="30"/>
      <c r="C275" s="30"/>
      <c r="D275" s="31"/>
      <c r="E275" s="31"/>
      <c r="F275" s="31"/>
      <c r="G275" s="31"/>
      <c r="H275" s="31"/>
      <c r="I275" s="13"/>
      <c r="J275" s="13"/>
      <c r="K275" s="13"/>
      <c r="L275" s="13"/>
      <c r="M275" s="13"/>
      <c r="N275" s="13"/>
      <c r="O275" s="7"/>
      <c r="P275" s="7"/>
      <c r="Q275" s="7"/>
      <c r="R275" s="7"/>
      <c r="S275" s="7"/>
      <c r="T275" s="7"/>
      <c r="U275" s="7"/>
      <c r="V275" s="7"/>
      <c r="W275" s="7"/>
      <c r="X275" s="7"/>
      <c r="Y275" s="7"/>
    </row>
    <row r="276" spans="1:25" ht="15.75" customHeight="1">
      <c r="A276" s="43"/>
      <c r="B276" s="30"/>
      <c r="C276" s="30"/>
      <c r="D276" s="31"/>
      <c r="E276" s="31"/>
      <c r="F276" s="31"/>
      <c r="G276" s="31"/>
      <c r="H276" s="31"/>
      <c r="I276" s="13"/>
      <c r="J276" s="13"/>
      <c r="K276" s="13"/>
      <c r="L276" s="13"/>
      <c r="M276" s="13"/>
      <c r="N276" s="13"/>
      <c r="O276" s="7"/>
      <c r="P276" s="7"/>
      <c r="Q276" s="7"/>
      <c r="R276" s="7"/>
      <c r="S276" s="7"/>
      <c r="T276" s="7"/>
      <c r="U276" s="7"/>
      <c r="V276" s="7"/>
      <c r="W276" s="7"/>
      <c r="X276" s="7"/>
      <c r="Y276" s="7"/>
    </row>
    <row r="277" spans="1:25" ht="15.75" customHeight="1"/>
    <row r="278" spans="1:25" ht="15.75" customHeight="1"/>
    <row r="279" spans="1:25" ht="15.75" customHeight="1"/>
    <row r="280" spans="1:25" ht="15.75" customHeight="1"/>
    <row r="281" spans="1:25" ht="15.75" customHeight="1"/>
    <row r="282" spans="1:25" ht="15.75" customHeight="1"/>
    <row r="283" spans="1:25" ht="15.75" customHeight="1"/>
    <row r="284" spans="1:25" ht="15.75" customHeight="1"/>
    <row r="285" spans="1:25" ht="15.75" customHeight="1"/>
    <row r="286" spans="1:25" ht="15.75" customHeight="1"/>
    <row r="287" spans="1:25" ht="15.75" customHeight="1"/>
    <row r="288" spans="1:25"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K76" xr:uid="{00000000-0009-0000-0000-000006000000}"/>
  <phoneticPr fontId="22" type="noConversion"/>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998"/>
  <sheetViews>
    <sheetView workbookViewId="0">
      <pane ySplit="1" topLeftCell="A50" activePane="bottomLeft" state="frozen"/>
      <selection pane="bottomLeft"/>
    </sheetView>
  </sheetViews>
  <sheetFormatPr defaultColWidth="14.42578125" defaultRowHeight="15" customHeight="1"/>
  <cols>
    <col min="1" max="1" width="64.42578125" customWidth="1"/>
    <col min="2" max="2" width="20.7109375" customWidth="1"/>
    <col min="3" max="3" width="16.42578125" customWidth="1"/>
    <col min="4" max="4" width="12.85546875" customWidth="1"/>
    <col min="5" max="5" width="15.5703125" customWidth="1"/>
    <col min="6" max="6" width="12.7109375" customWidth="1"/>
    <col min="7" max="7" width="22.7109375" customWidth="1"/>
    <col min="8" max="8" width="35.7109375" customWidth="1"/>
    <col min="9" max="9" width="18.85546875" customWidth="1"/>
    <col min="10" max="10" width="21.7109375" customWidth="1"/>
    <col min="11" max="11" width="18.7109375" customWidth="1"/>
    <col min="12" max="12" width="24.42578125" customWidth="1"/>
    <col min="13" max="13" width="37.42578125" customWidth="1"/>
    <col min="14" max="32" width="9.140625" customWidth="1"/>
  </cols>
  <sheetData>
    <row r="1" spans="1:32" ht="15.75" customHeight="1">
      <c r="A1" s="33" t="s">
        <v>503</v>
      </c>
      <c r="B1" s="2" t="s">
        <v>5</v>
      </c>
      <c r="C1" s="3" t="s">
        <v>6</v>
      </c>
      <c r="D1" s="4" t="s">
        <v>0</v>
      </c>
      <c r="E1" s="4" t="s">
        <v>1</v>
      </c>
      <c r="F1" s="4" t="s">
        <v>2</v>
      </c>
      <c r="G1" s="4" t="s">
        <v>7</v>
      </c>
      <c r="H1" s="4" t="s">
        <v>3</v>
      </c>
      <c r="I1" s="5" t="s">
        <v>8</v>
      </c>
      <c r="J1" s="5" t="s">
        <v>9</v>
      </c>
      <c r="K1" s="5" t="s">
        <v>10</v>
      </c>
      <c r="L1" s="48" t="s">
        <v>11</v>
      </c>
      <c r="M1" s="48" t="s">
        <v>12</v>
      </c>
      <c r="N1" s="6"/>
      <c r="O1" s="7"/>
      <c r="P1" s="7"/>
      <c r="Q1" s="7"/>
      <c r="R1" s="7"/>
      <c r="S1" s="7"/>
      <c r="T1" s="7"/>
      <c r="U1" s="7"/>
      <c r="V1" s="7"/>
      <c r="W1" s="7"/>
      <c r="X1" s="7"/>
      <c r="Y1" s="7"/>
      <c r="Z1" s="7"/>
      <c r="AA1" s="7"/>
      <c r="AB1" s="7"/>
      <c r="AC1" s="7"/>
      <c r="AD1" s="7"/>
      <c r="AE1" s="7"/>
      <c r="AF1" s="7"/>
    </row>
    <row r="2" spans="1:32" ht="15.75" customHeight="1">
      <c r="A2" s="8" t="s">
        <v>504</v>
      </c>
      <c r="B2" s="3"/>
      <c r="C2" s="3" t="s">
        <v>21</v>
      </c>
      <c r="D2" s="3" t="s">
        <v>505</v>
      </c>
      <c r="E2" s="9" t="s">
        <v>21</v>
      </c>
      <c r="F2" s="9" t="s">
        <v>21</v>
      </c>
      <c r="G2" s="12" t="s">
        <v>21</v>
      </c>
      <c r="H2" s="12" t="s">
        <v>21</v>
      </c>
      <c r="I2" s="12">
        <f t="shared" ref="I2:M17" si="0">_xlfn.LET(
_xlpm.full,2,
_xlpm.ans,UPPER(SUBSTITUTE(SUBSTITUTE(SUBSTITUTE(SUBSTITUTE(SUBSTITUTE(SUBSTITUTE($C2&amp;"","，",""),",",""),"、","")," ",""),"　",""),CHAR(10),"")),
_xlpm.resp,UPPER(SUBSTITUTE(SUBSTITUTE(SUBSTITUTE(SUBSTITUTE(SUBSTITUTE(SUBSTITUTE(D2&amp;"","，",""),",",""),"、","")," ",""),"　",""),CHAR(10),"")),
IF(OR(_xlpm.resp="",LEN(_xlpm.resp)&lt;&gt;1),0,IF(_xlpm.resp=_xlpm.ans,_xlpm.full,0))
)</f>
        <v>2</v>
      </c>
      <c r="J2" s="12">
        <f t="shared" si="0"/>
        <v>2</v>
      </c>
      <c r="K2" s="12">
        <f t="shared" si="0"/>
        <v>2</v>
      </c>
      <c r="L2" s="12">
        <f t="shared" si="0"/>
        <v>2</v>
      </c>
      <c r="M2" s="12">
        <f t="shared" si="0"/>
        <v>2</v>
      </c>
      <c r="N2" s="6"/>
      <c r="O2" s="7"/>
      <c r="P2" s="7"/>
      <c r="Q2" s="7"/>
      <c r="R2" s="7"/>
      <c r="S2" s="7"/>
      <c r="T2" s="7"/>
      <c r="U2" s="7"/>
      <c r="V2" s="7"/>
      <c r="W2" s="7"/>
      <c r="X2" s="7"/>
      <c r="Y2" s="7"/>
      <c r="Z2" s="7"/>
      <c r="AA2" s="7"/>
      <c r="AB2" s="7"/>
      <c r="AC2" s="7"/>
      <c r="AD2" s="7"/>
      <c r="AE2" s="7"/>
      <c r="AF2" s="7"/>
    </row>
    <row r="3" spans="1:32" ht="15.75" customHeight="1">
      <c r="A3" s="8" t="s">
        <v>506</v>
      </c>
      <c r="B3" s="3"/>
      <c r="C3" s="3" t="s">
        <v>17</v>
      </c>
      <c r="D3" s="9" t="s">
        <v>17</v>
      </c>
      <c r="E3" s="9" t="s">
        <v>17</v>
      </c>
      <c r="F3" s="9" t="s">
        <v>17</v>
      </c>
      <c r="G3" s="12" t="s">
        <v>17</v>
      </c>
      <c r="H3" s="12" t="s">
        <v>17</v>
      </c>
      <c r="I3" s="12">
        <f t="shared" si="0"/>
        <v>2</v>
      </c>
      <c r="J3" s="12">
        <f t="shared" si="0"/>
        <v>2</v>
      </c>
      <c r="K3" s="12">
        <f t="shared" si="0"/>
        <v>2</v>
      </c>
      <c r="L3" s="12">
        <f t="shared" si="0"/>
        <v>2</v>
      </c>
      <c r="M3" s="12">
        <f t="shared" si="0"/>
        <v>2</v>
      </c>
      <c r="N3" s="13"/>
      <c r="O3" s="7"/>
      <c r="P3" s="7"/>
      <c r="Q3" s="7"/>
      <c r="R3" s="7"/>
      <c r="S3" s="7"/>
      <c r="T3" s="7"/>
      <c r="U3" s="7"/>
      <c r="V3" s="7"/>
      <c r="W3" s="7"/>
      <c r="X3" s="7"/>
      <c r="Y3" s="7"/>
      <c r="Z3" s="7"/>
      <c r="AA3" s="7"/>
      <c r="AB3" s="7"/>
      <c r="AC3" s="7"/>
      <c r="AD3" s="7"/>
      <c r="AE3" s="7"/>
      <c r="AF3" s="7"/>
    </row>
    <row r="4" spans="1:32" ht="15.75" customHeight="1">
      <c r="A4" s="8" t="s">
        <v>507</v>
      </c>
      <c r="B4" s="3"/>
      <c r="C4" s="3" t="s">
        <v>19</v>
      </c>
      <c r="D4" s="9" t="s">
        <v>19</v>
      </c>
      <c r="E4" s="9" t="s">
        <v>19</v>
      </c>
      <c r="F4" s="9" t="s">
        <v>19</v>
      </c>
      <c r="G4" s="12" t="s">
        <v>19</v>
      </c>
      <c r="H4" s="12" t="s">
        <v>19</v>
      </c>
      <c r="I4" s="12">
        <f t="shared" si="0"/>
        <v>2</v>
      </c>
      <c r="J4" s="12">
        <f t="shared" si="0"/>
        <v>2</v>
      </c>
      <c r="K4" s="12">
        <f t="shared" si="0"/>
        <v>2</v>
      </c>
      <c r="L4" s="12">
        <f t="shared" si="0"/>
        <v>2</v>
      </c>
      <c r="M4" s="12">
        <f t="shared" si="0"/>
        <v>2</v>
      </c>
      <c r="N4" s="13"/>
      <c r="O4" s="7"/>
      <c r="P4" s="7"/>
      <c r="Q4" s="7"/>
      <c r="R4" s="7"/>
      <c r="S4" s="7"/>
      <c r="T4" s="7"/>
      <c r="U4" s="7"/>
      <c r="V4" s="7"/>
      <c r="W4" s="7"/>
      <c r="X4" s="7"/>
      <c r="Y4" s="7"/>
      <c r="Z4" s="7"/>
      <c r="AA4" s="7"/>
      <c r="AB4" s="7"/>
      <c r="AC4" s="7"/>
      <c r="AD4" s="7"/>
      <c r="AE4" s="7"/>
      <c r="AF4" s="7"/>
    </row>
    <row r="5" spans="1:32" ht="15.75" customHeight="1">
      <c r="A5" s="8" t="s">
        <v>508</v>
      </c>
      <c r="B5" s="3" t="s">
        <v>16</v>
      </c>
      <c r="C5" s="3" t="s">
        <v>22</v>
      </c>
      <c r="D5" s="9" t="s">
        <v>22</v>
      </c>
      <c r="E5" s="9" t="s">
        <v>14</v>
      </c>
      <c r="F5" s="9" t="s">
        <v>22</v>
      </c>
      <c r="G5" s="12" t="s">
        <v>22</v>
      </c>
      <c r="H5" s="12" t="s">
        <v>22</v>
      </c>
      <c r="I5" s="12">
        <f t="shared" si="0"/>
        <v>2</v>
      </c>
      <c r="J5" s="12">
        <f t="shared" si="0"/>
        <v>0</v>
      </c>
      <c r="K5" s="12">
        <f t="shared" si="0"/>
        <v>2</v>
      </c>
      <c r="L5" s="12">
        <f t="shared" si="0"/>
        <v>2</v>
      </c>
      <c r="M5" s="12">
        <f t="shared" si="0"/>
        <v>2</v>
      </c>
      <c r="N5" s="6"/>
      <c r="O5" s="7"/>
      <c r="P5" s="7"/>
      <c r="Q5" s="7"/>
      <c r="R5" s="7"/>
      <c r="S5" s="7"/>
      <c r="T5" s="7"/>
      <c r="U5" s="7"/>
      <c r="V5" s="7"/>
      <c r="W5" s="7"/>
      <c r="X5" s="7"/>
      <c r="Y5" s="7"/>
      <c r="Z5" s="7"/>
      <c r="AA5" s="7"/>
      <c r="AB5" s="7"/>
      <c r="AC5" s="7"/>
      <c r="AD5" s="7"/>
      <c r="AE5" s="7"/>
      <c r="AF5" s="7"/>
    </row>
    <row r="6" spans="1:32" ht="15.75" customHeight="1">
      <c r="A6" s="8" t="s">
        <v>509</v>
      </c>
      <c r="B6" s="3"/>
      <c r="C6" s="3" t="s">
        <v>19</v>
      </c>
      <c r="D6" s="9" t="s">
        <v>19</v>
      </c>
      <c r="E6" s="9" t="s">
        <v>19</v>
      </c>
      <c r="F6" s="9" t="s">
        <v>19</v>
      </c>
      <c r="G6" s="12" t="s">
        <v>19</v>
      </c>
      <c r="H6" s="12" t="s">
        <v>19</v>
      </c>
      <c r="I6" s="12">
        <f t="shared" si="0"/>
        <v>2</v>
      </c>
      <c r="J6" s="12">
        <f t="shared" si="0"/>
        <v>2</v>
      </c>
      <c r="K6" s="12">
        <f t="shared" si="0"/>
        <v>2</v>
      </c>
      <c r="L6" s="12">
        <f t="shared" si="0"/>
        <v>2</v>
      </c>
      <c r="M6" s="12">
        <f t="shared" si="0"/>
        <v>2</v>
      </c>
      <c r="N6" s="6"/>
      <c r="O6" s="7"/>
      <c r="P6" s="7"/>
      <c r="Q6" s="7"/>
      <c r="R6" s="7"/>
      <c r="S6" s="7"/>
      <c r="T6" s="7"/>
      <c r="U6" s="7"/>
      <c r="V6" s="7"/>
      <c r="W6" s="7"/>
      <c r="X6" s="7"/>
      <c r="Y6" s="7"/>
      <c r="Z6" s="7"/>
      <c r="AA6" s="7"/>
      <c r="AB6" s="7"/>
    </row>
    <row r="7" spans="1:32" ht="15.75" customHeight="1">
      <c r="A7" s="8" t="s">
        <v>510</v>
      </c>
      <c r="B7" s="3"/>
      <c r="C7" s="3" t="s">
        <v>22</v>
      </c>
      <c r="D7" s="9" t="s">
        <v>22</v>
      </c>
      <c r="E7" s="9" t="s">
        <v>22</v>
      </c>
      <c r="F7" s="9" t="s">
        <v>22</v>
      </c>
      <c r="G7" s="12" t="s">
        <v>22</v>
      </c>
      <c r="H7" s="12" t="s">
        <v>22</v>
      </c>
      <c r="I7" s="12">
        <f t="shared" si="0"/>
        <v>2</v>
      </c>
      <c r="J7" s="12">
        <f t="shared" si="0"/>
        <v>2</v>
      </c>
      <c r="K7" s="12">
        <f t="shared" si="0"/>
        <v>2</v>
      </c>
      <c r="L7" s="12">
        <f t="shared" si="0"/>
        <v>2</v>
      </c>
      <c r="M7" s="12">
        <f t="shared" si="0"/>
        <v>2</v>
      </c>
      <c r="N7" s="6"/>
      <c r="O7" s="7"/>
      <c r="P7" s="7"/>
      <c r="Q7" s="7"/>
      <c r="R7" s="7"/>
      <c r="S7" s="7"/>
      <c r="T7" s="7"/>
      <c r="U7" s="7"/>
      <c r="V7" s="7"/>
      <c r="W7" s="7"/>
      <c r="X7" s="7"/>
      <c r="Y7" s="7"/>
      <c r="Z7" s="7"/>
      <c r="AA7" s="7"/>
      <c r="AB7" s="7"/>
    </row>
    <row r="8" spans="1:32" ht="15.75" customHeight="1">
      <c r="A8" s="8" t="s">
        <v>511</v>
      </c>
      <c r="B8" s="3" t="s">
        <v>16</v>
      </c>
      <c r="C8" s="3" t="s">
        <v>14</v>
      </c>
      <c r="D8" s="9" t="s">
        <v>22</v>
      </c>
      <c r="E8" s="9" t="s">
        <v>22</v>
      </c>
      <c r="F8" s="9" t="s">
        <v>22</v>
      </c>
      <c r="G8" s="12" t="s">
        <v>21</v>
      </c>
      <c r="H8" s="12" t="s">
        <v>21</v>
      </c>
      <c r="I8" s="12">
        <f t="shared" si="0"/>
        <v>0</v>
      </c>
      <c r="J8" s="12">
        <f t="shared" si="0"/>
        <v>0</v>
      </c>
      <c r="K8" s="12">
        <f t="shared" si="0"/>
        <v>0</v>
      </c>
      <c r="L8" s="12">
        <f t="shared" si="0"/>
        <v>0</v>
      </c>
      <c r="M8" s="12">
        <f t="shared" si="0"/>
        <v>0</v>
      </c>
      <c r="N8" s="6"/>
      <c r="O8" s="7"/>
      <c r="P8" s="7"/>
      <c r="Q8" s="7"/>
      <c r="R8" s="7"/>
      <c r="S8" s="7"/>
      <c r="T8" s="7"/>
      <c r="U8" s="7"/>
      <c r="V8" s="7"/>
      <c r="W8" s="7"/>
      <c r="X8" s="7"/>
      <c r="Y8" s="7"/>
      <c r="Z8" s="7"/>
      <c r="AA8" s="7"/>
      <c r="AB8" s="7"/>
    </row>
    <row r="9" spans="1:32" ht="15.75" customHeight="1">
      <c r="A9" s="8" t="s">
        <v>512</v>
      </c>
      <c r="B9" s="3"/>
      <c r="C9" s="3" t="s">
        <v>19</v>
      </c>
      <c r="D9" s="9" t="s">
        <v>19</v>
      </c>
      <c r="E9" s="9" t="s">
        <v>19</v>
      </c>
      <c r="F9" s="9" t="s">
        <v>19</v>
      </c>
      <c r="G9" s="12" t="s">
        <v>19</v>
      </c>
      <c r="H9" s="12" t="s">
        <v>19</v>
      </c>
      <c r="I9" s="12">
        <f t="shared" si="0"/>
        <v>2</v>
      </c>
      <c r="J9" s="12">
        <f t="shared" si="0"/>
        <v>2</v>
      </c>
      <c r="K9" s="12">
        <f t="shared" si="0"/>
        <v>2</v>
      </c>
      <c r="L9" s="12">
        <f t="shared" si="0"/>
        <v>2</v>
      </c>
      <c r="M9" s="12">
        <f t="shared" si="0"/>
        <v>2</v>
      </c>
      <c r="N9" s="6"/>
      <c r="O9" s="7"/>
      <c r="P9" s="7"/>
      <c r="Q9" s="7"/>
      <c r="R9" s="7"/>
      <c r="S9" s="7"/>
      <c r="T9" s="7"/>
      <c r="U9" s="7"/>
      <c r="V9" s="7"/>
      <c r="W9" s="7"/>
      <c r="X9" s="7"/>
      <c r="Y9" s="7"/>
      <c r="Z9" s="7"/>
      <c r="AA9" s="7"/>
      <c r="AB9" s="7"/>
    </row>
    <row r="10" spans="1:32" ht="15.75" customHeight="1">
      <c r="A10" s="8" t="s">
        <v>513</v>
      </c>
      <c r="B10" s="3"/>
      <c r="C10" s="3" t="s">
        <v>21</v>
      </c>
      <c r="D10" s="9" t="s">
        <v>505</v>
      </c>
      <c r="E10" s="9" t="s">
        <v>21</v>
      </c>
      <c r="F10" s="9" t="s">
        <v>21</v>
      </c>
      <c r="G10" s="12" t="s">
        <v>21</v>
      </c>
      <c r="H10" s="12" t="s">
        <v>19</v>
      </c>
      <c r="I10" s="12">
        <f t="shared" si="0"/>
        <v>2</v>
      </c>
      <c r="J10" s="12">
        <f t="shared" si="0"/>
        <v>2</v>
      </c>
      <c r="K10" s="12">
        <f t="shared" si="0"/>
        <v>2</v>
      </c>
      <c r="L10" s="12">
        <f t="shared" si="0"/>
        <v>2</v>
      </c>
      <c r="M10" s="12">
        <f t="shared" si="0"/>
        <v>0</v>
      </c>
      <c r="N10" s="6"/>
      <c r="O10" s="7"/>
      <c r="P10" s="7"/>
      <c r="Q10" s="7"/>
      <c r="R10" s="7"/>
      <c r="S10" s="7"/>
      <c r="T10" s="7"/>
      <c r="U10" s="7"/>
      <c r="V10" s="7"/>
      <c r="W10" s="7"/>
      <c r="X10" s="7"/>
      <c r="Y10" s="7"/>
      <c r="Z10" s="7"/>
      <c r="AA10" s="7"/>
      <c r="AB10" s="7"/>
    </row>
    <row r="11" spans="1:32" ht="15.75" customHeight="1">
      <c r="A11" s="8" t="s">
        <v>514</v>
      </c>
      <c r="B11" s="3"/>
      <c r="C11" s="3" t="s">
        <v>21</v>
      </c>
      <c r="D11" s="9" t="s">
        <v>505</v>
      </c>
      <c r="E11" s="9" t="s">
        <v>21</v>
      </c>
      <c r="F11" s="9" t="s">
        <v>21</v>
      </c>
      <c r="G11" s="12" t="s">
        <v>21</v>
      </c>
      <c r="H11" s="12" t="s">
        <v>21</v>
      </c>
      <c r="I11" s="12">
        <f t="shared" si="0"/>
        <v>2</v>
      </c>
      <c r="J11" s="12">
        <f t="shared" si="0"/>
        <v>2</v>
      </c>
      <c r="K11" s="12">
        <f t="shared" si="0"/>
        <v>2</v>
      </c>
      <c r="L11" s="12">
        <f t="shared" si="0"/>
        <v>2</v>
      </c>
      <c r="M11" s="12">
        <f t="shared" si="0"/>
        <v>2</v>
      </c>
      <c r="N11" s="6"/>
      <c r="O11" s="7"/>
      <c r="P11" s="7"/>
      <c r="Q11" s="7"/>
      <c r="R11" s="7"/>
      <c r="S11" s="7"/>
      <c r="T11" s="7"/>
      <c r="U11" s="7"/>
      <c r="V11" s="7"/>
      <c r="W11" s="7"/>
      <c r="X11" s="7"/>
      <c r="Y11" s="7"/>
      <c r="Z11" s="7"/>
      <c r="AA11" s="7"/>
      <c r="AB11" s="7"/>
    </row>
    <row r="12" spans="1:32" ht="15.75" customHeight="1">
      <c r="A12" s="8" t="s">
        <v>515</v>
      </c>
      <c r="B12" s="3" t="s">
        <v>16</v>
      </c>
      <c r="C12" s="3" t="s">
        <v>17</v>
      </c>
      <c r="D12" s="9" t="s">
        <v>22</v>
      </c>
      <c r="E12" s="9" t="s">
        <v>22</v>
      </c>
      <c r="F12" s="9" t="s">
        <v>22</v>
      </c>
      <c r="G12" s="12" t="s">
        <v>22</v>
      </c>
      <c r="H12" s="12" t="s">
        <v>22</v>
      </c>
      <c r="I12" s="12">
        <f t="shared" si="0"/>
        <v>0</v>
      </c>
      <c r="J12" s="12">
        <f t="shared" si="0"/>
        <v>0</v>
      </c>
      <c r="K12" s="12">
        <f t="shared" si="0"/>
        <v>0</v>
      </c>
      <c r="L12" s="12">
        <f t="shared" si="0"/>
        <v>0</v>
      </c>
      <c r="M12" s="12">
        <f t="shared" si="0"/>
        <v>0</v>
      </c>
      <c r="N12" s="6"/>
      <c r="O12" s="7"/>
      <c r="P12" s="7"/>
      <c r="Q12" s="7"/>
      <c r="R12" s="7"/>
      <c r="S12" s="7"/>
      <c r="T12" s="7"/>
      <c r="U12" s="7"/>
      <c r="V12" s="7"/>
      <c r="W12" s="7"/>
      <c r="X12" s="7"/>
      <c r="Y12" s="7"/>
      <c r="Z12" s="7"/>
      <c r="AA12" s="7"/>
      <c r="AB12" s="7"/>
    </row>
    <row r="13" spans="1:32" ht="15.75" customHeight="1">
      <c r="A13" s="8" t="s">
        <v>516</v>
      </c>
      <c r="B13" s="3"/>
      <c r="C13" s="3" t="s">
        <v>21</v>
      </c>
      <c r="D13" s="9" t="s">
        <v>21</v>
      </c>
      <c r="E13" s="9" t="s">
        <v>21</v>
      </c>
      <c r="F13" s="9" t="s">
        <v>21</v>
      </c>
      <c r="G13" s="12" t="s">
        <v>21</v>
      </c>
      <c r="H13" s="12" t="s">
        <v>21</v>
      </c>
      <c r="I13" s="12">
        <f t="shared" si="0"/>
        <v>2</v>
      </c>
      <c r="J13" s="12">
        <f t="shared" si="0"/>
        <v>2</v>
      </c>
      <c r="K13" s="12">
        <f t="shared" si="0"/>
        <v>2</v>
      </c>
      <c r="L13" s="12">
        <f t="shared" si="0"/>
        <v>2</v>
      </c>
      <c r="M13" s="12">
        <f t="shared" si="0"/>
        <v>2</v>
      </c>
      <c r="N13" s="6"/>
      <c r="O13" s="7"/>
      <c r="P13" s="7"/>
      <c r="Q13" s="7"/>
      <c r="R13" s="7"/>
      <c r="S13" s="7"/>
      <c r="T13" s="7"/>
      <c r="U13" s="7"/>
      <c r="V13" s="7"/>
      <c r="W13" s="7"/>
      <c r="X13" s="7"/>
      <c r="Y13" s="7"/>
      <c r="Z13" s="7"/>
      <c r="AA13" s="7"/>
      <c r="AB13" s="7"/>
    </row>
    <row r="14" spans="1:32" ht="15.75" customHeight="1">
      <c r="A14" s="8" t="s">
        <v>517</v>
      </c>
      <c r="B14" s="3"/>
      <c r="C14" s="3" t="s">
        <v>21</v>
      </c>
      <c r="D14" s="9" t="s">
        <v>21</v>
      </c>
      <c r="E14" s="9" t="s">
        <v>21</v>
      </c>
      <c r="F14" s="9" t="s">
        <v>21</v>
      </c>
      <c r="G14" s="12" t="s">
        <v>21</v>
      </c>
      <c r="H14" s="12" t="s">
        <v>21</v>
      </c>
      <c r="I14" s="12">
        <f t="shared" si="0"/>
        <v>2</v>
      </c>
      <c r="J14" s="12">
        <f t="shared" si="0"/>
        <v>2</v>
      </c>
      <c r="K14" s="12">
        <f t="shared" si="0"/>
        <v>2</v>
      </c>
      <c r="L14" s="12">
        <f t="shared" si="0"/>
        <v>2</v>
      </c>
      <c r="M14" s="12">
        <f t="shared" si="0"/>
        <v>2</v>
      </c>
      <c r="N14" s="6"/>
      <c r="O14" s="7"/>
      <c r="P14" s="7"/>
      <c r="Q14" s="7"/>
      <c r="R14" s="7"/>
      <c r="S14" s="7"/>
      <c r="T14" s="7"/>
      <c r="U14" s="7"/>
      <c r="V14" s="7"/>
      <c r="W14" s="7"/>
      <c r="X14" s="7"/>
      <c r="Y14" s="7"/>
      <c r="Z14" s="7"/>
      <c r="AA14" s="7"/>
      <c r="AB14" s="7"/>
      <c r="AC14" s="7"/>
      <c r="AD14" s="7"/>
      <c r="AE14" s="7"/>
      <c r="AF14" s="7"/>
    </row>
    <row r="15" spans="1:32" ht="15.75" customHeight="1">
      <c r="A15" s="8" t="s">
        <v>518</v>
      </c>
      <c r="B15" s="3"/>
      <c r="C15" s="3" t="s">
        <v>14</v>
      </c>
      <c r="D15" s="9" t="s">
        <v>14</v>
      </c>
      <c r="E15" s="9" t="s">
        <v>14</v>
      </c>
      <c r="F15" s="9" t="s">
        <v>14</v>
      </c>
      <c r="G15" s="12" t="s">
        <v>14</v>
      </c>
      <c r="H15" s="12" t="s">
        <v>14</v>
      </c>
      <c r="I15" s="12">
        <f t="shared" si="0"/>
        <v>2</v>
      </c>
      <c r="J15" s="12">
        <f t="shared" si="0"/>
        <v>2</v>
      </c>
      <c r="K15" s="12">
        <f t="shared" si="0"/>
        <v>2</v>
      </c>
      <c r="L15" s="12">
        <f t="shared" si="0"/>
        <v>2</v>
      </c>
      <c r="M15" s="12">
        <f t="shared" si="0"/>
        <v>2</v>
      </c>
      <c r="N15" s="6"/>
      <c r="O15" s="7"/>
      <c r="P15" s="7"/>
      <c r="Q15" s="7"/>
      <c r="R15" s="7"/>
      <c r="S15" s="7"/>
      <c r="T15" s="7"/>
      <c r="U15" s="7"/>
      <c r="V15" s="7"/>
      <c r="W15" s="7"/>
      <c r="X15" s="7"/>
      <c r="Y15" s="7"/>
      <c r="Z15" s="7"/>
      <c r="AA15" s="7"/>
      <c r="AB15" s="7"/>
      <c r="AC15" s="7"/>
      <c r="AD15" s="7"/>
      <c r="AE15" s="7"/>
      <c r="AF15" s="7"/>
    </row>
    <row r="16" spans="1:32" ht="15.75" customHeight="1">
      <c r="A16" s="8" t="s">
        <v>519</v>
      </c>
      <c r="B16" s="3" t="s">
        <v>16</v>
      </c>
      <c r="C16" s="3" t="s">
        <v>19</v>
      </c>
      <c r="D16" s="9" t="s">
        <v>14</v>
      </c>
      <c r="E16" s="9" t="s">
        <v>19</v>
      </c>
      <c r="F16" s="9" t="s">
        <v>19</v>
      </c>
      <c r="G16" s="12" t="s">
        <v>19</v>
      </c>
      <c r="H16" s="12" t="s">
        <v>19</v>
      </c>
      <c r="I16" s="12">
        <f t="shared" si="0"/>
        <v>0</v>
      </c>
      <c r="J16" s="12">
        <f t="shared" si="0"/>
        <v>2</v>
      </c>
      <c r="K16" s="12">
        <f t="shared" si="0"/>
        <v>2</v>
      </c>
      <c r="L16" s="12">
        <f t="shared" si="0"/>
        <v>2</v>
      </c>
      <c r="M16" s="12">
        <f t="shared" si="0"/>
        <v>2</v>
      </c>
      <c r="N16" s="6"/>
      <c r="O16" s="7"/>
      <c r="P16" s="7"/>
      <c r="Q16" s="7"/>
      <c r="R16" s="7"/>
      <c r="S16" s="7"/>
      <c r="T16" s="7"/>
      <c r="U16" s="7"/>
      <c r="V16" s="7"/>
      <c r="W16" s="7"/>
      <c r="X16" s="7"/>
      <c r="Y16" s="7"/>
      <c r="Z16" s="7"/>
      <c r="AA16" s="7"/>
      <c r="AB16" s="7"/>
      <c r="AC16" s="7"/>
      <c r="AD16" s="7"/>
      <c r="AE16" s="7"/>
      <c r="AF16" s="7"/>
    </row>
    <row r="17" spans="1:32" ht="15.75" customHeight="1">
      <c r="A17" s="8" t="s">
        <v>520</v>
      </c>
      <c r="B17" s="3" t="s">
        <v>16</v>
      </c>
      <c r="C17" s="3" t="s">
        <v>14</v>
      </c>
      <c r="D17" s="10" t="s">
        <v>17</v>
      </c>
      <c r="E17" s="10" t="s">
        <v>17</v>
      </c>
      <c r="F17" s="10" t="s">
        <v>17</v>
      </c>
      <c r="G17" s="11" t="s">
        <v>21</v>
      </c>
      <c r="H17" s="11" t="s">
        <v>17</v>
      </c>
      <c r="I17" s="12">
        <f t="shared" si="0"/>
        <v>0</v>
      </c>
      <c r="J17" s="12">
        <f t="shared" si="0"/>
        <v>0</v>
      </c>
      <c r="K17" s="12">
        <f t="shared" si="0"/>
        <v>0</v>
      </c>
      <c r="L17" s="12">
        <f t="shared" si="0"/>
        <v>0</v>
      </c>
      <c r="M17" s="12">
        <f t="shared" si="0"/>
        <v>0</v>
      </c>
      <c r="N17" s="6"/>
      <c r="O17" s="7"/>
      <c r="P17" s="7"/>
      <c r="Q17" s="7"/>
      <c r="R17" s="7"/>
      <c r="S17" s="7"/>
      <c r="T17" s="7"/>
      <c r="U17" s="7"/>
      <c r="V17" s="7"/>
      <c r="W17" s="7"/>
      <c r="X17" s="7"/>
      <c r="Y17" s="7"/>
      <c r="Z17" s="7"/>
      <c r="AA17" s="7"/>
      <c r="AB17" s="7"/>
      <c r="AC17" s="7"/>
      <c r="AD17" s="7"/>
      <c r="AE17" s="7"/>
      <c r="AF17" s="7"/>
    </row>
    <row r="18" spans="1:32" ht="15.75" customHeight="1">
      <c r="A18" s="8" t="s">
        <v>521</v>
      </c>
      <c r="B18" s="3" t="s">
        <v>16</v>
      </c>
      <c r="C18" s="3" t="s">
        <v>17</v>
      </c>
      <c r="D18" s="10" t="s">
        <v>17</v>
      </c>
      <c r="E18" s="10" t="s">
        <v>17</v>
      </c>
      <c r="F18" s="10" t="s">
        <v>14</v>
      </c>
      <c r="G18" s="11" t="s">
        <v>14</v>
      </c>
      <c r="H18" s="11" t="s">
        <v>14</v>
      </c>
      <c r="I18" s="12">
        <f t="shared" ref="I18:M23" si="1">_xlfn.LET(
_xlpm.full,2,
_xlpm.ans,UPPER(SUBSTITUTE(SUBSTITUTE(SUBSTITUTE(SUBSTITUTE(SUBSTITUTE(SUBSTITUTE($C18&amp;"","，",""),",",""),"、","")," ",""),"　",""),CHAR(10),"")),
_xlpm.resp,UPPER(SUBSTITUTE(SUBSTITUTE(SUBSTITUTE(SUBSTITUTE(SUBSTITUTE(SUBSTITUTE(D18&amp;"","，",""),",",""),"、","")," ",""),"　",""),CHAR(10),"")),
IF(OR(_xlpm.resp="",LEN(_xlpm.resp)&lt;&gt;1),0,IF(_xlpm.resp=_xlpm.ans,_xlpm.full,0))
)</f>
        <v>2</v>
      </c>
      <c r="J18" s="12">
        <f t="shared" si="1"/>
        <v>2</v>
      </c>
      <c r="K18" s="12">
        <f t="shared" si="1"/>
        <v>0</v>
      </c>
      <c r="L18" s="12">
        <f t="shared" si="1"/>
        <v>0</v>
      </c>
      <c r="M18" s="12">
        <f t="shared" si="1"/>
        <v>0</v>
      </c>
      <c r="N18" s="6"/>
      <c r="O18" s="7"/>
      <c r="P18" s="7"/>
      <c r="Q18" s="7"/>
      <c r="R18" s="7"/>
      <c r="S18" s="7"/>
      <c r="T18" s="7"/>
      <c r="U18" s="7"/>
      <c r="V18" s="7"/>
      <c r="W18" s="7"/>
      <c r="X18" s="7"/>
      <c r="Y18" s="7"/>
      <c r="Z18" s="7"/>
      <c r="AA18" s="7"/>
      <c r="AB18" s="7"/>
      <c r="AC18" s="7"/>
      <c r="AD18" s="7"/>
      <c r="AE18" s="7"/>
      <c r="AF18" s="7"/>
    </row>
    <row r="19" spans="1:32" ht="15.75" customHeight="1">
      <c r="A19" s="8" t="s">
        <v>522</v>
      </c>
      <c r="B19" s="3"/>
      <c r="C19" s="3" t="s">
        <v>17</v>
      </c>
      <c r="D19" s="10" t="s">
        <v>22</v>
      </c>
      <c r="E19" s="10" t="s">
        <v>22</v>
      </c>
      <c r="F19" s="10" t="s">
        <v>17</v>
      </c>
      <c r="G19" s="11" t="s">
        <v>17</v>
      </c>
      <c r="H19" s="11" t="s">
        <v>17</v>
      </c>
      <c r="I19" s="12">
        <f t="shared" si="1"/>
        <v>0</v>
      </c>
      <c r="J19" s="12">
        <f t="shared" si="1"/>
        <v>0</v>
      </c>
      <c r="K19" s="12">
        <f t="shared" si="1"/>
        <v>2</v>
      </c>
      <c r="L19" s="12">
        <f t="shared" si="1"/>
        <v>2</v>
      </c>
      <c r="M19" s="12">
        <f t="shared" si="1"/>
        <v>2</v>
      </c>
      <c r="N19" s="6"/>
      <c r="O19" s="7"/>
      <c r="P19" s="7"/>
      <c r="Q19" s="7"/>
      <c r="R19" s="7"/>
      <c r="S19" s="7"/>
      <c r="T19" s="7"/>
      <c r="U19" s="7"/>
      <c r="V19" s="7"/>
      <c r="W19" s="7"/>
      <c r="X19" s="7"/>
      <c r="Y19" s="7"/>
      <c r="Z19" s="7"/>
      <c r="AA19" s="7"/>
      <c r="AB19" s="7"/>
      <c r="AC19" s="7"/>
      <c r="AD19" s="7"/>
      <c r="AE19" s="7"/>
      <c r="AF19" s="7"/>
    </row>
    <row r="20" spans="1:32" ht="15.75" customHeight="1">
      <c r="A20" s="8" t="s">
        <v>523</v>
      </c>
      <c r="B20" s="3"/>
      <c r="C20" s="3" t="s">
        <v>22</v>
      </c>
      <c r="D20" s="10" t="s">
        <v>22</v>
      </c>
      <c r="E20" s="10" t="s">
        <v>22</v>
      </c>
      <c r="F20" s="10" t="s">
        <v>22</v>
      </c>
      <c r="G20" s="11" t="s">
        <v>22</v>
      </c>
      <c r="H20" s="11" t="s">
        <v>22</v>
      </c>
      <c r="I20" s="12">
        <f t="shared" si="1"/>
        <v>2</v>
      </c>
      <c r="J20" s="12">
        <f t="shared" si="1"/>
        <v>2</v>
      </c>
      <c r="K20" s="12">
        <f t="shared" si="1"/>
        <v>2</v>
      </c>
      <c r="L20" s="12">
        <f t="shared" si="1"/>
        <v>2</v>
      </c>
      <c r="M20" s="12">
        <f t="shared" si="1"/>
        <v>2</v>
      </c>
      <c r="N20" s="6"/>
      <c r="O20" s="7"/>
      <c r="P20" s="7"/>
      <c r="Q20" s="7"/>
      <c r="R20" s="7"/>
      <c r="S20" s="7"/>
      <c r="T20" s="7"/>
      <c r="U20" s="7"/>
      <c r="V20" s="7"/>
      <c r="W20" s="7"/>
      <c r="X20" s="7"/>
      <c r="Y20" s="7"/>
      <c r="Z20" s="7"/>
      <c r="AA20" s="7"/>
      <c r="AB20" s="7"/>
      <c r="AC20" s="7"/>
      <c r="AD20" s="7"/>
      <c r="AE20" s="7"/>
      <c r="AF20" s="7"/>
    </row>
    <row r="21" spans="1:32" ht="15.75" customHeight="1">
      <c r="A21" s="8" t="s">
        <v>524</v>
      </c>
      <c r="B21" s="3"/>
      <c r="C21" s="3" t="s">
        <v>22</v>
      </c>
      <c r="D21" s="10" t="s">
        <v>22</v>
      </c>
      <c r="E21" s="10" t="s">
        <v>14</v>
      </c>
      <c r="F21" s="10" t="s">
        <v>14</v>
      </c>
      <c r="G21" s="11" t="s">
        <v>14</v>
      </c>
      <c r="H21" s="11" t="s">
        <v>22</v>
      </c>
      <c r="I21" s="12">
        <f t="shared" si="1"/>
        <v>2</v>
      </c>
      <c r="J21" s="12">
        <f t="shared" si="1"/>
        <v>0</v>
      </c>
      <c r="K21" s="12">
        <f t="shared" si="1"/>
        <v>0</v>
      </c>
      <c r="L21" s="12">
        <f t="shared" si="1"/>
        <v>0</v>
      </c>
      <c r="M21" s="12">
        <f t="shared" si="1"/>
        <v>2</v>
      </c>
      <c r="N21" s="6"/>
      <c r="O21" s="7"/>
      <c r="P21" s="7"/>
      <c r="Q21" s="7"/>
      <c r="R21" s="7"/>
      <c r="S21" s="7"/>
      <c r="T21" s="7"/>
      <c r="U21" s="7"/>
      <c r="V21" s="7"/>
      <c r="W21" s="7"/>
      <c r="X21" s="7"/>
      <c r="Y21" s="7"/>
      <c r="Z21" s="7"/>
      <c r="AA21" s="7"/>
      <c r="AB21" s="7"/>
      <c r="AC21" s="7"/>
      <c r="AD21" s="7"/>
      <c r="AE21" s="7"/>
      <c r="AF21" s="7"/>
    </row>
    <row r="22" spans="1:32" ht="15.75" customHeight="1">
      <c r="A22" s="8" t="s">
        <v>525</v>
      </c>
      <c r="B22" s="3" t="s">
        <v>16</v>
      </c>
      <c r="C22" s="3" t="s">
        <v>19</v>
      </c>
      <c r="D22" s="10" t="s">
        <v>21</v>
      </c>
      <c r="E22" s="10" t="s">
        <v>21</v>
      </c>
      <c r="F22" s="10" t="s">
        <v>21</v>
      </c>
      <c r="G22" s="11" t="s">
        <v>22</v>
      </c>
      <c r="H22" s="11" t="s">
        <v>14</v>
      </c>
      <c r="I22" s="12">
        <f t="shared" si="1"/>
        <v>0</v>
      </c>
      <c r="J22" s="12">
        <f t="shared" si="1"/>
        <v>0</v>
      </c>
      <c r="K22" s="12">
        <f t="shared" si="1"/>
        <v>0</v>
      </c>
      <c r="L22" s="12">
        <f t="shared" si="1"/>
        <v>0</v>
      </c>
      <c r="M22" s="12">
        <f t="shared" si="1"/>
        <v>0</v>
      </c>
      <c r="N22" s="6"/>
      <c r="O22" s="7"/>
      <c r="P22" s="7"/>
      <c r="Q22" s="7"/>
      <c r="R22" s="7"/>
      <c r="S22" s="7"/>
      <c r="T22" s="7"/>
      <c r="U22" s="7"/>
      <c r="V22" s="7"/>
      <c r="W22" s="7"/>
      <c r="X22" s="7"/>
      <c r="Y22" s="7"/>
      <c r="Z22" s="7"/>
      <c r="AA22" s="7"/>
      <c r="AB22" s="7"/>
      <c r="AC22" s="7"/>
      <c r="AD22" s="7"/>
      <c r="AE22" s="7"/>
      <c r="AF22" s="7"/>
    </row>
    <row r="23" spans="1:32" ht="15.75" customHeight="1">
      <c r="A23" s="8" t="s">
        <v>526</v>
      </c>
      <c r="B23" s="3" t="s">
        <v>16</v>
      </c>
      <c r="C23" s="3" t="s">
        <v>17</v>
      </c>
      <c r="D23" s="10" t="s">
        <v>17</v>
      </c>
      <c r="E23" s="10" t="s">
        <v>17</v>
      </c>
      <c r="F23" s="10" t="s">
        <v>21</v>
      </c>
      <c r="G23" s="11" t="s">
        <v>17</v>
      </c>
      <c r="H23" s="11" t="s">
        <v>22</v>
      </c>
      <c r="I23" s="12">
        <f t="shared" si="1"/>
        <v>2</v>
      </c>
      <c r="J23" s="12">
        <f t="shared" si="1"/>
        <v>2</v>
      </c>
      <c r="K23" s="12">
        <f t="shared" si="1"/>
        <v>0</v>
      </c>
      <c r="L23" s="12">
        <f t="shared" si="1"/>
        <v>2</v>
      </c>
      <c r="M23" s="12">
        <f t="shared" si="1"/>
        <v>0</v>
      </c>
      <c r="N23" s="13"/>
      <c r="O23" s="7"/>
      <c r="P23" s="7"/>
      <c r="Q23" s="7"/>
      <c r="R23" s="7"/>
      <c r="S23" s="7"/>
      <c r="T23" s="7"/>
      <c r="U23" s="7"/>
      <c r="V23" s="7"/>
      <c r="W23" s="7"/>
      <c r="X23" s="7"/>
      <c r="Y23" s="7"/>
      <c r="Z23" s="7"/>
      <c r="AA23" s="7"/>
      <c r="AB23" s="7"/>
      <c r="AC23" s="7"/>
      <c r="AD23" s="7"/>
      <c r="AE23" s="7"/>
      <c r="AF23" s="7"/>
    </row>
    <row r="24" spans="1:32" ht="15.75" customHeight="1">
      <c r="A24" s="8" t="s">
        <v>527</v>
      </c>
      <c r="B24" s="3"/>
      <c r="C24" s="3" t="s">
        <v>52</v>
      </c>
      <c r="D24" s="10" t="s">
        <v>52</v>
      </c>
      <c r="E24" s="10" t="s">
        <v>52</v>
      </c>
      <c r="F24" s="10" t="s">
        <v>52</v>
      </c>
      <c r="G24" s="11" t="s">
        <v>52</v>
      </c>
      <c r="H24" s="11" t="s">
        <v>52</v>
      </c>
      <c r="I24" s="22">
        <f t="shared" ref="I24:I31" si="2">_xlfn.LET(
_xlpm.full,2,
_xlpm.ans0,$C24&amp;"",
_xlpm.resp0,D24&amp;"",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J24" s="22">
        <f t="shared" ref="J24:M31" si="3">_xlfn.LET(
_xlpm.full,2,
_xlpm.ans0,$C24&amp;"",
_xlpm.resp0,E24&amp;"",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K24" s="22">
        <f t="shared" si="3"/>
        <v>2</v>
      </c>
      <c r="L24" s="22">
        <f t="shared" si="3"/>
        <v>2</v>
      </c>
      <c r="M24" s="22">
        <f t="shared" si="3"/>
        <v>2</v>
      </c>
      <c r="N24" s="13"/>
      <c r="O24" s="7"/>
      <c r="P24" s="7"/>
      <c r="Q24" s="7"/>
      <c r="R24" s="7"/>
      <c r="S24" s="7"/>
      <c r="T24" s="7"/>
      <c r="U24" s="7"/>
      <c r="V24" s="7"/>
      <c r="W24" s="7"/>
      <c r="X24" s="7"/>
      <c r="Y24" s="7"/>
      <c r="Z24" s="7"/>
      <c r="AA24" s="7"/>
      <c r="AB24" s="7"/>
      <c r="AC24" s="7"/>
      <c r="AD24" s="7"/>
      <c r="AE24" s="7"/>
      <c r="AF24" s="7"/>
    </row>
    <row r="25" spans="1:32" ht="15.75" customHeight="1">
      <c r="A25" s="8" t="s">
        <v>528</v>
      </c>
      <c r="B25" s="3"/>
      <c r="C25" s="3" t="s">
        <v>53</v>
      </c>
      <c r="D25" s="10" t="s">
        <v>53</v>
      </c>
      <c r="E25" s="10" t="s">
        <v>53</v>
      </c>
      <c r="F25" s="10" t="s">
        <v>53</v>
      </c>
      <c r="G25" s="11" t="s">
        <v>53</v>
      </c>
      <c r="H25" s="11" t="s">
        <v>53</v>
      </c>
      <c r="I25" s="22">
        <f t="shared" si="2"/>
        <v>2</v>
      </c>
      <c r="J25" s="22">
        <f t="shared" si="3"/>
        <v>2</v>
      </c>
      <c r="K25" s="22">
        <f t="shared" si="3"/>
        <v>2</v>
      </c>
      <c r="L25" s="22">
        <f t="shared" si="3"/>
        <v>2</v>
      </c>
      <c r="M25" s="22">
        <f t="shared" si="3"/>
        <v>2</v>
      </c>
      <c r="N25" s="13"/>
      <c r="O25" s="7"/>
      <c r="P25" s="7"/>
      <c r="Q25" s="7"/>
      <c r="R25" s="7"/>
      <c r="S25" s="7"/>
      <c r="T25" s="7"/>
      <c r="U25" s="7"/>
      <c r="V25" s="7"/>
      <c r="W25" s="7"/>
      <c r="X25" s="7"/>
      <c r="Y25" s="7"/>
      <c r="Z25" s="7"/>
      <c r="AA25" s="7"/>
      <c r="AB25" s="7"/>
      <c r="AC25" s="7"/>
      <c r="AD25" s="7"/>
      <c r="AE25" s="7"/>
      <c r="AF25" s="7"/>
    </row>
    <row r="26" spans="1:32" ht="15.75" customHeight="1">
      <c r="A26" s="8" t="s">
        <v>529</v>
      </c>
      <c r="B26" s="3"/>
      <c r="C26" s="3" t="s">
        <v>58</v>
      </c>
      <c r="D26" s="10" t="s">
        <v>58</v>
      </c>
      <c r="E26" s="10" t="s">
        <v>58</v>
      </c>
      <c r="F26" s="10" t="s">
        <v>58</v>
      </c>
      <c r="G26" s="11" t="s">
        <v>58</v>
      </c>
      <c r="H26" s="11" t="s">
        <v>58</v>
      </c>
      <c r="I26" s="22">
        <f t="shared" si="2"/>
        <v>2</v>
      </c>
      <c r="J26" s="22">
        <f t="shared" si="3"/>
        <v>2</v>
      </c>
      <c r="K26" s="22">
        <f t="shared" si="3"/>
        <v>2</v>
      </c>
      <c r="L26" s="22">
        <f t="shared" si="3"/>
        <v>2</v>
      </c>
      <c r="M26" s="22">
        <f t="shared" si="3"/>
        <v>2</v>
      </c>
      <c r="N26" s="13"/>
      <c r="O26" s="7"/>
      <c r="P26" s="7"/>
      <c r="Q26" s="7"/>
      <c r="R26" s="7"/>
      <c r="S26" s="7"/>
      <c r="T26" s="7"/>
      <c r="U26" s="7"/>
      <c r="V26" s="7"/>
      <c r="W26" s="7"/>
      <c r="X26" s="7"/>
      <c r="Y26" s="7"/>
      <c r="Z26" s="7"/>
      <c r="AA26" s="7"/>
      <c r="AB26" s="7"/>
      <c r="AC26" s="7"/>
      <c r="AD26" s="7"/>
      <c r="AE26" s="7"/>
      <c r="AF26" s="7"/>
    </row>
    <row r="27" spans="1:32" ht="15.75" customHeight="1">
      <c r="A27" s="8" t="s">
        <v>530</v>
      </c>
      <c r="B27" s="3"/>
      <c r="C27" s="3" t="s">
        <v>60</v>
      </c>
      <c r="D27" s="10" t="s">
        <v>60</v>
      </c>
      <c r="E27" s="10" t="s">
        <v>60</v>
      </c>
      <c r="F27" s="10" t="s">
        <v>60</v>
      </c>
      <c r="G27" s="11" t="s">
        <v>60</v>
      </c>
      <c r="H27" s="11" t="s">
        <v>60</v>
      </c>
      <c r="I27" s="22">
        <f t="shared" si="2"/>
        <v>2</v>
      </c>
      <c r="J27" s="22">
        <f t="shared" si="3"/>
        <v>2</v>
      </c>
      <c r="K27" s="22">
        <f t="shared" si="3"/>
        <v>2</v>
      </c>
      <c r="L27" s="22">
        <f t="shared" si="3"/>
        <v>2</v>
      </c>
      <c r="M27" s="22">
        <f t="shared" si="3"/>
        <v>2</v>
      </c>
      <c r="N27" s="13"/>
      <c r="O27" s="7"/>
      <c r="P27" s="7"/>
      <c r="Q27" s="7"/>
      <c r="R27" s="7"/>
      <c r="S27" s="7"/>
      <c r="T27" s="7"/>
      <c r="U27" s="7"/>
      <c r="V27" s="7"/>
      <c r="W27" s="7"/>
      <c r="X27" s="7"/>
      <c r="Y27" s="7"/>
      <c r="Z27" s="7"/>
      <c r="AA27" s="7"/>
      <c r="AB27" s="7"/>
      <c r="AC27" s="7"/>
      <c r="AD27" s="7"/>
      <c r="AE27" s="7"/>
      <c r="AF27" s="7"/>
    </row>
    <row r="28" spans="1:32" ht="15.75" customHeight="1">
      <c r="A28" s="8" t="s">
        <v>531</v>
      </c>
      <c r="B28" s="3"/>
      <c r="C28" s="3" t="s">
        <v>88</v>
      </c>
      <c r="D28" s="10" t="s">
        <v>54</v>
      </c>
      <c r="E28" s="10" t="s">
        <v>88</v>
      </c>
      <c r="F28" s="10" t="s">
        <v>88</v>
      </c>
      <c r="G28" s="11" t="s">
        <v>58</v>
      </c>
      <c r="H28" s="11" t="s">
        <v>55</v>
      </c>
      <c r="I28" s="22">
        <f t="shared" si="2"/>
        <v>0</v>
      </c>
      <c r="J28" s="22">
        <f t="shared" si="3"/>
        <v>2</v>
      </c>
      <c r="K28" s="22">
        <f t="shared" si="3"/>
        <v>2</v>
      </c>
      <c r="L28" s="22">
        <f t="shared" si="3"/>
        <v>0.4</v>
      </c>
      <c r="M28" s="22">
        <f t="shared" si="3"/>
        <v>0.4</v>
      </c>
      <c r="N28" s="13"/>
      <c r="O28" s="7"/>
      <c r="P28" s="7"/>
      <c r="Q28" s="7"/>
      <c r="R28" s="7"/>
      <c r="S28" s="7"/>
      <c r="T28" s="7"/>
      <c r="U28" s="7"/>
      <c r="V28" s="7"/>
      <c r="W28" s="7"/>
      <c r="X28" s="7"/>
      <c r="Y28" s="7"/>
      <c r="Z28" s="7"/>
      <c r="AA28" s="7"/>
      <c r="AB28" s="7"/>
      <c r="AC28" s="7"/>
      <c r="AD28" s="7"/>
      <c r="AE28" s="7"/>
      <c r="AF28" s="7"/>
    </row>
    <row r="29" spans="1:32" ht="15.75" customHeight="1">
      <c r="A29" s="8" t="s">
        <v>532</v>
      </c>
      <c r="B29" s="3" t="s">
        <v>16</v>
      </c>
      <c r="C29" s="3" t="s">
        <v>88</v>
      </c>
      <c r="D29" s="10" t="s">
        <v>88</v>
      </c>
      <c r="E29" s="10" t="s">
        <v>88</v>
      </c>
      <c r="F29" s="10" t="s">
        <v>88</v>
      </c>
      <c r="G29" s="11" t="s">
        <v>88</v>
      </c>
      <c r="H29" s="11" t="s">
        <v>88</v>
      </c>
      <c r="I29" s="22">
        <f t="shared" si="2"/>
        <v>2</v>
      </c>
      <c r="J29" s="22">
        <f t="shared" si="3"/>
        <v>2</v>
      </c>
      <c r="K29" s="22">
        <f t="shared" si="3"/>
        <v>2</v>
      </c>
      <c r="L29" s="22">
        <f t="shared" si="3"/>
        <v>2</v>
      </c>
      <c r="M29" s="22">
        <f t="shared" si="3"/>
        <v>2</v>
      </c>
      <c r="N29" s="13"/>
      <c r="O29" s="7"/>
      <c r="P29" s="7"/>
      <c r="Q29" s="7"/>
      <c r="R29" s="7"/>
      <c r="S29" s="7"/>
      <c r="T29" s="7"/>
      <c r="U29" s="7"/>
      <c r="V29" s="7"/>
      <c r="W29" s="7"/>
      <c r="X29" s="7"/>
      <c r="Y29" s="7"/>
      <c r="Z29" s="7"/>
      <c r="AA29" s="7"/>
      <c r="AB29" s="7"/>
      <c r="AC29" s="7"/>
      <c r="AD29" s="7"/>
      <c r="AE29" s="7"/>
      <c r="AF29" s="7"/>
    </row>
    <row r="30" spans="1:32" ht="15.75" customHeight="1">
      <c r="A30" s="8" t="s">
        <v>533</v>
      </c>
      <c r="B30" s="3"/>
      <c r="C30" s="3" t="s">
        <v>88</v>
      </c>
      <c r="D30" s="10" t="s">
        <v>88</v>
      </c>
      <c r="E30" s="10" t="s">
        <v>88</v>
      </c>
      <c r="F30" s="10" t="s">
        <v>88</v>
      </c>
      <c r="G30" s="11" t="s">
        <v>88</v>
      </c>
      <c r="H30" s="11" t="s">
        <v>88</v>
      </c>
      <c r="I30" s="22">
        <f t="shared" si="2"/>
        <v>2</v>
      </c>
      <c r="J30" s="22">
        <f t="shared" si="3"/>
        <v>2</v>
      </c>
      <c r="K30" s="22">
        <f t="shared" si="3"/>
        <v>2</v>
      </c>
      <c r="L30" s="22">
        <f t="shared" si="3"/>
        <v>2</v>
      </c>
      <c r="M30" s="22">
        <f t="shared" si="3"/>
        <v>2</v>
      </c>
      <c r="N30" s="13"/>
      <c r="O30" s="7"/>
      <c r="P30" s="7"/>
      <c r="Q30" s="7"/>
      <c r="R30" s="7"/>
      <c r="S30" s="7"/>
      <c r="T30" s="7"/>
      <c r="U30" s="7"/>
      <c r="V30" s="7"/>
      <c r="W30" s="7"/>
      <c r="X30" s="7"/>
      <c r="Y30" s="7"/>
      <c r="Z30" s="7"/>
      <c r="AA30" s="7"/>
      <c r="AB30" s="7"/>
      <c r="AC30" s="7"/>
      <c r="AD30" s="7"/>
      <c r="AE30" s="7"/>
      <c r="AF30" s="7"/>
    </row>
    <row r="31" spans="1:32" ht="15.75" customHeight="1">
      <c r="A31" s="8" t="s">
        <v>534</v>
      </c>
      <c r="B31" s="3"/>
      <c r="C31" s="3" t="s">
        <v>64</v>
      </c>
      <c r="D31" s="10" t="s">
        <v>64</v>
      </c>
      <c r="E31" s="10" t="s">
        <v>64</v>
      </c>
      <c r="F31" s="10" t="s">
        <v>64</v>
      </c>
      <c r="G31" s="11" t="s">
        <v>64</v>
      </c>
      <c r="H31" s="11" t="s">
        <v>64</v>
      </c>
      <c r="I31" s="22">
        <f t="shared" si="2"/>
        <v>2</v>
      </c>
      <c r="J31" s="22">
        <f t="shared" si="3"/>
        <v>2</v>
      </c>
      <c r="K31" s="22">
        <f t="shared" si="3"/>
        <v>2</v>
      </c>
      <c r="L31" s="22">
        <f t="shared" si="3"/>
        <v>2</v>
      </c>
      <c r="M31" s="22">
        <f t="shared" si="3"/>
        <v>2</v>
      </c>
      <c r="N31" s="13"/>
      <c r="O31" s="7"/>
      <c r="P31" s="7"/>
      <c r="Q31" s="7"/>
      <c r="R31" s="7"/>
      <c r="S31" s="7"/>
      <c r="T31" s="7"/>
      <c r="U31" s="7"/>
      <c r="V31" s="7"/>
      <c r="W31" s="7"/>
      <c r="X31" s="7"/>
      <c r="Y31" s="7"/>
      <c r="Z31" s="7"/>
      <c r="AA31" s="7"/>
      <c r="AB31" s="7"/>
      <c r="AC31" s="7"/>
      <c r="AD31" s="7"/>
      <c r="AE31" s="7"/>
      <c r="AF31" s="7"/>
    </row>
    <row r="32" spans="1:32" ht="15.75" customHeight="1">
      <c r="A32" s="17" t="s">
        <v>535</v>
      </c>
      <c r="B32" s="18"/>
      <c r="C32" s="18" t="s">
        <v>294</v>
      </c>
      <c r="D32" s="24"/>
      <c r="E32" s="24"/>
      <c r="F32" s="24"/>
      <c r="G32" s="24"/>
      <c r="H32" s="24"/>
      <c r="I32" s="24"/>
      <c r="J32" s="24"/>
      <c r="K32" s="24"/>
      <c r="L32" s="24"/>
      <c r="M32" s="24"/>
      <c r="N32" s="13"/>
      <c r="O32" s="7"/>
      <c r="P32" s="7"/>
      <c r="Q32" s="7"/>
      <c r="R32" s="7"/>
      <c r="S32" s="7"/>
      <c r="T32" s="7"/>
      <c r="U32" s="7"/>
      <c r="V32" s="7"/>
      <c r="W32" s="7"/>
      <c r="X32" s="7"/>
      <c r="Y32" s="7"/>
      <c r="Z32" s="7"/>
      <c r="AA32" s="7"/>
      <c r="AB32" s="7"/>
      <c r="AC32" s="7"/>
      <c r="AD32" s="7"/>
      <c r="AE32" s="7"/>
      <c r="AF32" s="7"/>
    </row>
    <row r="33" spans="1:32" ht="15.75" customHeight="1">
      <c r="A33" s="8" t="s">
        <v>536</v>
      </c>
      <c r="B33" s="3"/>
      <c r="C33" s="3" t="s">
        <v>102</v>
      </c>
      <c r="D33" s="10" t="s">
        <v>102</v>
      </c>
      <c r="E33" s="10" t="s">
        <v>102</v>
      </c>
      <c r="F33" s="10" t="s">
        <v>102</v>
      </c>
      <c r="G33" s="11" t="s">
        <v>102</v>
      </c>
      <c r="H33" s="11" t="s">
        <v>102</v>
      </c>
      <c r="I33" s="22">
        <f t="shared" ref="I33:I38" si="4">_xlfn.LET(
_xlpm.full,2,
_xlpm.ans0,$C33&amp;"",
_xlpm.resp0,D33&amp;"",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J33" s="22">
        <f t="shared" ref="J33:M38" si="5">_xlfn.LET(
_xlpm.full,2,
_xlpm.ans0,$C33&amp;"",
_xlpm.resp0,E33&amp;"",
_xlpm.ans,UPPER(SUBSTITUTE(SUBSTITUTE(SUBSTITUTE(SUBSTITUTE(SUBSTITUTE(SUBSTITUTE(_xlpm.ans0,"，",""),",",""),"、","")," ",""),"　",""),CHAR(10),"")),
_xlpm.resp,UPPER(SUBSTITUTE(SUBSTITUTE(SUBSTITUTE(SUBSTITUTE(SUBSTITUTE(SUBSTITUTE(_xlpm.resp0,"，",""),",",""),"、","")," ",""),"　",""),CHAR(10),"")),
_xlpm.blank,LEN(TRIM(SUBSTITUTE(_xlpm.resp0,"　","")))=0,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IF(_xlpm.blank,0,MAX(0,_xlpm.full*(5-2*_xlpm.k)/5))
)</f>
        <v>2</v>
      </c>
      <c r="K33" s="22">
        <f t="shared" si="5"/>
        <v>2</v>
      </c>
      <c r="L33" s="22">
        <f t="shared" si="5"/>
        <v>2</v>
      </c>
      <c r="M33" s="22">
        <f t="shared" si="5"/>
        <v>2</v>
      </c>
      <c r="N33" s="13"/>
      <c r="O33" s="7"/>
      <c r="P33" s="7"/>
      <c r="Q33" s="7"/>
      <c r="R33" s="7"/>
      <c r="S33" s="7"/>
      <c r="T33" s="7"/>
      <c r="U33" s="7"/>
      <c r="V33" s="7"/>
      <c r="W33" s="7"/>
      <c r="X33" s="7"/>
      <c r="Y33" s="7"/>
      <c r="Z33" s="7"/>
      <c r="AA33" s="7"/>
      <c r="AB33" s="7"/>
      <c r="AC33" s="7"/>
      <c r="AD33" s="7"/>
      <c r="AE33" s="7"/>
      <c r="AF33" s="7"/>
    </row>
    <row r="34" spans="1:32" ht="15.75" customHeight="1">
      <c r="A34" s="8" t="s">
        <v>537</v>
      </c>
      <c r="B34" s="3"/>
      <c r="C34" s="3" t="s">
        <v>58</v>
      </c>
      <c r="D34" s="10" t="s">
        <v>58</v>
      </c>
      <c r="E34" s="10" t="s">
        <v>57</v>
      </c>
      <c r="F34" s="10" t="s">
        <v>58</v>
      </c>
      <c r="G34" s="11" t="s">
        <v>58</v>
      </c>
      <c r="H34" s="11" t="s">
        <v>58</v>
      </c>
      <c r="I34" s="22">
        <f t="shared" si="4"/>
        <v>2</v>
      </c>
      <c r="J34" s="22">
        <f t="shared" si="5"/>
        <v>0.4</v>
      </c>
      <c r="K34" s="22">
        <f t="shared" si="5"/>
        <v>2</v>
      </c>
      <c r="L34" s="22">
        <f t="shared" si="5"/>
        <v>2</v>
      </c>
      <c r="M34" s="22">
        <f t="shared" si="5"/>
        <v>2</v>
      </c>
      <c r="N34" s="13"/>
      <c r="O34" s="7"/>
      <c r="P34" s="7"/>
      <c r="Q34" s="7"/>
      <c r="R34" s="7"/>
      <c r="S34" s="7"/>
      <c r="T34" s="7"/>
      <c r="U34" s="7"/>
      <c r="V34" s="7"/>
      <c r="W34" s="7"/>
      <c r="X34" s="7"/>
      <c r="Y34" s="7"/>
      <c r="Z34" s="7"/>
      <c r="AA34" s="7"/>
      <c r="AB34" s="7"/>
      <c r="AC34" s="7"/>
      <c r="AD34" s="7"/>
      <c r="AE34" s="7"/>
      <c r="AF34" s="7"/>
    </row>
    <row r="35" spans="1:32" ht="15.75" customHeight="1">
      <c r="A35" s="8" t="s">
        <v>538</v>
      </c>
      <c r="B35" s="3"/>
      <c r="C35" s="3" t="s">
        <v>46</v>
      </c>
      <c r="D35" s="10" t="s">
        <v>46</v>
      </c>
      <c r="E35" s="10" t="s">
        <v>46</v>
      </c>
      <c r="F35" s="10" t="s">
        <v>46</v>
      </c>
      <c r="G35" s="11" t="s">
        <v>46</v>
      </c>
      <c r="H35" s="11" t="s">
        <v>46</v>
      </c>
      <c r="I35" s="22">
        <f t="shared" si="4"/>
        <v>2</v>
      </c>
      <c r="J35" s="22">
        <f t="shared" si="5"/>
        <v>2</v>
      </c>
      <c r="K35" s="22">
        <f t="shared" si="5"/>
        <v>2</v>
      </c>
      <c r="L35" s="22">
        <f t="shared" si="5"/>
        <v>2</v>
      </c>
      <c r="M35" s="22">
        <f t="shared" si="5"/>
        <v>2</v>
      </c>
      <c r="N35" s="13"/>
      <c r="O35" s="13"/>
      <c r="P35" s="13"/>
      <c r="Q35" s="13"/>
      <c r="R35" s="13"/>
      <c r="S35" s="13"/>
      <c r="T35" s="13"/>
      <c r="U35" s="13"/>
      <c r="V35" s="13"/>
      <c r="W35" s="13"/>
      <c r="X35" s="13"/>
      <c r="Y35" s="13"/>
      <c r="Z35" s="13"/>
      <c r="AA35" s="13"/>
      <c r="AB35" s="13"/>
      <c r="AC35" s="13"/>
      <c r="AD35" s="13"/>
      <c r="AE35" s="13"/>
      <c r="AF35" s="13"/>
    </row>
    <row r="36" spans="1:32" ht="15.75" customHeight="1">
      <c r="A36" s="8" t="s">
        <v>539</v>
      </c>
      <c r="B36" s="3" t="s">
        <v>16</v>
      </c>
      <c r="C36" s="3" t="s">
        <v>102</v>
      </c>
      <c r="D36" s="10" t="s">
        <v>102</v>
      </c>
      <c r="E36" s="10" t="s">
        <v>102</v>
      </c>
      <c r="F36" s="10" t="s">
        <v>102</v>
      </c>
      <c r="G36" s="11" t="s">
        <v>102</v>
      </c>
      <c r="H36" s="11" t="s">
        <v>102</v>
      </c>
      <c r="I36" s="22">
        <f t="shared" si="4"/>
        <v>2</v>
      </c>
      <c r="J36" s="22">
        <f t="shared" si="5"/>
        <v>2</v>
      </c>
      <c r="K36" s="22">
        <f t="shared" si="5"/>
        <v>2</v>
      </c>
      <c r="L36" s="22">
        <f t="shared" si="5"/>
        <v>2</v>
      </c>
      <c r="M36" s="22">
        <f t="shared" si="5"/>
        <v>2</v>
      </c>
      <c r="N36" s="13"/>
      <c r="O36" s="13"/>
      <c r="P36" s="13"/>
      <c r="Q36" s="13"/>
      <c r="R36" s="13"/>
      <c r="S36" s="13"/>
      <c r="T36" s="13"/>
      <c r="U36" s="13"/>
      <c r="V36" s="13"/>
      <c r="W36" s="13"/>
      <c r="X36" s="13"/>
      <c r="Y36" s="13"/>
      <c r="Z36" s="13"/>
      <c r="AA36" s="13"/>
      <c r="AB36" s="13"/>
      <c r="AC36" s="13"/>
      <c r="AD36" s="13"/>
      <c r="AE36" s="13"/>
      <c r="AF36" s="13"/>
    </row>
    <row r="37" spans="1:32" ht="15.75" customHeight="1">
      <c r="A37" s="8" t="s">
        <v>540</v>
      </c>
      <c r="B37" s="3" t="s">
        <v>16</v>
      </c>
      <c r="C37" s="3" t="s">
        <v>57</v>
      </c>
      <c r="D37" s="10" t="s">
        <v>48</v>
      </c>
      <c r="E37" s="10" t="s">
        <v>57</v>
      </c>
      <c r="F37" s="10" t="s">
        <v>48</v>
      </c>
      <c r="G37" s="11" t="s">
        <v>48</v>
      </c>
      <c r="H37" s="11" t="s">
        <v>57</v>
      </c>
      <c r="I37" s="22">
        <f t="shared" si="4"/>
        <v>0.4</v>
      </c>
      <c r="J37" s="22">
        <f t="shared" si="5"/>
        <v>2</v>
      </c>
      <c r="K37" s="22">
        <f t="shared" si="5"/>
        <v>0.4</v>
      </c>
      <c r="L37" s="22">
        <f t="shared" si="5"/>
        <v>0.4</v>
      </c>
      <c r="M37" s="22">
        <f t="shared" si="5"/>
        <v>2</v>
      </c>
      <c r="N37" s="13"/>
      <c r="O37" s="13"/>
      <c r="P37" s="13"/>
      <c r="Q37" s="13"/>
      <c r="R37" s="13"/>
      <c r="S37" s="13"/>
      <c r="T37" s="13"/>
      <c r="U37" s="13"/>
      <c r="V37" s="13"/>
      <c r="W37" s="13"/>
      <c r="X37" s="13"/>
      <c r="Y37" s="13"/>
      <c r="Z37" s="13"/>
      <c r="AA37" s="13"/>
      <c r="AB37" s="13"/>
      <c r="AC37" s="13"/>
      <c r="AD37" s="13"/>
      <c r="AE37" s="13"/>
      <c r="AF37" s="13"/>
    </row>
    <row r="38" spans="1:32" ht="15.75" customHeight="1">
      <c r="A38" s="34" t="s">
        <v>541</v>
      </c>
      <c r="B38" s="3"/>
      <c r="C38" s="3" t="s">
        <v>52</v>
      </c>
      <c r="D38" s="10" t="s">
        <v>52</v>
      </c>
      <c r="E38" s="10" t="s">
        <v>52</v>
      </c>
      <c r="F38" s="10" t="s">
        <v>52</v>
      </c>
      <c r="G38" s="11" t="s">
        <v>52</v>
      </c>
      <c r="H38" s="11" t="s">
        <v>52</v>
      </c>
      <c r="I38" s="22">
        <f t="shared" si="4"/>
        <v>2</v>
      </c>
      <c r="J38" s="22">
        <f t="shared" si="5"/>
        <v>2</v>
      </c>
      <c r="K38" s="22">
        <f t="shared" si="5"/>
        <v>2</v>
      </c>
      <c r="L38" s="22">
        <f t="shared" si="5"/>
        <v>2</v>
      </c>
      <c r="M38" s="22">
        <f t="shared" si="5"/>
        <v>2</v>
      </c>
      <c r="N38" s="13"/>
      <c r="O38" s="13"/>
      <c r="P38" s="13"/>
      <c r="Q38" s="13"/>
      <c r="R38" s="13"/>
      <c r="S38" s="13"/>
      <c r="T38" s="13"/>
      <c r="U38" s="13"/>
      <c r="V38" s="13"/>
      <c r="W38" s="13"/>
      <c r="X38" s="13"/>
      <c r="Y38" s="13"/>
      <c r="Z38" s="13"/>
      <c r="AA38" s="13"/>
      <c r="AB38" s="13"/>
      <c r="AC38" s="13"/>
      <c r="AD38" s="13"/>
      <c r="AE38" s="13"/>
      <c r="AF38" s="13"/>
    </row>
    <row r="39" spans="1:32" ht="15.75" customHeight="1">
      <c r="A39" s="23" t="s">
        <v>542</v>
      </c>
      <c r="B39" s="18"/>
      <c r="C39" s="18" t="s">
        <v>294</v>
      </c>
      <c r="D39" s="24"/>
      <c r="E39" s="24"/>
      <c r="F39" s="24"/>
      <c r="G39" s="24"/>
      <c r="H39" s="24"/>
      <c r="I39" s="24"/>
      <c r="J39" s="24"/>
      <c r="K39" s="24"/>
      <c r="L39" s="24"/>
      <c r="M39" s="24"/>
      <c r="N39" s="13"/>
      <c r="O39" s="13"/>
      <c r="P39" s="13"/>
      <c r="Q39" s="13"/>
      <c r="R39" s="13"/>
      <c r="S39" s="13"/>
      <c r="T39" s="13"/>
      <c r="U39" s="13"/>
      <c r="V39" s="13"/>
      <c r="W39" s="13"/>
      <c r="X39" s="13"/>
      <c r="Y39" s="13"/>
      <c r="Z39" s="13"/>
      <c r="AA39" s="13"/>
      <c r="AB39" s="13"/>
      <c r="AC39" s="13"/>
      <c r="AD39" s="13"/>
      <c r="AE39" s="13"/>
      <c r="AF39" s="13"/>
    </row>
    <row r="40" spans="1:32" ht="15.75" customHeight="1">
      <c r="A40" s="34" t="s">
        <v>543</v>
      </c>
      <c r="B40" s="3"/>
      <c r="C40" s="3" t="s">
        <v>14</v>
      </c>
      <c r="D40" s="10" t="s">
        <v>14</v>
      </c>
      <c r="E40" s="10" t="s">
        <v>14</v>
      </c>
      <c r="F40" s="10" t="s">
        <v>21</v>
      </c>
      <c r="G40" s="11" t="s">
        <v>14</v>
      </c>
      <c r="H40" s="11" t="s">
        <v>14</v>
      </c>
      <c r="I40" s="25">
        <f>_xlfn.LET(
_xlpm.full,2,
_xlpm.ans0,$C40&amp;"",
_xlpm.resp0,D40&amp;"",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0" s="25">
        <f t="shared" ref="J40:M43" si="6">_xlfn.LET(
_xlpm.full,2,
_xlpm.ans0,$C40&amp;"",
_xlpm.resp0,E40&amp;"",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40" s="25">
        <f t="shared" si="6"/>
        <v>0</v>
      </c>
      <c r="L40" s="25">
        <f t="shared" si="6"/>
        <v>2</v>
      </c>
      <c r="M40" s="25">
        <f t="shared" si="6"/>
        <v>2</v>
      </c>
      <c r="N40" s="13"/>
      <c r="O40" s="13"/>
      <c r="P40" s="13"/>
      <c r="Q40" s="13"/>
      <c r="R40" s="13"/>
      <c r="S40" s="13"/>
      <c r="T40" s="13"/>
      <c r="U40" s="13"/>
      <c r="V40" s="13"/>
      <c r="W40" s="13"/>
      <c r="X40" s="13"/>
      <c r="Y40" s="13"/>
      <c r="Z40" s="13"/>
      <c r="AA40" s="13"/>
      <c r="AB40" s="13"/>
      <c r="AC40" s="13"/>
      <c r="AD40" s="13"/>
      <c r="AE40" s="13"/>
      <c r="AF40" s="13"/>
    </row>
    <row r="41" spans="1:32" ht="15.75" customHeight="1">
      <c r="A41" s="34" t="s">
        <v>544</v>
      </c>
      <c r="B41" s="3"/>
      <c r="C41" s="3" t="s">
        <v>53</v>
      </c>
      <c r="D41" s="10" t="s">
        <v>53</v>
      </c>
      <c r="E41" s="10" t="s">
        <v>53</v>
      </c>
      <c r="F41" s="10" t="s">
        <v>53</v>
      </c>
      <c r="G41" s="11" t="s">
        <v>53</v>
      </c>
      <c r="H41" s="11" t="s">
        <v>53</v>
      </c>
      <c r="I41" s="25">
        <f>_xlfn.LET(
_xlpm.full,2,
_xlpm.ans0,$C41&amp;"",
_xlpm.resp0,D41&amp;"",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1" s="25">
        <f t="shared" si="6"/>
        <v>2</v>
      </c>
      <c r="K41" s="25">
        <f t="shared" si="6"/>
        <v>2</v>
      </c>
      <c r="L41" s="25">
        <f t="shared" si="6"/>
        <v>2</v>
      </c>
      <c r="M41" s="25">
        <f t="shared" si="6"/>
        <v>2</v>
      </c>
      <c r="N41" s="13"/>
      <c r="O41" s="13"/>
      <c r="P41" s="13"/>
      <c r="Q41" s="13"/>
      <c r="R41" s="13"/>
      <c r="S41" s="13"/>
      <c r="T41" s="13"/>
      <c r="U41" s="13"/>
      <c r="V41" s="13"/>
      <c r="W41" s="13"/>
      <c r="X41" s="13"/>
      <c r="Y41" s="13"/>
      <c r="Z41" s="13"/>
      <c r="AA41" s="13"/>
      <c r="AB41" s="13"/>
      <c r="AC41" s="13"/>
      <c r="AD41" s="13"/>
      <c r="AE41" s="13"/>
      <c r="AF41" s="13"/>
    </row>
    <row r="42" spans="1:32" ht="15.75" customHeight="1">
      <c r="A42" s="34" t="s">
        <v>545</v>
      </c>
      <c r="B42" s="3"/>
      <c r="C42" s="3" t="s">
        <v>14</v>
      </c>
      <c r="D42" s="10" t="s">
        <v>14</v>
      </c>
      <c r="E42" s="10" t="s">
        <v>14</v>
      </c>
      <c r="F42" s="10" t="s">
        <v>52</v>
      </c>
      <c r="G42" s="11" t="s">
        <v>14</v>
      </c>
      <c r="H42" s="11" t="s">
        <v>14</v>
      </c>
      <c r="I42" s="25">
        <f>_xlfn.LET(
_xlpm.full,2,
_xlpm.ans0,$C42&amp;"",
_xlpm.resp0,D42&amp;"",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2" s="25">
        <f t="shared" si="6"/>
        <v>2</v>
      </c>
      <c r="K42" s="25">
        <f t="shared" si="6"/>
        <v>0</v>
      </c>
      <c r="L42" s="25">
        <f t="shared" si="6"/>
        <v>2</v>
      </c>
      <c r="M42" s="25">
        <f t="shared" si="6"/>
        <v>2</v>
      </c>
      <c r="N42" s="13"/>
      <c r="O42" s="13"/>
      <c r="P42" s="13"/>
      <c r="Q42" s="13"/>
      <c r="R42" s="13"/>
      <c r="S42" s="13"/>
      <c r="T42" s="13"/>
      <c r="U42" s="13"/>
      <c r="V42" s="13"/>
      <c r="W42" s="13"/>
      <c r="X42" s="13"/>
      <c r="Y42" s="13"/>
      <c r="Z42" s="13"/>
      <c r="AA42" s="13"/>
      <c r="AB42" s="13"/>
      <c r="AC42" s="13"/>
      <c r="AD42" s="13"/>
      <c r="AE42" s="13"/>
      <c r="AF42" s="13"/>
    </row>
    <row r="43" spans="1:32" ht="15.75" customHeight="1">
      <c r="A43" s="34" t="s">
        <v>546</v>
      </c>
      <c r="B43" s="3"/>
      <c r="C43" s="3" t="s">
        <v>22</v>
      </c>
      <c r="D43" s="10" t="s">
        <v>22</v>
      </c>
      <c r="E43" s="10" t="s">
        <v>22</v>
      </c>
      <c r="F43" s="10" t="s">
        <v>22</v>
      </c>
      <c r="G43" s="11" t="s">
        <v>22</v>
      </c>
      <c r="H43" s="11" t="s">
        <v>22</v>
      </c>
      <c r="I43" s="25">
        <f>_xlfn.LET(
_xlpm.full,2,
_xlpm.ans0,$C43&amp;"",
_xlpm.resp0,D43&amp;"",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3" s="25">
        <f t="shared" si="6"/>
        <v>2</v>
      </c>
      <c r="K43" s="25">
        <f t="shared" si="6"/>
        <v>2</v>
      </c>
      <c r="L43" s="25">
        <f t="shared" si="6"/>
        <v>2</v>
      </c>
      <c r="M43" s="25">
        <f t="shared" si="6"/>
        <v>2</v>
      </c>
      <c r="N43" s="13"/>
      <c r="O43" s="13"/>
      <c r="P43" s="13"/>
      <c r="Q43" s="13"/>
      <c r="R43" s="13"/>
      <c r="S43" s="13"/>
      <c r="T43" s="13"/>
      <c r="U43" s="13"/>
      <c r="V43" s="13"/>
      <c r="W43" s="13"/>
      <c r="X43" s="13"/>
      <c r="Y43" s="13"/>
      <c r="Z43" s="13"/>
      <c r="AA43" s="13"/>
      <c r="AB43" s="13"/>
      <c r="AC43" s="13"/>
      <c r="AD43" s="13"/>
      <c r="AE43" s="13"/>
      <c r="AF43" s="13"/>
    </row>
    <row r="44" spans="1:32" ht="15.75" customHeight="1">
      <c r="A44" s="34" t="s">
        <v>547</v>
      </c>
      <c r="B44" s="3" t="s">
        <v>16</v>
      </c>
      <c r="C44" s="3" t="s">
        <v>52</v>
      </c>
      <c r="D44" s="10" t="s">
        <v>102</v>
      </c>
      <c r="E44" s="10" t="s">
        <v>52</v>
      </c>
      <c r="F44" s="10" t="s">
        <v>52</v>
      </c>
      <c r="G44" s="11" t="s">
        <v>102</v>
      </c>
      <c r="H44" s="11" t="s">
        <v>102</v>
      </c>
      <c r="I44" s="26">
        <f t="shared" ref="I44:M53" si="7">_xlfn.LET(
_xlpm.full,2,
_xlpm.ans0,$C44&amp;"",
_xlpm.resp0,D44&amp;"",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44" s="26">
        <f t="shared" si="7"/>
        <v>2</v>
      </c>
      <c r="K44" s="26">
        <f t="shared" si="7"/>
        <v>2</v>
      </c>
      <c r="L44" s="26">
        <f t="shared" si="7"/>
        <v>0.4</v>
      </c>
      <c r="M44" s="26">
        <f t="shared" si="7"/>
        <v>0.4</v>
      </c>
      <c r="N44" s="13"/>
      <c r="O44" s="13"/>
      <c r="P44" s="13"/>
      <c r="Q44" s="13"/>
      <c r="R44" s="13"/>
      <c r="S44" s="13"/>
      <c r="T44" s="13"/>
      <c r="U44" s="13"/>
      <c r="V44" s="13"/>
      <c r="W44" s="13"/>
      <c r="X44" s="13"/>
      <c r="Y44" s="13"/>
      <c r="Z44" s="13"/>
      <c r="AA44" s="13"/>
      <c r="AB44" s="13"/>
      <c r="AC44" s="13"/>
      <c r="AD44" s="13"/>
      <c r="AE44" s="13"/>
      <c r="AF44" s="13"/>
    </row>
    <row r="45" spans="1:32" ht="15.75" customHeight="1">
      <c r="A45" s="34" t="s">
        <v>548</v>
      </c>
      <c r="B45" s="3"/>
      <c r="C45" s="3" t="s">
        <v>57</v>
      </c>
      <c r="D45" s="10" t="s">
        <v>57</v>
      </c>
      <c r="E45" s="10" t="s">
        <v>57</v>
      </c>
      <c r="F45" s="10" t="s">
        <v>57</v>
      </c>
      <c r="G45" s="11" t="s">
        <v>57</v>
      </c>
      <c r="H45" s="11" t="s">
        <v>57</v>
      </c>
      <c r="I45" s="26">
        <f t="shared" si="7"/>
        <v>2</v>
      </c>
      <c r="J45" s="26">
        <f t="shared" si="7"/>
        <v>2</v>
      </c>
      <c r="K45" s="26">
        <f t="shared" si="7"/>
        <v>2</v>
      </c>
      <c r="L45" s="26">
        <f t="shared" si="7"/>
        <v>2</v>
      </c>
      <c r="M45" s="26">
        <f t="shared" si="7"/>
        <v>2</v>
      </c>
      <c r="N45" s="13"/>
      <c r="O45" s="13"/>
      <c r="P45" s="13"/>
      <c r="Q45" s="13"/>
      <c r="R45" s="13"/>
      <c r="S45" s="13"/>
      <c r="T45" s="13"/>
      <c r="U45" s="13"/>
      <c r="V45" s="13"/>
      <c r="W45" s="13"/>
      <c r="X45" s="13"/>
      <c r="Y45" s="13"/>
      <c r="Z45" s="13"/>
      <c r="AA45" s="13"/>
      <c r="AB45" s="13"/>
      <c r="AC45" s="13"/>
      <c r="AD45" s="13"/>
      <c r="AE45" s="13"/>
      <c r="AF45" s="13"/>
    </row>
    <row r="46" spans="1:32" ht="15.75" customHeight="1">
      <c r="A46" s="34" t="s">
        <v>549</v>
      </c>
      <c r="B46" s="3"/>
      <c r="C46" s="3" t="s">
        <v>19</v>
      </c>
      <c r="D46" s="10" t="s">
        <v>21</v>
      </c>
      <c r="E46" s="10" t="s">
        <v>19</v>
      </c>
      <c r="F46" s="10" t="s">
        <v>21</v>
      </c>
      <c r="G46" s="11" t="s">
        <v>19</v>
      </c>
      <c r="H46" s="11" t="s">
        <v>19</v>
      </c>
      <c r="I46" s="26">
        <f t="shared" si="7"/>
        <v>0</v>
      </c>
      <c r="J46" s="26">
        <f t="shared" si="7"/>
        <v>2</v>
      </c>
      <c r="K46" s="26">
        <f t="shared" si="7"/>
        <v>0</v>
      </c>
      <c r="L46" s="26">
        <f t="shared" si="7"/>
        <v>2</v>
      </c>
      <c r="M46" s="26">
        <f t="shared" si="7"/>
        <v>2</v>
      </c>
      <c r="N46" s="13"/>
      <c r="O46" s="13"/>
      <c r="P46" s="13"/>
      <c r="Q46" s="13"/>
      <c r="R46" s="13"/>
      <c r="S46" s="13"/>
      <c r="T46" s="13"/>
      <c r="U46" s="13"/>
      <c r="V46" s="13"/>
      <c r="W46" s="13"/>
      <c r="X46" s="13"/>
      <c r="Y46" s="13"/>
      <c r="Z46" s="13"/>
      <c r="AA46" s="13"/>
      <c r="AB46" s="13"/>
      <c r="AC46" s="13"/>
      <c r="AD46" s="13"/>
      <c r="AE46" s="13"/>
      <c r="AF46" s="13"/>
    </row>
    <row r="47" spans="1:32" ht="15.75" customHeight="1">
      <c r="A47" s="8" t="s">
        <v>550</v>
      </c>
      <c r="B47" s="3"/>
      <c r="C47" s="3" t="s">
        <v>53</v>
      </c>
      <c r="D47" s="10" t="s">
        <v>53</v>
      </c>
      <c r="E47" s="10" t="s">
        <v>53</v>
      </c>
      <c r="F47" s="10" t="s">
        <v>53</v>
      </c>
      <c r="G47" s="11" t="s">
        <v>53</v>
      </c>
      <c r="H47" s="11" t="s">
        <v>53</v>
      </c>
      <c r="I47" s="26">
        <f t="shared" si="7"/>
        <v>2</v>
      </c>
      <c r="J47" s="26">
        <f t="shared" si="7"/>
        <v>2</v>
      </c>
      <c r="K47" s="26">
        <f t="shared" si="7"/>
        <v>2</v>
      </c>
      <c r="L47" s="26">
        <f t="shared" si="7"/>
        <v>2</v>
      </c>
      <c r="M47" s="26">
        <f t="shared" si="7"/>
        <v>2</v>
      </c>
      <c r="N47" s="13"/>
      <c r="O47" s="13"/>
      <c r="P47" s="13"/>
      <c r="Q47" s="13"/>
      <c r="R47" s="13"/>
      <c r="S47" s="13"/>
      <c r="T47" s="13"/>
      <c r="U47" s="13"/>
      <c r="V47" s="13"/>
      <c r="W47" s="13"/>
      <c r="X47" s="13"/>
      <c r="Y47" s="13"/>
      <c r="Z47" s="13"/>
      <c r="AA47" s="13"/>
      <c r="AB47" s="13"/>
      <c r="AC47" s="13"/>
      <c r="AD47" s="13"/>
      <c r="AE47" s="13"/>
      <c r="AF47" s="13"/>
    </row>
    <row r="48" spans="1:32" ht="15.75" customHeight="1">
      <c r="A48" s="8" t="s">
        <v>551</v>
      </c>
      <c r="B48" s="3" t="s">
        <v>16</v>
      </c>
      <c r="C48" s="3" t="s">
        <v>17</v>
      </c>
      <c r="D48" s="10" t="s">
        <v>17</v>
      </c>
      <c r="E48" s="10" t="s">
        <v>17</v>
      </c>
      <c r="F48" s="10" t="s">
        <v>52</v>
      </c>
      <c r="G48" s="11" t="s">
        <v>17</v>
      </c>
      <c r="H48" s="11" t="s">
        <v>102</v>
      </c>
      <c r="I48" s="26">
        <f t="shared" si="7"/>
        <v>2</v>
      </c>
      <c r="J48" s="26">
        <f t="shared" si="7"/>
        <v>2</v>
      </c>
      <c r="K48" s="26">
        <f t="shared" si="7"/>
        <v>0</v>
      </c>
      <c r="L48" s="26">
        <f t="shared" si="7"/>
        <v>2</v>
      </c>
      <c r="M48" s="26">
        <f t="shared" si="7"/>
        <v>0</v>
      </c>
      <c r="N48" s="13"/>
      <c r="O48" s="13"/>
      <c r="P48" s="13"/>
      <c r="Q48" s="13"/>
      <c r="R48" s="13"/>
      <c r="S48" s="13"/>
      <c r="T48" s="13"/>
      <c r="U48" s="13"/>
      <c r="V48" s="13"/>
      <c r="W48" s="13"/>
      <c r="X48" s="13"/>
      <c r="Y48" s="13"/>
      <c r="Z48" s="13"/>
      <c r="AA48" s="13"/>
      <c r="AB48" s="13"/>
      <c r="AC48" s="13"/>
      <c r="AD48" s="13"/>
      <c r="AE48" s="13"/>
      <c r="AF48" s="13"/>
    </row>
    <row r="49" spans="1:32" ht="15.75" customHeight="1">
      <c r="A49" s="8" t="s">
        <v>552</v>
      </c>
      <c r="B49" s="3" t="s">
        <v>16</v>
      </c>
      <c r="C49" s="3" t="s">
        <v>95</v>
      </c>
      <c r="D49" s="10" t="s">
        <v>95</v>
      </c>
      <c r="E49" s="10" t="s">
        <v>95</v>
      </c>
      <c r="F49" s="10" t="s">
        <v>52</v>
      </c>
      <c r="G49" s="11" t="s">
        <v>95</v>
      </c>
      <c r="H49" s="11" t="s">
        <v>95</v>
      </c>
      <c r="I49" s="26">
        <f t="shared" si="7"/>
        <v>2</v>
      </c>
      <c r="J49" s="26">
        <f t="shared" si="7"/>
        <v>2</v>
      </c>
      <c r="K49" s="26">
        <f t="shared" si="7"/>
        <v>0</v>
      </c>
      <c r="L49" s="26">
        <f t="shared" si="7"/>
        <v>2</v>
      </c>
      <c r="M49" s="26">
        <f t="shared" si="7"/>
        <v>2</v>
      </c>
      <c r="N49" s="13"/>
      <c r="O49" s="13"/>
      <c r="P49" s="13"/>
      <c r="Q49" s="13"/>
      <c r="R49" s="13"/>
      <c r="S49" s="13"/>
      <c r="T49" s="13"/>
      <c r="U49" s="13"/>
      <c r="V49" s="13"/>
      <c r="W49" s="13"/>
      <c r="X49" s="13"/>
      <c r="Y49" s="13"/>
      <c r="Z49" s="13"/>
      <c r="AA49" s="13"/>
      <c r="AB49" s="13"/>
      <c r="AC49" s="13"/>
      <c r="AD49" s="13"/>
      <c r="AE49" s="13"/>
      <c r="AF49" s="13"/>
    </row>
    <row r="50" spans="1:32" ht="15.75" customHeight="1">
      <c r="A50" s="8" t="s">
        <v>553</v>
      </c>
      <c r="B50" s="3"/>
      <c r="C50" s="3" t="s">
        <v>19</v>
      </c>
      <c r="D50" s="10" t="s">
        <v>19</v>
      </c>
      <c r="E50" s="10" t="s">
        <v>19</v>
      </c>
      <c r="F50" s="10" t="s">
        <v>19</v>
      </c>
      <c r="G50" s="11" t="s">
        <v>19</v>
      </c>
      <c r="H50" s="11" t="s">
        <v>19</v>
      </c>
      <c r="I50" s="26">
        <f t="shared" si="7"/>
        <v>2</v>
      </c>
      <c r="J50" s="26">
        <f t="shared" si="7"/>
        <v>2</v>
      </c>
      <c r="K50" s="26">
        <f t="shared" si="7"/>
        <v>2</v>
      </c>
      <c r="L50" s="26">
        <f t="shared" si="7"/>
        <v>2</v>
      </c>
      <c r="M50" s="26">
        <f t="shared" si="7"/>
        <v>2</v>
      </c>
      <c r="N50" s="13"/>
      <c r="O50" s="13"/>
      <c r="P50" s="13"/>
      <c r="Q50" s="13"/>
      <c r="R50" s="13"/>
      <c r="S50" s="13"/>
      <c r="T50" s="13"/>
      <c r="U50" s="13"/>
      <c r="V50" s="13"/>
      <c r="W50" s="13"/>
      <c r="X50" s="13"/>
      <c r="Y50" s="13"/>
      <c r="Z50" s="13"/>
      <c r="AA50" s="13"/>
      <c r="AB50" s="13"/>
      <c r="AC50" s="13"/>
      <c r="AD50" s="13"/>
      <c r="AE50" s="13"/>
      <c r="AF50" s="13"/>
    </row>
    <row r="51" spans="1:32" ht="15.75" customHeight="1">
      <c r="A51" s="8" t="s">
        <v>554</v>
      </c>
      <c r="B51" s="3"/>
      <c r="C51" s="3" t="s">
        <v>104</v>
      </c>
      <c r="D51" s="10" t="s">
        <v>96</v>
      </c>
      <c r="E51" s="10" t="s">
        <v>50</v>
      </c>
      <c r="F51" s="10" t="s">
        <v>104</v>
      </c>
      <c r="G51" s="11" t="s">
        <v>104</v>
      </c>
      <c r="H51" s="11" t="s">
        <v>50</v>
      </c>
      <c r="I51" s="26">
        <f t="shared" si="7"/>
        <v>0.4</v>
      </c>
      <c r="J51" s="26">
        <f t="shared" si="7"/>
        <v>0.4</v>
      </c>
      <c r="K51" s="26">
        <f t="shared" si="7"/>
        <v>2</v>
      </c>
      <c r="L51" s="26">
        <f t="shared" si="7"/>
        <v>2</v>
      </c>
      <c r="M51" s="26">
        <f t="shared" si="7"/>
        <v>0.4</v>
      </c>
      <c r="N51" s="13"/>
      <c r="O51" s="13"/>
      <c r="P51" s="13"/>
      <c r="Q51" s="13"/>
      <c r="R51" s="13"/>
      <c r="S51" s="13"/>
      <c r="T51" s="13"/>
      <c r="U51" s="13"/>
      <c r="V51" s="13"/>
      <c r="W51" s="13"/>
      <c r="X51" s="13"/>
      <c r="Y51" s="13"/>
      <c r="Z51" s="13"/>
      <c r="AA51" s="13"/>
      <c r="AB51" s="13"/>
      <c r="AC51" s="13"/>
      <c r="AD51" s="13"/>
      <c r="AE51" s="13"/>
      <c r="AF51" s="13"/>
    </row>
    <row r="52" spans="1:32" ht="15.75" customHeight="1">
      <c r="A52" s="8" t="s">
        <v>555</v>
      </c>
      <c r="B52" s="3"/>
      <c r="C52" s="3" t="s">
        <v>46</v>
      </c>
      <c r="D52" s="10" t="s">
        <v>46</v>
      </c>
      <c r="E52" s="10" t="s">
        <v>96</v>
      </c>
      <c r="F52" s="10" t="s">
        <v>53</v>
      </c>
      <c r="G52" s="11" t="s">
        <v>46</v>
      </c>
      <c r="H52" s="11" t="s">
        <v>46</v>
      </c>
      <c r="I52" s="26">
        <f t="shared" si="7"/>
        <v>2</v>
      </c>
      <c r="J52" s="26">
        <f t="shared" si="7"/>
        <v>0.4</v>
      </c>
      <c r="K52" s="26">
        <f t="shared" si="7"/>
        <v>0</v>
      </c>
      <c r="L52" s="26">
        <f t="shared" si="7"/>
        <v>2</v>
      </c>
      <c r="M52" s="26">
        <f t="shared" si="7"/>
        <v>2</v>
      </c>
      <c r="N52" s="13"/>
      <c r="O52" s="13"/>
      <c r="P52" s="13"/>
      <c r="Q52" s="13"/>
      <c r="R52" s="13"/>
      <c r="S52" s="13"/>
      <c r="T52" s="13"/>
      <c r="U52" s="13"/>
      <c r="V52" s="13"/>
      <c r="W52" s="13"/>
      <c r="X52" s="13"/>
      <c r="Y52" s="13"/>
      <c r="Z52" s="13"/>
      <c r="AA52" s="13"/>
      <c r="AB52" s="13"/>
      <c r="AC52" s="13"/>
      <c r="AD52" s="13"/>
      <c r="AE52" s="13"/>
      <c r="AF52" s="13"/>
    </row>
    <row r="53" spans="1:32" ht="15.75" customHeight="1">
      <c r="A53" s="8" t="s">
        <v>556</v>
      </c>
      <c r="B53" s="3"/>
      <c r="C53" s="3" t="s">
        <v>94</v>
      </c>
      <c r="D53" s="10" t="s">
        <v>94</v>
      </c>
      <c r="E53" s="10" t="s">
        <v>94</v>
      </c>
      <c r="F53" s="10" t="s">
        <v>94</v>
      </c>
      <c r="G53" s="11" t="s">
        <v>94</v>
      </c>
      <c r="H53" s="11" t="s">
        <v>94</v>
      </c>
      <c r="I53" s="26">
        <f t="shared" si="7"/>
        <v>2</v>
      </c>
      <c r="J53" s="26">
        <f t="shared" si="7"/>
        <v>2</v>
      </c>
      <c r="K53" s="26">
        <f t="shared" si="7"/>
        <v>2</v>
      </c>
      <c r="L53" s="26">
        <f t="shared" si="7"/>
        <v>2</v>
      </c>
      <c r="M53" s="26">
        <f t="shared" si="7"/>
        <v>2</v>
      </c>
      <c r="N53" s="13"/>
      <c r="O53" s="13"/>
      <c r="P53" s="13"/>
      <c r="Q53" s="13"/>
      <c r="R53" s="13"/>
      <c r="S53" s="13"/>
      <c r="T53" s="13"/>
      <c r="U53" s="13"/>
      <c r="V53" s="13"/>
      <c r="W53" s="13"/>
      <c r="X53" s="13"/>
      <c r="Y53" s="13"/>
      <c r="Z53" s="13"/>
      <c r="AA53" s="13"/>
      <c r="AB53" s="13"/>
      <c r="AC53" s="13"/>
      <c r="AD53" s="13"/>
      <c r="AE53" s="13"/>
      <c r="AF53" s="13"/>
    </row>
    <row r="54" spans="1:32" ht="15.75" customHeight="1">
      <c r="A54" s="17" t="s">
        <v>557</v>
      </c>
      <c r="B54" s="18"/>
      <c r="C54" s="18" t="s">
        <v>294</v>
      </c>
      <c r="D54" s="24"/>
      <c r="E54" s="24"/>
      <c r="F54" s="24"/>
      <c r="G54" s="24"/>
      <c r="H54" s="24"/>
      <c r="I54" s="24"/>
      <c r="J54" s="24"/>
      <c r="K54" s="24"/>
      <c r="L54" s="24"/>
      <c r="M54" s="24"/>
      <c r="N54" s="13"/>
      <c r="O54" s="13"/>
      <c r="P54" s="13"/>
      <c r="Q54" s="13"/>
      <c r="R54" s="13"/>
      <c r="S54" s="13"/>
      <c r="T54" s="13"/>
      <c r="U54" s="13"/>
      <c r="V54" s="13"/>
      <c r="W54" s="13"/>
      <c r="X54" s="13"/>
      <c r="Y54" s="13"/>
      <c r="Z54" s="13"/>
      <c r="AA54" s="13"/>
      <c r="AB54" s="13"/>
      <c r="AC54" s="13"/>
      <c r="AD54" s="13"/>
      <c r="AE54" s="13"/>
      <c r="AF54" s="13"/>
    </row>
    <row r="55" spans="1:32" ht="15.75" customHeight="1">
      <c r="A55" s="8" t="s">
        <v>558</v>
      </c>
      <c r="B55" s="3" t="s">
        <v>16</v>
      </c>
      <c r="C55" s="3" t="s">
        <v>64</v>
      </c>
      <c r="D55" s="10" t="s">
        <v>94</v>
      </c>
      <c r="E55" s="10" t="s">
        <v>72</v>
      </c>
      <c r="F55" s="10" t="s">
        <v>102</v>
      </c>
      <c r="G55" s="11" t="s">
        <v>64</v>
      </c>
      <c r="H55" s="11" t="s">
        <v>102</v>
      </c>
      <c r="I55" s="26">
        <f t="shared" ref="I55:M61" si="8">_xlfn.LET(
_xlpm.full,2,
_xlpm.ans0,$C55&amp;"",
_xlpm.resp0,D55&amp;"",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55" s="26">
        <f t="shared" si="8"/>
        <v>0.4</v>
      </c>
      <c r="K55" s="26">
        <f t="shared" si="8"/>
        <v>0</v>
      </c>
      <c r="L55" s="26">
        <f t="shared" si="8"/>
        <v>2</v>
      </c>
      <c r="M55" s="26">
        <f t="shared" si="8"/>
        <v>0</v>
      </c>
      <c r="N55" s="13"/>
      <c r="O55" s="13"/>
      <c r="P55" s="13"/>
      <c r="Q55" s="13"/>
      <c r="R55" s="13"/>
      <c r="S55" s="13"/>
      <c r="T55" s="13"/>
      <c r="U55" s="13"/>
      <c r="V55" s="13"/>
      <c r="W55" s="13"/>
      <c r="X55" s="13"/>
      <c r="Y55" s="13"/>
      <c r="Z55" s="13"/>
      <c r="AA55" s="13"/>
      <c r="AB55" s="13"/>
      <c r="AC55" s="13"/>
      <c r="AD55" s="13"/>
      <c r="AE55" s="13"/>
      <c r="AF55" s="13"/>
    </row>
    <row r="56" spans="1:32" ht="15.75" customHeight="1">
      <c r="A56" s="8" t="s">
        <v>559</v>
      </c>
      <c r="B56" s="3" t="s">
        <v>16</v>
      </c>
      <c r="C56" s="3" t="s">
        <v>54</v>
      </c>
      <c r="D56" s="10" t="s">
        <v>58</v>
      </c>
      <c r="E56" s="10" t="s">
        <v>102</v>
      </c>
      <c r="F56" s="10" t="s">
        <v>102</v>
      </c>
      <c r="G56" s="11" t="s">
        <v>52</v>
      </c>
      <c r="H56" s="11" t="s">
        <v>52</v>
      </c>
      <c r="I56" s="26">
        <f t="shared" si="8"/>
        <v>0.4</v>
      </c>
      <c r="J56" s="26">
        <f t="shared" si="8"/>
        <v>0.4</v>
      </c>
      <c r="K56" s="26">
        <f t="shared" si="8"/>
        <v>0.4</v>
      </c>
      <c r="L56" s="26">
        <f t="shared" si="8"/>
        <v>0.4</v>
      </c>
      <c r="M56" s="26">
        <f t="shared" si="8"/>
        <v>0.4</v>
      </c>
      <c r="N56" s="13"/>
      <c r="O56" s="13"/>
      <c r="P56" s="13"/>
      <c r="Q56" s="13"/>
      <c r="R56" s="13"/>
      <c r="S56" s="13"/>
      <c r="T56" s="13"/>
      <c r="U56" s="13"/>
      <c r="V56" s="13"/>
      <c r="W56" s="13"/>
      <c r="X56" s="13"/>
      <c r="Y56" s="13"/>
      <c r="Z56" s="13"/>
      <c r="AA56" s="13"/>
      <c r="AB56" s="13"/>
      <c r="AC56" s="13"/>
      <c r="AD56" s="13"/>
      <c r="AE56" s="13"/>
      <c r="AF56" s="13"/>
    </row>
    <row r="57" spans="1:32" ht="15.75" customHeight="1">
      <c r="A57" s="8" t="s">
        <v>560</v>
      </c>
      <c r="B57" s="3" t="s">
        <v>16</v>
      </c>
      <c r="C57" s="3" t="s">
        <v>53</v>
      </c>
      <c r="D57" s="10" t="s">
        <v>60</v>
      </c>
      <c r="E57" s="10" t="s">
        <v>53</v>
      </c>
      <c r="F57" s="10" t="s">
        <v>21</v>
      </c>
      <c r="G57" s="11" t="s">
        <v>53</v>
      </c>
      <c r="H57" s="11" t="s">
        <v>53</v>
      </c>
      <c r="I57" s="26">
        <f t="shared" si="8"/>
        <v>0.4</v>
      </c>
      <c r="J57" s="26">
        <f t="shared" si="8"/>
        <v>2</v>
      </c>
      <c r="K57" s="26">
        <f t="shared" si="8"/>
        <v>1.2</v>
      </c>
      <c r="L57" s="26">
        <f t="shared" si="8"/>
        <v>2</v>
      </c>
      <c r="M57" s="26">
        <f t="shared" si="8"/>
        <v>2</v>
      </c>
      <c r="N57" s="13"/>
      <c r="O57" s="13"/>
      <c r="P57" s="13"/>
      <c r="Q57" s="13"/>
      <c r="R57" s="13"/>
      <c r="S57" s="13"/>
      <c r="T57" s="13"/>
      <c r="U57" s="13"/>
      <c r="V57" s="13"/>
      <c r="W57" s="13"/>
      <c r="X57" s="13"/>
      <c r="Y57" s="13"/>
      <c r="Z57" s="13"/>
      <c r="AA57" s="13"/>
      <c r="AB57" s="13"/>
      <c r="AC57" s="13"/>
      <c r="AD57" s="13"/>
      <c r="AE57" s="13"/>
      <c r="AF57" s="13"/>
    </row>
    <row r="58" spans="1:32" ht="15.75" customHeight="1">
      <c r="A58" s="8" t="s">
        <v>561</v>
      </c>
      <c r="B58" s="3"/>
      <c r="C58" s="3" t="s">
        <v>72</v>
      </c>
      <c r="D58" s="10" t="s">
        <v>104</v>
      </c>
      <c r="E58" s="10" t="s">
        <v>72</v>
      </c>
      <c r="F58" s="10" t="s">
        <v>53</v>
      </c>
      <c r="G58" s="11" t="s">
        <v>72</v>
      </c>
      <c r="H58" s="11" t="s">
        <v>72</v>
      </c>
      <c r="I58" s="26">
        <f t="shared" si="8"/>
        <v>0.4</v>
      </c>
      <c r="J58" s="26">
        <f t="shared" si="8"/>
        <v>2</v>
      </c>
      <c r="K58" s="26">
        <f t="shared" si="8"/>
        <v>0</v>
      </c>
      <c r="L58" s="26">
        <f t="shared" si="8"/>
        <v>2</v>
      </c>
      <c r="M58" s="26">
        <f t="shared" si="8"/>
        <v>2</v>
      </c>
      <c r="N58" s="13"/>
      <c r="O58" s="13"/>
      <c r="P58" s="13"/>
      <c r="Q58" s="13"/>
      <c r="R58" s="13"/>
      <c r="S58" s="13"/>
      <c r="T58" s="13"/>
      <c r="U58" s="13"/>
      <c r="V58" s="13"/>
      <c r="W58" s="13"/>
      <c r="X58" s="13"/>
      <c r="Y58" s="13"/>
      <c r="Z58" s="13"/>
      <c r="AA58" s="13"/>
      <c r="AB58" s="13"/>
      <c r="AC58" s="13"/>
      <c r="AD58" s="13"/>
      <c r="AE58" s="13"/>
      <c r="AF58" s="13"/>
    </row>
    <row r="59" spans="1:32" ht="15.75" customHeight="1">
      <c r="A59" s="8" t="s">
        <v>562</v>
      </c>
      <c r="B59" s="3"/>
      <c r="C59" s="3" t="s">
        <v>14</v>
      </c>
      <c r="D59" s="10" t="s">
        <v>14</v>
      </c>
      <c r="E59" s="10" t="s">
        <v>102</v>
      </c>
      <c r="F59" s="10" t="s">
        <v>14</v>
      </c>
      <c r="G59" s="11" t="s">
        <v>14</v>
      </c>
      <c r="H59" s="11" t="s">
        <v>14</v>
      </c>
      <c r="I59" s="26">
        <f t="shared" si="8"/>
        <v>2</v>
      </c>
      <c r="J59" s="26">
        <f t="shared" si="8"/>
        <v>0</v>
      </c>
      <c r="K59" s="26">
        <f t="shared" si="8"/>
        <v>2</v>
      </c>
      <c r="L59" s="26">
        <f t="shared" si="8"/>
        <v>2</v>
      </c>
      <c r="M59" s="26">
        <f t="shared" si="8"/>
        <v>2</v>
      </c>
      <c r="N59" s="13"/>
      <c r="O59" s="13"/>
      <c r="P59" s="13"/>
      <c r="Q59" s="13"/>
      <c r="R59" s="13"/>
      <c r="S59" s="13"/>
      <c r="T59" s="13"/>
      <c r="U59" s="13"/>
      <c r="V59" s="13"/>
      <c r="W59" s="13"/>
      <c r="X59" s="13"/>
      <c r="Y59" s="13"/>
      <c r="Z59" s="13"/>
      <c r="AA59" s="13"/>
      <c r="AB59" s="13"/>
      <c r="AC59" s="13"/>
      <c r="AD59" s="13"/>
      <c r="AE59" s="13"/>
      <c r="AF59" s="13"/>
    </row>
    <row r="60" spans="1:32" ht="15.75" customHeight="1">
      <c r="A60" s="8" t="s">
        <v>563</v>
      </c>
      <c r="B60" s="3" t="s">
        <v>16</v>
      </c>
      <c r="C60" s="3" t="s">
        <v>19</v>
      </c>
      <c r="D60" s="10" t="s">
        <v>22</v>
      </c>
      <c r="E60" s="10" t="s">
        <v>19</v>
      </c>
      <c r="F60" s="10" t="s">
        <v>21</v>
      </c>
      <c r="G60" s="11" t="s">
        <v>19</v>
      </c>
      <c r="H60" s="11" t="s">
        <v>19</v>
      </c>
      <c r="I60" s="26">
        <f t="shared" si="8"/>
        <v>0</v>
      </c>
      <c r="J60" s="26">
        <f t="shared" si="8"/>
        <v>2</v>
      </c>
      <c r="K60" s="26">
        <f t="shared" si="8"/>
        <v>0</v>
      </c>
      <c r="L60" s="26">
        <f t="shared" si="8"/>
        <v>2</v>
      </c>
      <c r="M60" s="26">
        <f t="shared" si="8"/>
        <v>2</v>
      </c>
      <c r="N60" s="13"/>
      <c r="O60" s="13"/>
      <c r="P60" s="13"/>
      <c r="Q60" s="13"/>
      <c r="R60" s="13"/>
      <c r="S60" s="13"/>
      <c r="T60" s="13"/>
      <c r="U60" s="13"/>
      <c r="V60" s="13"/>
      <c r="W60" s="13"/>
      <c r="X60" s="13"/>
      <c r="Y60" s="13"/>
      <c r="Z60" s="13"/>
      <c r="AA60" s="13"/>
      <c r="AB60" s="13"/>
      <c r="AC60" s="13"/>
      <c r="AD60" s="13"/>
      <c r="AE60" s="13"/>
      <c r="AF60" s="13"/>
    </row>
    <row r="61" spans="1:32" ht="15.75" customHeight="1">
      <c r="A61" s="8" t="s">
        <v>564</v>
      </c>
      <c r="B61" s="3"/>
      <c r="C61" s="3" t="s">
        <v>96</v>
      </c>
      <c r="D61" s="10" t="s">
        <v>96</v>
      </c>
      <c r="E61" s="10" t="s">
        <v>96</v>
      </c>
      <c r="F61" s="10" t="s">
        <v>96</v>
      </c>
      <c r="G61" s="11" t="s">
        <v>96</v>
      </c>
      <c r="H61" s="11" t="s">
        <v>96</v>
      </c>
      <c r="I61" s="26">
        <f t="shared" si="8"/>
        <v>2</v>
      </c>
      <c r="J61" s="26">
        <f t="shared" si="8"/>
        <v>2</v>
      </c>
      <c r="K61" s="26">
        <f t="shared" si="8"/>
        <v>2</v>
      </c>
      <c r="L61" s="26">
        <f t="shared" si="8"/>
        <v>2</v>
      </c>
      <c r="M61" s="26">
        <f t="shared" si="8"/>
        <v>2</v>
      </c>
      <c r="N61" s="13"/>
      <c r="O61" s="13"/>
      <c r="P61" s="13"/>
      <c r="Q61" s="13"/>
      <c r="R61" s="13"/>
      <c r="S61" s="13"/>
      <c r="T61" s="13"/>
      <c r="U61" s="13"/>
      <c r="V61" s="13"/>
      <c r="W61" s="13"/>
      <c r="X61" s="13"/>
      <c r="Y61" s="13"/>
      <c r="Z61" s="13"/>
      <c r="AA61" s="13"/>
      <c r="AB61" s="13"/>
      <c r="AC61" s="13"/>
      <c r="AD61" s="13"/>
      <c r="AE61" s="13"/>
      <c r="AF61" s="13"/>
    </row>
    <row r="62" spans="1:32" ht="15.75" customHeight="1">
      <c r="A62" s="17" t="s">
        <v>565</v>
      </c>
      <c r="B62" s="18"/>
      <c r="C62" s="18" t="s">
        <v>294</v>
      </c>
      <c r="D62" s="24"/>
      <c r="E62" s="24"/>
      <c r="F62" s="24"/>
      <c r="G62" s="24"/>
      <c r="H62" s="24"/>
      <c r="I62" s="24"/>
      <c r="J62" s="24"/>
      <c r="K62" s="24"/>
      <c r="L62" s="24"/>
      <c r="M62" s="24"/>
      <c r="N62" s="13"/>
      <c r="O62" s="13"/>
      <c r="P62" s="13"/>
      <c r="Q62" s="13"/>
      <c r="R62" s="13"/>
      <c r="S62" s="13"/>
      <c r="T62" s="13"/>
      <c r="U62" s="13"/>
      <c r="V62" s="13"/>
      <c r="W62" s="13"/>
      <c r="X62" s="13"/>
      <c r="Y62" s="13"/>
      <c r="Z62" s="13"/>
      <c r="AA62" s="13"/>
      <c r="AB62" s="13"/>
      <c r="AC62" s="13"/>
      <c r="AD62" s="13"/>
      <c r="AE62" s="13"/>
      <c r="AF62" s="13"/>
    </row>
    <row r="63" spans="1:32" ht="15.75" customHeight="1">
      <c r="A63" s="8" t="s">
        <v>566</v>
      </c>
      <c r="B63" s="3"/>
      <c r="C63" s="3" t="s">
        <v>22</v>
      </c>
      <c r="D63" s="10" t="s">
        <v>22</v>
      </c>
      <c r="E63" s="10" t="s">
        <v>22</v>
      </c>
      <c r="F63" s="10" t="s">
        <v>22</v>
      </c>
      <c r="G63" s="11" t="s">
        <v>22</v>
      </c>
      <c r="H63" s="11" t="s">
        <v>22</v>
      </c>
      <c r="I63" s="26">
        <f t="shared" ref="I63:M64" si="9">_xlfn.LET(
_xlpm.full,2,
_xlpm.ans0,$C63&amp;"",
_xlpm.resp0,D63&amp;"",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63" s="26">
        <f t="shared" si="9"/>
        <v>2</v>
      </c>
      <c r="K63" s="26">
        <f t="shared" si="9"/>
        <v>2</v>
      </c>
      <c r="L63" s="26">
        <f t="shared" si="9"/>
        <v>2</v>
      </c>
      <c r="M63" s="26">
        <f t="shared" si="9"/>
        <v>2</v>
      </c>
      <c r="N63" s="13"/>
      <c r="O63" s="13"/>
      <c r="P63" s="13"/>
      <c r="Q63" s="13"/>
      <c r="R63" s="13"/>
      <c r="S63" s="13"/>
      <c r="T63" s="13"/>
      <c r="U63" s="13"/>
      <c r="V63" s="13"/>
      <c r="W63" s="13"/>
      <c r="X63" s="13"/>
      <c r="Y63" s="13"/>
      <c r="Z63" s="13"/>
      <c r="AA63" s="13"/>
      <c r="AB63" s="13"/>
      <c r="AC63" s="13"/>
      <c r="AD63" s="13"/>
      <c r="AE63" s="13"/>
      <c r="AF63" s="13"/>
    </row>
    <row r="64" spans="1:32" ht="15.75" customHeight="1">
      <c r="A64" s="8" t="s">
        <v>567</v>
      </c>
      <c r="B64" s="3"/>
      <c r="C64" s="3" t="s">
        <v>88</v>
      </c>
      <c r="D64" s="10" t="s">
        <v>52</v>
      </c>
      <c r="E64" s="10" t="s">
        <v>60</v>
      </c>
      <c r="F64" s="10" t="s">
        <v>60</v>
      </c>
      <c r="G64" s="11" t="s">
        <v>102</v>
      </c>
      <c r="H64" s="11" t="s">
        <v>88</v>
      </c>
      <c r="I64" s="26">
        <f t="shared" si="9"/>
        <v>0</v>
      </c>
      <c r="J64" s="26">
        <f t="shared" si="9"/>
        <v>0.4</v>
      </c>
      <c r="K64" s="26">
        <f t="shared" si="9"/>
        <v>0.4</v>
      </c>
      <c r="L64" s="26">
        <f t="shared" si="9"/>
        <v>0.4</v>
      </c>
      <c r="M64" s="26">
        <f t="shared" si="9"/>
        <v>2</v>
      </c>
      <c r="N64" s="13"/>
      <c r="O64" s="13"/>
      <c r="P64" s="13"/>
      <c r="Q64" s="13"/>
      <c r="R64" s="13"/>
      <c r="S64" s="13"/>
      <c r="T64" s="13"/>
      <c r="U64" s="13"/>
      <c r="V64" s="13"/>
      <c r="W64" s="13"/>
      <c r="X64" s="13"/>
      <c r="Y64" s="13"/>
      <c r="Z64" s="13"/>
      <c r="AA64" s="13"/>
      <c r="AB64" s="13"/>
      <c r="AC64" s="13"/>
      <c r="AD64" s="13"/>
      <c r="AE64" s="13"/>
      <c r="AF64" s="13"/>
    </row>
    <row r="65" spans="1:32" ht="15.75" customHeight="1">
      <c r="A65" s="17" t="s">
        <v>568</v>
      </c>
      <c r="B65" s="18"/>
      <c r="C65" s="18" t="s">
        <v>294</v>
      </c>
      <c r="D65" s="24"/>
      <c r="E65" s="24"/>
      <c r="F65" s="24"/>
      <c r="G65" s="24"/>
      <c r="H65" s="24"/>
      <c r="I65" s="24"/>
      <c r="J65" s="24"/>
      <c r="K65" s="24"/>
      <c r="L65" s="24"/>
      <c r="M65" s="24"/>
      <c r="N65" s="13"/>
      <c r="O65" s="13"/>
      <c r="P65" s="13"/>
      <c r="Q65" s="13"/>
      <c r="R65" s="13"/>
      <c r="S65" s="13"/>
      <c r="T65" s="13"/>
      <c r="U65" s="13"/>
      <c r="V65" s="13"/>
      <c r="W65" s="13"/>
      <c r="X65" s="13"/>
      <c r="Y65" s="13"/>
      <c r="Z65" s="13"/>
      <c r="AA65" s="13"/>
      <c r="AB65" s="13"/>
      <c r="AC65" s="13"/>
      <c r="AD65" s="13"/>
      <c r="AE65" s="13"/>
      <c r="AF65" s="13"/>
    </row>
    <row r="66" spans="1:32" ht="15.75" customHeight="1">
      <c r="A66" s="8" t="s">
        <v>569</v>
      </c>
      <c r="B66" s="3" t="s">
        <v>16</v>
      </c>
      <c r="C66" s="3" t="s">
        <v>102</v>
      </c>
      <c r="D66" s="3" t="s">
        <v>58</v>
      </c>
      <c r="E66" s="3" t="s">
        <v>102</v>
      </c>
      <c r="F66" s="3" t="s">
        <v>102</v>
      </c>
      <c r="G66" s="27" t="s">
        <v>102</v>
      </c>
      <c r="H66" s="27" t="s">
        <v>102</v>
      </c>
      <c r="I66" s="26">
        <f t="shared" ref="I66:M68" si="10">_xlfn.LET(
_xlpm.full,2,
_xlpm.ans0,$C66&amp;"",
_xlpm.resp0,D66&amp;"",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66" s="26">
        <f t="shared" si="10"/>
        <v>2</v>
      </c>
      <c r="K66" s="26">
        <f t="shared" si="10"/>
        <v>2</v>
      </c>
      <c r="L66" s="26">
        <f t="shared" si="10"/>
        <v>2</v>
      </c>
      <c r="M66" s="26">
        <f t="shared" si="10"/>
        <v>2</v>
      </c>
      <c r="N66" s="29"/>
      <c r="O66" s="29"/>
      <c r="P66" s="29"/>
      <c r="Q66" s="29"/>
      <c r="R66" s="29"/>
      <c r="S66" s="29"/>
      <c r="T66" s="29"/>
      <c r="U66" s="29"/>
      <c r="V66" s="29"/>
      <c r="W66" s="29"/>
      <c r="X66" s="29"/>
      <c r="Y66" s="29"/>
      <c r="Z66" s="29"/>
      <c r="AA66" s="29"/>
      <c r="AB66" s="29"/>
      <c r="AC66" s="29"/>
      <c r="AD66" s="29"/>
      <c r="AE66" s="29"/>
      <c r="AF66" s="29"/>
    </row>
    <row r="67" spans="1:32" ht="15.75" customHeight="1">
      <c r="A67" s="8" t="s">
        <v>570</v>
      </c>
      <c r="B67" s="3" t="s">
        <v>16</v>
      </c>
      <c r="C67" s="3" t="s">
        <v>57</v>
      </c>
      <c r="D67" s="10" t="s">
        <v>57</v>
      </c>
      <c r="E67" s="10" t="s">
        <v>57</v>
      </c>
      <c r="F67" s="10" t="s">
        <v>57</v>
      </c>
      <c r="G67" s="11" t="s">
        <v>57</v>
      </c>
      <c r="H67" s="11" t="s">
        <v>57</v>
      </c>
      <c r="I67" s="26">
        <f t="shared" si="10"/>
        <v>2</v>
      </c>
      <c r="J67" s="26">
        <f t="shared" si="10"/>
        <v>2</v>
      </c>
      <c r="K67" s="26">
        <f t="shared" si="10"/>
        <v>2</v>
      </c>
      <c r="L67" s="26">
        <f t="shared" si="10"/>
        <v>2</v>
      </c>
      <c r="M67" s="26">
        <f t="shared" si="10"/>
        <v>2</v>
      </c>
      <c r="N67" s="13"/>
      <c r="O67" s="13"/>
      <c r="P67" s="13"/>
      <c r="Q67" s="13"/>
      <c r="R67" s="13"/>
      <c r="S67" s="13"/>
      <c r="T67" s="13"/>
      <c r="U67" s="13"/>
      <c r="V67" s="13"/>
      <c r="W67" s="13"/>
      <c r="X67" s="13"/>
      <c r="Y67" s="13"/>
      <c r="Z67" s="13"/>
      <c r="AA67" s="13"/>
      <c r="AB67" s="13"/>
      <c r="AC67" s="13"/>
      <c r="AD67" s="13"/>
      <c r="AE67" s="13"/>
      <c r="AF67" s="13"/>
    </row>
    <row r="68" spans="1:32" ht="15.75" customHeight="1">
      <c r="A68" s="8" t="s">
        <v>571</v>
      </c>
      <c r="B68" s="3" t="s">
        <v>16</v>
      </c>
      <c r="C68" s="3" t="s">
        <v>21</v>
      </c>
      <c r="D68" s="10" t="s">
        <v>22</v>
      </c>
      <c r="E68" s="10" t="s">
        <v>21</v>
      </c>
      <c r="F68" s="10" t="s">
        <v>22</v>
      </c>
      <c r="G68" s="11" t="s">
        <v>22</v>
      </c>
      <c r="H68" s="11" t="s">
        <v>22</v>
      </c>
      <c r="I68" s="26">
        <f t="shared" si="10"/>
        <v>0</v>
      </c>
      <c r="J68" s="26">
        <f t="shared" si="10"/>
        <v>2</v>
      </c>
      <c r="K68" s="26">
        <f t="shared" si="10"/>
        <v>0</v>
      </c>
      <c r="L68" s="26">
        <f t="shared" si="10"/>
        <v>0</v>
      </c>
      <c r="M68" s="26">
        <f t="shared" si="10"/>
        <v>0</v>
      </c>
      <c r="N68" s="13"/>
      <c r="O68" s="13"/>
      <c r="P68" s="13"/>
      <c r="Q68" s="13"/>
      <c r="R68" s="13"/>
      <c r="S68" s="13"/>
      <c r="T68" s="13"/>
      <c r="U68" s="13"/>
      <c r="V68" s="13"/>
      <c r="W68" s="13"/>
      <c r="X68" s="13"/>
      <c r="Y68" s="13"/>
      <c r="Z68" s="13"/>
      <c r="AA68" s="13"/>
      <c r="AB68" s="13"/>
      <c r="AC68" s="13"/>
      <c r="AD68" s="13"/>
      <c r="AE68" s="13"/>
      <c r="AF68" s="13"/>
    </row>
    <row r="69" spans="1:32" ht="15.75" customHeight="1">
      <c r="A69" s="17" t="s">
        <v>572</v>
      </c>
      <c r="B69" s="18"/>
      <c r="C69" s="18" t="s">
        <v>294</v>
      </c>
      <c r="D69" s="24"/>
      <c r="E69" s="24"/>
      <c r="F69" s="24"/>
      <c r="G69" s="24"/>
      <c r="H69" s="24"/>
      <c r="I69" s="24"/>
      <c r="J69" s="24"/>
      <c r="K69" s="24"/>
      <c r="L69" s="24"/>
      <c r="M69" s="24"/>
      <c r="N69" s="13"/>
      <c r="O69" s="13"/>
      <c r="P69" s="13"/>
      <c r="Q69" s="13"/>
      <c r="R69" s="13"/>
      <c r="S69" s="13"/>
      <c r="T69" s="13"/>
      <c r="U69" s="13"/>
      <c r="V69" s="13"/>
      <c r="W69" s="13"/>
      <c r="X69" s="13"/>
      <c r="Y69" s="13"/>
      <c r="Z69" s="13"/>
      <c r="AA69" s="13"/>
      <c r="AB69" s="13"/>
      <c r="AC69" s="13"/>
      <c r="AD69" s="13"/>
      <c r="AE69" s="13"/>
      <c r="AF69" s="13"/>
    </row>
    <row r="70" spans="1:32" ht="15.75" customHeight="1">
      <c r="A70" s="8" t="s">
        <v>573</v>
      </c>
      <c r="B70" s="3" t="s">
        <v>34</v>
      </c>
      <c r="C70" s="3" t="s">
        <v>17</v>
      </c>
      <c r="D70" s="3" t="s">
        <v>22</v>
      </c>
      <c r="E70" s="10" t="s">
        <v>17</v>
      </c>
      <c r="F70" s="10" t="s">
        <v>21</v>
      </c>
      <c r="G70" s="11" t="s">
        <v>17</v>
      </c>
      <c r="H70" s="11" t="s">
        <v>17</v>
      </c>
      <c r="I70" s="26">
        <f t="shared" ref="I70:M75" si="11">_xlfn.LET(
_xlpm.full,2,
_xlpm.ans0,$C70&amp;"",
_xlpm.resp0,D70&amp;"",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70" s="26">
        <f t="shared" si="11"/>
        <v>2</v>
      </c>
      <c r="K70" s="26">
        <f t="shared" si="11"/>
        <v>0</v>
      </c>
      <c r="L70" s="26">
        <f t="shared" si="11"/>
        <v>2</v>
      </c>
      <c r="M70" s="26">
        <f t="shared" si="11"/>
        <v>2</v>
      </c>
      <c r="N70" s="13"/>
      <c r="O70" s="13"/>
      <c r="P70" s="13"/>
      <c r="Q70" s="13"/>
      <c r="R70" s="13"/>
      <c r="S70" s="13"/>
      <c r="T70" s="13"/>
      <c r="U70" s="13"/>
      <c r="V70" s="13"/>
      <c r="W70" s="13"/>
      <c r="X70" s="13"/>
      <c r="Y70" s="13"/>
      <c r="Z70" s="13"/>
      <c r="AA70" s="13"/>
      <c r="AB70" s="13"/>
      <c r="AC70" s="13"/>
      <c r="AD70" s="13"/>
      <c r="AE70" s="13"/>
      <c r="AF70" s="13"/>
    </row>
    <row r="71" spans="1:32" ht="15.75" customHeight="1">
      <c r="A71" s="8" t="s">
        <v>574</v>
      </c>
      <c r="B71" s="3" t="s">
        <v>34</v>
      </c>
      <c r="C71" s="3" t="s">
        <v>22</v>
      </c>
      <c r="D71" s="10" t="s">
        <v>22</v>
      </c>
      <c r="E71" s="10" t="s">
        <v>22</v>
      </c>
      <c r="F71" s="10" t="s">
        <v>22</v>
      </c>
      <c r="G71" s="11" t="s">
        <v>22</v>
      </c>
      <c r="H71" s="11" t="s">
        <v>22</v>
      </c>
      <c r="I71" s="26">
        <f t="shared" si="11"/>
        <v>2</v>
      </c>
      <c r="J71" s="26">
        <f t="shared" si="11"/>
        <v>2</v>
      </c>
      <c r="K71" s="26">
        <f t="shared" si="11"/>
        <v>2</v>
      </c>
      <c r="L71" s="26">
        <f t="shared" si="11"/>
        <v>2</v>
      </c>
      <c r="M71" s="26">
        <f t="shared" si="11"/>
        <v>2</v>
      </c>
      <c r="N71" s="13"/>
      <c r="O71" s="13"/>
      <c r="P71" s="13"/>
      <c r="Q71" s="13"/>
      <c r="R71" s="13"/>
      <c r="S71" s="13"/>
      <c r="T71" s="13"/>
      <c r="U71" s="13"/>
      <c r="V71" s="13"/>
      <c r="W71" s="13"/>
      <c r="X71" s="13"/>
      <c r="Y71" s="13"/>
      <c r="Z71" s="13"/>
      <c r="AA71" s="13"/>
      <c r="AB71" s="13"/>
      <c r="AC71" s="13"/>
      <c r="AD71" s="13"/>
      <c r="AE71" s="13"/>
      <c r="AF71" s="13"/>
    </row>
    <row r="72" spans="1:32" ht="15.75" customHeight="1">
      <c r="A72" s="8" t="s">
        <v>575</v>
      </c>
      <c r="B72" s="3" t="s">
        <v>16</v>
      </c>
      <c r="C72" s="3" t="s">
        <v>21</v>
      </c>
      <c r="D72" s="10" t="s">
        <v>21</v>
      </c>
      <c r="E72" s="10" t="s">
        <v>19</v>
      </c>
      <c r="F72" s="10" t="s">
        <v>14</v>
      </c>
      <c r="G72" s="11" t="s">
        <v>14</v>
      </c>
      <c r="H72" s="11" t="s">
        <v>22</v>
      </c>
      <c r="I72" s="26">
        <f t="shared" si="11"/>
        <v>2</v>
      </c>
      <c r="J72" s="26">
        <f t="shared" si="11"/>
        <v>0</v>
      </c>
      <c r="K72" s="26">
        <f t="shared" si="11"/>
        <v>0</v>
      </c>
      <c r="L72" s="26">
        <f t="shared" si="11"/>
        <v>0</v>
      </c>
      <c r="M72" s="26">
        <f t="shared" si="11"/>
        <v>0</v>
      </c>
      <c r="N72" s="13"/>
      <c r="O72" s="13"/>
      <c r="P72" s="13"/>
      <c r="Q72" s="13"/>
      <c r="R72" s="13"/>
      <c r="S72" s="13"/>
      <c r="T72" s="13"/>
      <c r="U72" s="13"/>
      <c r="V72" s="13"/>
      <c r="W72" s="13"/>
      <c r="X72" s="13"/>
      <c r="Y72" s="13"/>
      <c r="Z72" s="13"/>
      <c r="AA72" s="13"/>
      <c r="AB72" s="13"/>
      <c r="AC72" s="13"/>
      <c r="AD72" s="13"/>
      <c r="AE72" s="13"/>
      <c r="AF72" s="13"/>
    </row>
    <row r="73" spans="1:32" ht="15.75" customHeight="1">
      <c r="A73" s="8" t="s">
        <v>576</v>
      </c>
      <c r="B73" s="3"/>
      <c r="C73" s="3" t="s">
        <v>14</v>
      </c>
      <c r="D73" s="10" t="s">
        <v>102</v>
      </c>
      <c r="E73" s="10" t="s">
        <v>102</v>
      </c>
      <c r="F73" s="10" t="s">
        <v>102</v>
      </c>
      <c r="G73" s="11" t="s">
        <v>14</v>
      </c>
      <c r="H73" s="11" t="s">
        <v>14</v>
      </c>
      <c r="I73" s="26">
        <f t="shared" si="11"/>
        <v>0</v>
      </c>
      <c r="J73" s="26">
        <f t="shared" si="11"/>
        <v>0</v>
      </c>
      <c r="K73" s="26">
        <f t="shared" si="11"/>
        <v>0</v>
      </c>
      <c r="L73" s="26">
        <f t="shared" si="11"/>
        <v>2</v>
      </c>
      <c r="M73" s="26">
        <f t="shared" si="11"/>
        <v>2</v>
      </c>
      <c r="N73" s="13"/>
      <c r="O73" s="13"/>
      <c r="P73" s="13"/>
      <c r="Q73" s="13"/>
      <c r="R73" s="13"/>
      <c r="S73" s="13"/>
      <c r="T73" s="13"/>
      <c r="U73" s="13"/>
      <c r="V73" s="13"/>
      <c r="W73" s="13"/>
      <c r="X73" s="13"/>
      <c r="Y73" s="13"/>
      <c r="Z73" s="13"/>
      <c r="AA73" s="13"/>
      <c r="AB73" s="13"/>
      <c r="AC73" s="13"/>
      <c r="AD73" s="13"/>
      <c r="AE73" s="13"/>
      <c r="AF73" s="13"/>
    </row>
    <row r="74" spans="1:32" ht="15.75" customHeight="1">
      <c r="A74" s="8" t="s">
        <v>577</v>
      </c>
      <c r="B74" s="3"/>
      <c r="C74" s="3" t="s">
        <v>22</v>
      </c>
      <c r="D74" s="10" t="s">
        <v>21</v>
      </c>
      <c r="E74" s="10" t="s">
        <v>22</v>
      </c>
      <c r="F74" s="10" t="s">
        <v>104</v>
      </c>
      <c r="G74" s="11" t="s">
        <v>21</v>
      </c>
      <c r="H74" s="11" t="s">
        <v>22</v>
      </c>
      <c r="I74" s="26">
        <f t="shared" si="11"/>
        <v>0</v>
      </c>
      <c r="J74" s="26">
        <f t="shared" si="11"/>
        <v>2</v>
      </c>
      <c r="K74" s="26">
        <f t="shared" si="11"/>
        <v>0</v>
      </c>
      <c r="L74" s="26">
        <f t="shared" si="11"/>
        <v>0</v>
      </c>
      <c r="M74" s="26">
        <f t="shared" si="11"/>
        <v>2</v>
      </c>
      <c r="N74" s="13"/>
      <c r="O74" s="13"/>
      <c r="P74" s="13"/>
      <c r="Q74" s="13"/>
      <c r="R74" s="13"/>
      <c r="S74" s="13"/>
      <c r="T74" s="13"/>
      <c r="U74" s="13"/>
      <c r="V74" s="13"/>
      <c r="W74" s="13"/>
      <c r="X74" s="13"/>
      <c r="Y74" s="13"/>
      <c r="Z74" s="13"/>
      <c r="AA74" s="13"/>
      <c r="AB74" s="13"/>
      <c r="AC74" s="13"/>
      <c r="AD74" s="13"/>
      <c r="AE74" s="13"/>
      <c r="AF74" s="13"/>
    </row>
    <row r="75" spans="1:32" ht="15.75" customHeight="1">
      <c r="A75" s="8" t="s">
        <v>578</v>
      </c>
      <c r="B75" s="3" t="s">
        <v>16</v>
      </c>
      <c r="C75" s="3" t="s">
        <v>57</v>
      </c>
      <c r="D75" s="10" t="s">
        <v>88</v>
      </c>
      <c r="E75" s="10" t="s">
        <v>55</v>
      </c>
      <c r="F75" s="10" t="s">
        <v>55</v>
      </c>
      <c r="G75" s="11" t="s">
        <v>88</v>
      </c>
      <c r="H75" s="11" t="s">
        <v>57</v>
      </c>
      <c r="I75" s="26">
        <f t="shared" si="11"/>
        <v>0.4</v>
      </c>
      <c r="J75" s="26">
        <f t="shared" si="11"/>
        <v>0</v>
      </c>
      <c r="K75" s="26">
        <f t="shared" si="11"/>
        <v>0</v>
      </c>
      <c r="L75" s="26">
        <f t="shared" si="11"/>
        <v>0.4</v>
      </c>
      <c r="M75" s="26">
        <f t="shared" si="11"/>
        <v>2</v>
      </c>
      <c r="N75" s="13"/>
      <c r="O75" s="13"/>
      <c r="P75" s="13"/>
      <c r="Q75" s="13"/>
      <c r="R75" s="13"/>
      <c r="S75" s="13"/>
      <c r="T75" s="13"/>
      <c r="U75" s="13"/>
      <c r="V75" s="13"/>
      <c r="W75" s="13"/>
      <c r="X75" s="13"/>
      <c r="Y75" s="13"/>
      <c r="Z75" s="13"/>
      <c r="AA75" s="13"/>
      <c r="AB75" s="13"/>
      <c r="AC75" s="13"/>
      <c r="AD75" s="13"/>
      <c r="AE75" s="13"/>
      <c r="AF75" s="13"/>
    </row>
    <row r="76" spans="1:32" ht="15.75" customHeight="1">
      <c r="A76" s="29"/>
      <c r="B76" s="30"/>
      <c r="C76" s="30"/>
      <c r="D76" s="31"/>
      <c r="E76" s="31"/>
      <c r="F76" s="31"/>
      <c r="G76" s="31"/>
      <c r="H76" s="31"/>
      <c r="I76" s="31"/>
      <c r="J76" s="31"/>
      <c r="K76" s="31"/>
      <c r="L76" s="31"/>
      <c r="M76" s="31"/>
      <c r="N76" s="13"/>
      <c r="O76" s="13"/>
      <c r="P76" s="13"/>
      <c r="Q76" s="13"/>
      <c r="R76" s="13"/>
      <c r="S76" s="13"/>
      <c r="T76" s="13"/>
      <c r="U76" s="13"/>
      <c r="V76" s="13"/>
      <c r="W76" s="13"/>
      <c r="X76" s="13"/>
      <c r="Y76" s="13"/>
      <c r="Z76" s="13"/>
      <c r="AA76" s="13"/>
      <c r="AB76" s="13"/>
      <c r="AC76" s="13"/>
      <c r="AD76" s="13"/>
      <c r="AE76" s="13"/>
      <c r="AF76" s="13"/>
    </row>
    <row r="77" spans="1:32" ht="15.75" customHeight="1">
      <c r="A77" s="29"/>
      <c r="B77" s="30"/>
      <c r="C77" s="30"/>
      <c r="D77" s="31"/>
      <c r="E77" s="31"/>
      <c r="F77" s="31"/>
      <c r="G77" s="31"/>
      <c r="H77" s="31"/>
      <c r="I77" s="31"/>
      <c r="J77" s="31"/>
      <c r="K77" s="31"/>
      <c r="L77" s="31"/>
      <c r="M77" s="31"/>
      <c r="N77" s="13"/>
      <c r="O77" s="13"/>
      <c r="P77" s="13"/>
      <c r="Q77" s="13"/>
      <c r="R77" s="13"/>
      <c r="S77" s="13"/>
      <c r="T77" s="13"/>
      <c r="U77" s="13"/>
      <c r="V77" s="13"/>
      <c r="W77" s="13"/>
      <c r="X77" s="13"/>
      <c r="Y77" s="13"/>
      <c r="Z77" s="13"/>
      <c r="AA77" s="13"/>
      <c r="AB77" s="13"/>
      <c r="AC77" s="13"/>
      <c r="AD77" s="13"/>
      <c r="AE77" s="13"/>
      <c r="AF77" s="13"/>
    </row>
    <row r="78" spans="1:32" ht="15.75" customHeight="1">
      <c r="A78" s="29"/>
      <c r="B78" s="30"/>
      <c r="C78" s="30"/>
      <c r="D78" s="31"/>
      <c r="E78" s="31"/>
      <c r="F78" s="31"/>
      <c r="G78" s="31"/>
      <c r="H78" s="31"/>
      <c r="I78" s="31"/>
      <c r="J78" s="31"/>
      <c r="K78" s="31"/>
      <c r="L78" s="31"/>
      <c r="M78" s="31"/>
      <c r="N78" s="13"/>
      <c r="O78" s="13"/>
      <c r="P78" s="13"/>
      <c r="Q78" s="13"/>
      <c r="R78" s="13"/>
      <c r="S78" s="13"/>
      <c r="T78" s="13"/>
      <c r="U78" s="13"/>
      <c r="V78" s="13"/>
      <c r="W78" s="13"/>
      <c r="X78" s="13"/>
      <c r="Y78" s="13"/>
      <c r="Z78" s="13"/>
      <c r="AA78" s="13"/>
      <c r="AB78" s="13"/>
      <c r="AC78" s="13"/>
      <c r="AD78" s="13"/>
      <c r="AE78" s="13"/>
      <c r="AF78" s="13"/>
    </row>
    <row r="79" spans="1:32" ht="15.75" customHeight="1">
      <c r="A79" s="45"/>
      <c r="B79" s="30"/>
      <c r="C79" s="30"/>
      <c r="D79" s="31"/>
      <c r="E79" s="31"/>
      <c r="F79" s="31"/>
      <c r="G79" s="31"/>
      <c r="H79" s="31"/>
      <c r="I79" s="31"/>
      <c r="J79" s="31"/>
      <c r="K79" s="31"/>
      <c r="L79" s="31"/>
      <c r="M79" s="31"/>
      <c r="N79" s="13"/>
      <c r="O79" s="13"/>
      <c r="P79" s="13"/>
      <c r="Q79" s="13"/>
      <c r="R79" s="13"/>
      <c r="S79" s="13"/>
      <c r="T79" s="13"/>
      <c r="U79" s="13"/>
      <c r="V79" s="13"/>
      <c r="W79" s="13"/>
      <c r="X79" s="13"/>
      <c r="Y79" s="13"/>
      <c r="Z79" s="13"/>
      <c r="AA79" s="13"/>
      <c r="AB79" s="13"/>
      <c r="AC79" s="13"/>
      <c r="AD79" s="13"/>
      <c r="AE79" s="13"/>
      <c r="AF79" s="13"/>
    </row>
    <row r="80" spans="1:32" ht="15.75" customHeight="1">
      <c r="A80" s="45"/>
      <c r="B80" s="30"/>
      <c r="C80" s="30"/>
      <c r="D80" s="31"/>
      <c r="E80" s="31"/>
      <c r="F80" s="31"/>
      <c r="G80" s="31"/>
      <c r="H80" s="31"/>
      <c r="I80" s="31"/>
      <c r="J80" s="31"/>
      <c r="K80" s="31"/>
      <c r="L80" s="31"/>
      <c r="M80" s="31"/>
      <c r="N80" s="13"/>
      <c r="O80" s="13"/>
      <c r="P80" s="13"/>
      <c r="Q80" s="13"/>
      <c r="R80" s="13"/>
      <c r="S80" s="13"/>
      <c r="T80" s="13"/>
      <c r="U80" s="13"/>
      <c r="V80" s="13"/>
      <c r="W80" s="13"/>
      <c r="X80" s="13"/>
      <c r="Y80" s="13"/>
      <c r="Z80" s="13"/>
      <c r="AA80" s="13"/>
      <c r="AB80" s="13"/>
      <c r="AC80" s="13"/>
      <c r="AD80" s="13"/>
      <c r="AE80" s="13"/>
      <c r="AF80" s="13"/>
    </row>
    <row r="81" spans="1:32" ht="15.75" customHeight="1">
      <c r="A81" s="45"/>
      <c r="B81" s="30"/>
      <c r="C81" s="30"/>
      <c r="D81" s="31"/>
      <c r="E81" s="31"/>
      <c r="F81" s="31"/>
      <c r="G81" s="31"/>
      <c r="H81" s="31"/>
      <c r="I81" s="31"/>
      <c r="J81" s="31"/>
      <c r="K81" s="31"/>
      <c r="L81" s="31"/>
      <c r="M81" s="31"/>
      <c r="N81" s="13"/>
      <c r="O81" s="13"/>
      <c r="P81" s="13"/>
      <c r="Q81" s="13"/>
      <c r="R81" s="13"/>
      <c r="S81" s="13"/>
      <c r="T81" s="13"/>
      <c r="U81" s="13"/>
      <c r="V81" s="13"/>
      <c r="W81" s="13"/>
      <c r="X81" s="13"/>
      <c r="Y81" s="13"/>
      <c r="Z81" s="13"/>
      <c r="AA81" s="13"/>
      <c r="AB81" s="13"/>
      <c r="AC81" s="13"/>
      <c r="AD81" s="13"/>
      <c r="AE81" s="13"/>
      <c r="AF81" s="13"/>
    </row>
    <row r="82" spans="1:32" ht="15.75" customHeight="1">
      <c r="A82" s="45"/>
      <c r="B82" s="30"/>
      <c r="C82" s="30"/>
      <c r="D82" s="31"/>
      <c r="E82" s="31"/>
      <c r="F82" s="31"/>
      <c r="G82" s="31"/>
      <c r="H82" s="31"/>
      <c r="I82" s="31"/>
      <c r="J82" s="31"/>
      <c r="K82" s="31"/>
      <c r="L82" s="31"/>
      <c r="M82" s="31"/>
      <c r="N82" s="13"/>
      <c r="O82" s="13"/>
      <c r="P82" s="13"/>
      <c r="Q82" s="13"/>
      <c r="R82" s="13"/>
      <c r="S82" s="13"/>
      <c r="T82" s="13"/>
      <c r="U82" s="13"/>
      <c r="V82" s="13"/>
      <c r="W82" s="13"/>
      <c r="X82" s="13"/>
      <c r="Y82" s="13"/>
      <c r="Z82" s="13"/>
      <c r="AA82" s="13"/>
      <c r="AB82" s="13"/>
      <c r="AC82" s="13"/>
      <c r="AD82" s="13"/>
      <c r="AE82" s="13"/>
      <c r="AF82" s="13"/>
    </row>
    <row r="83" spans="1:32" ht="15.75" customHeight="1">
      <c r="A83" s="45"/>
      <c r="B83" s="30"/>
      <c r="C83" s="30"/>
      <c r="D83" s="31"/>
      <c r="E83" s="31"/>
      <c r="F83" s="31"/>
      <c r="G83" s="31"/>
      <c r="H83" s="31"/>
      <c r="I83" s="31"/>
      <c r="J83" s="31"/>
      <c r="K83" s="31"/>
      <c r="L83" s="31"/>
      <c r="M83" s="31"/>
      <c r="N83" s="13"/>
      <c r="O83" s="13"/>
      <c r="P83" s="13"/>
      <c r="Q83" s="13"/>
      <c r="R83" s="13"/>
      <c r="S83" s="13"/>
      <c r="T83" s="13"/>
      <c r="U83" s="13"/>
      <c r="V83" s="13"/>
      <c r="W83" s="13"/>
      <c r="X83" s="13"/>
      <c r="Y83" s="13"/>
      <c r="Z83" s="13"/>
      <c r="AA83" s="13"/>
      <c r="AB83" s="13"/>
      <c r="AC83" s="13"/>
      <c r="AD83" s="13"/>
      <c r="AE83" s="13"/>
      <c r="AF83" s="13"/>
    </row>
    <row r="84" spans="1:32" ht="15.75" customHeight="1">
      <c r="A84" s="45"/>
      <c r="B84" s="30"/>
      <c r="C84" s="30"/>
      <c r="D84" s="31"/>
      <c r="E84" s="31"/>
      <c r="F84" s="31"/>
      <c r="G84" s="31"/>
      <c r="H84" s="31"/>
      <c r="I84" s="31"/>
      <c r="J84" s="31"/>
      <c r="K84" s="31"/>
      <c r="L84" s="31"/>
      <c r="M84" s="31"/>
      <c r="N84" s="13"/>
      <c r="O84" s="13"/>
      <c r="P84" s="13"/>
      <c r="Q84" s="13"/>
      <c r="R84" s="13"/>
      <c r="S84" s="13"/>
      <c r="T84" s="13"/>
      <c r="U84" s="13"/>
      <c r="V84" s="13"/>
      <c r="W84" s="13"/>
      <c r="X84" s="13"/>
      <c r="Y84" s="13"/>
      <c r="Z84" s="13"/>
      <c r="AA84" s="13"/>
      <c r="AB84" s="13"/>
      <c r="AC84" s="13"/>
      <c r="AD84" s="13"/>
      <c r="AE84" s="13"/>
      <c r="AF84" s="13"/>
    </row>
    <row r="85" spans="1:32" ht="15.75" customHeight="1">
      <c r="A85" s="45"/>
      <c r="B85" s="30"/>
      <c r="C85" s="30"/>
      <c r="D85" s="31"/>
      <c r="E85" s="31"/>
      <c r="F85" s="31"/>
      <c r="G85" s="31"/>
      <c r="H85" s="31"/>
      <c r="I85" s="31"/>
      <c r="J85" s="31"/>
      <c r="K85" s="31"/>
      <c r="L85" s="31"/>
      <c r="M85" s="31"/>
      <c r="N85" s="13"/>
      <c r="O85" s="13"/>
      <c r="P85" s="13"/>
      <c r="Q85" s="13"/>
      <c r="R85" s="13"/>
      <c r="S85" s="13"/>
      <c r="T85" s="13"/>
      <c r="U85" s="13"/>
      <c r="V85" s="13"/>
      <c r="W85" s="13"/>
      <c r="X85" s="13"/>
      <c r="Y85" s="13"/>
      <c r="Z85" s="13"/>
      <c r="AA85" s="13"/>
      <c r="AB85" s="13"/>
      <c r="AC85" s="13"/>
      <c r="AD85" s="13"/>
      <c r="AE85" s="13"/>
      <c r="AF85" s="13"/>
    </row>
    <row r="86" spans="1:32" ht="15.75" customHeight="1">
      <c r="A86" s="45"/>
      <c r="B86" s="30"/>
      <c r="C86" s="30"/>
      <c r="D86" s="31"/>
      <c r="E86" s="31"/>
      <c r="F86" s="31"/>
      <c r="G86" s="31"/>
      <c r="H86" s="31"/>
      <c r="I86" s="31"/>
      <c r="J86" s="31"/>
      <c r="K86" s="31"/>
      <c r="L86" s="31"/>
      <c r="M86" s="31"/>
      <c r="N86" s="13"/>
      <c r="O86" s="13"/>
      <c r="P86" s="13"/>
      <c r="Q86" s="13"/>
      <c r="R86" s="13"/>
      <c r="S86" s="13"/>
      <c r="T86" s="13"/>
      <c r="U86" s="13"/>
      <c r="V86" s="13"/>
      <c r="W86" s="13"/>
      <c r="X86" s="13"/>
      <c r="Y86" s="13"/>
      <c r="Z86" s="13"/>
      <c r="AA86" s="13"/>
      <c r="AB86" s="13"/>
      <c r="AC86" s="13"/>
      <c r="AD86" s="13"/>
      <c r="AE86" s="13"/>
      <c r="AF86" s="13"/>
    </row>
    <row r="87" spans="1:32" ht="15.75" customHeight="1">
      <c r="A87" s="45"/>
      <c r="B87" s="30"/>
      <c r="C87" s="30"/>
      <c r="D87" s="31"/>
      <c r="E87" s="31"/>
      <c r="F87" s="31"/>
      <c r="G87" s="31"/>
      <c r="H87" s="31"/>
      <c r="I87" s="31"/>
      <c r="J87" s="31"/>
      <c r="K87" s="31"/>
      <c r="L87" s="31"/>
      <c r="M87" s="31"/>
      <c r="N87" s="13"/>
      <c r="O87" s="13"/>
      <c r="P87" s="13"/>
      <c r="Q87" s="13"/>
      <c r="R87" s="13"/>
      <c r="S87" s="13"/>
      <c r="T87" s="13"/>
      <c r="U87" s="13"/>
      <c r="V87" s="13"/>
      <c r="W87" s="13"/>
      <c r="X87" s="13"/>
      <c r="Y87" s="13"/>
      <c r="Z87" s="13"/>
      <c r="AA87" s="13"/>
      <c r="AB87" s="13"/>
      <c r="AC87" s="13"/>
      <c r="AD87" s="13"/>
      <c r="AE87" s="13"/>
      <c r="AF87" s="13"/>
    </row>
    <row r="88" spans="1:32" ht="15.75" customHeight="1">
      <c r="A88" s="45"/>
      <c r="B88" s="30"/>
      <c r="C88" s="30"/>
      <c r="D88" s="31"/>
      <c r="E88" s="31"/>
      <c r="F88" s="31"/>
      <c r="G88" s="31"/>
      <c r="H88" s="31"/>
      <c r="I88" s="31"/>
      <c r="J88" s="31"/>
      <c r="K88" s="31"/>
      <c r="L88" s="31"/>
      <c r="M88" s="31"/>
      <c r="N88" s="13"/>
      <c r="O88" s="13"/>
      <c r="P88" s="13"/>
      <c r="Q88" s="13"/>
      <c r="R88" s="13"/>
      <c r="S88" s="13"/>
      <c r="T88" s="13"/>
      <c r="U88" s="13"/>
      <c r="V88" s="13"/>
      <c r="W88" s="13"/>
      <c r="X88" s="13"/>
      <c r="Y88" s="13"/>
      <c r="Z88" s="13"/>
      <c r="AA88" s="13"/>
      <c r="AB88" s="13"/>
      <c r="AC88" s="13"/>
      <c r="AD88" s="13"/>
      <c r="AE88" s="13"/>
      <c r="AF88" s="13"/>
    </row>
    <row r="89" spans="1:32" ht="15.75" customHeight="1">
      <c r="A89" s="45"/>
      <c r="B89" s="30"/>
      <c r="C89" s="30"/>
      <c r="D89" s="31"/>
      <c r="E89" s="31"/>
      <c r="F89" s="31"/>
      <c r="G89" s="31"/>
      <c r="H89" s="31"/>
      <c r="I89" s="31"/>
      <c r="J89" s="31"/>
      <c r="K89" s="31"/>
      <c r="L89" s="31"/>
      <c r="M89" s="31"/>
      <c r="N89" s="13"/>
      <c r="O89" s="13"/>
      <c r="P89" s="13"/>
      <c r="Q89" s="13"/>
      <c r="R89" s="13"/>
      <c r="S89" s="13"/>
      <c r="T89" s="13"/>
      <c r="U89" s="13"/>
      <c r="V89" s="13"/>
      <c r="W89" s="13"/>
      <c r="X89" s="13"/>
      <c r="Y89" s="13"/>
      <c r="Z89" s="13"/>
      <c r="AA89" s="13"/>
      <c r="AB89" s="13"/>
      <c r="AC89" s="13"/>
      <c r="AD89" s="13"/>
      <c r="AE89" s="13"/>
      <c r="AF89" s="13"/>
    </row>
    <row r="90" spans="1:32" ht="15.75" customHeight="1">
      <c r="A90" s="46"/>
      <c r="B90" s="30"/>
      <c r="C90" s="30"/>
      <c r="D90" s="31"/>
      <c r="E90" s="31"/>
      <c r="F90" s="31"/>
      <c r="G90" s="31"/>
      <c r="H90" s="31"/>
      <c r="I90" s="31"/>
      <c r="J90" s="31"/>
      <c r="K90" s="31"/>
      <c r="L90" s="31"/>
      <c r="M90" s="31"/>
      <c r="N90" s="13"/>
      <c r="O90" s="13"/>
      <c r="P90" s="13"/>
      <c r="Q90" s="13"/>
      <c r="R90" s="13"/>
      <c r="S90" s="13"/>
      <c r="T90" s="13"/>
      <c r="U90" s="13"/>
      <c r="V90" s="13"/>
      <c r="W90" s="13"/>
      <c r="X90" s="13"/>
      <c r="Y90" s="13"/>
      <c r="Z90" s="13"/>
      <c r="AA90" s="13"/>
      <c r="AB90" s="13"/>
      <c r="AC90" s="13"/>
      <c r="AD90" s="13"/>
      <c r="AE90" s="13"/>
      <c r="AF90" s="13"/>
    </row>
    <row r="91" spans="1:32" ht="15.75" customHeight="1">
      <c r="A91" s="43"/>
      <c r="B91" s="30"/>
      <c r="C91" s="30"/>
      <c r="D91" s="31"/>
      <c r="E91" s="31"/>
      <c r="F91" s="31"/>
      <c r="G91" s="31"/>
      <c r="H91" s="31"/>
      <c r="I91" s="31"/>
      <c r="J91" s="31"/>
      <c r="K91" s="31"/>
      <c r="L91" s="31"/>
      <c r="M91" s="31"/>
      <c r="N91" s="13"/>
      <c r="O91" s="13"/>
      <c r="P91" s="13"/>
      <c r="Q91" s="13"/>
      <c r="R91" s="13"/>
      <c r="S91" s="13"/>
      <c r="T91" s="13"/>
      <c r="U91" s="13"/>
      <c r="V91" s="13"/>
      <c r="W91" s="13"/>
      <c r="X91" s="13"/>
      <c r="Y91" s="13"/>
      <c r="Z91" s="13"/>
      <c r="AA91" s="13"/>
      <c r="AB91" s="13"/>
      <c r="AC91" s="13"/>
      <c r="AD91" s="13"/>
      <c r="AE91" s="13"/>
      <c r="AF91" s="13"/>
    </row>
    <row r="92" spans="1:32" ht="15.75" customHeight="1">
      <c r="A92" s="43"/>
      <c r="B92" s="30"/>
      <c r="C92" s="30"/>
      <c r="D92" s="31"/>
      <c r="E92" s="31"/>
      <c r="F92" s="31"/>
      <c r="G92" s="31"/>
      <c r="H92" s="31"/>
      <c r="I92" s="31"/>
      <c r="J92" s="31"/>
      <c r="K92" s="31"/>
      <c r="L92" s="31"/>
      <c r="M92" s="31"/>
      <c r="N92" s="13"/>
      <c r="O92" s="13"/>
      <c r="P92" s="13"/>
      <c r="Q92" s="13"/>
      <c r="R92" s="13"/>
      <c r="S92" s="13"/>
      <c r="T92" s="13"/>
      <c r="U92" s="13"/>
      <c r="V92" s="13"/>
      <c r="W92" s="13"/>
      <c r="X92" s="13"/>
      <c r="Y92" s="13"/>
      <c r="Z92" s="13"/>
      <c r="AA92" s="13"/>
      <c r="AB92" s="13"/>
      <c r="AC92" s="13"/>
      <c r="AD92" s="13"/>
      <c r="AE92" s="13"/>
      <c r="AF92" s="13"/>
    </row>
    <row r="93" spans="1:32" ht="15.75" customHeight="1">
      <c r="A93" s="43"/>
      <c r="B93" s="30"/>
      <c r="C93" s="30"/>
      <c r="D93" s="31"/>
      <c r="E93" s="31"/>
      <c r="F93" s="31"/>
      <c r="G93" s="31"/>
      <c r="H93" s="31"/>
      <c r="I93" s="31"/>
      <c r="J93" s="31"/>
      <c r="K93" s="31"/>
      <c r="L93" s="31"/>
      <c r="M93" s="31"/>
      <c r="N93" s="13"/>
      <c r="O93" s="13"/>
      <c r="P93" s="13"/>
      <c r="Q93" s="13"/>
      <c r="R93" s="13"/>
      <c r="S93" s="13"/>
      <c r="T93" s="13"/>
      <c r="U93" s="13"/>
      <c r="V93" s="13"/>
      <c r="W93" s="13"/>
      <c r="X93" s="13"/>
      <c r="Y93" s="13"/>
      <c r="Z93" s="13"/>
      <c r="AA93" s="13"/>
      <c r="AB93" s="13"/>
      <c r="AC93" s="13"/>
      <c r="AD93" s="13"/>
      <c r="AE93" s="13"/>
      <c r="AF93" s="13"/>
    </row>
    <row r="94" spans="1:32" ht="15.75" customHeight="1">
      <c r="A94" s="43"/>
      <c r="B94" s="30"/>
      <c r="C94" s="30"/>
      <c r="D94" s="31"/>
      <c r="E94" s="31"/>
      <c r="F94" s="31"/>
      <c r="G94" s="31"/>
      <c r="H94" s="31"/>
      <c r="I94" s="31"/>
      <c r="J94" s="31"/>
      <c r="K94" s="31"/>
      <c r="L94" s="31"/>
      <c r="M94" s="31"/>
      <c r="N94" s="13"/>
      <c r="O94" s="7"/>
      <c r="P94" s="7"/>
      <c r="Q94" s="7"/>
      <c r="R94" s="7"/>
      <c r="S94" s="7"/>
      <c r="T94" s="7"/>
      <c r="U94" s="7"/>
      <c r="V94" s="7"/>
      <c r="W94" s="7"/>
      <c r="X94" s="7"/>
      <c r="Y94" s="7"/>
      <c r="Z94" s="7"/>
      <c r="AA94" s="7"/>
      <c r="AB94" s="7"/>
      <c r="AC94" s="7"/>
      <c r="AD94" s="7"/>
      <c r="AE94" s="7"/>
      <c r="AF94" s="7"/>
    </row>
    <row r="95" spans="1:32" ht="15.75" customHeight="1">
      <c r="A95" s="43"/>
      <c r="B95" s="30"/>
      <c r="C95" s="30"/>
      <c r="D95" s="31"/>
      <c r="E95" s="31"/>
      <c r="F95" s="31"/>
      <c r="G95" s="31"/>
      <c r="H95" s="31"/>
      <c r="I95" s="31"/>
      <c r="J95" s="31"/>
      <c r="K95" s="31"/>
      <c r="L95" s="31"/>
      <c r="M95" s="31"/>
      <c r="N95" s="13"/>
      <c r="O95" s="7"/>
      <c r="P95" s="7"/>
      <c r="Q95" s="7"/>
      <c r="R95" s="7"/>
      <c r="S95" s="7"/>
      <c r="T95" s="7"/>
      <c r="U95" s="7"/>
      <c r="V95" s="7"/>
      <c r="W95" s="7"/>
      <c r="X95" s="7"/>
      <c r="Y95" s="7"/>
      <c r="Z95" s="7"/>
      <c r="AA95" s="7"/>
      <c r="AB95" s="7"/>
      <c r="AC95" s="7"/>
      <c r="AD95" s="7"/>
      <c r="AE95" s="7"/>
      <c r="AF95" s="7"/>
    </row>
    <row r="96" spans="1:32" ht="15.75" customHeight="1">
      <c r="A96" s="43"/>
      <c r="B96" s="30"/>
      <c r="C96" s="30"/>
      <c r="D96" s="31"/>
      <c r="E96" s="31"/>
      <c r="F96" s="31"/>
      <c r="G96" s="31"/>
      <c r="H96" s="31"/>
      <c r="I96" s="31"/>
      <c r="J96" s="31"/>
      <c r="K96" s="31"/>
      <c r="L96" s="31"/>
      <c r="M96" s="31"/>
      <c r="N96" s="13"/>
      <c r="O96" s="7"/>
      <c r="P96" s="7"/>
      <c r="Q96" s="7"/>
      <c r="R96" s="7"/>
      <c r="S96" s="7"/>
      <c r="T96" s="7"/>
      <c r="U96" s="7"/>
      <c r="V96" s="7"/>
      <c r="W96" s="7"/>
      <c r="X96" s="7"/>
      <c r="Y96" s="7"/>
      <c r="Z96" s="7"/>
      <c r="AA96" s="7"/>
      <c r="AB96" s="7"/>
      <c r="AC96" s="7"/>
      <c r="AD96" s="7"/>
      <c r="AE96" s="7"/>
      <c r="AF96" s="7"/>
    </row>
    <row r="97" spans="1:32" ht="15.75" customHeight="1">
      <c r="A97" s="43"/>
      <c r="B97" s="30"/>
      <c r="C97" s="30"/>
      <c r="D97" s="31"/>
      <c r="E97" s="31"/>
      <c r="F97" s="31"/>
      <c r="G97" s="31"/>
      <c r="H97" s="31"/>
      <c r="I97" s="31"/>
      <c r="J97" s="31"/>
      <c r="K97" s="31"/>
      <c r="L97" s="31"/>
      <c r="M97" s="31"/>
      <c r="N97" s="13"/>
      <c r="O97" s="7"/>
      <c r="P97" s="7"/>
      <c r="Q97" s="7"/>
      <c r="R97" s="7"/>
      <c r="S97" s="7"/>
      <c r="T97" s="7"/>
      <c r="U97" s="7"/>
      <c r="V97" s="7"/>
      <c r="W97" s="7"/>
      <c r="X97" s="7"/>
      <c r="Y97" s="7"/>
      <c r="Z97" s="7"/>
      <c r="AA97" s="7"/>
      <c r="AB97" s="7"/>
      <c r="AC97" s="7"/>
      <c r="AD97" s="7"/>
      <c r="AE97" s="7"/>
      <c r="AF97" s="7"/>
    </row>
    <row r="98" spans="1:32" ht="15.75" customHeight="1">
      <c r="A98" s="43"/>
      <c r="B98" s="30"/>
      <c r="C98" s="30"/>
      <c r="D98" s="31"/>
      <c r="E98" s="31"/>
      <c r="F98" s="31"/>
      <c r="G98" s="31"/>
      <c r="H98" s="31"/>
      <c r="I98" s="31"/>
      <c r="J98" s="31"/>
      <c r="K98" s="31"/>
      <c r="L98" s="31"/>
      <c r="M98" s="31"/>
      <c r="N98" s="13"/>
      <c r="O98" s="7"/>
      <c r="P98" s="7"/>
      <c r="Q98" s="7"/>
      <c r="R98" s="7"/>
      <c r="S98" s="7"/>
      <c r="T98" s="7"/>
      <c r="U98" s="7"/>
      <c r="V98" s="7"/>
      <c r="W98" s="7"/>
      <c r="X98" s="7"/>
      <c r="Y98" s="7"/>
      <c r="Z98" s="7"/>
      <c r="AA98" s="7"/>
      <c r="AB98" s="7"/>
      <c r="AC98" s="7"/>
      <c r="AD98" s="7"/>
      <c r="AE98" s="7"/>
      <c r="AF98" s="7"/>
    </row>
    <row r="99" spans="1:32" ht="15.75" customHeight="1">
      <c r="A99" s="43"/>
      <c r="B99" s="30"/>
      <c r="C99" s="30"/>
      <c r="D99" s="31"/>
      <c r="E99" s="31"/>
      <c r="F99" s="31"/>
      <c r="G99" s="31"/>
      <c r="H99" s="31"/>
      <c r="I99" s="31"/>
      <c r="J99" s="31"/>
      <c r="K99" s="31"/>
      <c r="L99" s="31"/>
      <c r="M99" s="31"/>
      <c r="N99" s="13"/>
      <c r="O99" s="7"/>
      <c r="P99" s="7"/>
      <c r="Q99" s="7"/>
      <c r="R99" s="7"/>
      <c r="S99" s="7"/>
      <c r="T99" s="7"/>
      <c r="U99" s="7"/>
      <c r="V99" s="7"/>
      <c r="W99" s="7"/>
      <c r="X99" s="7"/>
      <c r="Y99" s="7"/>
      <c r="Z99" s="7"/>
      <c r="AA99" s="7"/>
      <c r="AB99" s="7"/>
      <c r="AC99" s="7"/>
      <c r="AD99" s="7"/>
      <c r="AE99" s="7"/>
      <c r="AF99" s="7"/>
    </row>
    <row r="100" spans="1:32" ht="15.75" customHeight="1">
      <c r="A100" s="43"/>
      <c r="B100" s="30"/>
      <c r="C100" s="30"/>
      <c r="D100" s="31"/>
      <c r="E100" s="31"/>
      <c r="F100" s="31"/>
      <c r="G100" s="31"/>
      <c r="H100" s="31"/>
      <c r="I100" s="31"/>
      <c r="J100" s="31"/>
      <c r="K100" s="31"/>
      <c r="L100" s="31"/>
      <c r="M100" s="31"/>
      <c r="N100" s="13"/>
      <c r="O100" s="7"/>
      <c r="P100" s="7"/>
      <c r="Q100" s="7"/>
      <c r="R100" s="7"/>
      <c r="S100" s="7"/>
      <c r="T100" s="7"/>
      <c r="U100" s="7"/>
      <c r="V100" s="7"/>
      <c r="W100" s="7"/>
      <c r="X100" s="7"/>
      <c r="Y100" s="7"/>
      <c r="Z100" s="7"/>
      <c r="AA100" s="7"/>
      <c r="AB100" s="7"/>
      <c r="AC100" s="7"/>
      <c r="AD100" s="7"/>
      <c r="AE100" s="7"/>
      <c r="AF100" s="7"/>
    </row>
    <row r="101" spans="1:32" ht="15.75" customHeight="1">
      <c r="A101" s="43"/>
      <c r="B101" s="30"/>
      <c r="C101" s="30"/>
      <c r="D101" s="31"/>
      <c r="E101" s="31"/>
      <c r="F101" s="31"/>
      <c r="G101" s="31"/>
      <c r="H101" s="31"/>
      <c r="I101" s="31"/>
      <c r="J101" s="31"/>
      <c r="K101" s="31"/>
      <c r="L101" s="31"/>
      <c r="M101" s="31"/>
      <c r="N101" s="13"/>
      <c r="O101" s="7"/>
      <c r="P101" s="7"/>
      <c r="Q101" s="7"/>
      <c r="R101" s="7"/>
      <c r="S101" s="7"/>
      <c r="T101" s="7"/>
      <c r="U101" s="7"/>
      <c r="V101" s="7"/>
      <c r="W101" s="7"/>
      <c r="X101" s="7"/>
      <c r="Y101" s="7"/>
      <c r="Z101" s="7"/>
      <c r="AA101" s="7"/>
      <c r="AB101" s="7"/>
      <c r="AC101" s="7"/>
      <c r="AD101" s="7"/>
      <c r="AE101" s="7"/>
      <c r="AF101" s="7"/>
    </row>
    <row r="102" spans="1:32" ht="15.75" customHeight="1">
      <c r="A102" s="43"/>
      <c r="B102" s="30"/>
      <c r="C102" s="30"/>
      <c r="D102" s="31"/>
      <c r="E102" s="31"/>
      <c r="F102" s="31"/>
      <c r="G102" s="31"/>
      <c r="H102" s="31"/>
      <c r="I102" s="31"/>
      <c r="J102" s="31"/>
      <c r="K102" s="31"/>
      <c r="L102" s="31"/>
      <c r="M102" s="31"/>
      <c r="N102" s="13"/>
      <c r="O102" s="7"/>
      <c r="P102" s="7"/>
      <c r="Q102" s="7"/>
      <c r="R102" s="7"/>
      <c r="S102" s="7"/>
      <c r="T102" s="7"/>
      <c r="U102" s="7"/>
      <c r="V102" s="7"/>
      <c r="W102" s="7"/>
      <c r="X102" s="7"/>
      <c r="Y102" s="7"/>
      <c r="Z102" s="7"/>
      <c r="AA102" s="7"/>
      <c r="AB102" s="7"/>
      <c r="AC102" s="7"/>
      <c r="AD102" s="7"/>
      <c r="AE102" s="7"/>
      <c r="AF102" s="7"/>
    </row>
    <row r="103" spans="1:32" ht="15.75" customHeight="1">
      <c r="A103" s="43"/>
      <c r="B103" s="30"/>
      <c r="C103" s="30"/>
      <c r="D103" s="31"/>
      <c r="E103" s="31"/>
      <c r="F103" s="31"/>
      <c r="G103" s="31"/>
      <c r="H103" s="31"/>
      <c r="I103" s="31"/>
      <c r="J103" s="31"/>
      <c r="K103" s="31"/>
      <c r="L103" s="31"/>
      <c r="M103" s="31"/>
      <c r="N103" s="13"/>
      <c r="O103" s="7"/>
      <c r="P103" s="7"/>
      <c r="Q103" s="7"/>
      <c r="R103" s="7"/>
      <c r="S103" s="7"/>
      <c r="T103" s="7"/>
      <c r="U103" s="7"/>
      <c r="V103" s="7"/>
      <c r="W103" s="7"/>
      <c r="X103" s="7"/>
      <c r="Y103" s="7"/>
      <c r="Z103" s="7"/>
      <c r="AA103" s="7"/>
      <c r="AB103" s="7"/>
      <c r="AC103" s="7"/>
      <c r="AD103" s="7"/>
      <c r="AE103" s="7"/>
      <c r="AF103" s="7"/>
    </row>
    <row r="104" spans="1:32" ht="15.75" customHeight="1">
      <c r="A104" s="43"/>
      <c r="B104" s="30"/>
      <c r="C104" s="30"/>
      <c r="D104" s="31"/>
      <c r="E104" s="31"/>
      <c r="F104" s="31"/>
      <c r="G104" s="31"/>
      <c r="H104" s="31"/>
      <c r="I104" s="31"/>
      <c r="J104" s="31"/>
      <c r="K104" s="31"/>
      <c r="L104" s="31"/>
      <c r="M104" s="31"/>
      <c r="N104" s="13"/>
      <c r="O104" s="7"/>
      <c r="P104" s="7"/>
      <c r="Q104" s="7"/>
      <c r="R104" s="7"/>
      <c r="S104" s="7"/>
      <c r="T104" s="7"/>
      <c r="U104" s="7"/>
      <c r="V104" s="7"/>
      <c r="W104" s="7"/>
      <c r="X104" s="7"/>
      <c r="Y104" s="7"/>
      <c r="Z104" s="7"/>
      <c r="AA104" s="7"/>
      <c r="AB104" s="7"/>
      <c r="AC104" s="7"/>
      <c r="AD104" s="7"/>
      <c r="AE104" s="7"/>
      <c r="AF104" s="7"/>
    </row>
    <row r="105" spans="1:32" ht="15.75" customHeight="1">
      <c r="A105" s="43"/>
      <c r="B105" s="30"/>
      <c r="C105" s="30"/>
      <c r="D105" s="31"/>
      <c r="E105" s="31"/>
      <c r="F105" s="31"/>
      <c r="G105" s="31"/>
      <c r="H105" s="31"/>
      <c r="I105" s="31"/>
      <c r="J105" s="31"/>
      <c r="K105" s="31"/>
      <c r="L105" s="31"/>
      <c r="M105" s="31"/>
      <c r="N105" s="13"/>
      <c r="O105" s="7"/>
      <c r="P105" s="7"/>
      <c r="Q105" s="7"/>
      <c r="R105" s="7"/>
      <c r="S105" s="7"/>
      <c r="T105" s="7"/>
      <c r="U105" s="7"/>
      <c r="V105" s="7"/>
      <c r="W105" s="7"/>
      <c r="X105" s="7"/>
      <c r="Y105" s="7"/>
      <c r="Z105" s="7"/>
      <c r="AA105" s="7"/>
      <c r="AB105" s="7"/>
      <c r="AC105" s="7"/>
      <c r="AD105" s="7"/>
      <c r="AE105" s="7"/>
      <c r="AF105" s="7"/>
    </row>
    <row r="106" spans="1:32" ht="15.75" customHeight="1">
      <c r="A106" s="43"/>
      <c r="B106" s="30"/>
      <c r="C106" s="30"/>
      <c r="D106" s="31"/>
      <c r="E106" s="31"/>
      <c r="F106" s="31"/>
      <c r="G106" s="31"/>
      <c r="H106" s="31"/>
      <c r="I106" s="31"/>
      <c r="J106" s="31"/>
      <c r="K106" s="31"/>
      <c r="L106" s="31"/>
      <c r="M106" s="31"/>
      <c r="N106" s="13"/>
      <c r="O106" s="7"/>
      <c r="P106" s="7"/>
      <c r="Q106" s="7"/>
      <c r="R106" s="7"/>
      <c r="S106" s="7"/>
      <c r="T106" s="7"/>
      <c r="U106" s="7"/>
      <c r="V106" s="7"/>
      <c r="W106" s="7"/>
      <c r="X106" s="7"/>
      <c r="Y106" s="7"/>
      <c r="Z106" s="7"/>
      <c r="AA106" s="7"/>
      <c r="AB106" s="7"/>
      <c r="AC106" s="7"/>
      <c r="AD106" s="7"/>
      <c r="AE106" s="7"/>
      <c r="AF106" s="7"/>
    </row>
    <row r="107" spans="1:32" ht="15.75" customHeight="1">
      <c r="A107" s="43"/>
      <c r="B107" s="30"/>
      <c r="C107" s="30"/>
      <c r="D107" s="31"/>
      <c r="E107" s="31"/>
      <c r="F107" s="31"/>
      <c r="G107" s="31"/>
      <c r="H107" s="31"/>
      <c r="I107" s="31"/>
      <c r="J107" s="31"/>
      <c r="K107" s="31"/>
      <c r="L107" s="31"/>
      <c r="M107" s="31"/>
      <c r="N107" s="13"/>
      <c r="O107" s="7"/>
      <c r="P107" s="7"/>
      <c r="Q107" s="7"/>
      <c r="R107" s="7"/>
      <c r="S107" s="7"/>
      <c r="T107" s="7"/>
      <c r="U107" s="7"/>
      <c r="V107" s="7"/>
      <c r="W107" s="7"/>
      <c r="X107" s="7"/>
      <c r="Y107" s="7"/>
      <c r="Z107" s="7"/>
      <c r="AA107" s="7"/>
      <c r="AB107" s="7"/>
      <c r="AC107" s="7"/>
      <c r="AD107" s="7"/>
      <c r="AE107" s="7"/>
      <c r="AF107" s="7"/>
    </row>
    <row r="108" spans="1:32" ht="15.75" customHeight="1">
      <c r="A108" s="43"/>
      <c r="B108" s="30"/>
      <c r="C108" s="30"/>
      <c r="D108" s="31"/>
      <c r="E108" s="31"/>
      <c r="F108" s="31"/>
      <c r="G108" s="31"/>
      <c r="H108" s="31"/>
      <c r="I108" s="31"/>
      <c r="J108" s="31"/>
      <c r="K108" s="31"/>
      <c r="L108" s="31"/>
      <c r="M108" s="31"/>
      <c r="N108" s="13"/>
      <c r="O108" s="7"/>
      <c r="P108" s="7"/>
      <c r="Q108" s="7"/>
      <c r="R108" s="7"/>
      <c r="S108" s="7"/>
      <c r="T108" s="7"/>
      <c r="U108" s="7"/>
      <c r="V108" s="7"/>
      <c r="W108" s="7"/>
      <c r="X108" s="7"/>
      <c r="Y108" s="7"/>
      <c r="Z108" s="7"/>
      <c r="AA108" s="7"/>
      <c r="AB108" s="7"/>
      <c r="AC108" s="7"/>
      <c r="AD108" s="7"/>
      <c r="AE108" s="7"/>
      <c r="AF108" s="7"/>
    </row>
    <row r="109" spans="1:32" ht="15.75" customHeight="1">
      <c r="A109" s="43"/>
      <c r="B109" s="30"/>
      <c r="C109" s="30"/>
      <c r="D109" s="31"/>
      <c r="E109" s="31"/>
      <c r="F109" s="31"/>
      <c r="G109" s="31"/>
      <c r="H109" s="31"/>
      <c r="I109" s="31"/>
      <c r="J109" s="31"/>
      <c r="K109" s="31"/>
      <c r="L109" s="31"/>
      <c r="M109" s="31"/>
      <c r="N109" s="13"/>
      <c r="O109" s="7"/>
      <c r="P109" s="7"/>
      <c r="Q109" s="7"/>
      <c r="R109" s="7"/>
      <c r="S109" s="7"/>
      <c r="T109" s="7"/>
      <c r="U109" s="7"/>
      <c r="V109" s="7"/>
      <c r="W109" s="7"/>
      <c r="X109" s="7"/>
      <c r="Y109" s="7"/>
      <c r="Z109" s="7"/>
      <c r="AA109" s="7"/>
      <c r="AB109" s="7"/>
      <c r="AC109" s="7"/>
      <c r="AD109" s="7"/>
      <c r="AE109" s="7"/>
      <c r="AF109" s="7"/>
    </row>
    <row r="110" spans="1:32" ht="15.75" customHeight="1">
      <c r="A110" s="43"/>
      <c r="B110" s="30"/>
      <c r="C110" s="30"/>
      <c r="D110" s="31"/>
      <c r="E110" s="31"/>
      <c r="F110" s="31"/>
      <c r="G110" s="31"/>
      <c r="H110" s="31"/>
      <c r="I110" s="31"/>
      <c r="J110" s="31"/>
      <c r="K110" s="31"/>
      <c r="L110" s="31"/>
      <c r="M110" s="31"/>
      <c r="N110" s="13"/>
      <c r="O110" s="7"/>
      <c r="P110" s="7"/>
      <c r="Q110" s="7"/>
      <c r="R110" s="7"/>
      <c r="S110" s="7"/>
      <c r="T110" s="7"/>
      <c r="U110" s="7"/>
      <c r="V110" s="7"/>
      <c r="W110" s="7"/>
      <c r="X110" s="7"/>
      <c r="Y110" s="7"/>
      <c r="Z110" s="7"/>
      <c r="AA110" s="7"/>
      <c r="AB110" s="7"/>
      <c r="AC110" s="7"/>
      <c r="AD110" s="7"/>
      <c r="AE110" s="7"/>
      <c r="AF110" s="7"/>
    </row>
    <row r="111" spans="1:32" ht="15.75" customHeight="1">
      <c r="A111" s="43"/>
      <c r="B111" s="30"/>
      <c r="C111" s="30"/>
      <c r="D111" s="31"/>
      <c r="E111" s="31"/>
      <c r="F111" s="31"/>
      <c r="G111" s="31"/>
      <c r="H111" s="31"/>
      <c r="I111" s="31"/>
      <c r="J111" s="31"/>
      <c r="K111" s="31"/>
      <c r="L111" s="31"/>
      <c r="M111" s="31"/>
      <c r="N111" s="13"/>
      <c r="O111" s="7"/>
      <c r="P111" s="7"/>
      <c r="Q111" s="7"/>
      <c r="R111" s="7"/>
      <c r="S111" s="7"/>
      <c r="T111" s="7"/>
      <c r="U111" s="7"/>
      <c r="V111" s="7"/>
      <c r="W111" s="7"/>
      <c r="X111" s="7"/>
      <c r="Y111" s="7"/>
      <c r="Z111" s="7"/>
      <c r="AA111" s="7"/>
      <c r="AB111" s="7"/>
      <c r="AC111" s="7"/>
      <c r="AD111" s="7"/>
      <c r="AE111" s="7"/>
      <c r="AF111" s="7"/>
    </row>
    <row r="112" spans="1:32" ht="15.75" customHeight="1">
      <c r="A112" s="43"/>
      <c r="B112" s="30"/>
      <c r="C112" s="30"/>
      <c r="D112" s="31"/>
      <c r="E112" s="31"/>
      <c r="F112" s="31"/>
      <c r="G112" s="31"/>
      <c r="H112" s="31"/>
      <c r="I112" s="31"/>
      <c r="J112" s="31"/>
      <c r="K112" s="31"/>
      <c r="L112" s="31"/>
      <c r="M112" s="31"/>
      <c r="N112" s="13"/>
      <c r="O112" s="7"/>
      <c r="P112" s="7"/>
      <c r="Q112" s="7"/>
      <c r="R112" s="7"/>
      <c r="S112" s="7"/>
      <c r="T112" s="7"/>
      <c r="U112" s="7"/>
      <c r="V112" s="7"/>
      <c r="W112" s="7"/>
      <c r="X112" s="7"/>
      <c r="Y112" s="7"/>
      <c r="Z112" s="7"/>
      <c r="AA112" s="7"/>
      <c r="AB112" s="7"/>
      <c r="AC112" s="7"/>
      <c r="AD112" s="7"/>
      <c r="AE112" s="7"/>
      <c r="AF112" s="7"/>
    </row>
    <row r="113" spans="1:32" ht="15.75" customHeight="1">
      <c r="A113" s="43"/>
      <c r="B113" s="30"/>
      <c r="C113" s="30"/>
      <c r="D113" s="31"/>
      <c r="E113" s="31"/>
      <c r="F113" s="31"/>
      <c r="G113" s="31"/>
      <c r="H113" s="31"/>
      <c r="I113" s="31"/>
      <c r="J113" s="31"/>
      <c r="K113" s="31"/>
      <c r="L113" s="31"/>
      <c r="M113" s="31"/>
      <c r="N113" s="13"/>
      <c r="O113" s="7"/>
      <c r="P113" s="7"/>
      <c r="Q113" s="7"/>
      <c r="R113" s="7"/>
      <c r="S113" s="7"/>
      <c r="T113" s="7"/>
      <c r="U113" s="7"/>
      <c r="V113" s="7"/>
      <c r="W113" s="7"/>
      <c r="X113" s="7"/>
      <c r="Y113" s="7"/>
      <c r="Z113" s="7"/>
      <c r="AA113" s="7"/>
      <c r="AB113" s="7"/>
      <c r="AC113" s="7"/>
      <c r="AD113" s="7"/>
      <c r="AE113" s="7"/>
      <c r="AF113" s="7"/>
    </row>
    <row r="114" spans="1:32" ht="15.75" customHeight="1">
      <c r="A114" s="43"/>
      <c r="B114" s="30"/>
      <c r="C114" s="30"/>
      <c r="D114" s="31"/>
      <c r="E114" s="31"/>
      <c r="F114" s="31"/>
      <c r="G114" s="31"/>
      <c r="H114" s="31"/>
      <c r="I114" s="31"/>
      <c r="J114" s="31"/>
      <c r="K114" s="31"/>
      <c r="L114" s="31"/>
      <c r="M114" s="31"/>
      <c r="N114" s="13"/>
      <c r="O114" s="7"/>
      <c r="P114" s="7"/>
      <c r="Q114" s="7"/>
      <c r="R114" s="7"/>
      <c r="S114" s="7"/>
      <c r="T114" s="7"/>
      <c r="U114" s="7"/>
      <c r="V114" s="7"/>
      <c r="W114" s="7"/>
      <c r="X114" s="7"/>
      <c r="Y114" s="7"/>
      <c r="Z114" s="7"/>
      <c r="AA114" s="7"/>
      <c r="AB114" s="7"/>
      <c r="AC114" s="7"/>
      <c r="AD114" s="7"/>
      <c r="AE114" s="7"/>
      <c r="AF114" s="7"/>
    </row>
    <row r="115" spans="1:32" ht="15.75" customHeight="1">
      <c r="A115" s="43"/>
      <c r="B115" s="30"/>
      <c r="C115" s="30"/>
      <c r="D115" s="31"/>
      <c r="E115" s="31"/>
      <c r="F115" s="31"/>
      <c r="G115" s="31"/>
      <c r="H115" s="31"/>
      <c r="I115" s="31"/>
      <c r="J115" s="31"/>
      <c r="K115" s="31"/>
      <c r="L115" s="31"/>
      <c r="M115" s="31"/>
      <c r="N115" s="13"/>
      <c r="O115" s="7"/>
      <c r="P115" s="7"/>
      <c r="Q115" s="7"/>
      <c r="R115" s="7"/>
      <c r="S115" s="7"/>
      <c r="T115" s="7"/>
      <c r="U115" s="7"/>
      <c r="V115" s="7"/>
      <c r="W115" s="7"/>
      <c r="X115" s="7"/>
      <c r="Y115" s="7"/>
      <c r="Z115" s="7"/>
      <c r="AA115" s="7"/>
      <c r="AB115" s="7"/>
      <c r="AC115" s="7"/>
      <c r="AD115" s="7"/>
      <c r="AE115" s="7"/>
      <c r="AF115" s="7"/>
    </row>
    <row r="116" spans="1:32" ht="15.75" customHeight="1">
      <c r="A116" s="43"/>
      <c r="B116" s="30"/>
      <c r="C116" s="30"/>
      <c r="D116" s="31"/>
      <c r="E116" s="31"/>
      <c r="F116" s="31"/>
      <c r="G116" s="31"/>
      <c r="H116" s="31"/>
      <c r="I116" s="31"/>
      <c r="J116" s="31"/>
      <c r="K116" s="31"/>
      <c r="L116" s="31"/>
      <c r="M116" s="31"/>
      <c r="N116" s="13"/>
      <c r="O116" s="7"/>
      <c r="P116" s="7"/>
      <c r="Q116" s="7"/>
      <c r="R116" s="7"/>
      <c r="S116" s="7"/>
      <c r="T116" s="7"/>
      <c r="U116" s="7"/>
      <c r="V116" s="7"/>
      <c r="W116" s="7"/>
      <c r="X116" s="7"/>
      <c r="Y116" s="7"/>
      <c r="Z116" s="7"/>
      <c r="AA116" s="7"/>
      <c r="AB116" s="7"/>
      <c r="AC116" s="7"/>
      <c r="AD116" s="7"/>
      <c r="AE116" s="7"/>
      <c r="AF116" s="7"/>
    </row>
    <row r="117" spans="1:32" ht="15.75" customHeight="1">
      <c r="A117" s="43"/>
      <c r="B117" s="30"/>
      <c r="C117" s="30"/>
      <c r="D117" s="31"/>
      <c r="E117" s="31"/>
      <c r="F117" s="31"/>
      <c r="G117" s="31"/>
      <c r="H117" s="31"/>
      <c r="I117" s="31"/>
      <c r="J117" s="31"/>
      <c r="K117" s="31"/>
      <c r="L117" s="31"/>
      <c r="M117" s="31"/>
      <c r="N117" s="13"/>
      <c r="O117" s="7"/>
      <c r="P117" s="7"/>
      <c r="Q117" s="7"/>
      <c r="R117" s="7"/>
      <c r="S117" s="7"/>
      <c r="T117" s="7"/>
      <c r="U117" s="7"/>
      <c r="V117" s="7"/>
      <c r="W117" s="7"/>
      <c r="X117" s="7"/>
      <c r="Y117" s="7"/>
      <c r="Z117" s="7"/>
      <c r="AA117" s="7"/>
      <c r="AB117" s="7"/>
      <c r="AC117" s="7"/>
      <c r="AD117" s="7"/>
      <c r="AE117" s="7"/>
      <c r="AF117" s="7"/>
    </row>
    <row r="118" spans="1:32" ht="15.75" customHeight="1">
      <c r="A118" s="43"/>
      <c r="B118" s="30"/>
      <c r="C118" s="30"/>
      <c r="D118" s="31"/>
      <c r="E118" s="31"/>
      <c r="F118" s="31"/>
      <c r="G118" s="31"/>
      <c r="H118" s="31"/>
      <c r="I118" s="31"/>
      <c r="J118" s="31"/>
      <c r="K118" s="31"/>
      <c r="L118" s="31"/>
      <c r="M118" s="31"/>
      <c r="N118" s="13"/>
      <c r="O118" s="7"/>
      <c r="P118" s="7"/>
      <c r="Q118" s="7"/>
      <c r="R118" s="7"/>
      <c r="S118" s="7"/>
      <c r="T118" s="7"/>
      <c r="U118" s="7"/>
      <c r="V118" s="7"/>
      <c r="W118" s="7"/>
      <c r="X118" s="7"/>
      <c r="Y118" s="7"/>
      <c r="Z118" s="7"/>
      <c r="AA118" s="7"/>
      <c r="AB118" s="7"/>
      <c r="AC118" s="7"/>
      <c r="AD118" s="7"/>
      <c r="AE118" s="7"/>
      <c r="AF118" s="7"/>
    </row>
    <row r="119" spans="1:32" ht="15.75" customHeight="1">
      <c r="A119" s="43"/>
      <c r="B119" s="30"/>
      <c r="C119" s="30"/>
      <c r="D119" s="31"/>
      <c r="E119" s="31"/>
      <c r="F119" s="31"/>
      <c r="G119" s="31"/>
      <c r="H119" s="31"/>
      <c r="I119" s="31"/>
      <c r="J119" s="31"/>
      <c r="K119" s="31"/>
      <c r="L119" s="31"/>
      <c r="M119" s="31"/>
      <c r="N119" s="13"/>
      <c r="O119" s="7"/>
      <c r="P119" s="7"/>
      <c r="Q119" s="7"/>
      <c r="R119" s="7"/>
      <c r="S119" s="7"/>
      <c r="T119" s="7"/>
      <c r="U119" s="7"/>
      <c r="V119" s="7"/>
      <c r="W119" s="7"/>
      <c r="X119" s="7"/>
      <c r="Y119" s="7"/>
      <c r="Z119" s="7"/>
      <c r="AA119" s="7"/>
      <c r="AB119" s="7"/>
      <c r="AC119" s="7"/>
      <c r="AD119" s="7"/>
      <c r="AE119" s="7"/>
      <c r="AF119" s="7"/>
    </row>
    <row r="120" spans="1:32" ht="15.75" customHeight="1">
      <c r="A120" s="43"/>
      <c r="B120" s="30"/>
      <c r="C120" s="30"/>
      <c r="D120" s="31"/>
      <c r="E120" s="31"/>
      <c r="F120" s="31"/>
      <c r="G120" s="31"/>
      <c r="H120" s="31"/>
      <c r="I120" s="31"/>
      <c r="J120" s="31"/>
      <c r="K120" s="31"/>
      <c r="L120" s="31"/>
      <c r="M120" s="31"/>
      <c r="N120" s="13"/>
      <c r="O120" s="7"/>
      <c r="P120" s="7"/>
      <c r="Q120" s="7"/>
      <c r="R120" s="7"/>
      <c r="S120" s="7"/>
      <c r="T120" s="7"/>
      <c r="U120" s="7"/>
      <c r="V120" s="7"/>
      <c r="W120" s="7"/>
      <c r="X120" s="7"/>
      <c r="Y120" s="7"/>
      <c r="Z120" s="7"/>
      <c r="AA120" s="7"/>
      <c r="AB120" s="7"/>
      <c r="AC120" s="7"/>
      <c r="AD120" s="7"/>
      <c r="AE120" s="7"/>
      <c r="AF120" s="7"/>
    </row>
    <row r="121" spans="1:32" ht="15.75" customHeight="1">
      <c r="A121" s="43"/>
      <c r="B121" s="30"/>
      <c r="C121" s="30"/>
      <c r="D121" s="31"/>
      <c r="E121" s="31"/>
      <c r="F121" s="31"/>
      <c r="G121" s="31"/>
      <c r="H121" s="31"/>
      <c r="I121" s="31"/>
      <c r="J121" s="31"/>
      <c r="K121" s="31"/>
      <c r="L121" s="31"/>
      <c r="M121" s="31"/>
      <c r="N121" s="13"/>
      <c r="O121" s="7"/>
      <c r="P121" s="7"/>
      <c r="Q121" s="7"/>
      <c r="R121" s="7"/>
      <c r="S121" s="7"/>
      <c r="T121" s="7"/>
      <c r="U121" s="7"/>
      <c r="V121" s="7"/>
      <c r="W121" s="7"/>
      <c r="X121" s="7"/>
      <c r="Y121" s="7"/>
      <c r="Z121" s="7"/>
      <c r="AA121" s="7"/>
      <c r="AB121" s="7"/>
      <c r="AC121" s="7"/>
      <c r="AD121" s="7"/>
      <c r="AE121" s="7"/>
      <c r="AF121" s="7"/>
    </row>
    <row r="122" spans="1:32" ht="15.75" customHeight="1">
      <c r="A122" s="43"/>
      <c r="B122" s="30"/>
      <c r="C122" s="30"/>
      <c r="D122" s="31"/>
      <c r="E122" s="31"/>
      <c r="F122" s="31"/>
      <c r="G122" s="31"/>
      <c r="H122" s="31"/>
      <c r="I122" s="31"/>
      <c r="J122" s="31"/>
      <c r="K122" s="31"/>
      <c r="L122" s="31"/>
      <c r="M122" s="31"/>
      <c r="N122" s="13"/>
      <c r="O122" s="7"/>
      <c r="P122" s="7"/>
      <c r="Q122" s="7"/>
      <c r="R122" s="7"/>
      <c r="S122" s="7"/>
      <c r="T122" s="7"/>
      <c r="U122" s="7"/>
      <c r="V122" s="7"/>
      <c r="W122" s="7"/>
      <c r="X122" s="7"/>
      <c r="Y122" s="7"/>
      <c r="Z122" s="7"/>
      <c r="AA122" s="7"/>
      <c r="AB122" s="7"/>
      <c r="AC122" s="7"/>
      <c r="AD122" s="7"/>
      <c r="AE122" s="7"/>
      <c r="AF122" s="7"/>
    </row>
    <row r="123" spans="1:32" ht="15.75" customHeight="1">
      <c r="A123" s="43"/>
      <c r="B123" s="30"/>
      <c r="C123" s="30"/>
      <c r="D123" s="31"/>
      <c r="E123" s="31"/>
      <c r="F123" s="31"/>
      <c r="G123" s="31"/>
      <c r="H123" s="31"/>
      <c r="I123" s="31"/>
      <c r="J123" s="31"/>
      <c r="K123" s="31"/>
      <c r="L123" s="31"/>
      <c r="M123" s="31"/>
      <c r="N123" s="13"/>
      <c r="O123" s="7"/>
      <c r="P123" s="7"/>
      <c r="Q123" s="7"/>
      <c r="R123" s="7"/>
      <c r="S123" s="7"/>
      <c r="T123" s="7"/>
      <c r="U123" s="7"/>
      <c r="V123" s="7"/>
      <c r="W123" s="7"/>
      <c r="X123" s="7"/>
      <c r="Y123" s="7"/>
      <c r="Z123" s="7"/>
      <c r="AA123" s="7"/>
      <c r="AB123" s="7"/>
      <c r="AC123" s="7"/>
      <c r="AD123" s="7"/>
      <c r="AE123" s="7"/>
      <c r="AF123" s="7"/>
    </row>
    <row r="124" spans="1:32" ht="15.75" customHeight="1">
      <c r="A124" s="43"/>
      <c r="B124" s="30"/>
      <c r="C124" s="30"/>
      <c r="D124" s="31"/>
      <c r="E124" s="31"/>
      <c r="F124" s="31"/>
      <c r="G124" s="31"/>
      <c r="H124" s="31"/>
      <c r="I124" s="31"/>
      <c r="J124" s="31"/>
      <c r="K124" s="31"/>
      <c r="L124" s="31"/>
      <c r="M124" s="31"/>
      <c r="N124" s="13"/>
      <c r="O124" s="7"/>
      <c r="P124" s="7"/>
      <c r="Q124" s="7"/>
      <c r="R124" s="7"/>
      <c r="S124" s="7"/>
      <c r="T124" s="7"/>
      <c r="U124" s="7"/>
      <c r="V124" s="7"/>
      <c r="W124" s="7"/>
      <c r="X124" s="7"/>
      <c r="Y124" s="7"/>
      <c r="Z124" s="7"/>
      <c r="AA124" s="7"/>
      <c r="AB124" s="7"/>
      <c r="AC124" s="7"/>
      <c r="AD124" s="7"/>
      <c r="AE124" s="7"/>
      <c r="AF124" s="7"/>
    </row>
    <row r="125" spans="1:32" ht="15.75" customHeight="1">
      <c r="A125" s="43"/>
      <c r="B125" s="30"/>
      <c r="C125" s="30"/>
      <c r="D125" s="31"/>
      <c r="E125" s="31"/>
      <c r="F125" s="31"/>
      <c r="G125" s="31"/>
      <c r="H125" s="31"/>
      <c r="I125" s="31"/>
      <c r="J125" s="31"/>
      <c r="K125" s="31"/>
      <c r="L125" s="31"/>
      <c r="M125" s="31"/>
      <c r="N125" s="13"/>
      <c r="O125" s="7"/>
      <c r="P125" s="7"/>
      <c r="Q125" s="7"/>
      <c r="R125" s="7"/>
      <c r="S125" s="7"/>
      <c r="T125" s="7"/>
      <c r="U125" s="7"/>
      <c r="V125" s="7"/>
      <c r="W125" s="7"/>
      <c r="X125" s="7"/>
      <c r="Y125" s="7"/>
      <c r="Z125" s="7"/>
      <c r="AA125" s="7"/>
      <c r="AB125" s="7"/>
      <c r="AC125" s="7"/>
      <c r="AD125" s="7"/>
      <c r="AE125" s="7"/>
      <c r="AF125" s="7"/>
    </row>
    <row r="126" spans="1:32" ht="15.75" customHeight="1">
      <c r="A126" s="43"/>
      <c r="B126" s="30"/>
      <c r="C126" s="30"/>
      <c r="D126" s="31"/>
      <c r="E126" s="31"/>
      <c r="F126" s="31"/>
      <c r="G126" s="31"/>
      <c r="H126" s="31"/>
      <c r="I126" s="31"/>
      <c r="J126" s="31"/>
      <c r="K126" s="31"/>
      <c r="L126" s="31"/>
      <c r="M126" s="31"/>
      <c r="N126" s="13"/>
      <c r="O126" s="7"/>
      <c r="P126" s="7"/>
      <c r="Q126" s="7"/>
      <c r="R126" s="7"/>
      <c r="S126" s="7"/>
      <c r="T126" s="7"/>
      <c r="U126" s="7"/>
      <c r="V126" s="7"/>
      <c r="W126" s="7"/>
      <c r="X126" s="7"/>
      <c r="Y126" s="7"/>
      <c r="Z126" s="7"/>
      <c r="AA126" s="7"/>
      <c r="AB126" s="7"/>
      <c r="AC126" s="7"/>
      <c r="AD126" s="7"/>
      <c r="AE126" s="7"/>
      <c r="AF126" s="7"/>
    </row>
    <row r="127" spans="1:32" ht="15.75" customHeight="1">
      <c r="A127" s="43"/>
      <c r="B127" s="30"/>
      <c r="C127" s="30"/>
      <c r="D127" s="31"/>
      <c r="E127" s="31"/>
      <c r="F127" s="31"/>
      <c r="G127" s="31"/>
      <c r="H127" s="31"/>
      <c r="I127" s="31"/>
      <c r="J127" s="31"/>
      <c r="K127" s="31"/>
      <c r="L127" s="31"/>
      <c r="M127" s="31"/>
      <c r="N127" s="13"/>
      <c r="O127" s="7"/>
      <c r="P127" s="7"/>
      <c r="Q127" s="7"/>
      <c r="R127" s="7"/>
      <c r="S127" s="7"/>
      <c r="T127" s="7"/>
      <c r="U127" s="7"/>
      <c r="V127" s="7"/>
      <c r="W127" s="7"/>
      <c r="X127" s="7"/>
      <c r="Y127" s="7"/>
      <c r="Z127" s="7"/>
      <c r="AA127" s="7"/>
      <c r="AB127" s="7"/>
      <c r="AC127" s="7"/>
      <c r="AD127" s="7"/>
      <c r="AE127" s="7"/>
      <c r="AF127" s="7"/>
    </row>
    <row r="128" spans="1:32" ht="15.75" customHeight="1">
      <c r="A128" s="43"/>
      <c r="B128" s="30"/>
      <c r="C128" s="30"/>
      <c r="D128" s="31"/>
      <c r="E128" s="31"/>
      <c r="F128" s="31"/>
      <c r="G128" s="31"/>
      <c r="H128" s="31"/>
      <c r="I128" s="31"/>
      <c r="J128" s="31"/>
      <c r="K128" s="31"/>
      <c r="L128" s="31"/>
      <c r="M128" s="31"/>
      <c r="N128" s="13"/>
      <c r="O128" s="7"/>
      <c r="P128" s="7"/>
      <c r="Q128" s="7"/>
      <c r="R128" s="7"/>
      <c r="S128" s="7"/>
      <c r="T128" s="7"/>
      <c r="U128" s="7"/>
      <c r="V128" s="7"/>
      <c r="W128" s="7"/>
      <c r="X128" s="7"/>
      <c r="Y128" s="7"/>
      <c r="Z128" s="7"/>
      <c r="AA128" s="7"/>
      <c r="AB128" s="7"/>
      <c r="AC128" s="7"/>
      <c r="AD128" s="7"/>
      <c r="AE128" s="7"/>
      <c r="AF128" s="7"/>
    </row>
    <row r="129" spans="1:32" ht="15.75" customHeight="1">
      <c r="A129" s="43"/>
      <c r="B129" s="30"/>
      <c r="C129" s="30"/>
      <c r="D129" s="31"/>
      <c r="E129" s="31"/>
      <c r="F129" s="31"/>
      <c r="G129" s="31"/>
      <c r="H129" s="31"/>
      <c r="I129" s="31"/>
      <c r="J129" s="31"/>
      <c r="K129" s="31"/>
      <c r="L129" s="31"/>
      <c r="M129" s="31"/>
      <c r="N129" s="13"/>
      <c r="O129" s="7"/>
      <c r="P129" s="7"/>
      <c r="Q129" s="7"/>
      <c r="R129" s="7"/>
      <c r="S129" s="7"/>
      <c r="T129" s="7"/>
      <c r="U129" s="7"/>
      <c r="V129" s="7"/>
      <c r="W129" s="7"/>
      <c r="X129" s="7"/>
      <c r="Y129" s="7"/>
      <c r="Z129" s="7"/>
      <c r="AA129" s="7"/>
      <c r="AB129" s="7"/>
      <c r="AC129" s="7"/>
      <c r="AD129" s="7"/>
      <c r="AE129" s="7"/>
      <c r="AF129" s="7"/>
    </row>
    <row r="130" spans="1:32" ht="15.75" customHeight="1">
      <c r="A130" s="43"/>
      <c r="B130" s="30"/>
      <c r="C130" s="30"/>
      <c r="D130" s="31"/>
      <c r="E130" s="31"/>
      <c r="F130" s="31"/>
      <c r="G130" s="31"/>
      <c r="H130" s="31"/>
      <c r="I130" s="31"/>
      <c r="J130" s="31"/>
      <c r="K130" s="31"/>
      <c r="L130" s="31"/>
      <c r="M130" s="31"/>
      <c r="N130" s="13"/>
      <c r="O130" s="7"/>
      <c r="P130" s="7"/>
      <c r="Q130" s="7"/>
      <c r="R130" s="7"/>
      <c r="S130" s="7"/>
      <c r="T130" s="7"/>
      <c r="U130" s="7"/>
      <c r="V130" s="7"/>
      <c r="W130" s="7"/>
      <c r="X130" s="7"/>
      <c r="Y130" s="7"/>
      <c r="Z130" s="7"/>
      <c r="AA130" s="7"/>
      <c r="AB130" s="7"/>
      <c r="AC130" s="7"/>
      <c r="AD130" s="7"/>
      <c r="AE130" s="7"/>
      <c r="AF130" s="7"/>
    </row>
    <row r="131" spans="1:32" ht="15.75" customHeight="1">
      <c r="A131" s="43"/>
      <c r="B131" s="30"/>
      <c r="C131" s="30"/>
      <c r="D131" s="31"/>
      <c r="E131" s="31"/>
      <c r="F131" s="31"/>
      <c r="G131" s="31"/>
      <c r="H131" s="31"/>
      <c r="I131" s="31"/>
      <c r="J131" s="31"/>
      <c r="K131" s="31"/>
      <c r="L131" s="31"/>
      <c r="M131" s="31"/>
      <c r="N131" s="13"/>
      <c r="O131" s="7"/>
      <c r="P131" s="7"/>
      <c r="Q131" s="7"/>
      <c r="R131" s="7"/>
      <c r="S131" s="7"/>
      <c r="T131" s="7"/>
      <c r="U131" s="7"/>
      <c r="V131" s="7"/>
      <c r="W131" s="7"/>
      <c r="X131" s="7"/>
      <c r="Y131" s="7"/>
      <c r="Z131" s="7"/>
      <c r="AA131" s="7"/>
      <c r="AB131" s="7"/>
      <c r="AC131" s="7"/>
      <c r="AD131" s="7"/>
      <c r="AE131" s="7"/>
      <c r="AF131" s="7"/>
    </row>
    <row r="132" spans="1:32" ht="15.75" customHeight="1">
      <c r="A132" s="43"/>
      <c r="B132" s="30"/>
      <c r="C132" s="30"/>
      <c r="D132" s="31"/>
      <c r="E132" s="31"/>
      <c r="F132" s="31"/>
      <c r="G132" s="31"/>
      <c r="H132" s="31"/>
      <c r="I132" s="31"/>
      <c r="J132" s="31"/>
      <c r="K132" s="31"/>
      <c r="L132" s="31"/>
      <c r="M132" s="31"/>
      <c r="N132" s="13"/>
      <c r="O132" s="7"/>
      <c r="P132" s="7"/>
      <c r="Q132" s="7"/>
      <c r="R132" s="7"/>
      <c r="S132" s="7"/>
      <c r="T132" s="7"/>
      <c r="U132" s="7"/>
      <c r="V132" s="7"/>
      <c r="W132" s="7"/>
      <c r="X132" s="7"/>
      <c r="Y132" s="7"/>
      <c r="Z132" s="7"/>
      <c r="AA132" s="7"/>
      <c r="AB132" s="7"/>
      <c r="AC132" s="7"/>
      <c r="AD132" s="7"/>
      <c r="AE132" s="7"/>
      <c r="AF132" s="7"/>
    </row>
    <row r="133" spans="1:32" ht="15.75" customHeight="1">
      <c r="A133" s="43"/>
      <c r="B133" s="30"/>
      <c r="C133" s="30"/>
      <c r="D133" s="31"/>
      <c r="E133" s="31"/>
      <c r="F133" s="31"/>
      <c r="G133" s="31"/>
      <c r="H133" s="31"/>
      <c r="I133" s="31"/>
      <c r="J133" s="31"/>
      <c r="K133" s="31"/>
      <c r="L133" s="31"/>
      <c r="M133" s="31"/>
      <c r="N133" s="13"/>
      <c r="O133" s="7"/>
      <c r="P133" s="7"/>
      <c r="Q133" s="7"/>
      <c r="R133" s="7"/>
      <c r="S133" s="7"/>
      <c r="T133" s="7"/>
      <c r="U133" s="7"/>
      <c r="V133" s="7"/>
      <c r="W133" s="7"/>
      <c r="X133" s="7"/>
      <c r="Y133" s="7"/>
      <c r="Z133" s="7"/>
      <c r="AA133" s="7"/>
      <c r="AB133" s="7"/>
      <c r="AC133" s="7"/>
      <c r="AD133" s="7"/>
      <c r="AE133" s="7"/>
      <c r="AF133" s="7"/>
    </row>
    <row r="134" spans="1:32" ht="15.75" customHeight="1">
      <c r="A134" s="43"/>
      <c r="B134" s="30"/>
      <c r="C134" s="30"/>
      <c r="D134" s="31"/>
      <c r="E134" s="31"/>
      <c r="F134" s="31"/>
      <c r="G134" s="31"/>
      <c r="H134" s="31"/>
      <c r="I134" s="31"/>
      <c r="J134" s="31"/>
      <c r="K134" s="31"/>
      <c r="L134" s="31"/>
      <c r="M134" s="31"/>
      <c r="N134" s="13"/>
      <c r="O134" s="7"/>
      <c r="P134" s="7"/>
      <c r="Q134" s="7"/>
      <c r="R134" s="7"/>
      <c r="S134" s="7"/>
      <c r="T134" s="7"/>
      <c r="U134" s="7"/>
      <c r="V134" s="7"/>
      <c r="W134" s="7"/>
      <c r="X134" s="7"/>
      <c r="Y134" s="7"/>
      <c r="Z134" s="7"/>
      <c r="AA134" s="7"/>
      <c r="AB134" s="7"/>
      <c r="AC134" s="7"/>
      <c r="AD134" s="7"/>
      <c r="AE134" s="7"/>
      <c r="AF134" s="7"/>
    </row>
    <row r="135" spans="1:32" ht="15.75" customHeight="1">
      <c r="A135" s="43"/>
      <c r="B135" s="30"/>
      <c r="C135" s="30"/>
      <c r="D135" s="31"/>
      <c r="E135" s="31"/>
      <c r="F135" s="31"/>
      <c r="G135" s="31"/>
      <c r="H135" s="31"/>
      <c r="I135" s="31"/>
      <c r="J135" s="31"/>
      <c r="K135" s="31"/>
      <c r="L135" s="31"/>
      <c r="M135" s="31"/>
      <c r="N135" s="13"/>
      <c r="O135" s="7"/>
      <c r="P135" s="7"/>
      <c r="Q135" s="7"/>
      <c r="R135" s="7"/>
      <c r="S135" s="7"/>
      <c r="T135" s="7"/>
      <c r="U135" s="7"/>
      <c r="V135" s="7"/>
      <c r="W135" s="7"/>
      <c r="X135" s="7"/>
      <c r="Y135" s="7"/>
      <c r="Z135" s="7"/>
      <c r="AA135" s="7"/>
      <c r="AB135" s="7"/>
      <c r="AC135" s="7"/>
      <c r="AD135" s="7"/>
      <c r="AE135" s="7"/>
      <c r="AF135" s="7"/>
    </row>
    <row r="136" spans="1:32" ht="15.75" customHeight="1">
      <c r="A136" s="43"/>
      <c r="B136" s="30"/>
      <c r="C136" s="30"/>
      <c r="D136" s="31"/>
      <c r="E136" s="31"/>
      <c r="F136" s="31"/>
      <c r="G136" s="31"/>
      <c r="H136" s="31"/>
      <c r="I136" s="31"/>
      <c r="J136" s="31"/>
      <c r="K136" s="31"/>
      <c r="L136" s="31"/>
      <c r="M136" s="31"/>
      <c r="N136" s="13"/>
      <c r="O136" s="7"/>
      <c r="P136" s="7"/>
      <c r="Q136" s="7"/>
      <c r="R136" s="7"/>
      <c r="S136" s="7"/>
      <c r="T136" s="7"/>
      <c r="U136" s="7"/>
      <c r="V136" s="7"/>
      <c r="W136" s="7"/>
      <c r="X136" s="7"/>
      <c r="Y136" s="7"/>
      <c r="Z136" s="7"/>
      <c r="AA136" s="7"/>
      <c r="AB136" s="7"/>
      <c r="AC136" s="7"/>
      <c r="AD136" s="7"/>
      <c r="AE136" s="7"/>
      <c r="AF136" s="7"/>
    </row>
    <row r="137" spans="1:32" ht="15.75" customHeight="1">
      <c r="A137" s="43"/>
      <c r="B137" s="30"/>
      <c r="C137" s="30"/>
      <c r="D137" s="31"/>
      <c r="E137" s="31"/>
      <c r="F137" s="31"/>
      <c r="G137" s="31"/>
      <c r="H137" s="31"/>
      <c r="I137" s="31"/>
      <c r="J137" s="31"/>
      <c r="K137" s="31"/>
      <c r="L137" s="31"/>
      <c r="M137" s="31"/>
      <c r="N137" s="13"/>
      <c r="O137" s="7"/>
      <c r="P137" s="7"/>
      <c r="Q137" s="7"/>
      <c r="R137" s="7"/>
      <c r="S137" s="7"/>
      <c r="T137" s="7"/>
      <c r="U137" s="7"/>
      <c r="V137" s="7"/>
      <c r="W137" s="7"/>
      <c r="X137" s="7"/>
      <c r="Y137" s="7"/>
      <c r="Z137" s="7"/>
      <c r="AA137" s="7"/>
      <c r="AB137" s="7"/>
      <c r="AC137" s="7"/>
      <c r="AD137" s="7"/>
      <c r="AE137" s="7"/>
      <c r="AF137" s="7"/>
    </row>
    <row r="138" spans="1:32" ht="15.75" customHeight="1">
      <c r="A138" s="43"/>
      <c r="B138" s="30"/>
      <c r="C138" s="30"/>
      <c r="D138" s="31"/>
      <c r="E138" s="31"/>
      <c r="F138" s="31"/>
      <c r="G138" s="31"/>
      <c r="H138" s="31"/>
      <c r="I138" s="31"/>
      <c r="J138" s="31"/>
      <c r="K138" s="31"/>
      <c r="L138" s="31"/>
      <c r="M138" s="31"/>
      <c r="N138" s="13"/>
      <c r="O138" s="7"/>
      <c r="P138" s="7"/>
      <c r="Q138" s="7"/>
      <c r="R138" s="7"/>
      <c r="S138" s="7"/>
      <c r="T138" s="7"/>
      <c r="U138" s="7"/>
      <c r="V138" s="7"/>
      <c r="W138" s="7"/>
      <c r="X138" s="7"/>
      <c r="Y138" s="7"/>
      <c r="Z138" s="7"/>
      <c r="AA138" s="7"/>
      <c r="AB138" s="7"/>
      <c r="AC138" s="7"/>
      <c r="AD138" s="7"/>
      <c r="AE138" s="7"/>
      <c r="AF138" s="7"/>
    </row>
    <row r="139" spans="1:32" ht="15.75" customHeight="1">
      <c r="A139" s="43"/>
      <c r="B139" s="30"/>
      <c r="C139" s="30"/>
      <c r="D139" s="31"/>
      <c r="E139" s="31"/>
      <c r="F139" s="31"/>
      <c r="G139" s="31"/>
      <c r="H139" s="31"/>
      <c r="I139" s="31"/>
      <c r="J139" s="31"/>
      <c r="K139" s="31"/>
      <c r="L139" s="31"/>
      <c r="M139" s="31"/>
      <c r="N139" s="13"/>
      <c r="O139" s="7"/>
      <c r="P139" s="7"/>
      <c r="Q139" s="7"/>
      <c r="R139" s="7"/>
      <c r="S139" s="7"/>
      <c r="T139" s="7"/>
      <c r="U139" s="7"/>
      <c r="V139" s="7"/>
      <c r="W139" s="7"/>
      <c r="X139" s="7"/>
      <c r="Y139" s="7"/>
      <c r="Z139" s="7"/>
      <c r="AA139" s="7"/>
      <c r="AB139" s="7"/>
      <c r="AC139" s="7"/>
      <c r="AD139" s="7"/>
      <c r="AE139" s="7"/>
      <c r="AF139" s="7"/>
    </row>
    <row r="140" spans="1:32" ht="15.75" customHeight="1">
      <c r="A140" s="43"/>
      <c r="B140" s="30"/>
      <c r="C140" s="30"/>
      <c r="D140" s="31"/>
      <c r="E140" s="31"/>
      <c r="F140" s="31"/>
      <c r="G140" s="31"/>
      <c r="H140" s="31"/>
      <c r="I140" s="31"/>
      <c r="J140" s="31"/>
      <c r="K140" s="31"/>
      <c r="L140" s="31"/>
      <c r="M140" s="31"/>
      <c r="N140" s="13"/>
      <c r="O140" s="7"/>
      <c r="P140" s="7"/>
      <c r="Q140" s="7"/>
      <c r="R140" s="7"/>
      <c r="S140" s="7"/>
      <c r="T140" s="7"/>
      <c r="U140" s="7"/>
      <c r="V140" s="7"/>
      <c r="W140" s="7"/>
      <c r="X140" s="7"/>
      <c r="Y140" s="7"/>
      <c r="Z140" s="7"/>
      <c r="AA140" s="7"/>
      <c r="AB140" s="7"/>
      <c r="AC140" s="7"/>
      <c r="AD140" s="7"/>
      <c r="AE140" s="7"/>
      <c r="AF140" s="7"/>
    </row>
    <row r="141" spans="1:32" ht="15.75" customHeight="1">
      <c r="A141" s="43"/>
      <c r="B141" s="30"/>
      <c r="C141" s="30"/>
      <c r="D141" s="31"/>
      <c r="E141" s="31"/>
      <c r="F141" s="31"/>
      <c r="G141" s="31"/>
      <c r="H141" s="31"/>
      <c r="I141" s="31"/>
      <c r="J141" s="31"/>
      <c r="K141" s="31"/>
      <c r="L141" s="31"/>
      <c r="M141" s="31"/>
      <c r="N141" s="13"/>
      <c r="O141" s="7"/>
      <c r="P141" s="7"/>
      <c r="Q141" s="7"/>
      <c r="R141" s="7"/>
      <c r="S141" s="7"/>
      <c r="T141" s="7"/>
      <c r="U141" s="7"/>
      <c r="V141" s="7"/>
      <c r="W141" s="7"/>
      <c r="X141" s="7"/>
      <c r="Y141" s="7"/>
      <c r="Z141" s="7"/>
      <c r="AA141" s="7"/>
      <c r="AB141" s="7"/>
      <c r="AC141" s="7"/>
      <c r="AD141" s="7"/>
      <c r="AE141" s="7"/>
      <c r="AF141" s="7"/>
    </row>
    <row r="142" spans="1:32" ht="15.75" customHeight="1">
      <c r="A142" s="43"/>
      <c r="B142" s="30"/>
      <c r="C142" s="30"/>
      <c r="D142" s="31"/>
      <c r="E142" s="31"/>
      <c r="F142" s="31"/>
      <c r="G142" s="31"/>
      <c r="H142" s="31"/>
      <c r="I142" s="31"/>
      <c r="J142" s="31"/>
      <c r="K142" s="31"/>
      <c r="L142" s="31"/>
      <c r="M142" s="31"/>
      <c r="N142" s="13"/>
      <c r="O142" s="7"/>
      <c r="P142" s="7"/>
      <c r="Q142" s="7"/>
      <c r="R142" s="7"/>
      <c r="S142" s="7"/>
      <c r="T142" s="7"/>
      <c r="U142" s="7"/>
      <c r="V142" s="7"/>
      <c r="W142" s="7"/>
      <c r="X142" s="7"/>
      <c r="Y142" s="7"/>
      <c r="Z142" s="7"/>
      <c r="AA142" s="7"/>
      <c r="AB142" s="7"/>
      <c r="AC142" s="7"/>
      <c r="AD142" s="7"/>
      <c r="AE142" s="7"/>
      <c r="AF142" s="7"/>
    </row>
    <row r="143" spans="1:32" ht="15.75" customHeight="1">
      <c r="A143" s="43"/>
      <c r="B143" s="30"/>
      <c r="C143" s="30"/>
      <c r="D143" s="31"/>
      <c r="E143" s="31"/>
      <c r="F143" s="31"/>
      <c r="G143" s="31"/>
      <c r="H143" s="31"/>
      <c r="I143" s="31"/>
      <c r="J143" s="31"/>
      <c r="K143" s="31"/>
      <c r="L143" s="31"/>
      <c r="M143" s="31"/>
      <c r="N143" s="13"/>
      <c r="O143" s="7"/>
      <c r="P143" s="7"/>
      <c r="Q143" s="7"/>
      <c r="R143" s="7"/>
      <c r="S143" s="7"/>
      <c r="T143" s="7"/>
      <c r="U143" s="7"/>
      <c r="V143" s="7"/>
      <c r="W143" s="7"/>
      <c r="X143" s="7"/>
      <c r="Y143" s="7"/>
      <c r="Z143" s="7"/>
      <c r="AA143" s="7"/>
      <c r="AB143" s="7"/>
      <c r="AC143" s="7"/>
      <c r="AD143" s="7"/>
      <c r="AE143" s="7"/>
      <c r="AF143" s="7"/>
    </row>
    <row r="144" spans="1:32" ht="15.75" customHeight="1">
      <c r="A144" s="43"/>
      <c r="B144" s="30"/>
      <c r="C144" s="30"/>
      <c r="D144" s="31"/>
      <c r="E144" s="31"/>
      <c r="F144" s="31"/>
      <c r="G144" s="31"/>
      <c r="H144" s="31"/>
      <c r="I144" s="31"/>
      <c r="J144" s="31"/>
      <c r="K144" s="31"/>
      <c r="L144" s="31"/>
      <c r="M144" s="31"/>
      <c r="N144" s="13"/>
      <c r="O144" s="7"/>
      <c r="P144" s="7"/>
      <c r="Q144" s="7"/>
      <c r="R144" s="7"/>
      <c r="S144" s="7"/>
      <c r="T144" s="7"/>
      <c r="U144" s="7"/>
      <c r="V144" s="7"/>
      <c r="W144" s="7"/>
      <c r="X144" s="7"/>
      <c r="Y144" s="7"/>
      <c r="Z144" s="7"/>
      <c r="AA144" s="7"/>
      <c r="AB144" s="7"/>
      <c r="AC144" s="7"/>
      <c r="AD144" s="7"/>
      <c r="AE144" s="7"/>
      <c r="AF144" s="7"/>
    </row>
    <row r="145" spans="1:32" ht="15.75" customHeight="1">
      <c r="A145" s="43"/>
      <c r="B145" s="30"/>
      <c r="C145" s="30"/>
      <c r="D145" s="31"/>
      <c r="E145" s="31"/>
      <c r="F145" s="31"/>
      <c r="G145" s="31"/>
      <c r="H145" s="31"/>
      <c r="I145" s="31"/>
      <c r="J145" s="31"/>
      <c r="K145" s="31"/>
      <c r="L145" s="31"/>
      <c r="M145" s="31"/>
      <c r="N145" s="13"/>
      <c r="O145" s="7"/>
      <c r="P145" s="7"/>
      <c r="Q145" s="7"/>
      <c r="R145" s="7"/>
      <c r="S145" s="7"/>
      <c r="T145" s="7"/>
      <c r="U145" s="7"/>
      <c r="V145" s="7"/>
      <c r="W145" s="7"/>
      <c r="X145" s="7"/>
      <c r="Y145" s="7"/>
      <c r="Z145" s="7"/>
      <c r="AA145" s="7"/>
      <c r="AB145" s="7"/>
      <c r="AC145" s="7"/>
      <c r="AD145" s="7"/>
      <c r="AE145" s="7"/>
      <c r="AF145" s="7"/>
    </row>
    <row r="146" spans="1:32" ht="15.75" customHeight="1">
      <c r="A146" s="43"/>
      <c r="B146" s="30"/>
      <c r="C146" s="30"/>
      <c r="D146" s="31"/>
      <c r="E146" s="31"/>
      <c r="F146" s="31"/>
      <c r="G146" s="31"/>
      <c r="H146" s="31"/>
      <c r="I146" s="31"/>
      <c r="J146" s="31"/>
      <c r="K146" s="31"/>
      <c r="L146" s="31"/>
      <c r="M146" s="31"/>
      <c r="N146" s="13"/>
      <c r="O146" s="7"/>
      <c r="P146" s="7"/>
      <c r="Q146" s="7"/>
      <c r="R146" s="7"/>
      <c r="S146" s="7"/>
      <c r="T146" s="7"/>
      <c r="U146" s="7"/>
      <c r="V146" s="7"/>
      <c r="W146" s="7"/>
      <c r="X146" s="7"/>
      <c r="Y146" s="7"/>
      <c r="Z146" s="7"/>
      <c r="AA146" s="7"/>
      <c r="AB146" s="7"/>
      <c r="AC146" s="7"/>
      <c r="AD146" s="7"/>
      <c r="AE146" s="7"/>
      <c r="AF146" s="7"/>
    </row>
    <row r="147" spans="1:32" ht="15.75" customHeight="1">
      <c r="A147" s="43"/>
      <c r="B147" s="30"/>
      <c r="C147" s="30"/>
      <c r="D147" s="31"/>
      <c r="E147" s="31"/>
      <c r="F147" s="31"/>
      <c r="G147" s="31"/>
      <c r="H147" s="31"/>
      <c r="I147" s="31"/>
      <c r="J147" s="31"/>
      <c r="K147" s="31"/>
      <c r="L147" s="31"/>
      <c r="M147" s="31"/>
      <c r="N147" s="13"/>
      <c r="O147" s="7"/>
      <c r="P147" s="7"/>
      <c r="Q147" s="7"/>
      <c r="R147" s="7"/>
      <c r="S147" s="7"/>
      <c r="T147" s="7"/>
      <c r="U147" s="7"/>
      <c r="V147" s="7"/>
      <c r="W147" s="7"/>
      <c r="X147" s="7"/>
      <c r="Y147" s="7"/>
      <c r="Z147" s="7"/>
      <c r="AA147" s="7"/>
      <c r="AB147" s="7"/>
      <c r="AC147" s="7"/>
      <c r="AD147" s="7"/>
      <c r="AE147" s="7"/>
      <c r="AF147" s="7"/>
    </row>
    <row r="148" spans="1:32" ht="15.75" customHeight="1">
      <c r="A148" s="43"/>
      <c r="B148" s="30"/>
      <c r="C148" s="30"/>
      <c r="D148" s="31"/>
      <c r="E148" s="31"/>
      <c r="F148" s="31"/>
      <c r="G148" s="31"/>
      <c r="H148" s="31"/>
      <c r="I148" s="31"/>
      <c r="J148" s="31"/>
      <c r="K148" s="31"/>
      <c r="L148" s="31"/>
      <c r="M148" s="31"/>
      <c r="N148" s="13"/>
      <c r="O148" s="7"/>
      <c r="P148" s="7"/>
      <c r="Q148" s="7"/>
      <c r="R148" s="7"/>
      <c r="S148" s="7"/>
      <c r="T148" s="7"/>
      <c r="U148" s="7"/>
      <c r="V148" s="7"/>
      <c r="W148" s="7"/>
      <c r="X148" s="7"/>
      <c r="Y148" s="7"/>
      <c r="Z148" s="7"/>
      <c r="AA148" s="7"/>
      <c r="AB148" s="7"/>
      <c r="AC148" s="7"/>
      <c r="AD148" s="7"/>
      <c r="AE148" s="7"/>
      <c r="AF148" s="7"/>
    </row>
    <row r="149" spans="1:32" ht="15.75" customHeight="1">
      <c r="A149" s="43"/>
      <c r="B149" s="30"/>
      <c r="C149" s="30"/>
      <c r="D149" s="31"/>
      <c r="E149" s="31"/>
      <c r="F149" s="31"/>
      <c r="G149" s="31"/>
      <c r="H149" s="31"/>
      <c r="I149" s="31"/>
      <c r="J149" s="31"/>
      <c r="K149" s="31"/>
      <c r="L149" s="31"/>
      <c r="M149" s="31"/>
      <c r="N149" s="13"/>
      <c r="O149" s="7"/>
      <c r="P149" s="7"/>
      <c r="Q149" s="7"/>
      <c r="R149" s="7"/>
      <c r="S149" s="7"/>
      <c r="T149" s="7"/>
      <c r="U149" s="7"/>
      <c r="V149" s="7"/>
      <c r="W149" s="7"/>
      <c r="X149" s="7"/>
      <c r="Y149" s="7"/>
      <c r="Z149" s="7"/>
      <c r="AA149" s="7"/>
      <c r="AB149" s="7"/>
      <c r="AC149" s="7"/>
      <c r="AD149" s="7"/>
      <c r="AE149" s="7"/>
      <c r="AF149" s="7"/>
    </row>
    <row r="150" spans="1:32" ht="15.75" customHeight="1">
      <c r="A150" s="43"/>
      <c r="B150" s="30"/>
      <c r="C150" s="30"/>
      <c r="D150" s="31"/>
      <c r="E150" s="31"/>
      <c r="F150" s="31"/>
      <c r="G150" s="31"/>
      <c r="H150" s="31"/>
      <c r="I150" s="31"/>
      <c r="J150" s="31"/>
      <c r="K150" s="31"/>
      <c r="L150" s="31"/>
      <c r="M150" s="31"/>
      <c r="N150" s="13"/>
      <c r="O150" s="7"/>
      <c r="P150" s="7"/>
      <c r="Q150" s="7"/>
      <c r="R150" s="7"/>
      <c r="S150" s="7"/>
      <c r="T150" s="7"/>
      <c r="U150" s="7"/>
      <c r="V150" s="7"/>
      <c r="W150" s="7"/>
      <c r="X150" s="7"/>
      <c r="Y150" s="7"/>
      <c r="Z150" s="7"/>
      <c r="AA150" s="7"/>
      <c r="AB150" s="7"/>
      <c r="AC150" s="7"/>
      <c r="AD150" s="7"/>
      <c r="AE150" s="7"/>
      <c r="AF150" s="7"/>
    </row>
    <row r="151" spans="1:32" ht="15.75" customHeight="1">
      <c r="A151" s="43"/>
      <c r="B151" s="30"/>
      <c r="C151" s="30"/>
      <c r="D151" s="31"/>
      <c r="E151" s="31"/>
      <c r="F151" s="31"/>
      <c r="G151" s="31"/>
      <c r="H151" s="31"/>
      <c r="I151" s="31"/>
      <c r="J151" s="31"/>
      <c r="K151" s="31"/>
      <c r="L151" s="31"/>
      <c r="M151" s="31"/>
      <c r="N151" s="13"/>
      <c r="O151" s="7"/>
      <c r="P151" s="7"/>
      <c r="Q151" s="7"/>
      <c r="R151" s="7"/>
      <c r="S151" s="7"/>
      <c r="T151" s="7"/>
      <c r="U151" s="7"/>
      <c r="V151" s="7"/>
      <c r="W151" s="7"/>
      <c r="X151" s="7"/>
      <c r="Y151" s="7"/>
      <c r="Z151" s="7"/>
      <c r="AA151" s="7"/>
      <c r="AB151" s="7"/>
      <c r="AC151" s="7"/>
      <c r="AD151" s="7"/>
      <c r="AE151" s="7"/>
      <c r="AF151" s="7"/>
    </row>
    <row r="152" spans="1:32" ht="15.75" customHeight="1">
      <c r="A152" s="43"/>
      <c r="B152" s="30"/>
      <c r="C152" s="30"/>
      <c r="D152" s="31"/>
      <c r="E152" s="31"/>
      <c r="F152" s="31"/>
      <c r="G152" s="31"/>
      <c r="H152" s="31"/>
      <c r="I152" s="31"/>
      <c r="J152" s="31"/>
      <c r="K152" s="31"/>
      <c r="L152" s="31"/>
      <c r="M152" s="31"/>
      <c r="N152" s="13"/>
      <c r="O152" s="7"/>
      <c r="P152" s="7"/>
      <c r="Q152" s="7"/>
      <c r="R152" s="7"/>
      <c r="S152" s="7"/>
      <c r="T152" s="7"/>
      <c r="U152" s="7"/>
      <c r="V152" s="7"/>
      <c r="W152" s="7"/>
      <c r="X152" s="7"/>
      <c r="Y152" s="7"/>
      <c r="Z152" s="7"/>
      <c r="AA152" s="7"/>
      <c r="AB152" s="7"/>
      <c r="AC152" s="7"/>
      <c r="AD152" s="7"/>
      <c r="AE152" s="7"/>
      <c r="AF152" s="7"/>
    </row>
    <row r="153" spans="1:32" ht="15.75" customHeight="1">
      <c r="A153" s="43"/>
      <c r="B153" s="30"/>
      <c r="C153" s="30"/>
      <c r="D153" s="31"/>
      <c r="E153" s="31"/>
      <c r="F153" s="31"/>
      <c r="G153" s="31"/>
      <c r="H153" s="31"/>
      <c r="I153" s="31"/>
      <c r="J153" s="31"/>
      <c r="K153" s="31"/>
      <c r="L153" s="31"/>
      <c r="M153" s="31"/>
      <c r="N153" s="13"/>
      <c r="O153" s="7"/>
      <c r="P153" s="7"/>
      <c r="Q153" s="7"/>
      <c r="R153" s="7"/>
      <c r="S153" s="7"/>
      <c r="T153" s="7"/>
      <c r="U153" s="7"/>
      <c r="V153" s="7"/>
      <c r="W153" s="7"/>
      <c r="X153" s="7"/>
      <c r="Y153" s="7"/>
      <c r="Z153" s="7"/>
      <c r="AA153" s="7"/>
      <c r="AB153" s="7"/>
      <c r="AC153" s="7"/>
      <c r="AD153" s="7"/>
      <c r="AE153" s="7"/>
      <c r="AF153" s="7"/>
    </row>
    <row r="154" spans="1:32" ht="15.75" customHeight="1">
      <c r="A154" s="43"/>
      <c r="B154" s="30"/>
      <c r="C154" s="30"/>
      <c r="D154" s="31"/>
      <c r="E154" s="31"/>
      <c r="F154" s="31"/>
      <c r="G154" s="31"/>
      <c r="H154" s="31"/>
      <c r="I154" s="31"/>
      <c r="J154" s="31"/>
      <c r="K154" s="31"/>
      <c r="L154" s="31"/>
      <c r="M154" s="31"/>
      <c r="N154" s="13"/>
      <c r="O154" s="7"/>
      <c r="P154" s="7"/>
      <c r="Q154" s="7"/>
      <c r="R154" s="7"/>
      <c r="S154" s="7"/>
      <c r="T154" s="7"/>
      <c r="U154" s="7"/>
      <c r="V154" s="7"/>
      <c r="W154" s="7"/>
      <c r="X154" s="7"/>
      <c r="Y154" s="7"/>
      <c r="Z154" s="7"/>
      <c r="AA154" s="7"/>
      <c r="AB154" s="7"/>
      <c r="AC154" s="7"/>
      <c r="AD154" s="7"/>
      <c r="AE154" s="7"/>
      <c r="AF154" s="7"/>
    </row>
    <row r="155" spans="1:32" ht="15.75" customHeight="1">
      <c r="A155" s="43"/>
      <c r="B155" s="30"/>
      <c r="C155" s="30"/>
      <c r="D155" s="31"/>
      <c r="E155" s="31"/>
      <c r="F155" s="31"/>
      <c r="G155" s="31"/>
      <c r="H155" s="31"/>
      <c r="I155" s="31"/>
      <c r="J155" s="31"/>
      <c r="K155" s="31"/>
      <c r="L155" s="31"/>
      <c r="M155" s="31"/>
      <c r="N155" s="13"/>
      <c r="O155" s="7"/>
      <c r="P155" s="7"/>
      <c r="Q155" s="7"/>
      <c r="R155" s="7"/>
      <c r="S155" s="7"/>
      <c r="T155" s="7"/>
      <c r="U155" s="7"/>
      <c r="V155" s="7"/>
      <c r="W155" s="7"/>
      <c r="X155" s="7"/>
      <c r="Y155" s="7"/>
      <c r="Z155" s="7"/>
      <c r="AA155" s="7"/>
      <c r="AB155" s="7"/>
      <c r="AC155" s="7"/>
      <c r="AD155" s="7"/>
      <c r="AE155" s="7"/>
      <c r="AF155" s="7"/>
    </row>
    <row r="156" spans="1:32" ht="15.75" customHeight="1">
      <c r="A156" s="43"/>
      <c r="B156" s="30"/>
      <c r="C156" s="30"/>
      <c r="D156" s="31"/>
      <c r="E156" s="31"/>
      <c r="F156" s="31"/>
      <c r="G156" s="31"/>
      <c r="H156" s="31"/>
      <c r="I156" s="31"/>
      <c r="J156" s="31"/>
      <c r="K156" s="31"/>
      <c r="L156" s="31"/>
      <c r="M156" s="31"/>
      <c r="N156" s="13"/>
      <c r="O156" s="7"/>
      <c r="P156" s="7"/>
      <c r="Q156" s="7"/>
      <c r="R156" s="7"/>
      <c r="S156" s="7"/>
      <c r="T156" s="7"/>
      <c r="U156" s="7"/>
      <c r="V156" s="7"/>
      <c r="W156" s="7"/>
      <c r="X156" s="7"/>
      <c r="Y156" s="7"/>
      <c r="Z156" s="7"/>
      <c r="AA156" s="7"/>
      <c r="AB156" s="7"/>
      <c r="AC156" s="7"/>
      <c r="AD156" s="7"/>
      <c r="AE156" s="7"/>
      <c r="AF156" s="7"/>
    </row>
    <row r="157" spans="1:32" ht="15.75" customHeight="1">
      <c r="A157" s="43"/>
      <c r="B157" s="30"/>
      <c r="C157" s="30"/>
      <c r="D157" s="31"/>
      <c r="E157" s="31"/>
      <c r="F157" s="31"/>
      <c r="G157" s="31"/>
      <c r="H157" s="31"/>
      <c r="I157" s="31"/>
      <c r="J157" s="31"/>
      <c r="K157" s="31"/>
      <c r="L157" s="31"/>
      <c r="M157" s="31"/>
      <c r="N157" s="13"/>
      <c r="O157" s="7"/>
      <c r="P157" s="7"/>
      <c r="Q157" s="7"/>
      <c r="R157" s="7"/>
      <c r="S157" s="7"/>
      <c r="T157" s="7"/>
      <c r="U157" s="7"/>
      <c r="V157" s="7"/>
      <c r="W157" s="7"/>
      <c r="X157" s="7"/>
      <c r="Y157" s="7"/>
      <c r="Z157" s="7"/>
      <c r="AA157" s="7"/>
      <c r="AB157" s="7"/>
      <c r="AC157" s="7"/>
      <c r="AD157" s="7"/>
      <c r="AE157" s="7"/>
      <c r="AF157" s="7"/>
    </row>
    <row r="158" spans="1:32" ht="15.75" customHeight="1">
      <c r="A158" s="43"/>
      <c r="B158" s="30"/>
      <c r="C158" s="30"/>
      <c r="D158" s="31"/>
      <c r="E158" s="31"/>
      <c r="F158" s="31"/>
      <c r="G158" s="31"/>
      <c r="H158" s="31"/>
      <c r="I158" s="31"/>
      <c r="J158" s="31"/>
      <c r="K158" s="31"/>
      <c r="L158" s="31"/>
      <c r="M158" s="31"/>
      <c r="N158" s="13"/>
      <c r="O158" s="7"/>
      <c r="P158" s="7"/>
      <c r="Q158" s="7"/>
      <c r="R158" s="7"/>
      <c r="S158" s="7"/>
      <c r="T158" s="7"/>
      <c r="U158" s="7"/>
      <c r="V158" s="7"/>
      <c r="W158" s="7"/>
      <c r="X158" s="7"/>
      <c r="Y158" s="7"/>
      <c r="Z158" s="7"/>
      <c r="AA158" s="7"/>
      <c r="AB158" s="7"/>
      <c r="AC158" s="7"/>
      <c r="AD158" s="7"/>
      <c r="AE158" s="7"/>
      <c r="AF158" s="7"/>
    </row>
    <row r="159" spans="1:32" ht="15.75" customHeight="1">
      <c r="A159" s="43"/>
      <c r="B159" s="30"/>
      <c r="C159" s="30"/>
      <c r="D159" s="31"/>
      <c r="E159" s="31"/>
      <c r="F159" s="31"/>
      <c r="G159" s="31"/>
      <c r="H159" s="31"/>
      <c r="I159" s="31"/>
      <c r="J159" s="31"/>
      <c r="K159" s="31"/>
      <c r="L159" s="31"/>
      <c r="M159" s="31"/>
      <c r="N159" s="13"/>
      <c r="O159" s="7"/>
      <c r="P159" s="7"/>
      <c r="Q159" s="7"/>
      <c r="R159" s="7"/>
      <c r="S159" s="7"/>
      <c r="T159" s="7"/>
      <c r="U159" s="7"/>
      <c r="V159" s="7"/>
      <c r="W159" s="7"/>
      <c r="X159" s="7"/>
      <c r="Y159" s="7"/>
      <c r="Z159" s="7"/>
      <c r="AA159" s="7"/>
      <c r="AB159" s="7"/>
      <c r="AC159" s="7"/>
      <c r="AD159" s="7"/>
      <c r="AE159" s="7"/>
      <c r="AF159" s="7"/>
    </row>
    <row r="160" spans="1:32" ht="15.75" customHeight="1">
      <c r="A160" s="43"/>
      <c r="B160" s="30"/>
      <c r="C160" s="30"/>
      <c r="D160" s="31"/>
      <c r="E160" s="31"/>
      <c r="F160" s="31"/>
      <c r="G160" s="31"/>
      <c r="H160" s="31"/>
      <c r="I160" s="31"/>
      <c r="J160" s="31"/>
      <c r="K160" s="31"/>
      <c r="L160" s="31"/>
      <c r="M160" s="31"/>
      <c r="N160" s="13"/>
      <c r="O160" s="7"/>
      <c r="P160" s="7"/>
      <c r="Q160" s="7"/>
      <c r="R160" s="7"/>
      <c r="S160" s="7"/>
      <c r="T160" s="7"/>
      <c r="U160" s="7"/>
      <c r="V160" s="7"/>
      <c r="W160" s="7"/>
      <c r="X160" s="7"/>
      <c r="Y160" s="7"/>
      <c r="Z160" s="7"/>
      <c r="AA160" s="7"/>
      <c r="AB160" s="7"/>
      <c r="AC160" s="7"/>
      <c r="AD160" s="7"/>
      <c r="AE160" s="7"/>
      <c r="AF160" s="7"/>
    </row>
    <row r="161" spans="1:32" ht="15.75" customHeight="1">
      <c r="A161" s="43"/>
      <c r="B161" s="30"/>
      <c r="C161" s="30"/>
      <c r="D161" s="31"/>
      <c r="E161" s="31"/>
      <c r="F161" s="31"/>
      <c r="G161" s="31"/>
      <c r="H161" s="31"/>
      <c r="I161" s="31"/>
      <c r="J161" s="31"/>
      <c r="K161" s="31"/>
      <c r="L161" s="31"/>
      <c r="M161" s="31"/>
      <c r="N161" s="13"/>
      <c r="O161" s="7"/>
      <c r="P161" s="7"/>
      <c r="Q161" s="7"/>
      <c r="R161" s="7"/>
      <c r="S161" s="7"/>
      <c r="T161" s="7"/>
      <c r="U161" s="7"/>
      <c r="V161" s="7"/>
      <c r="W161" s="7"/>
      <c r="X161" s="7"/>
      <c r="Y161" s="7"/>
      <c r="Z161" s="7"/>
      <c r="AA161" s="7"/>
      <c r="AB161" s="7"/>
      <c r="AC161" s="7"/>
      <c r="AD161" s="7"/>
      <c r="AE161" s="7"/>
      <c r="AF161" s="7"/>
    </row>
    <row r="162" spans="1:32" ht="15.75" customHeight="1">
      <c r="A162" s="43"/>
      <c r="B162" s="30"/>
      <c r="C162" s="30"/>
      <c r="D162" s="31"/>
      <c r="E162" s="31"/>
      <c r="F162" s="31"/>
      <c r="G162" s="31"/>
      <c r="H162" s="31"/>
      <c r="I162" s="31"/>
      <c r="J162" s="31"/>
      <c r="K162" s="31"/>
      <c r="L162" s="31"/>
      <c r="M162" s="31"/>
      <c r="N162" s="13"/>
      <c r="O162" s="7"/>
      <c r="P162" s="7"/>
      <c r="Q162" s="7"/>
      <c r="R162" s="7"/>
      <c r="S162" s="7"/>
      <c r="T162" s="7"/>
      <c r="U162" s="7"/>
      <c r="V162" s="7"/>
      <c r="W162" s="7"/>
      <c r="X162" s="7"/>
      <c r="Y162" s="7"/>
      <c r="Z162" s="7"/>
      <c r="AA162" s="7"/>
      <c r="AB162" s="7"/>
      <c r="AC162" s="7"/>
      <c r="AD162" s="7"/>
      <c r="AE162" s="7"/>
      <c r="AF162" s="7"/>
    </row>
    <row r="163" spans="1:32" ht="15.75" customHeight="1">
      <c r="A163" s="43"/>
      <c r="B163" s="30"/>
      <c r="C163" s="30"/>
      <c r="D163" s="31"/>
      <c r="E163" s="31"/>
      <c r="F163" s="31"/>
      <c r="G163" s="31"/>
      <c r="H163" s="31"/>
      <c r="I163" s="31"/>
      <c r="J163" s="31"/>
      <c r="K163" s="31"/>
      <c r="L163" s="31"/>
      <c r="M163" s="31"/>
      <c r="N163" s="13"/>
      <c r="O163" s="7"/>
      <c r="P163" s="7"/>
      <c r="Q163" s="7"/>
      <c r="R163" s="7"/>
      <c r="S163" s="7"/>
      <c r="T163" s="7"/>
      <c r="U163" s="7"/>
      <c r="V163" s="7"/>
      <c r="W163" s="7"/>
      <c r="X163" s="7"/>
      <c r="Y163" s="7"/>
      <c r="Z163" s="7"/>
      <c r="AA163" s="7"/>
      <c r="AB163" s="7"/>
      <c r="AC163" s="7"/>
      <c r="AD163" s="7"/>
      <c r="AE163" s="7"/>
      <c r="AF163" s="7"/>
    </row>
    <row r="164" spans="1:32" ht="15.75" customHeight="1">
      <c r="A164" s="43"/>
      <c r="B164" s="30"/>
      <c r="C164" s="30"/>
      <c r="D164" s="31"/>
      <c r="E164" s="31"/>
      <c r="F164" s="31"/>
      <c r="G164" s="31"/>
      <c r="H164" s="31"/>
      <c r="I164" s="31"/>
      <c r="J164" s="31"/>
      <c r="K164" s="31"/>
      <c r="L164" s="31"/>
      <c r="M164" s="31"/>
      <c r="N164" s="13"/>
      <c r="O164" s="7"/>
      <c r="P164" s="7"/>
      <c r="Q164" s="7"/>
      <c r="R164" s="7"/>
      <c r="S164" s="7"/>
      <c r="T164" s="7"/>
      <c r="U164" s="7"/>
      <c r="V164" s="7"/>
      <c r="W164" s="7"/>
      <c r="X164" s="7"/>
      <c r="Y164" s="7"/>
      <c r="Z164" s="7"/>
      <c r="AA164" s="7"/>
      <c r="AB164" s="7"/>
      <c r="AC164" s="7"/>
      <c r="AD164" s="7"/>
      <c r="AE164" s="7"/>
      <c r="AF164" s="7"/>
    </row>
    <row r="165" spans="1:32" ht="15.75" customHeight="1">
      <c r="A165" s="43"/>
      <c r="B165" s="30"/>
      <c r="C165" s="30"/>
      <c r="D165" s="31"/>
      <c r="E165" s="31"/>
      <c r="F165" s="31"/>
      <c r="G165" s="31"/>
      <c r="H165" s="31"/>
      <c r="I165" s="31"/>
      <c r="J165" s="31"/>
      <c r="K165" s="31"/>
      <c r="L165" s="31"/>
      <c r="M165" s="31"/>
      <c r="N165" s="13"/>
      <c r="O165" s="7"/>
      <c r="P165" s="7"/>
      <c r="Q165" s="7"/>
      <c r="R165" s="7"/>
      <c r="S165" s="7"/>
      <c r="T165" s="7"/>
      <c r="U165" s="7"/>
      <c r="V165" s="7"/>
      <c r="W165" s="7"/>
      <c r="X165" s="7"/>
      <c r="Y165" s="7"/>
      <c r="Z165" s="7"/>
      <c r="AA165" s="7"/>
      <c r="AB165" s="7"/>
      <c r="AC165" s="7"/>
      <c r="AD165" s="7"/>
      <c r="AE165" s="7"/>
      <c r="AF165" s="7"/>
    </row>
    <row r="166" spans="1:32" ht="15.75" customHeight="1">
      <c r="A166" s="43"/>
      <c r="B166" s="30"/>
      <c r="C166" s="30"/>
      <c r="D166" s="31"/>
      <c r="E166" s="31"/>
      <c r="F166" s="31"/>
      <c r="G166" s="31"/>
      <c r="H166" s="31"/>
      <c r="I166" s="31"/>
      <c r="J166" s="31"/>
      <c r="K166" s="31"/>
      <c r="L166" s="31"/>
      <c r="M166" s="31"/>
      <c r="N166" s="13"/>
      <c r="O166" s="7"/>
      <c r="P166" s="7"/>
      <c r="Q166" s="7"/>
      <c r="R166" s="7"/>
      <c r="S166" s="7"/>
      <c r="T166" s="7"/>
      <c r="U166" s="7"/>
      <c r="V166" s="7"/>
      <c r="W166" s="7"/>
      <c r="X166" s="7"/>
      <c r="Y166" s="7"/>
      <c r="Z166" s="7"/>
      <c r="AA166" s="7"/>
      <c r="AB166" s="7"/>
      <c r="AC166" s="7"/>
      <c r="AD166" s="7"/>
      <c r="AE166" s="7"/>
      <c r="AF166" s="7"/>
    </row>
    <row r="167" spans="1:32" ht="15.75" customHeight="1">
      <c r="A167" s="43"/>
      <c r="B167" s="30"/>
      <c r="C167" s="30"/>
      <c r="D167" s="31"/>
      <c r="E167" s="31"/>
      <c r="F167" s="31"/>
      <c r="G167" s="31"/>
      <c r="H167" s="31"/>
      <c r="I167" s="31"/>
      <c r="J167" s="31"/>
      <c r="K167" s="31"/>
      <c r="L167" s="31"/>
      <c r="M167" s="31"/>
      <c r="N167" s="13"/>
      <c r="O167" s="7"/>
      <c r="P167" s="7"/>
      <c r="Q167" s="7"/>
      <c r="R167" s="7"/>
      <c r="S167" s="7"/>
      <c r="T167" s="7"/>
      <c r="U167" s="7"/>
      <c r="V167" s="7"/>
      <c r="W167" s="7"/>
      <c r="X167" s="7"/>
      <c r="Y167" s="7"/>
      <c r="Z167" s="7"/>
      <c r="AA167" s="7"/>
      <c r="AB167" s="7"/>
      <c r="AC167" s="7"/>
      <c r="AD167" s="7"/>
      <c r="AE167" s="7"/>
      <c r="AF167" s="7"/>
    </row>
    <row r="168" spans="1:32" ht="15.75" customHeight="1">
      <c r="A168" s="43"/>
      <c r="B168" s="30"/>
      <c r="C168" s="30"/>
      <c r="D168" s="31"/>
      <c r="E168" s="31"/>
      <c r="F168" s="31"/>
      <c r="G168" s="31"/>
      <c r="H168" s="31"/>
      <c r="I168" s="31"/>
      <c r="J168" s="31"/>
      <c r="K168" s="31"/>
      <c r="L168" s="31"/>
      <c r="M168" s="31"/>
      <c r="N168" s="13"/>
      <c r="O168" s="7"/>
      <c r="P168" s="7"/>
      <c r="Q168" s="7"/>
      <c r="R168" s="7"/>
      <c r="S168" s="7"/>
      <c r="T168" s="7"/>
      <c r="U168" s="7"/>
      <c r="V168" s="7"/>
      <c r="W168" s="7"/>
      <c r="X168" s="7"/>
      <c r="Y168" s="7"/>
      <c r="Z168" s="7"/>
      <c r="AA168" s="7"/>
      <c r="AB168" s="7"/>
      <c r="AC168" s="7"/>
      <c r="AD168" s="7"/>
      <c r="AE168" s="7"/>
      <c r="AF168" s="7"/>
    </row>
    <row r="169" spans="1:32" ht="15.75" customHeight="1">
      <c r="A169" s="43"/>
      <c r="B169" s="30"/>
      <c r="C169" s="30"/>
      <c r="D169" s="31"/>
      <c r="E169" s="31"/>
      <c r="F169" s="31"/>
      <c r="G169" s="31"/>
      <c r="H169" s="31"/>
      <c r="I169" s="31"/>
      <c r="J169" s="31"/>
      <c r="K169" s="31"/>
      <c r="L169" s="31"/>
      <c r="M169" s="31"/>
      <c r="N169" s="13"/>
      <c r="O169" s="7"/>
      <c r="P169" s="7"/>
      <c r="Q169" s="7"/>
      <c r="R169" s="7"/>
      <c r="S169" s="7"/>
      <c r="T169" s="7"/>
      <c r="U169" s="7"/>
      <c r="V169" s="7"/>
      <c r="W169" s="7"/>
      <c r="X169" s="7"/>
      <c r="Y169" s="7"/>
      <c r="Z169" s="7"/>
      <c r="AA169" s="7"/>
      <c r="AB169" s="7"/>
      <c r="AC169" s="7"/>
      <c r="AD169" s="7"/>
      <c r="AE169" s="7"/>
      <c r="AF169" s="7"/>
    </row>
    <row r="170" spans="1:32" ht="15.75" customHeight="1">
      <c r="A170" s="43"/>
      <c r="B170" s="30"/>
      <c r="C170" s="30"/>
      <c r="D170" s="31"/>
      <c r="E170" s="31"/>
      <c r="F170" s="31"/>
      <c r="G170" s="31"/>
      <c r="H170" s="31"/>
      <c r="I170" s="31"/>
      <c r="J170" s="31"/>
      <c r="K170" s="31"/>
      <c r="L170" s="31"/>
      <c r="M170" s="31"/>
      <c r="N170" s="13"/>
      <c r="O170" s="7"/>
      <c r="P170" s="7"/>
      <c r="Q170" s="7"/>
      <c r="R170" s="7"/>
      <c r="S170" s="7"/>
      <c r="T170" s="7"/>
      <c r="U170" s="7"/>
      <c r="V170" s="7"/>
      <c r="W170" s="7"/>
      <c r="X170" s="7"/>
      <c r="Y170" s="7"/>
      <c r="Z170" s="7"/>
      <c r="AA170" s="7"/>
      <c r="AB170" s="7"/>
      <c r="AC170" s="7"/>
      <c r="AD170" s="7"/>
      <c r="AE170" s="7"/>
      <c r="AF170" s="7"/>
    </row>
    <row r="171" spans="1:32" ht="15.75" customHeight="1">
      <c r="A171" s="43"/>
      <c r="B171" s="30"/>
      <c r="C171" s="30"/>
      <c r="D171" s="31"/>
      <c r="E171" s="31"/>
      <c r="F171" s="31"/>
      <c r="G171" s="31"/>
      <c r="H171" s="31"/>
      <c r="I171" s="31"/>
      <c r="J171" s="31"/>
      <c r="K171" s="31"/>
      <c r="L171" s="31"/>
      <c r="M171" s="31"/>
      <c r="N171" s="13"/>
      <c r="O171" s="7"/>
      <c r="P171" s="7"/>
      <c r="Q171" s="7"/>
      <c r="R171" s="7"/>
      <c r="S171" s="7"/>
      <c r="T171" s="7"/>
      <c r="U171" s="7"/>
      <c r="V171" s="7"/>
      <c r="W171" s="7"/>
      <c r="X171" s="7"/>
      <c r="Y171" s="7"/>
      <c r="Z171" s="7"/>
      <c r="AA171" s="7"/>
      <c r="AB171" s="7"/>
      <c r="AC171" s="7"/>
      <c r="AD171" s="7"/>
      <c r="AE171" s="7"/>
      <c r="AF171" s="7"/>
    </row>
    <row r="172" spans="1:32" ht="15.75" customHeight="1">
      <c r="A172" s="43"/>
      <c r="B172" s="30"/>
      <c r="C172" s="30"/>
      <c r="D172" s="31"/>
      <c r="E172" s="31"/>
      <c r="F172" s="31"/>
      <c r="G172" s="31"/>
      <c r="H172" s="31"/>
      <c r="I172" s="31"/>
      <c r="J172" s="31"/>
      <c r="K172" s="31"/>
      <c r="L172" s="31"/>
      <c r="M172" s="31"/>
      <c r="N172" s="13"/>
      <c r="O172" s="7"/>
      <c r="P172" s="7"/>
      <c r="Q172" s="7"/>
      <c r="R172" s="7"/>
      <c r="S172" s="7"/>
      <c r="T172" s="7"/>
      <c r="U172" s="7"/>
      <c r="V172" s="7"/>
      <c r="W172" s="7"/>
      <c r="X172" s="7"/>
      <c r="Y172" s="7"/>
      <c r="Z172" s="7"/>
      <c r="AA172" s="7"/>
      <c r="AB172" s="7"/>
      <c r="AC172" s="7"/>
      <c r="AD172" s="7"/>
      <c r="AE172" s="7"/>
      <c r="AF172" s="7"/>
    </row>
    <row r="173" spans="1:32" ht="15.75" customHeight="1">
      <c r="A173" s="43"/>
      <c r="B173" s="30"/>
      <c r="C173" s="30"/>
      <c r="D173" s="31"/>
      <c r="E173" s="31"/>
      <c r="F173" s="31"/>
      <c r="G173" s="31"/>
      <c r="H173" s="31"/>
      <c r="I173" s="31"/>
      <c r="J173" s="31"/>
      <c r="K173" s="31"/>
      <c r="L173" s="31"/>
      <c r="M173" s="31"/>
      <c r="N173" s="13"/>
      <c r="O173" s="7"/>
      <c r="P173" s="7"/>
      <c r="Q173" s="7"/>
      <c r="R173" s="7"/>
      <c r="S173" s="7"/>
      <c r="T173" s="7"/>
      <c r="U173" s="7"/>
      <c r="V173" s="7"/>
      <c r="W173" s="7"/>
      <c r="X173" s="7"/>
      <c r="Y173" s="7"/>
      <c r="Z173" s="7"/>
      <c r="AA173" s="7"/>
      <c r="AB173" s="7"/>
      <c r="AC173" s="7"/>
      <c r="AD173" s="7"/>
      <c r="AE173" s="7"/>
      <c r="AF173" s="7"/>
    </row>
    <row r="174" spans="1:32" ht="15.75" customHeight="1">
      <c r="A174" s="43"/>
      <c r="B174" s="30"/>
      <c r="C174" s="30"/>
      <c r="D174" s="31"/>
      <c r="E174" s="31"/>
      <c r="F174" s="31"/>
      <c r="G174" s="31"/>
      <c r="H174" s="31"/>
      <c r="I174" s="31"/>
      <c r="J174" s="31"/>
      <c r="K174" s="31"/>
      <c r="L174" s="31"/>
      <c r="M174" s="31"/>
      <c r="N174" s="13"/>
      <c r="O174" s="7"/>
      <c r="P174" s="7"/>
      <c r="Q174" s="7"/>
      <c r="R174" s="7"/>
      <c r="S174" s="7"/>
      <c r="T174" s="7"/>
      <c r="U174" s="7"/>
      <c r="V174" s="7"/>
      <c r="W174" s="7"/>
      <c r="X174" s="7"/>
      <c r="Y174" s="7"/>
      <c r="Z174" s="7"/>
      <c r="AA174" s="7"/>
      <c r="AB174" s="7"/>
      <c r="AC174" s="7"/>
      <c r="AD174" s="7"/>
      <c r="AE174" s="7"/>
      <c r="AF174" s="7"/>
    </row>
    <row r="175" spans="1:32" ht="15.75" customHeight="1">
      <c r="A175" s="43"/>
      <c r="B175" s="30"/>
      <c r="C175" s="30"/>
      <c r="D175" s="31"/>
      <c r="E175" s="31"/>
      <c r="F175" s="31"/>
      <c r="G175" s="31"/>
      <c r="H175" s="31"/>
      <c r="I175" s="31"/>
      <c r="J175" s="31"/>
      <c r="K175" s="31"/>
      <c r="L175" s="31"/>
      <c r="M175" s="31"/>
      <c r="N175" s="13"/>
      <c r="O175" s="7"/>
      <c r="P175" s="7"/>
      <c r="Q175" s="7"/>
      <c r="R175" s="7"/>
      <c r="S175" s="7"/>
      <c r="T175" s="7"/>
      <c r="U175" s="7"/>
      <c r="V175" s="7"/>
      <c r="W175" s="7"/>
      <c r="X175" s="7"/>
      <c r="Y175" s="7"/>
      <c r="Z175" s="7"/>
      <c r="AA175" s="7"/>
      <c r="AB175" s="7"/>
      <c r="AC175" s="7"/>
      <c r="AD175" s="7"/>
      <c r="AE175" s="7"/>
      <c r="AF175" s="7"/>
    </row>
    <row r="176" spans="1:32" ht="15.75" customHeight="1">
      <c r="A176" s="43"/>
      <c r="B176" s="30"/>
      <c r="C176" s="30"/>
      <c r="D176" s="31"/>
      <c r="E176" s="31"/>
      <c r="F176" s="31"/>
      <c r="G176" s="31"/>
      <c r="H176" s="31"/>
      <c r="I176" s="31"/>
      <c r="J176" s="31"/>
      <c r="K176" s="31"/>
      <c r="L176" s="31"/>
      <c r="M176" s="31"/>
      <c r="N176" s="13"/>
      <c r="O176" s="7"/>
      <c r="P176" s="7"/>
      <c r="Q176" s="7"/>
      <c r="R176" s="7"/>
      <c r="S176" s="7"/>
      <c r="T176" s="7"/>
      <c r="U176" s="7"/>
      <c r="V176" s="7"/>
      <c r="W176" s="7"/>
      <c r="X176" s="7"/>
      <c r="Y176" s="7"/>
      <c r="Z176" s="7"/>
      <c r="AA176" s="7"/>
      <c r="AB176" s="7"/>
      <c r="AC176" s="7"/>
      <c r="AD176" s="7"/>
      <c r="AE176" s="7"/>
      <c r="AF176" s="7"/>
    </row>
    <row r="177" spans="1:32" ht="15.75" customHeight="1">
      <c r="A177" s="43"/>
      <c r="B177" s="30"/>
      <c r="C177" s="30"/>
      <c r="D177" s="31"/>
      <c r="E177" s="31"/>
      <c r="F177" s="31"/>
      <c r="G177" s="31"/>
      <c r="H177" s="31"/>
      <c r="I177" s="31"/>
      <c r="J177" s="31"/>
      <c r="K177" s="31"/>
      <c r="L177" s="31"/>
      <c r="M177" s="31"/>
      <c r="N177" s="13"/>
      <c r="O177" s="7"/>
      <c r="P177" s="7"/>
      <c r="Q177" s="7"/>
      <c r="R177" s="7"/>
      <c r="S177" s="7"/>
      <c r="T177" s="7"/>
      <c r="U177" s="7"/>
      <c r="V177" s="7"/>
      <c r="W177" s="7"/>
      <c r="X177" s="7"/>
      <c r="Y177" s="7"/>
      <c r="Z177" s="7"/>
      <c r="AA177" s="7"/>
      <c r="AB177" s="7"/>
      <c r="AC177" s="7"/>
      <c r="AD177" s="7"/>
      <c r="AE177" s="7"/>
      <c r="AF177" s="7"/>
    </row>
    <row r="178" spans="1:32" ht="15.75" customHeight="1">
      <c r="A178" s="43"/>
      <c r="B178" s="30"/>
      <c r="C178" s="30"/>
      <c r="D178" s="31"/>
      <c r="E178" s="31"/>
      <c r="F178" s="31"/>
      <c r="G178" s="31"/>
      <c r="H178" s="31"/>
      <c r="I178" s="31"/>
      <c r="J178" s="31"/>
      <c r="K178" s="31"/>
      <c r="L178" s="31"/>
      <c r="M178" s="31"/>
      <c r="N178" s="13"/>
      <c r="O178" s="7"/>
      <c r="P178" s="7"/>
      <c r="Q178" s="7"/>
      <c r="R178" s="7"/>
      <c r="S178" s="7"/>
      <c r="T178" s="7"/>
      <c r="U178" s="7"/>
      <c r="V178" s="7"/>
      <c r="W178" s="7"/>
      <c r="X178" s="7"/>
      <c r="Y178" s="7"/>
      <c r="Z178" s="7"/>
      <c r="AA178" s="7"/>
      <c r="AB178" s="7"/>
      <c r="AC178" s="7"/>
      <c r="AD178" s="7"/>
      <c r="AE178" s="7"/>
      <c r="AF178" s="7"/>
    </row>
    <row r="179" spans="1:32" ht="15.75" customHeight="1">
      <c r="A179" s="43"/>
      <c r="B179" s="30"/>
      <c r="C179" s="30"/>
      <c r="D179" s="31"/>
      <c r="E179" s="31"/>
      <c r="F179" s="31"/>
      <c r="G179" s="31"/>
      <c r="H179" s="31"/>
      <c r="I179" s="31"/>
      <c r="J179" s="31"/>
      <c r="K179" s="31"/>
      <c r="L179" s="31"/>
      <c r="M179" s="31"/>
      <c r="N179" s="13"/>
      <c r="O179" s="7"/>
      <c r="P179" s="7"/>
      <c r="Q179" s="7"/>
      <c r="R179" s="7"/>
      <c r="S179" s="7"/>
      <c r="T179" s="7"/>
      <c r="U179" s="7"/>
      <c r="V179" s="7"/>
      <c r="W179" s="7"/>
      <c r="X179" s="7"/>
      <c r="Y179" s="7"/>
      <c r="Z179" s="7"/>
      <c r="AA179" s="7"/>
      <c r="AB179" s="7"/>
      <c r="AC179" s="7"/>
      <c r="AD179" s="7"/>
      <c r="AE179" s="7"/>
      <c r="AF179" s="7"/>
    </row>
    <row r="180" spans="1:32" ht="15.75" customHeight="1">
      <c r="A180" s="43"/>
      <c r="B180" s="30"/>
      <c r="C180" s="30"/>
      <c r="D180" s="31"/>
      <c r="E180" s="31"/>
      <c r="F180" s="31"/>
      <c r="G180" s="31"/>
      <c r="H180" s="31"/>
      <c r="I180" s="31"/>
      <c r="J180" s="31"/>
      <c r="K180" s="31"/>
      <c r="L180" s="31"/>
      <c r="M180" s="31"/>
      <c r="N180" s="13"/>
      <c r="O180" s="7"/>
      <c r="P180" s="7"/>
      <c r="Q180" s="7"/>
      <c r="R180" s="7"/>
      <c r="S180" s="7"/>
      <c r="T180" s="7"/>
      <c r="U180" s="7"/>
      <c r="V180" s="7"/>
      <c r="W180" s="7"/>
      <c r="X180" s="7"/>
      <c r="Y180" s="7"/>
      <c r="Z180" s="7"/>
      <c r="AA180" s="7"/>
      <c r="AB180" s="7"/>
      <c r="AC180" s="7"/>
      <c r="AD180" s="7"/>
      <c r="AE180" s="7"/>
      <c r="AF180" s="7"/>
    </row>
    <row r="181" spans="1:32" ht="15.75" customHeight="1">
      <c r="A181" s="43"/>
      <c r="B181" s="30"/>
      <c r="C181" s="30"/>
      <c r="D181" s="31"/>
      <c r="E181" s="31"/>
      <c r="F181" s="31"/>
      <c r="G181" s="31"/>
      <c r="H181" s="31"/>
      <c r="I181" s="31"/>
      <c r="J181" s="31"/>
      <c r="K181" s="31"/>
      <c r="L181" s="31"/>
      <c r="M181" s="31"/>
      <c r="N181" s="13"/>
      <c r="O181" s="7"/>
      <c r="P181" s="7"/>
      <c r="Q181" s="7"/>
      <c r="R181" s="7"/>
      <c r="S181" s="7"/>
      <c r="T181" s="7"/>
      <c r="U181" s="7"/>
      <c r="V181" s="7"/>
      <c r="W181" s="7"/>
      <c r="X181" s="7"/>
      <c r="Y181" s="7"/>
      <c r="Z181" s="7"/>
      <c r="AA181" s="7"/>
      <c r="AB181" s="7"/>
      <c r="AC181" s="7"/>
      <c r="AD181" s="7"/>
      <c r="AE181" s="7"/>
      <c r="AF181" s="7"/>
    </row>
    <row r="182" spans="1:32" ht="15.75" customHeight="1">
      <c r="A182" s="43"/>
      <c r="B182" s="30"/>
      <c r="C182" s="30"/>
      <c r="D182" s="31"/>
      <c r="E182" s="31"/>
      <c r="F182" s="31"/>
      <c r="G182" s="31"/>
      <c r="H182" s="31"/>
      <c r="I182" s="31"/>
      <c r="J182" s="31"/>
      <c r="K182" s="31"/>
      <c r="L182" s="31"/>
      <c r="M182" s="31"/>
      <c r="N182" s="13"/>
      <c r="O182" s="7"/>
      <c r="P182" s="7"/>
      <c r="Q182" s="7"/>
      <c r="R182" s="7"/>
      <c r="S182" s="7"/>
      <c r="T182" s="7"/>
      <c r="U182" s="7"/>
      <c r="V182" s="7"/>
      <c r="W182" s="7"/>
      <c r="X182" s="7"/>
      <c r="Y182" s="7"/>
      <c r="Z182" s="7"/>
      <c r="AA182" s="7"/>
      <c r="AB182" s="7"/>
      <c r="AC182" s="7"/>
      <c r="AD182" s="7"/>
      <c r="AE182" s="7"/>
      <c r="AF182" s="7"/>
    </row>
    <row r="183" spans="1:32" ht="15.75" customHeight="1">
      <c r="A183" s="43"/>
      <c r="B183" s="30"/>
      <c r="C183" s="30"/>
      <c r="D183" s="31"/>
      <c r="E183" s="31"/>
      <c r="F183" s="31"/>
      <c r="G183" s="31"/>
      <c r="H183" s="31"/>
      <c r="I183" s="31"/>
      <c r="J183" s="31"/>
      <c r="K183" s="31"/>
      <c r="L183" s="31"/>
      <c r="M183" s="31"/>
      <c r="N183" s="13"/>
      <c r="O183" s="7"/>
      <c r="P183" s="7"/>
      <c r="Q183" s="7"/>
      <c r="R183" s="7"/>
      <c r="S183" s="7"/>
      <c r="T183" s="7"/>
      <c r="U183" s="7"/>
      <c r="V183" s="7"/>
      <c r="W183" s="7"/>
      <c r="X183" s="7"/>
      <c r="Y183" s="7"/>
      <c r="Z183" s="7"/>
      <c r="AA183" s="7"/>
      <c r="AB183" s="7"/>
      <c r="AC183" s="7"/>
      <c r="AD183" s="7"/>
      <c r="AE183" s="7"/>
      <c r="AF183" s="7"/>
    </row>
    <row r="184" spans="1:32" ht="15.75" customHeight="1">
      <c r="A184" s="43"/>
      <c r="B184" s="30"/>
      <c r="C184" s="30"/>
      <c r="D184" s="31"/>
      <c r="E184" s="31"/>
      <c r="F184" s="31"/>
      <c r="G184" s="31"/>
      <c r="H184" s="31"/>
      <c r="I184" s="31"/>
      <c r="J184" s="31"/>
      <c r="K184" s="31"/>
      <c r="L184" s="31"/>
      <c r="M184" s="31"/>
      <c r="N184" s="13"/>
      <c r="O184" s="7"/>
      <c r="P184" s="7"/>
      <c r="Q184" s="7"/>
      <c r="R184" s="7"/>
      <c r="S184" s="7"/>
      <c r="T184" s="7"/>
      <c r="U184" s="7"/>
      <c r="V184" s="7"/>
      <c r="W184" s="7"/>
      <c r="X184" s="7"/>
      <c r="Y184" s="7"/>
      <c r="Z184" s="7"/>
      <c r="AA184" s="7"/>
      <c r="AB184" s="7"/>
      <c r="AC184" s="7"/>
      <c r="AD184" s="7"/>
      <c r="AE184" s="7"/>
      <c r="AF184" s="7"/>
    </row>
    <row r="185" spans="1:32" ht="15.75" customHeight="1">
      <c r="A185" s="43"/>
      <c r="B185" s="30"/>
      <c r="C185" s="30"/>
      <c r="D185" s="31"/>
      <c r="E185" s="31"/>
      <c r="F185" s="31"/>
      <c r="G185" s="31"/>
      <c r="H185" s="31"/>
      <c r="I185" s="31"/>
      <c r="J185" s="31"/>
      <c r="K185" s="31"/>
      <c r="L185" s="31"/>
      <c r="M185" s="31"/>
      <c r="N185" s="13"/>
      <c r="O185" s="7"/>
      <c r="P185" s="7"/>
      <c r="Q185" s="7"/>
      <c r="R185" s="7"/>
      <c r="S185" s="7"/>
      <c r="T185" s="7"/>
      <c r="U185" s="7"/>
      <c r="V185" s="7"/>
      <c r="W185" s="7"/>
      <c r="X185" s="7"/>
      <c r="Y185" s="7"/>
      <c r="Z185" s="7"/>
      <c r="AA185" s="7"/>
      <c r="AB185" s="7"/>
      <c r="AC185" s="7"/>
      <c r="AD185" s="7"/>
      <c r="AE185" s="7"/>
      <c r="AF185" s="7"/>
    </row>
    <row r="186" spans="1:32" ht="15.75" customHeight="1">
      <c r="A186" s="43"/>
      <c r="B186" s="30"/>
      <c r="C186" s="30"/>
      <c r="D186" s="31"/>
      <c r="E186" s="31"/>
      <c r="F186" s="31"/>
      <c r="G186" s="31"/>
      <c r="H186" s="31"/>
      <c r="I186" s="31"/>
      <c r="J186" s="31"/>
      <c r="K186" s="31"/>
      <c r="L186" s="31"/>
      <c r="M186" s="31"/>
      <c r="N186" s="13"/>
      <c r="O186" s="7"/>
      <c r="P186" s="7"/>
      <c r="Q186" s="7"/>
      <c r="R186" s="7"/>
      <c r="S186" s="7"/>
      <c r="T186" s="7"/>
      <c r="U186" s="7"/>
      <c r="V186" s="7"/>
      <c r="W186" s="7"/>
      <c r="X186" s="7"/>
      <c r="Y186" s="7"/>
      <c r="Z186" s="7"/>
      <c r="AA186" s="7"/>
      <c r="AB186" s="7"/>
      <c r="AC186" s="7"/>
      <c r="AD186" s="7"/>
      <c r="AE186" s="7"/>
      <c r="AF186" s="7"/>
    </row>
    <row r="187" spans="1:32" ht="15.75" customHeight="1">
      <c r="A187" s="43"/>
      <c r="B187" s="30"/>
      <c r="C187" s="30"/>
      <c r="D187" s="31"/>
      <c r="E187" s="31"/>
      <c r="F187" s="31"/>
      <c r="G187" s="31"/>
      <c r="H187" s="31"/>
      <c r="I187" s="31"/>
      <c r="J187" s="31"/>
      <c r="K187" s="31"/>
      <c r="L187" s="31"/>
      <c r="M187" s="31"/>
      <c r="N187" s="13"/>
      <c r="O187" s="7"/>
      <c r="P187" s="7"/>
      <c r="Q187" s="7"/>
      <c r="R187" s="7"/>
      <c r="S187" s="7"/>
      <c r="T187" s="7"/>
      <c r="U187" s="7"/>
      <c r="V187" s="7"/>
      <c r="W187" s="7"/>
      <c r="X187" s="7"/>
      <c r="Y187" s="7"/>
      <c r="Z187" s="7"/>
      <c r="AA187" s="7"/>
      <c r="AB187" s="7"/>
      <c r="AC187" s="7"/>
      <c r="AD187" s="7"/>
      <c r="AE187" s="7"/>
      <c r="AF187" s="7"/>
    </row>
    <row r="188" spans="1:32" ht="15.75" customHeight="1">
      <c r="A188" s="43"/>
      <c r="B188" s="30"/>
      <c r="C188" s="30"/>
      <c r="D188" s="31"/>
      <c r="E188" s="31"/>
      <c r="F188" s="31"/>
      <c r="G188" s="31"/>
      <c r="H188" s="31"/>
      <c r="I188" s="31"/>
      <c r="J188" s="31"/>
      <c r="K188" s="31"/>
      <c r="L188" s="31"/>
      <c r="M188" s="31"/>
      <c r="N188" s="13"/>
      <c r="O188" s="7"/>
      <c r="P188" s="7"/>
      <c r="Q188" s="7"/>
      <c r="R188" s="7"/>
      <c r="S188" s="7"/>
      <c r="T188" s="7"/>
      <c r="U188" s="7"/>
      <c r="V188" s="7"/>
      <c r="W188" s="7"/>
      <c r="X188" s="7"/>
      <c r="Y188" s="7"/>
      <c r="Z188" s="7"/>
      <c r="AA188" s="7"/>
      <c r="AB188" s="7"/>
      <c r="AC188" s="7"/>
      <c r="AD188" s="7"/>
      <c r="AE188" s="7"/>
      <c r="AF188" s="7"/>
    </row>
    <row r="189" spans="1:32" ht="15.75" customHeight="1">
      <c r="A189" s="43"/>
      <c r="B189" s="30"/>
      <c r="C189" s="30"/>
      <c r="D189" s="31"/>
      <c r="E189" s="31"/>
      <c r="F189" s="31"/>
      <c r="G189" s="31"/>
      <c r="H189" s="31"/>
      <c r="I189" s="31"/>
      <c r="J189" s="31"/>
      <c r="K189" s="31"/>
      <c r="L189" s="31"/>
      <c r="M189" s="31"/>
      <c r="N189" s="13"/>
      <c r="O189" s="7"/>
      <c r="P189" s="7"/>
      <c r="Q189" s="7"/>
      <c r="R189" s="7"/>
      <c r="S189" s="7"/>
      <c r="T189" s="7"/>
      <c r="U189" s="7"/>
      <c r="V189" s="7"/>
      <c r="W189" s="7"/>
      <c r="X189" s="7"/>
      <c r="Y189" s="7"/>
      <c r="Z189" s="7"/>
      <c r="AA189" s="7"/>
      <c r="AB189" s="7"/>
      <c r="AC189" s="7"/>
      <c r="AD189" s="7"/>
      <c r="AE189" s="7"/>
      <c r="AF189" s="7"/>
    </row>
    <row r="190" spans="1:32" ht="15.75" customHeight="1">
      <c r="A190" s="43"/>
      <c r="B190" s="30"/>
      <c r="C190" s="30"/>
      <c r="D190" s="31"/>
      <c r="E190" s="31"/>
      <c r="F190" s="31"/>
      <c r="G190" s="31"/>
      <c r="H190" s="31"/>
      <c r="I190" s="31"/>
      <c r="J190" s="31"/>
      <c r="K190" s="31"/>
      <c r="L190" s="31"/>
      <c r="M190" s="31"/>
      <c r="N190" s="13"/>
      <c r="O190" s="7"/>
      <c r="P190" s="7"/>
      <c r="Q190" s="7"/>
      <c r="R190" s="7"/>
      <c r="S190" s="7"/>
      <c r="T190" s="7"/>
      <c r="U190" s="7"/>
      <c r="V190" s="7"/>
      <c r="W190" s="7"/>
      <c r="X190" s="7"/>
      <c r="Y190" s="7"/>
      <c r="Z190" s="7"/>
      <c r="AA190" s="7"/>
      <c r="AB190" s="7"/>
      <c r="AC190" s="7"/>
      <c r="AD190" s="7"/>
      <c r="AE190" s="7"/>
      <c r="AF190" s="7"/>
    </row>
    <row r="191" spans="1:32" ht="15.75" customHeight="1">
      <c r="A191" s="43"/>
      <c r="B191" s="30"/>
      <c r="C191" s="30"/>
      <c r="D191" s="31"/>
      <c r="E191" s="31"/>
      <c r="F191" s="31"/>
      <c r="G191" s="31"/>
      <c r="H191" s="31"/>
      <c r="I191" s="31"/>
      <c r="J191" s="31"/>
      <c r="K191" s="31"/>
      <c r="L191" s="31"/>
      <c r="M191" s="31"/>
      <c r="N191" s="13"/>
      <c r="O191" s="7"/>
      <c r="P191" s="7"/>
      <c r="Q191" s="7"/>
      <c r="R191" s="7"/>
      <c r="S191" s="7"/>
      <c r="T191" s="7"/>
      <c r="U191" s="7"/>
      <c r="V191" s="7"/>
      <c r="W191" s="7"/>
      <c r="X191" s="7"/>
      <c r="Y191" s="7"/>
      <c r="Z191" s="7"/>
      <c r="AA191" s="7"/>
      <c r="AB191" s="7"/>
      <c r="AC191" s="7"/>
      <c r="AD191" s="7"/>
      <c r="AE191" s="7"/>
      <c r="AF191" s="7"/>
    </row>
    <row r="192" spans="1:32" ht="15.75" customHeight="1">
      <c r="A192" s="43"/>
      <c r="B192" s="30"/>
      <c r="C192" s="30"/>
      <c r="D192" s="31"/>
      <c r="E192" s="31"/>
      <c r="F192" s="31"/>
      <c r="G192" s="31"/>
      <c r="H192" s="31"/>
      <c r="I192" s="31"/>
      <c r="J192" s="31"/>
      <c r="K192" s="31"/>
      <c r="L192" s="31"/>
      <c r="M192" s="31"/>
      <c r="N192" s="13"/>
      <c r="O192" s="7"/>
      <c r="P192" s="7"/>
      <c r="Q192" s="7"/>
      <c r="R192" s="7"/>
      <c r="S192" s="7"/>
      <c r="T192" s="7"/>
      <c r="U192" s="7"/>
      <c r="V192" s="7"/>
      <c r="W192" s="7"/>
      <c r="X192" s="7"/>
      <c r="Y192" s="7"/>
      <c r="Z192" s="7"/>
      <c r="AA192" s="7"/>
      <c r="AB192" s="7"/>
      <c r="AC192" s="7"/>
      <c r="AD192" s="7"/>
      <c r="AE192" s="7"/>
      <c r="AF192" s="7"/>
    </row>
    <row r="193" spans="1:32" ht="15.75" customHeight="1">
      <c r="A193" s="43"/>
      <c r="B193" s="30"/>
      <c r="C193" s="30"/>
      <c r="D193" s="31"/>
      <c r="E193" s="31"/>
      <c r="F193" s="31"/>
      <c r="G193" s="31"/>
      <c r="H193" s="31"/>
      <c r="I193" s="31"/>
      <c r="J193" s="31"/>
      <c r="K193" s="31"/>
      <c r="L193" s="31"/>
      <c r="M193" s="31"/>
      <c r="N193" s="13"/>
      <c r="O193" s="7"/>
      <c r="P193" s="7"/>
      <c r="Q193" s="7"/>
      <c r="R193" s="7"/>
      <c r="S193" s="7"/>
      <c r="T193" s="7"/>
      <c r="U193" s="7"/>
      <c r="V193" s="7"/>
      <c r="W193" s="7"/>
      <c r="X193" s="7"/>
      <c r="Y193" s="7"/>
      <c r="Z193" s="7"/>
      <c r="AA193" s="7"/>
      <c r="AB193" s="7"/>
      <c r="AC193" s="7"/>
      <c r="AD193" s="7"/>
      <c r="AE193" s="7"/>
      <c r="AF193" s="7"/>
    </row>
    <row r="194" spans="1:32" ht="15.75" customHeight="1">
      <c r="A194" s="43"/>
      <c r="B194" s="30"/>
      <c r="C194" s="30"/>
      <c r="D194" s="31"/>
      <c r="E194" s="31"/>
      <c r="F194" s="31"/>
      <c r="G194" s="31"/>
      <c r="H194" s="31"/>
      <c r="I194" s="31"/>
      <c r="J194" s="31"/>
      <c r="K194" s="31"/>
      <c r="L194" s="31"/>
      <c r="M194" s="31"/>
      <c r="N194" s="13"/>
      <c r="O194" s="7"/>
      <c r="P194" s="7"/>
      <c r="Q194" s="7"/>
      <c r="R194" s="7"/>
      <c r="S194" s="7"/>
      <c r="T194" s="7"/>
      <c r="U194" s="7"/>
      <c r="V194" s="7"/>
      <c r="W194" s="7"/>
      <c r="X194" s="7"/>
      <c r="Y194" s="7"/>
      <c r="Z194" s="7"/>
      <c r="AA194" s="7"/>
      <c r="AB194" s="7"/>
      <c r="AC194" s="7"/>
      <c r="AD194" s="7"/>
      <c r="AE194" s="7"/>
      <c r="AF194" s="7"/>
    </row>
    <row r="195" spans="1:32" ht="15.75" customHeight="1">
      <c r="A195" s="43"/>
      <c r="B195" s="30"/>
      <c r="C195" s="30"/>
      <c r="D195" s="31"/>
      <c r="E195" s="31"/>
      <c r="F195" s="31"/>
      <c r="G195" s="31"/>
      <c r="H195" s="31"/>
      <c r="I195" s="31"/>
      <c r="J195" s="31"/>
      <c r="K195" s="31"/>
      <c r="L195" s="31"/>
      <c r="M195" s="31"/>
      <c r="N195" s="13"/>
      <c r="O195" s="7"/>
      <c r="P195" s="7"/>
      <c r="Q195" s="7"/>
      <c r="R195" s="7"/>
      <c r="S195" s="7"/>
      <c r="T195" s="7"/>
      <c r="U195" s="7"/>
      <c r="V195" s="7"/>
      <c r="W195" s="7"/>
      <c r="X195" s="7"/>
      <c r="Y195" s="7"/>
      <c r="Z195" s="7"/>
      <c r="AA195" s="7"/>
      <c r="AB195" s="7"/>
      <c r="AC195" s="7"/>
      <c r="AD195" s="7"/>
      <c r="AE195" s="7"/>
      <c r="AF195" s="7"/>
    </row>
    <row r="196" spans="1:32" ht="15.75" customHeight="1">
      <c r="A196" s="43"/>
      <c r="B196" s="30"/>
      <c r="C196" s="30"/>
      <c r="D196" s="31"/>
      <c r="E196" s="31"/>
      <c r="F196" s="31"/>
      <c r="G196" s="31"/>
      <c r="H196" s="31"/>
      <c r="I196" s="31"/>
      <c r="J196" s="31"/>
      <c r="K196" s="31"/>
      <c r="L196" s="31"/>
      <c r="M196" s="31"/>
      <c r="N196" s="13"/>
      <c r="O196" s="7"/>
      <c r="P196" s="7"/>
      <c r="Q196" s="7"/>
      <c r="R196" s="7"/>
      <c r="S196" s="7"/>
      <c r="T196" s="7"/>
      <c r="U196" s="7"/>
      <c r="V196" s="7"/>
      <c r="W196" s="7"/>
      <c r="X196" s="7"/>
      <c r="Y196" s="7"/>
      <c r="Z196" s="7"/>
      <c r="AA196" s="7"/>
      <c r="AB196" s="7"/>
      <c r="AC196" s="7"/>
      <c r="AD196" s="7"/>
      <c r="AE196" s="7"/>
      <c r="AF196" s="7"/>
    </row>
    <row r="197" spans="1:32" ht="15.75" customHeight="1">
      <c r="A197" s="43"/>
      <c r="B197" s="30"/>
      <c r="C197" s="30"/>
      <c r="D197" s="31"/>
      <c r="E197" s="31"/>
      <c r="F197" s="31"/>
      <c r="G197" s="31"/>
      <c r="H197" s="31"/>
      <c r="I197" s="31"/>
      <c r="J197" s="31"/>
      <c r="K197" s="31"/>
      <c r="L197" s="31"/>
      <c r="M197" s="31"/>
      <c r="N197" s="13"/>
      <c r="O197" s="7"/>
      <c r="P197" s="7"/>
      <c r="Q197" s="7"/>
      <c r="R197" s="7"/>
      <c r="S197" s="7"/>
      <c r="T197" s="7"/>
      <c r="U197" s="7"/>
      <c r="V197" s="7"/>
      <c r="W197" s="7"/>
      <c r="X197" s="7"/>
      <c r="Y197" s="7"/>
      <c r="Z197" s="7"/>
      <c r="AA197" s="7"/>
      <c r="AB197" s="7"/>
      <c r="AC197" s="7"/>
      <c r="AD197" s="7"/>
      <c r="AE197" s="7"/>
      <c r="AF197" s="7"/>
    </row>
    <row r="198" spans="1:32" ht="15.75" customHeight="1">
      <c r="A198" s="43"/>
      <c r="B198" s="30"/>
      <c r="C198" s="30"/>
      <c r="D198" s="31"/>
      <c r="E198" s="31"/>
      <c r="F198" s="31"/>
      <c r="G198" s="31"/>
      <c r="H198" s="31"/>
      <c r="I198" s="31"/>
      <c r="J198" s="31"/>
      <c r="K198" s="31"/>
      <c r="L198" s="31"/>
      <c r="M198" s="31"/>
      <c r="N198" s="13"/>
      <c r="O198" s="7"/>
      <c r="P198" s="7"/>
      <c r="Q198" s="7"/>
      <c r="R198" s="7"/>
      <c r="S198" s="7"/>
      <c r="T198" s="7"/>
      <c r="U198" s="7"/>
      <c r="V198" s="7"/>
      <c r="W198" s="7"/>
      <c r="X198" s="7"/>
      <c r="Y198" s="7"/>
      <c r="Z198" s="7"/>
      <c r="AA198" s="7"/>
      <c r="AB198" s="7"/>
      <c r="AC198" s="7"/>
      <c r="AD198" s="7"/>
      <c r="AE198" s="7"/>
      <c r="AF198" s="7"/>
    </row>
    <row r="199" spans="1:32" ht="15.75" customHeight="1">
      <c r="A199" s="43"/>
      <c r="B199" s="30"/>
      <c r="C199" s="30"/>
      <c r="D199" s="31"/>
      <c r="E199" s="31"/>
      <c r="F199" s="31"/>
      <c r="G199" s="31"/>
      <c r="H199" s="31"/>
      <c r="I199" s="31"/>
      <c r="J199" s="31"/>
      <c r="K199" s="31"/>
      <c r="L199" s="31"/>
      <c r="M199" s="31"/>
      <c r="N199" s="13"/>
      <c r="O199" s="7"/>
      <c r="P199" s="7"/>
      <c r="Q199" s="7"/>
      <c r="R199" s="7"/>
      <c r="S199" s="7"/>
      <c r="T199" s="7"/>
      <c r="U199" s="7"/>
      <c r="V199" s="7"/>
      <c r="W199" s="7"/>
      <c r="X199" s="7"/>
      <c r="Y199" s="7"/>
      <c r="Z199" s="7"/>
      <c r="AA199" s="7"/>
      <c r="AB199" s="7"/>
      <c r="AC199" s="7"/>
      <c r="AD199" s="7"/>
      <c r="AE199" s="7"/>
      <c r="AF199" s="7"/>
    </row>
    <row r="200" spans="1:32" ht="15.75" customHeight="1">
      <c r="A200" s="43"/>
      <c r="B200" s="30"/>
      <c r="C200" s="30"/>
      <c r="D200" s="31"/>
      <c r="E200" s="31"/>
      <c r="F200" s="31"/>
      <c r="G200" s="31"/>
      <c r="H200" s="31"/>
      <c r="I200" s="31"/>
      <c r="J200" s="31"/>
      <c r="K200" s="31"/>
      <c r="L200" s="31"/>
      <c r="M200" s="31"/>
      <c r="N200" s="13"/>
      <c r="O200" s="7"/>
      <c r="P200" s="7"/>
      <c r="Q200" s="7"/>
      <c r="R200" s="7"/>
      <c r="S200" s="7"/>
      <c r="T200" s="7"/>
      <c r="U200" s="7"/>
      <c r="V200" s="7"/>
      <c r="W200" s="7"/>
      <c r="X200" s="7"/>
      <c r="Y200" s="7"/>
      <c r="Z200" s="7"/>
      <c r="AA200" s="7"/>
      <c r="AB200" s="7"/>
      <c r="AC200" s="7"/>
      <c r="AD200" s="7"/>
      <c r="AE200" s="7"/>
      <c r="AF200" s="7"/>
    </row>
    <row r="201" spans="1:32" ht="15.75" customHeight="1">
      <c r="A201" s="43"/>
      <c r="B201" s="30"/>
      <c r="C201" s="30"/>
      <c r="D201" s="31"/>
      <c r="E201" s="31"/>
      <c r="F201" s="31"/>
      <c r="G201" s="31"/>
      <c r="H201" s="31"/>
      <c r="I201" s="31"/>
      <c r="J201" s="31"/>
      <c r="K201" s="31"/>
      <c r="L201" s="31"/>
      <c r="M201" s="31"/>
      <c r="N201" s="13"/>
      <c r="O201" s="7"/>
      <c r="P201" s="7"/>
      <c r="Q201" s="7"/>
      <c r="R201" s="7"/>
      <c r="S201" s="7"/>
      <c r="T201" s="7"/>
      <c r="U201" s="7"/>
      <c r="V201" s="7"/>
      <c r="W201" s="7"/>
      <c r="X201" s="7"/>
      <c r="Y201" s="7"/>
      <c r="Z201" s="7"/>
      <c r="AA201" s="7"/>
      <c r="AB201" s="7"/>
      <c r="AC201" s="7"/>
      <c r="AD201" s="7"/>
      <c r="AE201" s="7"/>
      <c r="AF201" s="7"/>
    </row>
    <row r="202" spans="1:32" ht="15.75" customHeight="1">
      <c r="A202" s="43"/>
      <c r="B202" s="30"/>
      <c r="C202" s="30"/>
      <c r="D202" s="31"/>
      <c r="E202" s="31"/>
      <c r="F202" s="31"/>
      <c r="G202" s="31"/>
      <c r="H202" s="31"/>
      <c r="I202" s="31"/>
      <c r="J202" s="31"/>
      <c r="K202" s="31"/>
      <c r="L202" s="31"/>
      <c r="M202" s="31"/>
      <c r="N202" s="13"/>
      <c r="O202" s="7"/>
      <c r="P202" s="7"/>
      <c r="Q202" s="7"/>
      <c r="R202" s="7"/>
      <c r="S202" s="7"/>
      <c r="T202" s="7"/>
      <c r="U202" s="7"/>
      <c r="V202" s="7"/>
      <c r="W202" s="7"/>
      <c r="X202" s="7"/>
      <c r="Y202" s="7"/>
      <c r="Z202" s="7"/>
      <c r="AA202" s="7"/>
      <c r="AB202" s="7"/>
      <c r="AC202" s="7"/>
      <c r="AD202" s="7"/>
      <c r="AE202" s="7"/>
      <c r="AF202" s="7"/>
    </row>
    <row r="203" spans="1:32" ht="15.75" customHeight="1">
      <c r="A203" s="43"/>
      <c r="B203" s="30"/>
      <c r="C203" s="30"/>
      <c r="D203" s="31"/>
      <c r="E203" s="31"/>
      <c r="F203" s="31"/>
      <c r="G203" s="31"/>
      <c r="H203" s="31"/>
      <c r="I203" s="31"/>
      <c r="J203" s="31"/>
      <c r="K203" s="31"/>
      <c r="L203" s="31"/>
      <c r="M203" s="31"/>
      <c r="N203" s="13"/>
      <c r="O203" s="7"/>
      <c r="P203" s="7"/>
      <c r="Q203" s="7"/>
      <c r="R203" s="7"/>
      <c r="S203" s="7"/>
      <c r="T203" s="7"/>
      <c r="U203" s="7"/>
      <c r="V203" s="7"/>
      <c r="W203" s="7"/>
      <c r="X203" s="7"/>
      <c r="Y203" s="7"/>
      <c r="Z203" s="7"/>
      <c r="AA203" s="7"/>
      <c r="AB203" s="7"/>
      <c r="AC203" s="7"/>
      <c r="AD203" s="7"/>
      <c r="AE203" s="7"/>
      <c r="AF203" s="7"/>
    </row>
    <row r="204" spans="1:32" ht="15.75" customHeight="1">
      <c r="A204" s="43"/>
      <c r="B204" s="30"/>
      <c r="C204" s="30"/>
      <c r="D204" s="31"/>
      <c r="E204" s="31"/>
      <c r="F204" s="31"/>
      <c r="G204" s="31"/>
      <c r="H204" s="31"/>
      <c r="I204" s="31"/>
      <c r="J204" s="31"/>
      <c r="K204" s="31"/>
      <c r="L204" s="31"/>
      <c r="M204" s="31"/>
      <c r="N204" s="13"/>
      <c r="O204" s="7"/>
      <c r="P204" s="7"/>
      <c r="Q204" s="7"/>
      <c r="R204" s="7"/>
      <c r="S204" s="7"/>
      <c r="T204" s="7"/>
      <c r="U204" s="7"/>
      <c r="V204" s="7"/>
      <c r="W204" s="7"/>
      <c r="X204" s="7"/>
      <c r="Y204" s="7"/>
      <c r="Z204" s="7"/>
      <c r="AA204" s="7"/>
      <c r="AB204" s="7"/>
      <c r="AC204" s="7"/>
      <c r="AD204" s="7"/>
      <c r="AE204" s="7"/>
      <c r="AF204" s="7"/>
    </row>
    <row r="205" spans="1:32" ht="15.75" customHeight="1">
      <c r="A205" s="43"/>
      <c r="B205" s="30"/>
      <c r="C205" s="30"/>
      <c r="D205" s="31"/>
      <c r="E205" s="31"/>
      <c r="F205" s="31"/>
      <c r="G205" s="31"/>
      <c r="H205" s="31"/>
      <c r="I205" s="31"/>
      <c r="J205" s="31"/>
      <c r="K205" s="31"/>
      <c r="L205" s="31"/>
      <c r="M205" s="31"/>
      <c r="N205" s="13"/>
      <c r="O205" s="7"/>
      <c r="P205" s="7"/>
      <c r="Q205" s="7"/>
      <c r="R205" s="7"/>
      <c r="S205" s="7"/>
      <c r="T205" s="7"/>
      <c r="U205" s="7"/>
      <c r="V205" s="7"/>
      <c r="W205" s="7"/>
      <c r="X205" s="7"/>
      <c r="Y205" s="7"/>
      <c r="Z205" s="7"/>
      <c r="AA205" s="7"/>
      <c r="AB205" s="7"/>
      <c r="AC205" s="7"/>
      <c r="AD205" s="7"/>
      <c r="AE205" s="7"/>
      <c r="AF205" s="7"/>
    </row>
    <row r="206" spans="1:32" ht="15.75" customHeight="1">
      <c r="A206" s="43"/>
      <c r="B206" s="30"/>
      <c r="C206" s="30"/>
      <c r="D206" s="31"/>
      <c r="E206" s="31"/>
      <c r="F206" s="31"/>
      <c r="G206" s="31"/>
      <c r="H206" s="31"/>
      <c r="I206" s="31"/>
      <c r="J206" s="31"/>
      <c r="K206" s="31"/>
      <c r="L206" s="31"/>
      <c r="M206" s="31"/>
      <c r="N206" s="13"/>
      <c r="O206" s="7"/>
      <c r="P206" s="7"/>
      <c r="Q206" s="7"/>
      <c r="R206" s="7"/>
      <c r="S206" s="7"/>
      <c r="T206" s="7"/>
      <c r="U206" s="7"/>
      <c r="V206" s="7"/>
      <c r="W206" s="7"/>
      <c r="X206" s="7"/>
      <c r="Y206" s="7"/>
      <c r="Z206" s="7"/>
      <c r="AA206" s="7"/>
      <c r="AB206" s="7"/>
      <c r="AC206" s="7"/>
      <c r="AD206" s="7"/>
      <c r="AE206" s="7"/>
      <c r="AF206" s="7"/>
    </row>
    <row r="207" spans="1:32" ht="15.75" customHeight="1">
      <c r="A207" s="43"/>
      <c r="B207" s="30"/>
      <c r="C207" s="30"/>
      <c r="D207" s="31"/>
      <c r="E207" s="31"/>
      <c r="F207" s="31"/>
      <c r="G207" s="31"/>
      <c r="H207" s="31"/>
      <c r="I207" s="31"/>
      <c r="J207" s="31"/>
      <c r="K207" s="31"/>
      <c r="L207" s="31"/>
      <c r="M207" s="31"/>
      <c r="N207" s="13"/>
      <c r="O207" s="7"/>
      <c r="P207" s="7"/>
      <c r="Q207" s="7"/>
      <c r="R207" s="7"/>
      <c r="S207" s="7"/>
      <c r="T207" s="7"/>
      <c r="U207" s="7"/>
      <c r="V207" s="7"/>
      <c r="W207" s="7"/>
      <c r="X207" s="7"/>
      <c r="Y207" s="7"/>
      <c r="Z207" s="7"/>
      <c r="AA207" s="7"/>
      <c r="AB207" s="7"/>
      <c r="AC207" s="7"/>
      <c r="AD207" s="7"/>
      <c r="AE207" s="7"/>
      <c r="AF207" s="7"/>
    </row>
    <row r="208" spans="1:32" ht="15.75" customHeight="1">
      <c r="A208" s="43"/>
      <c r="B208" s="30"/>
      <c r="C208" s="30"/>
      <c r="D208" s="31"/>
      <c r="E208" s="31"/>
      <c r="F208" s="31"/>
      <c r="G208" s="31"/>
      <c r="H208" s="31"/>
      <c r="I208" s="31"/>
      <c r="J208" s="31"/>
      <c r="K208" s="31"/>
      <c r="L208" s="31"/>
      <c r="M208" s="31"/>
      <c r="N208" s="13"/>
      <c r="O208" s="7"/>
      <c r="P208" s="7"/>
      <c r="Q208" s="7"/>
      <c r="R208" s="7"/>
      <c r="S208" s="7"/>
      <c r="T208" s="7"/>
      <c r="U208" s="7"/>
      <c r="V208" s="7"/>
      <c r="W208" s="7"/>
      <c r="X208" s="7"/>
      <c r="Y208" s="7"/>
      <c r="Z208" s="7"/>
      <c r="AA208" s="7"/>
      <c r="AB208" s="7"/>
      <c r="AC208" s="7"/>
      <c r="AD208" s="7"/>
      <c r="AE208" s="7"/>
      <c r="AF208" s="7"/>
    </row>
    <row r="209" spans="1:32" ht="15.75" customHeight="1">
      <c r="A209" s="43"/>
      <c r="B209" s="30"/>
      <c r="C209" s="30"/>
      <c r="D209" s="31"/>
      <c r="E209" s="31"/>
      <c r="F209" s="31"/>
      <c r="G209" s="31"/>
      <c r="H209" s="31"/>
      <c r="I209" s="31"/>
      <c r="J209" s="31"/>
      <c r="K209" s="31"/>
      <c r="L209" s="31"/>
      <c r="M209" s="31"/>
      <c r="N209" s="13"/>
      <c r="O209" s="7"/>
      <c r="P209" s="7"/>
      <c r="Q209" s="7"/>
      <c r="R209" s="7"/>
      <c r="S209" s="7"/>
      <c r="T209" s="7"/>
      <c r="U209" s="7"/>
      <c r="V209" s="7"/>
      <c r="W209" s="7"/>
      <c r="X209" s="7"/>
      <c r="Y209" s="7"/>
      <c r="Z209" s="7"/>
      <c r="AA209" s="7"/>
      <c r="AB209" s="7"/>
      <c r="AC209" s="7"/>
      <c r="AD209" s="7"/>
      <c r="AE209" s="7"/>
      <c r="AF209" s="7"/>
    </row>
    <row r="210" spans="1:32" ht="15.75" customHeight="1">
      <c r="A210" s="43"/>
      <c r="B210" s="30"/>
      <c r="C210" s="30"/>
      <c r="D210" s="31"/>
      <c r="E210" s="31"/>
      <c r="F210" s="31"/>
      <c r="G210" s="31"/>
      <c r="H210" s="31"/>
      <c r="I210" s="31"/>
      <c r="J210" s="31"/>
      <c r="K210" s="31"/>
      <c r="L210" s="31"/>
      <c r="M210" s="31"/>
      <c r="N210" s="13"/>
      <c r="O210" s="7"/>
      <c r="P210" s="7"/>
      <c r="Q210" s="7"/>
      <c r="R210" s="7"/>
      <c r="S210" s="7"/>
      <c r="T210" s="7"/>
      <c r="U210" s="7"/>
      <c r="V210" s="7"/>
      <c r="W210" s="7"/>
      <c r="X210" s="7"/>
      <c r="Y210" s="7"/>
      <c r="Z210" s="7"/>
      <c r="AA210" s="7"/>
      <c r="AB210" s="7"/>
      <c r="AC210" s="7"/>
      <c r="AD210" s="7"/>
      <c r="AE210" s="7"/>
      <c r="AF210" s="7"/>
    </row>
    <row r="211" spans="1:32" ht="15.75" customHeight="1">
      <c r="A211" s="43"/>
      <c r="B211" s="30"/>
      <c r="C211" s="30"/>
      <c r="D211" s="31"/>
      <c r="E211" s="31"/>
      <c r="F211" s="31"/>
      <c r="G211" s="31"/>
      <c r="H211" s="31"/>
      <c r="I211" s="31"/>
      <c r="J211" s="31"/>
      <c r="K211" s="31"/>
      <c r="L211" s="31"/>
      <c r="M211" s="31"/>
      <c r="N211" s="13"/>
      <c r="O211" s="7"/>
      <c r="P211" s="7"/>
      <c r="Q211" s="7"/>
      <c r="R211" s="7"/>
      <c r="S211" s="7"/>
      <c r="T211" s="7"/>
      <c r="U211" s="7"/>
      <c r="V211" s="7"/>
      <c r="W211" s="7"/>
      <c r="X211" s="7"/>
      <c r="Y211" s="7"/>
      <c r="Z211" s="7"/>
      <c r="AA211" s="7"/>
      <c r="AB211" s="7"/>
      <c r="AC211" s="7"/>
      <c r="AD211" s="7"/>
      <c r="AE211" s="7"/>
      <c r="AF211" s="7"/>
    </row>
    <row r="212" spans="1:32" ht="15.75" customHeight="1">
      <c r="A212" s="43"/>
      <c r="B212" s="30"/>
      <c r="C212" s="30"/>
      <c r="D212" s="31"/>
      <c r="E212" s="31"/>
      <c r="F212" s="31"/>
      <c r="G212" s="31"/>
      <c r="H212" s="31"/>
      <c r="I212" s="31"/>
      <c r="J212" s="31"/>
      <c r="K212" s="31"/>
      <c r="L212" s="31"/>
      <c r="M212" s="31"/>
      <c r="N212" s="13"/>
      <c r="O212" s="7"/>
      <c r="P212" s="7"/>
      <c r="Q212" s="7"/>
      <c r="R212" s="7"/>
      <c r="S212" s="7"/>
      <c r="T212" s="7"/>
      <c r="U212" s="7"/>
      <c r="V212" s="7"/>
      <c r="W212" s="7"/>
      <c r="X212" s="7"/>
      <c r="Y212" s="7"/>
      <c r="Z212" s="7"/>
      <c r="AA212" s="7"/>
      <c r="AB212" s="7"/>
      <c r="AC212" s="7"/>
      <c r="AD212" s="7"/>
      <c r="AE212" s="7"/>
      <c r="AF212" s="7"/>
    </row>
    <row r="213" spans="1:32" ht="15.75" customHeight="1">
      <c r="A213" s="43"/>
      <c r="B213" s="30"/>
      <c r="C213" s="30"/>
      <c r="D213" s="31"/>
      <c r="E213" s="31"/>
      <c r="F213" s="31"/>
      <c r="G213" s="31"/>
      <c r="H213" s="31"/>
      <c r="I213" s="31"/>
      <c r="J213" s="31"/>
      <c r="K213" s="31"/>
      <c r="L213" s="31"/>
      <c r="M213" s="31"/>
      <c r="N213" s="13"/>
      <c r="O213" s="7"/>
      <c r="P213" s="7"/>
      <c r="Q213" s="7"/>
      <c r="R213" s="7"/>
      <c r="S213" s="7"/>
      <c r="T213" s="7"/>
      <c r="U213" s="7"/>
      <c r="V213" s="7"/>
      <c r="W213" s="7"/>
      <c r="X213" s="7"/>
      <c r="Y213" s="7"/>
      <c r="Z213" s="7"/>
      <c r="AA213" s="7"/>
      <c r="AB213" s="7"/>
      <c r="AC213" s="7"/>
      <c r="AD213" s="7"/>
      <c r="AE213" s="7"/>
      <c r="AF213" s="7"/>
    </row>
    <row r="214" spans="1:32" ht="15.75" customHeight="1">
      <c r="A214" s="43"/>
      <c r="B214" s="30"/>
      <c r="C214" s="30"/>
      <c r="D214" s="31"/>
      <c r="E214" s="31"/>
      <c r="F214" s="31"/>
      <c r="G214" s="31"/>
      <c r="H214" s="31"/>
      <c r="I214" s="31"/>
      <c r="J214" s="31"/>
      <c r="K214" s="31"/>
      <c r="L214" s="31"/>
      <c r="M214" s="31"/>
      <c r="N214" s="13"/>
      <c r="O214" s="7"/>
      <c r="P214" s="7"/>
      <c r="Q214" s="7"/>
      <c r="R214" s="7"/>
      <c r="S214" s="7"/>
      <c r="T214" s="7"/>
      <c r="U214" s="7"/>
      <c r="V214" s="7"/>
      <c r="W214" s="7"/>
      <c r="X214" s="7"/>
      <c r="Y214" s="7"/>
      <c r="Z214" s="7"/>
      <c r="AA214" s="7"/>
      <c r="AB214" s="7"/>
      <c r="AC214" s="7"/>
      <c r="AD214" s="7"/>
      <c r="AE214" s="7"/>
      <c r="AF214" s="7"/>
    </row>
    <row r="215" spans="1:32" ht="15.75" customHeight="1">
      <c r="A215" s="43"/>
      <c r="B215" s="30"/>
      <c r="C215" s="30"/>
      <c r="D215" s="31"/>
      <c r="E215" s="31"/>
      <c r="F215" s="31"/>
      <c r="G215" s="31"/>
      <c r="H215" s="31"/>
      <c r="I215" s="31"/>
      <c r="J215" s="31"/>
      <c r="K215" s="31"/>
      <c r="L215" s="31"/>
      <c r="M215" s="31"/>
      <c r="N215" s="13"/>
      <c r="O215" s="7"/>
      <c r="P215" s="7"/>
      <c r="Q215" s="7"/>
      <c r="R215" s="7"/>
      <c r="S215" s="7"/>
      <c r="T215" s="7"/>
      <c r="U215" s="7"/>
      <c r="V215" s="7"/>
      <c r="W215" s="7"/>
      <c r="X215" s="7"/>
      <c r="Y215" s="7"/>
      <c r="Z215" s="7"/>
      <c r="AA215" s="7"/>
      <c r="AB215" s="7"/>
      <c r="AC215" s="7"/>
      <c r="AD215" s="7"/>
      <c r="AE215" s="7"/>
      <c r="AF215" s="7"/>
    </row>
    <row r="216" spans="1:32" ht="15.75" customHeight="1">
      <c r="A216" s="43"/>
      <c r="B216" s="30"/>
      <c r="C216" s="30"/>
      <c r="D216" s="31"/>
      <c r="E216" s="31"/>
      <c r="F216" s="31"/>
      <c r="G216" s="31"/>
      <c r="H216" s="31"/>
      <c r="I216" s="31"/>
      <c r="J216" s="31"/>
      <c r="K216" s="31"/>
      <c r="L216" s="31"/>
      <c r="M216" s="31"/>
      <c r="N216" s="13"/>
      <c r="O216" s="7"/>
      <c r="P216" s="7"/>
      <c r="Q216" s="7"/>
      <c r="R216" s="7"/>
      <c r="S216" s="7"/>
      <c r="T216" s="7"/>
      <c r="U216" s="7"/>
      <c r="V216" s="7"/>
      <c r="W216" s="7"/>
      <c r="X216" s="7"/>
      <c r="Y216" s="7"/>
      <c r="Z216" s="7"/>
      <c r="AA216" s="7"/>
      <c r="AB216" s="7"/>
      <c r="AC216" s="7"/>
      <c r="AD216" s="7"/>
      <c r="AE216" s="7"/>
      <c r="AF216" s="7"/>
    </row>
    <row r="217" spans="1:32" ht="15.75" customHeight="1">
      <c r="A217" s="43"/>
      <c r="B217" s="30"/>
      <c r="C217" s="30"/>
      <c r="D217" s="31"/>
      <c r="E217" s="31"/>
      <c r="F217" s="31"/>
      <c r="G217" s="31"/>
      <c r="H217" s="31"/>
      <c r="I217" s="31"/>
      <c r="J217" s="31"/>
      <c r="K217" s="31"/>
      <c r="L217" s="31"/>
      <c r="M217" s="31"/>
      <c r="N217" s="13"/>
      <c r="O217" s="7"/>
      <c r="P217" s="7"/>
      <c r="Q217" s="7"/>
      <c r="R217" s="7"/>
      <c r="S217" s="7"/>
      <c r="T217" s="7"/>
      <c r="U217" s="7"/>
      <c r="V217" s="7"/>
      <c r="W217" s="7"/>
      <c r="X217" s="7"/>
      <c r="Y217" s="7"/>
      <c r="Z217" s="7"/>
      <c r="AA217" s="7"/>
      <c r="AB217" s="7"/>
      <c r="AC217" s="7"/>
      <c r="AD217" s="7"/>
      <c r="AE217" s="7"/>
      <c r="AF217" s="7"/>
    </row>
    <row r="218" spans="1:32" ht="15.75" customHeight="1">
      <c r="A218" s="43"/>
      <c r="B218" s="30"/>
      <c r="C218" s="30"/>
      <c r="D218" s="31"/>
      <c r="E218" s="31"/>
      <c r="F218" s="31"/>
      <c r="G218" s="31"/>
      <c r="H218" s="31"/>
      <c r="I218" s="31"/>
      <c r="J218" s="31"/>
      <c r="K218" s="31"/>
      <c r="L218" s="31"/>
      <c r="M218" s="31"/>
      <c r="N218" s="13"/>
      <c r="O218" s="7"/>
      <c r="P218" s="7"/>
      <c r="Q218" s="7"/>
      <c r="R218" s="7"/>
      <c r="S218" s="7"/>
      <c r="T218" s="7"/>
      <c r="U218" s="7"/>
      <c r="V218" s="7"/>
      <c r="W218" s="7"/>
      <c r="X218" s="7"/>
      <c r="Y218" s="7"/>
      <c r="Z218" s="7"/>
      <c r="AA218" s="7"/>
      <c r="AB218" s="7"/>
      <c r="AC218" s="7"/>
      <c r="AD218" s="7"/>
      <c r="AE218" s="7"/>
      <c r="AF218" s="7"/>
    </row>
    <row r="219" spans="1:32" ht="15.75" customHeight="1">
      <c r="A219" s="43"/>
      <c r="B219" s="30"/>
      <c r="C219" s="30"/>
      <c r="D219" s="31"/>
      <c r="E219" s="31"/>
      <c r="F219" s="31"/>
      <c r="G219" s="31"/>
      <c r="H219" s="31"/>
      <c r="I219" s="31"/>
      <c r="J219" s="31"/>
      <c r="K219" s="31"/>
      <c r="L219" s="31"/>
      <c r="M219" s="31"/>
      <c r="N219" s="13"/>
      <c r="O219" s="7"/>
      <c r="P219" s="7"/>
      <c r="Q219" s="7"/>
      <c r="R219" s="7"/>
      <c r="S219" s="7"/>
      <c r="T219" s="7"/>
      <c r="U219" s="7"/>
      <c r="V219" s="7"/>
      <c r="W219" s="7"/>
      <c r="X219" s="7"/>
      <c r="Y219" s="7"/>
      <c r="Z219" s="7"/>
      <c r="AA219" s="7"/>
      <c r="AB219" s="7"/>
      <c r="AC219" s="7"/>
      <c r="AD219" s="7"/>
      <c r="AE219" s="7"/>
      <c r="AF219" s="7"/>
    </row>
    <row r="220" spans="1:32" ht="15.75" customHeight="1">
      <c r="A220" s="43"/>
      <c r="B220" s="30"/>
      <c r="C220" s="30"/>
      <c r="D220" s="31"/>
      <c r="E220" s="31"/>
      <c r="F220" s="31"/>
      <c r="G220" s="31"/>
      <c r="H220" s="31"/>
      <c r="I220" s="31"/>
      <c r="J220" s="31"/>
      <c r="K220" s="31"/>
      <c r="L220" s="31"/>
      <c r="M220" s="31"/>
      <c r="N220" s="13"/>
      <c r="O220" s="7"/>
      <c r="P220" s="7"/>
      <c r="Q220" s="7"/>
      <c r="R220" s="7"/>
      <c r="S220" s="7"/>
      <c r="T220" s="7"/>
      <c r="U220" s="7"/>
      <c r="V220" s="7"/>
      <c r="W220" s="7"/>
      <c r="X220" s="7"/>
      <c r="Y220" s="7"/>
      <c r="Z220" s="7"/>
      <c r="AA220" s="7"/>
      <c r="AB220" s="7"/>
      <c r="AC220" s="7"/>
      <c r="AD220" s="7"/>
      <c r="AE220" s="7"/>
      <c r="AF220" s="7"/>
    </row>
    <row r="221" spans="1:32" ht="15.75" customHeight="1">
      <c r="A221" s="43"/>
      <c r="B221" s="30"/>
      <c r="C221" s="30"/>
      <c r="D221" s="31"/>
      <c r="E221" s="31"/>
      <c r="F221" s="31"/>
      <c r="G221" s="31"/>
      <c r="H221" s="31"/>
      <c r="I221" s="31"/>
      <c r="J221" s="31"/>
      <c r="K221" s="31"/>
      <c r="L221" s="31"/>
      <c r="M221" s="31"/>
      <c r="N221" s="13"/>
      <c r="O221" s="7"/>
      <c r="P221" s="7"/>
      <c r="Q221" s="7"/>
      <c r="R221" s="7"/>
      <c r="S221" s="7"/>
      <c r="T221" s="7"/>
      <c r="U221" s="7"/>
      <c r="V221" s="7"/>
      <c r="W221" s="7"/>
      <c r="X221" s="7"/>
      <c r="Y221" s="7"/>
      <c r="Z221" s="7"/>
      <c r="AA221" s="7"/>
      <c r="AB221" s="7"/>
      <c r="AC221" s="7"/>
      <c r="AD221" s="7"/>
      <c r="AE221" s="7"/>
      <c r="AF221" s="7"/>
    </row>
    <row r="222" spans="1:32" ht="15.75" customHeight="1">
      <c r="A222" s="43"/>
      <c r="B222" s="30"/>
      <c r="C222" s="30"/>
      <c r="D222" s="31"/>
      <c r="E222" s="31"/>
      <c r="F222" s="31"/>
      <c r="G222" s="31"/>
      <c r="H222" s="31"/>
      <c r="I222" s="31"/>
      <c r="J222" s="31"/>
      <c r="K222" s="31"/>
      <c r="L222" s="31"/>
      <c r="M222" s="31"/>
      <c r="N222" s="13"/>
      <c r="O222" s="7"/>
      <c r="P222" s="7"/>
      <c r="Q222" s="7"/>
      <c r="R222" s="7"/>
      <c r="S222" s="7"/>
      <c r="T222" s="7"/>
      <c r="U222" s="7"/>
      <c r="V222" s="7"/>
      <c r="W222" s="7"/>
      <c r="X222" s="7"/>
      <c r="Y222" s="7"/>
      <c r="Z222" s="7"/>
      <c r="AA222" s="7"/>
      <c r="AB222" s="7"/>
      <c r="AC222" s="7"/>
      <c r="AD222" s="7"/>
      <c r="AE222" s="7"/>
      <c r="AF222" s="7"/>
    </row>
    <row r="223" spans="1:32" ht="15.75" customHeight="1">
      <c r="A223" s="43"/>
      <c r="B223" s="30"/>
      <c r="C223" s="30"/>
      <c r="D223" s="31"/>
      <c r="E223" s="31"/>
      <c r="F223" s="31"/>
      <c r="G223" s="31"/>
      <c r="H223" s="31"/>
      <c r="I223" s="31"/>
      <c r="J223" s="31"/>
      <c r="K223" s="31"/>
      <c r="L223" s="31"/>
      <c r="M223" s="31"/>
      <c r="N223" s="13"/>
      <c r="O223" s="7"/>
      <c r="P223" s="7"/>
      <c r="Q223" s="7"/>
      <c r="R223" s="7"/>
      <c r="S223" s="7"/>
      <c r="T223" s="7"/>
      <c r="U223" s="7"/>
      <c r="V223" s="7"/>
      <c r="W223" s="7"/>
      <c r="X223" s="7"/>
      <c r="Y223" s="7"/>
      <c r="Z223" s="7"/>
      <c r="AA223" s="7"/>
      <c r="AB223" s="7"/>
      <c r="AC223" s="7"/>
      <c r="AD223" s="7"/>
      <c r="AE223" s="7"/>
      <c r="AF223" s="7"/>
    </row>
    <row r="224" spans="1:32" ht="15.75" customHeight="1">
      <c r="A224" s="43"/>
      <c r="B224" s="30"/>
      <c r="C224" s="30"/>
      <c r="D224" s="31"/>
      <c r="E224" s="31"/>
      <c r="F224" s="31"/>
      <c r="G224" s="31"/>
      <c r="H224" s="31"/>
      <c r="I224" s="31"/>
      <c r="J224" s="31"/>
      <c r="K224" s="31"/>
      <c r="L224" s="31"/>
      <c r="M224" s="31"/>
      <c r="N224" s="13"/>
      <c r="O224" s="7"/>
      <c r="P224" s="7"/>
      <c r="Q224" s="7"/>
      <c r="R224" s="7"/>
      <c r="S224" s="7"/>
      <c r="T224" s="7"/>
      <c r="U224" s="7"/>
      <c r="V224" s="7"/>
      <c r="W224" s="7"/>
      <c r="X224" s="7"/>
      <c r="Y224" s="7"/>
      <c r="Z224" s="7"/>
      <c r="AA224" s="7"/>
      <c r="AB224" s="7"/>
      <c r="AC224" s="7"/>
      <c r="AD224" s="7"/>
      <c r="AE224" s="7"/>
      <c r="AF224" s="7"/>
    </row>
    <row r="225" spans="1:32" ht="15.75" customHeight="1">
      <c r="A225" s="43"/>
      <c r="B225" s="30"/>
      <c r="C225" s="30"/>
      <c r="D225" s="31"/>
      <c r="E225" s="31"/>
      <c r="F225" s="31"/>
      <c r="G225" s="31"/>
      <c r="H225" s="31"/>
      <c r="I225" s="31"/>
      <c r="J225" s="31"/>
      <c r="K225" s="31"/>
      <c r="L225" s="31"/>
      <c r="M225" s="31"/>
      <c r="N225" s="13"/>
      <c r="O225" s="7"/>
      <c r="P225" s="7"/>
      <c r="Q225" s="7"/>
      <c r="R225" s="7"/>
      <c r="S225" s="7"/>
      <c r="T225" s="7"/>
      <c r="U225" s="7"/>
      <c r="V225" s="7"/>
      <c r="W225" s="7"/>
      <c r="X225" s="7"/>
      <c r="Y225" s="7"/>
      <c r="Z225" s="7"/>
      <c r="AA225" s="7"/>
      <c r="AB225" s="7"/>
      <c r="AC225" s="7"/>
      <c r="AD225" s="7"/>
      <c r="AE225" s="7"/>
      <c r="AF225" s="7"/>
    </row>
    <row r="226" spans="1:32" ht="15.75" customHeight="1">
      <c r="A226" s="43"/>
      <c r="B226" s="30"/>
      <c r="C226" s="30"/>
      <c r="D226" s="31"/>
      <c r="E226" s="31"/>
      <c r="F226" s="31"/>
      <c r="G226" s="31"/>
      <c r="H226" s="31"/>
      <c r="I226" s="31"/>
      <c r="J226" s="31"/>
      <c r="K226" s="31"/>
      <c r="L226" s="31"/>
      <c r="M226" s="31"/>
      <c r="N226" s="13"/>
      <c r="O226" s="7"/>
      <c r="P226" s="7"/>
      <c r="Q226" s="7"/>
      <c r="R226" s="7"/>
      <c r="S226" s="7"/>
      <c r="T226" s="7"/>
      <c r="U226" s="7"/>
      <c r="V226" s="7"/>
      <c r="W226" s="7"/>
      <c r="X226" s="7"/>
      <c r="Y226" s="7"/>
      <c r="Z226" s="7"/>
      <c r="AA226" s="7"/>
      <c r="AB226" s="7"/>
      <c r="AC226" s="7"/>
      <c r="AD226" s="7"/>
      <c r="AE226" s="7"/>
      <c r="AF226" s="7"/>
    </row>
    <row r="227" spans="1:32" ht="15.75" customHeight="1">
      <c r="A227" s="43"/>
      <c r="B227" s="30"/>
      <c r="C227" s="30"/>
      <c r="D227" s="31"/>
      <c r="E227" s="31"/>
      <c r="F227" s="31"/>
      <c r="G227" s="31"/>
      <c r="H227" s="31"/>
      <c r="I227" s="31"/>
      <c r="J227" s="31"/>
      <c r="K227" s="31"/>
      <c r="L227" s="31"/>
      <c r="M227" s="31"/>
      <c r="N227" s="13"/>
      <c r="O227" s="7"/>
      <c r="P227" s="7"/>
      <c r="Q227" s="7"/>
      <c r="R227" s="7"/>
      <c r="S227" s="7"/>
      <c r="T227" s="7"/>
      <c r="U227" s="7"/>
      <c r="V227" s="7"/>
      <c r="W227" s="7"/>
      <c r="X227" s="7"/>
      <c r="Y227" s="7"/>
      <c r="Z227" s="7"/>
      <c r="AA227" s="7"/>
      <c r="AB227" s="7"/>
      <c r="AC227" s="7"/>
      <c r="AD227" s="7"/>
      <c r="AE227" s="7"/>
      <c r="AF227" s="7"/>
    </row>
    <row r="228" spans="1:32" ht="15.75" customHeight="1">
      <c r="A228" s="43"/>
      <c r="B228" s="30"/>
      <c r="C228" s="30"/>
      <c r="D228" s="31"/>
      <c r="E228" s="31"/>
      <c r="F228" s="31"/>
      <c r="G228" s="31"/>
      <c r="H228" s="31"/>
      <c r="I228" s="31"/>
      <c r="J228" s="31"/>
      <c r="K228" s="31"/>
      <c r="L228" s="31"/>
      <c r="M228" s="31"/>
      <c r="N228" s="13"/>
      <c r="O228" s="7"/>
      <c r="P228" s="7"/>
      <c r="Q228" s="7"/>
      <c r="R228" s="7"/>
      <c r="S228" s="7"/>
      <c r="T228" s="7"/>
      <c r="U228" s="7"/>
      <c r="V228" s="7"/>
      <c r="W228" s="7"/>
      <c r="X228" s="7"/>
      <c r="Y228" s="7"/>
      <c r="Z228" s="7"/>
      <c r="AA228" s="7"/>
      <c r="AB228" s="7"/>
      <c r="AC228" s="7"/>
      <c r="AD228" s="7"/>
      <c r="AE228" s="7"/>
      <c r="AF228" s="7"/>
    </row>
    <row r="229" spans="1:32" ht="15.75" customHeight="1">
      <c r="A229" s="43"/>
      <c r="B229" s="30"/>
      <c r="C229" s="30"/>
      <c r="D229" s="31"/>
      <c r="E229" s="31"/>
      <c r="F229" s="31"/>
      <c r="G229" s="31"/>
      <c r="H229" s="31"/>
      <c r="I229" s="31"/>
      <c r="J229" s="31"/>
      <c r="K229" s="31"/>
      <c r="L229" s="31"/>
      <c r="M229" s="31"/>
      <c r="N229" s="13"/>
      <c r="O229" s="7"/>
      <c r="P229" s="7"/>
      <c r="Q229" s="7"/>
      <c r="R229" s="7"/>
      <c r="S229" s="7"/>
      <c r="T229" s="7"/>
      <c r="U229" s="7"/>
      <c r="V229" s="7"/>
      <c r="W229" s="7"/>
      <c r="X229" s="7"/>
      <c r="Y229" s="7"/>
      <c r="Z229" s="7"/>
      <c r="AA229" s="7"/>
      <c r="AB229" s="7"/>
      <c r="AC229" s="7"/>
      <c r="AD229" s="7"/>
      <c r="AE229" s="7"/>
      <c r="AF229" s="7"/>
    </row>
    <row r="230" spans="1:32" ht="15.75" customHeight="1">
      <c r="A230" s="43"/>
      <c r="B230" s="30"/>
      <c r="C230" s="30"/>
      <c r="D230" s="31"/>
      <c r="E230" s="31"/>
      <c r="F230" s="31"/>
      <c r="G230" s="31"/>
      <c r="H230" s="31"/>
      <c r="I230" s="31"/>
      <c r="J230" s="31"/>
      <c r="K230" s="31"/>
      <c r="L230" s="31"/>
      <c r="M230" s="31"/>
      <c r="N230" s="13"/>
      <c r="O230" s="7"/>
      <c r="P230" s="7"/>
      <c r="Q230" s="7"/>
      <c r="R230" s="7"/>
      <c r="S230" s="7"/>
      <c r="T230" s="7"/>
      <c r="U230" s="7"/>
      <c r="V230" s="7"/>
      <c r="W230" s="7"/>
      <c r="X230" s="7"/>
      <c r="Y230" s="7"/>
      <c r="Z230" s="7"/>
      <c r="AA230" s="7"/>
      <c r="AB230" s="7"/>
      <c r="AC230" s="7"/>
      <c r="AD230" s="7"/>
      <c r="AE230" s="7"/>
      <c r="AF230" s="7"/>
    </row>
    <row r="231" spans="1:32" ht="15.75" customHeight="1">
      <c r="A231" s="43"/>
      <c r="B231" s="30"/>
      <c r="C231" s="30"/>
      <c r="D231" s="31"/>
      <c r="E231" s="31"/>
      <c r="F231" s="31"/>
      <c r="G231" s="31"/>
      <c r="H231" s="31"/>
      <c r="I231" s="31"/>
      <c r="J231" s="31"/>
      <c r="K231" s="31"/>
      <c r="L231" s="31"/>
      <c r="M231" s="31"/>
      <c r="N231" s="13"/>
      <c r="O231" s="7"/>
      <c r="P231" s="7"/>
      <c r="Q231" s="7"/>
      <c r="R231" s="7"/>
      <c r="S231" s="7"/>
      <c r="T231" s="7"/>
      <c r="U231" s="7"/>
      <c r="V231" s="7"/>
      <c r="W231" s="7"/>
      <c r="X231" s="7"/>
      <c r="Y231" s="7"/>
      <c r="Z231" s="7"/>
      <c r="AA231" s="7"/>
      <c r="AB231" s="7"/>
      <c r="AC231" s="7"/>
      <c r="AD231" s="7"/>
      <c r="AE231" s="7"/>
      <c r="AF231" s="7"/>
    </row>
    <row r="232" spans="1:32" ht="15.75" customHeight="1">
      <c r="A232" s="43"/>
      <c r="B232" s="30"/>
      <c r="C232" s="30"/>
      <c r="D232" s="31"/>
      <c r="E232" s="31"/>
      <c r="F232" s="31"/>
      <c r="G232" s="31"/>
      <c r="H232" s="31"/>
      <c r="I232" s="31"/>
      <c r="J232" s="31"/>
      <c r="K232" s="31"/>
      <c r="L232" s="31"/>
      <c r="M232" s="31"/>
      <c r="N232" s="13"/>
      <c r="O232" s="7"/>
      <c r="P232" s="7"/>
      <c r="Q232" s="7"/>
      <c r="R232" s="7"/>
      <c r="S232" s="7"/>
      <c r="T232" s="7"/>
      <c r="U232" s="7"/>
      <c r="V232" s="7"/>
      <c r="W232" s="7"/>
      <c r="X232" s="7"/>
      <c r="Y232" s="7"/>
      <c r="Z232" s="7"/>
      <c r="AA232" s="7"/>
      <c r="AB232" s="7"/>
      <c r="AC232" s="7"/>
      <c r="AD232" s="7"/>
      <c r="AE232" s="7"/>
      <c r="AF232" s="7"/>
    </row>
    <row r="233" spans="1:32" ht="15.75" customHeight="1">
      <c r="A233" s="43"/>
      <c r="B233" s="30"/>
      <c r="C233" s="30"/>
      <c r="D233" s="31"/>
      <c r="E233" s="31"/>
      <c r="F233" s="31"/>
      <c r="G233" s="31"/>
      <c r="H233" s="31"/>
      <c r="I233" s="31"/>
      <c r="J233" s="31"/>
      <c r="K233" s="31"/>
      <c r="L233" s="31"/>
      <c r="M233" s="31"/>
      <c r="N233" s="13"/>
      <c r="O233" s="7"/>
      <c r="P233" s="7"/>
      <c r="Q233" s="7"/>
      <c r="R233" s="7"/>
      <c r="S233" s="7"/>
      <c r="T233" s="7"/>
      <c r="U233" s="7"/>
      <c r="V233" s="7"/>
      <c r="W233" s="7"/>
      <c r="X233" s="7"/>
      <c r="Y233" s="7"/>
      <c r="Z233" s="7"/>
      <c r="AA233" s="7"/>
      <c r="AB233" s="7"/>
      <c r="AC233" s="7"/>
      <c r="AD233" s="7"/>
      <c r="AE233" s="7"/>
      <c r="AF233" s="7"/>
    </row>
    <row r="234" spans="1:32" ht="15.75" customHeight="1">
      <c r="A234" s="43"/>
      <c r="B234" s="30"/>
      <c r="C234" s="30"/>
      <c r="D234" s="31"/>
      <c r="E234" s="31"/>
      <c r="F234" s="31"/>
      <c r="G234" s="31"/>
      <c r="H234" s="31"/>
      <c r="I234" s="31"/>
      <c r="J234" s="31"/>
      <c r="K234" s="31"/>
      <c r="L234" s="31"/>
      <c r="M234" s="31"/>
      <c r="N234" s="13"/>
      <c r="O234" s="7"/>
      <c r="P234" s="7"/>
      <c r="Q234" s="7"/>
      <c r="R234" s="7"/>
      <c r="S234" s="7"/>
      <c r="T234" s="7"/>
      <c r="U234" s="7"/>
      <c r="V234" s="7"/>
      <c r="W234" s="7"/>
      <c r="X234" s="7"/>
      <c r="Y234" s="7"/>
      <c r="Z234" s="7"/>
      <c r="AA234" s="7"/>
      <c r="AB234" s="7"/>
      <c r="AC234" s="7"/>
      <c r="AD234" s="7"/>
      <c r="AE234" s="7"/>
      <c r="AF234" s="7"/>
    </row>
    <row r="235" spans="1:32" ht="15.75" customHeight="1">
      <c r="A235" s="43"/>
      <c r="B235" s="30"/>
      <c r="C235" s="30"/>
      <c r="D235" s="31"/>
      <c r="E235" s="31"/>
      <c r="F235" s="31"/>
      <c r="G235" s="31"/>
      <c r="H235" s="31"/>
      <c r="I235" s="31"/>
      <c r="J235" s="31"/>
      <c r="K235" s="31"/>
      <c r="L235" s="31"/>
      <c r="M235" s="31"/>
      <c r="N235" s="13"/>
      <c r="O235" s="7"/>
      <c r="P235" s="7"/>
      <c r="Q235" s="7"/>
      <c r="R235" s="7"/>
      <c r="S235" s="7"/>
      <c r="T235" s="7"/>
      <c r="U235" s="7"/>
      <c r="V235" s="7"/>
      <c r="W235" s="7"/>
      <c r="X235" s="7"/>
      <c r="Y235" s="7"/>
      <c r="Z235" s="7"/>
      <c r="AA235" s="7"/>
      <c r="AB235" s="7"/>
      <c r="AC235" s="7"/>
      <c r="AD235" s="7"/>
      <c r="AE235" s="7"/>
      <c r="AF235" s="7"/>
    </row>
    <row r="236" spans="1:32" ht="15.75" customHeight="1">
      <c r="A236" s="43"/>
      <c r="B236" s="30"/>
      <c r="C236" s="30"/>
      <c r="D236" s="31"/>
      <c r="E236" s="31"/>
      <c r="F236" s="31"/>
      <c r="G236" s="31"/>
      <c r="H236" s="31"/>
      <c r="I236" s="31"/>
      <c r="J236" s="31"/>
      <c r="K236" s="31"/>
      <c r="L236" s="31"/>
      <c r="M236" s="31"/>
      <c r="N236" s="13"/>
      <c r="O236" s="7"/>
      <c r="P236" s="7"/>
      <c r="Q236" s="7"/>
      <c r="R236" s="7"/>
      <c r="S236" s="7"/>
      <c r="T236" s="7"/>
      <c r="U236" s="7"/>
      <c r="V236" s="7"/>
      <c r="W236" s="7"/>
      <c r="X236" s="7"/>
      <c r="Y236" s="7"/>
      <c r="Z236" s="7"/>
      <c r="AA236" s="7"/>
      <c r="AB236" s="7"/>
      <c r="AC236" s="7"/>
      <c r="AD236" s="7"/>
      <c r="AE236" s="7"/>
      <c r="AF236" s="7"/>
    </row>
    <row r="237" spans="1:32" ht="15.75" customHeight="1">
      <c r="A237" s="43"/>
      <c r="B237" s="30"/>
      <c r="C237" s="30"/>
      <c r="D237" s="31"/>
      <c r="E237" s="31"/>
      <c r="F237" s="31"/>
      <c r="G237" s="31"/>
      <c r="H237" s="31"/>
      <c r="I237" s="31"/>
      <c r="J237" s="31"/>
      <c r="K237" s="31"/>
      <c r="L237" s="31"/>
      <c r="M237" s="31"/>
      <c r="N237" s="13"/>
      <c r="O237" s="7"/>
      <c r="P237" s="7"/>
      <c r="Q237" s="7"/>
      <c r="R237" s="7"/>
      <c r="S237" s="7"/>
      <c r="T237" s="7"/>
      <c r="U237" s="7"/>
      <c r="V237" s="7"/>
      <c r="W237" s="7"/>
      <c r="X237" s="7"/>
      <c r="Y237" s="7"/>
      <c r="Z237" s="7"/>
      <c r="AA237" s="7"/>
      <c r="AB237" s="7"/>
      <c r="AC237" s="7"/>
      <c r="AD237" s="7"/>
      <c r="AE237" s="7"/>
      <c r="AF237" s="7"/>
    </row>
    <row r="238" spans="1:32" ht="15.75" customHeight="1">
      <c r="A238" s="43"/>
      <c r="B238" s="30"/>
      <c r="C238" s="30"/>
      <c r="D238" s="31"/>
      <c r="E238" s="31"/>
      <c r="F238" s="31"/>
      <c r="G238" s="31"/>
      <c r="H238" s="31"/>
      <c r="I238" s="31"/>
      <c r="J238" s="31"/>
      <c r="K238" s="31"/>
      <c r="L238" s="31"/>
      <c r="M238" s="31"/>
      <c r="N238" s="13"/>
      <c r="O238" s="7"/>
      <c r="P238" s="7"/>
      <c r="Q238" s="7"/>
      <c r="R238" s="7"/>
      <c r="S238" s="7"/>
      <c r="T238" s="7"/>
      <c r="U238" s="7"/>
      <c r="V238" s="7"/>
      <c r="W238" s="7"/>
      <c r="X238" s="7"/>
      <c r="Y238" s="7"/>
      <c r="Z238" s="7"/>
      <c r="AA238" s="7"/>
      <c r="AB238" s="7"/>
      <c r="AC238" s="7"/>
      <c r="AD238" s="7"/>
      <c r="AE238" s="7"/>
      <c r="AF238" s="7"/>
    </row>
    <row r="239" spans="1:32" ht="15.75" customHeight="1">
      <c r="A239" s="43"/>
      <c r="B239" s="30"/>
      <c r="C239" s="30"/>
      <c r="D239" s="31"/>
      <c r="E239" s="31"/>
      <c r="F239" s="31"/>
      <c r="G239" s="31"/>
      <c r="H239" s="31"/>
      <c r="I239" s="31"/>
      <c r="J239" s="31"/>
      <c r="K239" s="31"/>
      <c r="L239" s="31"/>
      <c r="M239" s="31"/>
      <c r="N239" s="13"/>
      <c r="O239" s="7"/>
      <c r="P239" s="7"/>
      <c r="Q239" s="7"/>
      <c r="R239" s="7"/>
      <c r="S239" s="7"/>
      <c r="T239" s="7"/>
      <c r="U239" s="7"/>
      <c r="V239" s="7"/>
      <c r="W239" s="7"/>
      <c r="X239" s="7"/>
      <c r="Y239" s="7"/>
      <c r="Z239" s="7"/>
      <c r="AA239" s="7"/>
      <c r="AB239" s="7"/>
      <c r="AC239" s="7"/>
      <c r="AD239" s="7"/>
      <c r="AE239" s="7"/>
      <c r="AF239" s="7"/>
    </row>
    <row r="240" spans="1:32" ht="15.75" customHeight="1">
      <c r="A240" s="43"/>
      <c r="B240" s="30"/>
      <c r="C240" s="30"/>
      <c r="D240" s="31"/>
      <c r="E240" s="31"/>
      <c r="F240" s="31"/>
      <c r="G240" s="31"/>
      <c r="H240" s="31"/>
      <c r="I240" s="31"/>
      <c r="J240" s="31"/>
      <c r="K240" s="31"/>
      <c r="L240" s="31"/>
      <c r="M240" s="31"/>
      <c r="N240" s="13"/>
      <c r="O240" s="7"/>
      <c r="P240" s="7"/>
      <c r="Q240" s="7"/>
      <c r="R240" s="7"/>
      <c r="S240" s="7"/>
      <c r="T240" s="7"/>
      <c r="U240" s="7"/>
      <c r="V240" s="7"/>
      <c r="W240" s="7"/>
      <c r="X240" s="7"/>
      <c r="Y240" s="7"/>
      <c r="Z240" s="7"/>
      <c r="AA240" s="7"/>
      <c r="AB240" s="7"/>
      <c r="AC240" s="7"/>
      <c r="AD240" s="7"/>
      <c r="AE240" s="7"/>
      <c r="AF240" s="7"/>
    </row>
    <row r="241" spans="1:32" ht="15.75" customHeight="1">
      <c r="A241" s="43"/>
      <c r="B241" s="30"/>
      <c r="C241" s="30"/>
      <c r="D241" s="31"/>
      <c r="E241" s="31"/>
      <c r="F241" s="31"/>
      <c r="G241" s="31"/>
      <c r="H241" s="31"/>
      <c r="I241" s="31"/>
      <c r="J241" s="31"/>
      <c r="K241" s="31"/>
      <c r="L241" s="31"/>
      <c r="M241" s="31"/>
      <c r="N241" s="13"/>
      <c r="O241" s="7"/>
      <c r="P241" s="7"/>
      <c r="Q241" s="7"/>
      <c r="R241" s="7"/>
      <c r="S241" s="7"/>
      <c r="T241" s="7"/>
      <c r="U241" s="7"/>
      <c r="V241" s="7"/>
      <c r="W241" s="7"/>
      <c r="X241" s="7"/>
      <c r="Y241" s="7"/>
      <c r="Z241" s="7"/>
      <c r="AA241" s="7"/>
      <c r="AB241" s="7"/>
      <c r="AC241" s="7"/>
      <c r="AD241" s="7"/>
      <c r="AE241" s="7"/>
      <c r="AF241" s="7"/>
    </row>
    <row r="242" spans="1:32" ht="15.75" customHeight="1">
      <c r="A242" s="43"/>
      <c r="B242" s="30"/>
      <c r="C242" s="30"/>
      <c r="D242" s="31"/>
      <c r="E242" s="31"/>
      <c r="F242" s="31"/>
      <c r="G242" s="31"/>
      <c r="H242" s="31"/>
      <c r="I242" s="31"/>
      <c r="J242" s="31"/>
      <c r="K242" s="31"/>
      <c r="L242" s="31"/>
      <c r="M242" s="31"/>
      <c r="N242" s="13"/>
      <c r="O242" s="7"/>
      <c r="P242" s="7"/>
      <c r="Q242" s="7"/>
      <c r="R242" s="7"/>
      <c r="S242" s="7"/>
      <c r="T242" s="7"/>
      <c r="U242" s="7"/>
      <c r="V242" s="7"/>
      <c r="W242" s="7"/>
      <c r="X242" s="7"/>
      <c r="Y242" s="7"/>
      <c r="Z242" s="7"/>
      <c r="AA242" s="7"/>
      <c r="AB242" s="7"/>
      <c r="AC242" s="7"/>
      <c r="AD242" s="7"/>
      <c r="AE242" s="7"/>
      <c r="AF242" s="7"/>
    </row>
    <row r="243" spans="1:32" ht="15.75" customHeight="1">
      <c r="A243" s="43"/>
      <c r="B243" s="30"/>
      <c r="C243" s="30"/>
      <c r="D243" s="31"/>
      <c r="E243" s="31"/>
      <c r="F243" s="31"/>
      <c r="G243" s="31"/>
      <c r="H243" s="31"/>
      <c r="I243" s="31"/>
      <c r="J243" s="31"/>
      <c r="K243" s="31"/>
      <c r="L243" s="31"/>
      <c r="M243" s="31"/>
      <c r="N243" s="13"/>
      <c r="O243" s="7"/>
      <c r="P243" s="7"/>
      <c r="Q243" s="7"/>
      <c r="R243" s="7"/>
      <c r="S243" s="7"/>
      <c r="T243" s="7"/>
      <c r="U243" s="7"/>
      <c r="V243" s="7"/>
      <c r="W243" s="7"/>
      <c r="X243" s="7"/>
      <c r="Y243" s="7"/>
      <c r="Z243" s="7"/>
      <c r="AA243" s="7"/>
      <c r="AB243" s="7"/>
      <c r="AC243" s="7"/>
      <c r="AD243" s="7"/>
      <c r="AE243" s="7"/>
      <c r="AF243" s="7"/>
    </row>
    <row r="244" spans="1:32" ht="15.75" customHeight="1">
      <c r="A244" s="43"/>
      <c r="B244" s="30"/>
      <c r="C244" s="30"/>
      <c r="D244" s="31"/>
      <c r="E244" s="31"/>
      <c r="F244" s="31"/>
      <c r="G244" s="31"/>
      <c r="H244" s="31"/>
      <c r="I244" s="31"/>
      <c r="J244" s="31"/>
      <c r="K244" s="31"/>
      <c r="L244" s="31"/>
      <c r="M244" s="31"/>
      <c r="N244" s="13"/>
      <c r="O244" s="7"/>
      <c r="P244" s="7"/>
      <c r="Q244" s="7"/>
      <c r="R244" s="7"/>
      <c r="S244" s="7"/>
      <c r="T244" s="7"/>
      <c r="U244" s="7"/>
      <c r="V244" s="7"/>
      <c r="W244" s="7"/>
      <c r="X244" s="7"/>
      <c r="Y244" s="7"/>
      <c r="Z244" s="7"/>
      <c r="AA244" s="7"/>
      <c r="AB244" s="7"/>
      <c r="AC244" s="7"/>
      <c r="AD244" s="7"/>
      <c r="AE244" s="7"/>
      <c r="AF244" s="7"/>
    </row>
    <row r="245" spans="1:32" ht="15.75" customHeight="1">
      <c r="A245" s="43"/>
      <c r="B245" s="30"/>
      <c r="C245" s="30"/>
      <c r="D245" s="31"/>
      <c r="E245" s="31"/>
      <c r="F245" s="31"/>
      <c r="G245" s="31"/>
      <c r="H245" s="31"/>
      <c r="I245" s="31"/>
      <c r="J245" s="31"/>
      <c r="K245" s="31"/>
      <c r="L245" s="31"/>
      <c r="M245" s="31"/>
      <c r="N245" s="13"/>
      <c r="O245" s="7"/>
      <c r="P245" s="7"/>
      <c r="Q245" s="7"/>
      <c r="R245" s="7"/>
      <c r="S245" s="7"/>
      <c r="T245" s="7"/>
      <c r="U245" s="7"/>
      <c r="V245" s="7"/>
      <c r="W245" s="7"/>
      <c r="X245" s="7"/>
      <c r="Y245" s="7"/>
      <c r="Z245" s="7"/>
      <c r="AA245" s="7"/>
      <c r="AB245" s="7"/>
      <c r="AC245" s="7"/>
      <c r="AD245" s="7"/>
      <c r="AE245" s="7"/>
      <c r="AF245" s="7"/>
    </row>
    <row r="246" spans="1:32" ht="15.75" customHeight="1">
      <c r="A246" s="43"/>
      <c r="B246" s="30"/>
      <c r="C246" s="30"/>
      <c r="D246" s="31"/>
      <c r="E246" s="31"/>
      <c r="F246" s="31"/>
      <c r="G246" s="31"/>
      <c r="H246" s="31"/>
      <c r="I246" s="31"/>
      <c r="J246" s="31"/>
      <c r="K246" s="31"/>
      <c r="L246" s="31"/>
      <c r="M246" s="31"/>
      <c r="N246" s="13"/>
      <c r="O246" s="7"/>
      <c r="P246" s="7"/>
      <c r="Q246" s="7"/>
      <c r="R246" s="7"/>
      <c r="S246" s="7"/>
      <c r="T246" s="7"/>
      <c r="U246" s="7"/>
      <c r="V246" s="7"/>
      <c r="W246" s="7"/>
      <c r="X246" s="7"/>
      <c r="Y246" s="7"/>
      <c r="Z246" s="7"/>
      <c r="AA246" s="7"/>
      <c r="AB246" s="7"/>
      <c r="AC246" s="7"/>
      <c r="AD246" s="7"/>
      <c r="AE246" s="7"/>
      <c r="AF246" s="7"/>
    </row>
    <row r="247" spans="1:32" ht="15.75" customHeight="1">
      <c r="A247" s="43"/>
      <c r="B247" s="30"/>
      <c r="C247" s="30"/>
      <c r="D247" s="31"/>
      <c r="E247" s="31"/>
      <c r="F247" s="31"/>
      <c r="G247" s="31"/>
      <c r="H247" s="31"/>
      <c r="I247" s="31"/>
      <c r="J247" s="31"/>
      <c r="K247" s="31"/>
      <c r="L247" s="31"/>
      <c r="M247" s="31"/>
      <c r="N247" s="13"/>
      <c r="O247" s="7"/>
      <c r="P247" s="7"/>
      <c r="Q247" s="7"/>
      <c r="R247" s="7"/>
      <c r="S247" s="7"/>
      <c r="T247" s="7"/>
      <c r="U247" s="7"/>
      <c r="V247" s="7"/>
      <c r="W247" s="7"/>
      <c r="X247" s="7"/>
      <c r="Y247" s="7"/>
      <c r="Z247" s="7"/>
      <c r="AA247" s="7"/>
      <c r="AB247" s="7"/>
      <c r="AC247" s="7"/>
      <c r="AD247" s="7"/>
      <c r="AE247" s="7"/>
      <c r="AF247" s="7"/>
    </row>
    <row r="248" spans="1:32" ht="15.75" customHeight="1">
      <c r="A248" s="43"/>
      <c r="B248" s="30"/>
      <c r="C248" s="30"/>
      <c r="D248" s="31"/>
      <c r="E248" s="31"/>
      <c r="F248" s="31"/>
      <c r="G248" s="31"/>
      <c r="H248" s="31"/>
      <c r="I248" s="31"/>
      <c r="J248" s="31"/>
      <c r="K248" s="31"/>
      <c r="L248" s="31"/>
      <c r="M248" s="31"/>
      <c r="N248" s="13"/>
      <c r="O248" s="7"/>
      <c r="P248" s="7"/>
      <c r="Q248" s="7"/>
      <c r="R248" s="7"/>
      <c r="S248" s="7"/>
      <c r="T248" s="7"/>
      <c r="U248" s="7"/>
      <c r="V248" s="7"/>
      <c r="W248" s="7"/>
      <c r="X248" s="7"/>
      <c r="Y248" s="7"/>
      <c r="Z248" s="7"/>
      <c r="AA248" s="7"/>
      <c r="AB248" s="7"/>
      <c r="AC248" s="7"/>
      <c r="AD248" s="7"/>
      <c r="AE248" s="7"/>
      <c r="AF248" s="7"/>
    </row>
    <row r="249" spans="1:32" ht="15.75" customHeight="1">
      <c r="A249" s="43"/>
      <c r="B249" s="30"/>
      <c r="C249" s="30"/>
      <c r="D249" s="31"/>
      <c r="E249" s="31"/>
      <c r="F249" s="31"/>
      <c r="G249" s="31"/>
      <c r="H249" s="31"/>
      <c r="I249" s="31"/>
      <c r="J249" s="31"/>
      <c r="K249" s="31"/>
      <c r="L249" s="31"/>
      <c r="M249" s="31"/>
      <c r="N249" s="13"/>
      <c r="O249" s="7"/>
      <c r="P249" s="7"/>
      <c r="Q249" s="7"/>
      <c r="R249" s="7"/>
      <c r="S249" s="7"/>
      <c r="T249" s="7"/>
      <c r="U249" s="7"/>
      <c r="V249" s="7"/>
      <c r="W249" s="7"/>
      <c r="X249" s="7"/>
      <c r="Y249" s="7"/>
      <c r="Z249" s="7"/>
      <c r="AA249" s="7"/>
      <c r="AB249" s="7"/>
      <c r="AC249" s="7"/>
      <c r="AD249" s="7"/>
      <c r="AE249" s="7"/>
      <c r="AF249" s="7"/>
    </row>
    <row r="250" spans="1:32" ht="15.75" customHeight="1">
      <c r="A250" s="43"/>
      <c r="B250" s="30"/>
      <c r="C250" s="30"/>
      <c r="D250" s="31"/>
      <c r="E250" s="31"/>
      <c r="F250" s="31"/>
      <c r="G250" s="31"/>
      <c r="H250" s="31"/>
      <c r="I250" s="31"/>
      <c r="J250" s="31"/>
      <c r="K250" s="31"/>
      <c r="L250" s="31"/>
      <c r="M250" s="31"/>
      <c r="N250" s="13"/>
      <c r="O250" s="7"/>
      <c r="P250" s="7"/>
      <c r="Q250" s="7"/>
      <c r="R250" s="7"/>
      <c r="S250" s="7"/>
      <c r="T250" s="7"/>
      <c r="U250" s="7"/>
      <c r="V250" s="7"/>
      <c r="W250" s="7"/>
      <c r="X250" s="7"/>
      <c r="Y250" s="7"/>
      <c r="Z250" s="7"/>
      <c r="AA250" s="7"/>
      <c r="AB250" s="7"/>
      <c r="AC250" s="7"/>
      <c r="AD250" s="7"/>
      <c r="AE250" s="7"/>
      <c r="AF250" s="7"/>
    </row>
    <row r="251" spans="1:32" ht="15.75" customHeight="1">
      <c r="A251" s="43"/>
      <c r="B251" s="30"/>
      <c r="C251" s="30"/>
      <c r="D251" s="31"/>
      <c r="E251" s="31"/>
      <c r="F251" s="31"/>
      <c r="G251" s="31"/>
      <c r="H251" s="31"/>
      <c r="I251" s="31"/>
      <c r="J251" s="31"/>
      <c r="K251" s="31"/>
      <c r="L251" s="31"/>
      <c r="M251" s="31"/>
      <c r="N251" s="13"/>
      <c r="O251" s="7"/>
      <c r="P251" s="7"/>
      <c r="Q251" s="7"/>
      <c r="R251" s="7"/>
      <c r="S251" s="7"/>
      <c r="T251" s="7"/>
      <c r="U251" s="7"/>
      <c r="V251" s="7"/>
      <c r="W251" s="7"/>
      <c r="X251" s="7"/>
      <c r="Y251" s="7"/>
      <c r="Z251" s="7"/>
      <c r="AA251" s="7"/>
      <c r="AB251" s="7"/>
      <c r="AC251" s="7"/>
      <c r="AD251" s="7"/>
      <c r="AE251" s="7"/>
      <c r="AF251" s="7"/>
    </row>
    <row r="252" spans="1:32" ht="15.75" customHeight="1">
      <c r="A252" s="43"/>
      <c r="B252" s="30"/>
      <c r="C252" s="30"/>
      <c r="D252" s="31"/>
      <c r="E252" s="31"/>
      <c r="F252" s="31"/>
      <c r="G252" s="31"/>
      <c r="H252" s="31"/>
      <c r="I252" s="31"/>
      <c r="J252" s="31"/>
      <c r="K252" s="31"/>
      <c r="L252" s="31"/>
      <c r="M252" s="31"/>
      <c r="N252" s="13"/>
      <c r="O252" s="7"/>
      <c r="P252" s="7"/>
      <c r="Q252" s="7"/>
      <c r="R252" s="7"/>
      <c r="S252" s="7"/>
      <c r="T252" s="7"/>
      <c r="U252" s="7"/>
      <c r="V252" s="7"/>
      <c r="W252" s="7"/>
      <c r="X252" s="7"/>
      <c r="Y252" s="7"/>
      <c r="Z252" s="7"/>
      <c r="AA252" s="7"/>
      <c r="AB252" s="7"/>
      <c r="AC252" s="7"/>
      <c r="AD252" s="7"/>
      <c r="AE252" s="7"/>
      <c r="AF252" s="7"/>
    </row>
    <row r="253" spans="1:32" ht="15.75" customHeight="1">
      <c r="A253" s="43"/>
      <c r="B253" s="30"/>
      <c r="C253" s="30"/>
      <c r="D253" s="31"/>
      <c r="E253" s="31"/>
      <c r="F253" s="31"/>
      <c r="G253" s="31"/>
      <c r="H253" s="31"/>
      <c r="I253" s="31"/>
      <c r="J253" s="31"/>
      <c r="K253" s="31"/>
      <c r="L253" s="31"/>
      <c r="M253" s="31"/>
      <c r="N253" s="13"/>
      <c r="O253" s="7"/>
      <c r="P253" s="7"/>
      <c r="Q253" s="7"/>
      <c r="R253" s="7"/>
      <c r="S253" s="7"/>
      <c r="T253" s="7"/>
      <c r="U253" s="7"/>
      <c r="V253" s="7"/>
      <c r="W253" s="7"/>
      <c r="X253" s="7"/>
      <c r="Y253" s="7"/>
      <c r="Z253" s="7"/>
      <c r="AA253" s="7"/>
      <c r="AB253" s="7"/>
      <c r="AC253" s="7"/>
      <c r="AD253" s="7"/>
      <c r="AE253" s="7"/>
      <c r="AF253" s="7"/>
    </row>
    <row r="254" spans="1:32" ht="15.75" customHeight="1">
      <c r="A254" s="43"/>
      <c r="B254" s="30"/>
      <c r="C254" s="30"/>
      <c r="D254" s="31"/>
      <c r="E254" s="31"/>
      <c r="F254" s="31"/>
      <c r="G254" s="31"/>
      <c r="H254" s="31"/>
      <c r="I254" s="31"/>
      <c r="J254" s="31"/>
      <c r="K254" s="31"/>
      <c r="L254" s="31"/>
      <c r="M254" s="31"/>
      <c r="N254" s="13"/>
      <c r="O254" s="7"/>
      <c r="P254" s="7"/>
      <c r="Q254" s="7"/>
      <c r="R254" s="7"/>
      <c r="S254" s="7"/>
      <c r="T254" s="7"/>
      <c r="U254" s="7"/>
      <c r="V254" s="7"/>
      <c r="W254" s="7"/>
      <c r="X254" s="7"/>
      <c r="Y254" s="7"/>
      <c r="Z254" s="7"/>
      <c r="AA254" s="7"/>
      <c r="AB254" s="7"/>
      <c r="AC254" s="7"/>
      <c r="AD254" s="7"/>
      <c r="AE254" s="7"/>
      <c r="AF254" s="7"/>
    </row>
    <row r="255" spans="1:32" ht="15.75" customHeight="1">
      <c r="A255" s="43"/>
      <c r="B255" s="30"/>
      <c r="C255" s="30"/>
      <c r="D255" s="31"/>
      <c r="E255" s="31"/>
      <c r="F255" s="31"/>
      <c r="G255" s="31"/>
      <c r="H255" s="31"/>
      <c r="I255" s="31"/>
      <c r="J255" s="31"/>
      <c r="K255" s="31"/>
      <c r="L255" s="31"/>
      <c r="M255" s="31"/>
      <c r="N255" s="13"/>
      <c r="O255" s="7"/>
      <c r="P255" s="7"/>
      <c r="Q255" s="7"/>
      <c r="R255" s="7"/>
      <c r="S255" s="7"/>
      <c r="T255" s="7"/>
      <c r="U255" s="7"/>
      <c r="V255" s="7"/>
      <c r="W255" s="7"/>
      <c r="X255" s="7"/>
      <c r="Y255" s="7"/>
      <c r="Z255" s="7"/>
      <c r="AA255" s="7"/>
      <c r="AB255" s="7"/>
      <c r="AC255" s="7"/>
      <c r="AD255" s="7"/>
      <c r="AE255" s="7"/>
      <c r="AF255" s="7"/>
    </row>
    <row r="256" spans="1:32" ht="15.75" customHeight="1">
      <c r="A256" s="43"/>
      <c r="B256" s="30"/>
      <c r="C256" s="30"/>
      <c r="D256" s="31"/>
      <c r="E256" s="31"/>
      <c r="F256" s="31"/>
      <c r="G256" s="31"/>
      <c r="H256" s="31"/>
      <c r="I256" s="31"/>
      <c r="J256" s="31"/>
      <c r="K256" s="31"/>
      <c r="L256" s="31"/>
      <c r="M256" s="31"/>
      <c r="N256" s="13"/>
      <c r="O256" s="7"/>
      <c r="P256" s="7"/>
      <c r="Q256" s="7"/>
      <c r="R256" s="7"/>
      <c r="S256" s="7"/>
      <c r="T256" s="7"/>
      <c r="U256" s="7"/>
      <c r="V256" s="7"/>
      <c r="W256" s="7"/>
      <c r="X256" s="7"/>
      <c r="Y256" s="7"/>
      <c r="Z256" s="7"/>
      <c r="AA256" s="7"/>
      <c r="AB256" s="7"/>
      <c r="AC256" s="7"/>
      <c r="AD256" s="7"/>
      <c r="AE256" s="7"/>
      <c r="AF256" s="7"/>
    </row>
    <row r="257" spans="1:32" ht="15.75" customHeight="1">
      <c r="A257" s="43"/>
      <c r="B257" s="30"/>
      <c r="C257" s="30"/>
      <c r="D257" s="31"/>
      <c r="E257" s="31"/>
      <c r="F257" s="31"/>
      <c r="G257" s="31"/>
      <c r="H257" s="31"/>
      <c r="I257" s="31"/>
      <c r="J257" s="31"/>
      <c r="K257" s="31"/>
      <c r="L257" s="31"/>
      <c r="M257" s="31"/>
      <c r="N257" s="13"/>
      <c r="O257" s="7"/>
      <c r="P257" s="7"/>
      <c r="Q257" s="7"/>
      <c r="R257" s="7"/>
      <c r="S257" s="7"/>
      <c r="T257" s="7"/>
      <c r="U257" s="7"/>
      <c r="V257" s="7"/>
      <c r="W257" s="7"/>
      <c r="X257" s="7"/>
      <c r="Y257" s="7"/>
      <c r="Z257" s="7"/>
      <c r="AA257" s="7"/>
      <c r="AB257" s="7"/>
      <c r="AC257" s="7"/>
      <c r="AD257" s="7"/>
      <c r="AE257" s="7"/>
      <c r="AF257" s="7"/>
    </row>
    <row r="258" spans="1:32" ht="15.75" customHeight="1">
      <c r="A258" s="43"/>
      <c r="B258" s="30"/>
      <c r="C258" s="30"/>
      <c r="D258" s="31"/>
      <c r="E258" s="31"/>
      <c r="F258" s="31"/>
      <c r="G258" s="31"/>
      <c r="H258" s="31"/>
      <c r="I258" s="31"/>
      <c r="J258" s="31"/>
      <c r="K258" s="31"/>
      <c r="L258" s="31"/>
      <c r="M258" s="31"/>
      <c r="N258" s="13"/>
      <c r="O258" s="7"/>
      <c r="P258" s="7"/>
      <c r="Q258" s="7"/>
      <c r="R258" s="7"/>
      <c r="S258" s="7"/>
      <c r="T258" s="7"/>
      <c r="U258" s="7"/>
      <c r="V258" s="7"/>
      <c r="W258" s="7"/>
      <c r="X258" s="7"/>
      <c r="Y258" s="7"/>
      <c r="Z258" s="7"/>
      <c r="AA258" s="7"/>
      <c r="AB258" s="7"/>
      <c r="AC258" s="7"/>
      <c r="AD258" s="7"/>
      <c r="AE258" s="7"/>
      <c r="AF258" s="7"/>
    </row>
    <row r="259" spans="1:32" ht="15.75" customHeight="1">
      <c r="A259" s="43"/>
      <c r="B259" s="30"/>
      <c r="C259" s="30"/>
      <c r="D259" s="31"/>
      <c r="E259" s="31"/>
      <c r="F259" s="31"/>
      <c r="G259" s="31"/>
      <c r="H259" s="31"/>
      <c r="I259" s="31"/>
      <c r="J259" s="31"/>
      <c r="K259" s="31"/>
      <c r="L259" s="31"/>
      <c r="M259" s="31"/>
      <c r="N259" s="13"/>
      <c r="O259" s="7"/>
      <c r="P259" s="7"/>
      <c r="Q259" s="7"/>
      <c r="R259" s="7"/>
      <c r="S259" s="7"/>
      <c r="T259" s="7"/>
      <c r="U259" s="7"/>
      <c r="V259" s="7"/>
      <c r="W259" s="7"/>
      <c r="X259" s="7"/>
      <c r="Y259" s="7"/>
      <c r="Z259" s="7"/>
      <c r="AA259" s="7"/>
      <c r="AB259" s="7"/>
      <c r="AC259" s="7"/>
      <c r="AD259" s="7"/>
      <c r="AE259" s="7"/>
      <c r="AF259" s="7"/>
    </row>
    <row r="260" spans="1:32" ht="15.75" customHeight="1">
      <c r="A260" s="43"/>
      <c r="B260" s="30"/>
      <c r="C260" s="30"/>
      <c r="D260" s="31"/>
      <c r="E260" s="31"/>
      <c r="F260" s="31"/>
      <c r="G260" s="31"/>
      <c r="H260" s="31"/>
      <c r="I260" s="31"/>
      <c r="J260" s="31"/>
      <c r="K260" s="31"/>
      <c r="L260" s="31"/>
      <c r="M260" s="31"/>
      <c r="N260" s="13"/>
      <c r="O260" s="7"/>
      <c r="P260" s="7"/>
      <c r="Q260" s="7"/>
      <c r="R260" s="7"/>
      <c r="S260" s="7"/>
      <c r="T260" s="7"/>
      <c r="U260" s="7"/>
      <c r="V260" s="7"/>
      <c r="W260" s="7"/>
      <c r="X260" s="7"/>
      <c r="Y260" s="7"/>
      <c r="Z260" s="7"/>
      <c r="AA260" s="7"/>
      <c r="AB260" s="7"/>
      <c r="AC260" s="7"/>
      <c r="AD260" s="7"/>
      <c r="AE260" s="7"/>
      <c r="AF260" s="7"/>
    </row>
    <row r="261" spans="1:32" ht="15.75" customHeight="1">
      <c r="A261" s="43"/>
      <c r="B261" s="30"/>
      <c r="C261" s="30"/>
      <c r="D261" s="31"/>
      <c r="E261" s="31"/>
      <c r="F261" s="31"/>
      <c r="G261" s="31"/>
      <c r="H261" s="31"/>
      <c r="I261" s="31"/>
      <c r="J261" s="31"/>
      <c r="K261" s="31"/>
      <c r="L261" s="31"/>
      <c r="M261" s="31"/>
      <c r="N261" s="13"/>
      <c r="O261" s="7"/>
      <c r="P261" s="7"/>
      <c r="Q261" s="7"/>
      <c r="R261" s="7"/>
      <c r="S261" s="7"/>
      <c r="T261" s="7"/>
      <c r="U261" s="7"/>
      <c r="V261" s="7"/>
      <c r="W261" s="7"/>
      <c r="X261" s="7"/>
      <c r="Y261" s="7"/>
      <c r="Z261" s="7"/>
      <c r="AA261" s="7"/>
      <c r="AB261" s="7"/>
      <c r="AC261" s="7"/>
      <c r="AD261" s="7"/>
      <c r="AE261" s="7"/>
      <c r="AF261" s="7"/>
    </row>
    <row r="262" spans="1:32" ht="15.75" customHeight="1">
      <c r="A262" s="43"/>
      <c r="B262" s="30"/>
      <c r="C262" s="30"/>
      <c r="D262" s="31"/>
      <c r="E262" s="31"/>
      <c r="F262" s="31"/>
      <c r="G262" s="31"/>
      <c r="H262" s="31"/>
      <c r="I262" s="31"/>
      <c r="J262" s="31"/>
      <c r="K262" s="31"/>
      <c r="L262" s="31"/>
      <c r="M262" s="31"/>
      <c r="N262" s="13"/>
      <c r="O262" s="7"/>
      <c r="P262" s="7"/>
      <c r="Q262" s="7"/>
      <c r="R262" s="7"/>
      <c r="S262" s="7"/>
      <c r="T262" s="7"/>
      <c r="U262" s="7"/>
      <c r="V262" s="7"/>
      <c r="W262" s="7"/>
      <c r="X262" s="7"/>
      <c r="Y262" s="7"/>
      <c r="Z262" s="7"/>
      <c r="AA262" s="7"/>
      <c r="AB262" s="7"/>
      <c r="AC262" s="7"/>
      <c r="AD262" s="7"/>
      <c r="AE262" s="7"/>
      <c r="AF262" s="7"/>
    </row>
    <row r="263" spans="1:32" ht="15.75" customHeight="1">
      <c r="A263" s="43"/>
      <c r="B263" s="30"/>
      <c r="C263" s="30"/>
      <c r="D263" s="31"/>
      <c r="E263" s="31"/>
      <c r="F263" s="31"/>
      <c r="G263" s="31"/>
      <c r="H263" s="31"/>
      <c r="I263" s="31"/>
      <c r="J263" s="31"/>
      <c r="K263" s="31"/>
      <c r="L263" s="31"/>
      <c r="M263" s="31"/>
      <c r="N263" s="13"/>
      <c r="O263" s="7"/>
      <c r="P263" s="7"/>
      <c r="Q263" s="7"/>
      <c r="R263" s="7"/>
      <c r="S263" s="7"/>
      <c r="T263" s="7"/>
      <c r="U263" s="7"/>
      <c r="V263" s="7"/>
      <c r="W263" s="7"/>
      <c r="X263" s="7"/>
      <c r="Y263" s="7"/>
      <c r="Z263" s="7"/>
      <c r="AA263" s="7"/>
      <c r="AB263" s="7"/>
      <c r="AC263" s="7"/>
      <c r="AD263" s="7"/>
      <c r="AE263" s="7"/>
      <c r="AF263" s="7"/>
    </row>
    <row r="264" spans="1:32" ht="15.75" customHeight="1">
      <c r="A264" s="43"/>
      <c r="B264" s="30"/>
      <c r="C264" s="30"/>
      <c r="D264" s="31"/>
      <c r="E264" s="31"/>
      <c r="F264" s="31"/>
      <c r="G264" s="31"/>
      <c r="H264" s="31"/>
      <c r="I264" s="31"/>
      <c r="J264" s="31"/>
      <c r="K264" s="31"/>
      <c r="L264" s="31"/>
      <c r="M264" s="31"/>
      <c r="N264" s="13"/>
      <c r="O264" s="7"/>
      <c r="P264" s="7"/>
      <c r="Q264" s="7"/>
      <c r="R264" s="7"/>
      <c r="S264" s="7"/>
      <c r="T264" s="7"/>
      <c r="U264" s="7"/>
      <c r="V264" s="7"/>
      <c r="W264" s="7"/>
      <c r="X264" s="7"/>
      <c r="Y264" s="7"/>
      <c r="Z264" s="7"/>
      <c r="AA264" s="7"/>
      <c r="AB264" s="7"/>
      <c r="AC264" s="7"/>
      <c r="AD264" s="7"/>
      <c r="AE264" s="7"/>
      <c r="AF264" s="7"/>
    </row>
    <row r="265" spans="1:32" ht="15.75" customHeight="1">
      <c r="A265" s="43"/>
      <c r="B265" s="30"/>
      <c r="C265" s="30"/>
      <c r="D265" s="31"/>
      <c r="E265" s="31"/>
      <c r="F265" s="31"/>
      <c r="G265" s="31"/>
      <c r="H265" s="31"/>
      <c r="I265" s="31"/>
      <c r="J265" s="31"/>
      <c r="K265" s="31"/>
      <c r="L265" s="31"/>
      <c r="M265" s="31"/>
      <c r="N265" s="13"/>
      <c r="O265" s="7"/>
      <c r="P265" s="7"/>
      <c r="Q265" s="7"/>
      <c r="R265" s="7"/>
      <c r="S265" s="7"/>
      <c r="T265" s="7"/>
      <c r="U265" s="7"/>
      <c r="V265" s="7"/>
      <c r="W265" s="7"/>
      <c r="X265" s="7"/>
      <c r="Y265" s="7"/>
      <c r="Z265" s="7"/>
      <c r="AA265" s="7"/>
      <c r="AB265" s="7"/>
      <c r="AC265" s="7"/>
      <c r="AD265" s="7"/>
      <c r="AE265" s="7"/>
      <c r="AF265" s="7"/>
    </row>
    <row r="266" spans="1:32" ht="15.75" customHeight="1">
      <c r="A266" s="43"/>
      <c r="B266" s="30"/>
      <c r="C266" s="30"/>
      <c r="D266" s="31"/>
      <c r="E266" s="31"/>
      <c r="F266" s="31"/>
      <c r="G266" s="31"/>
      <c r="H266" s="31"/>
      <c r="I266" s="31"/>
      <c r="J266" s="31"/>
      <c r="K266" s="31"/>
      <c r="L266" s="31"/>
      <c r="M266" s="31"/>
      <c r="N266" s="13"/>
      <c r="O266" s="7"/>
      <c r="P266" s="7"/>
      <c r="Q266" s="7"/>
      <c r="R266" s="7"/>
      <c r="S266" s="7"/>
      <c r="T266" s="7"/>
      <c r="U266" s="7"/>
      <c r="V266" s="7"/>
      <c r="W266" s="7"/>
      <c r="X266" s="7"/>
      <c r="Y266" s="7"/>
      <c r="Z266" s="7"/>
      <c r="AA266" s="7"/>
      <c r="AB266" s="7"/>
      <c r="AC266" s="7"/>
      <c r="AD266" s="7"/>
      <c r="AE266" s="7"/>
      <c r="AF266" s="7"/>
    </row>
    <row r="267" spans="1:32" ht="15.75" customHeight="1">
      <c r="A267" s="43"/>
      <c r="B267" s="30"/>
      <c r="C267" s="30"/>
      <c r="D267" s="31"/>
      <c r="E267" s="31"/>
      <c r="F267" s="31"/>
      <c r="G267" s="31"/>
      <c r="H267" s="31"/>
      <c r="I267" s="31"/>
      <c r="J267" s="31"/>
      <c r="K267" s="31"/>
      <c r="L267" s="31"/>
      <c r="M267" s="31"/>
      <c r="N267" s="13"/>
      <c r="O267" s="7"/>
      <c r="P267" s="7"/>
      <c r="Q267" s="7"/>
      <c r="R267" s="7"/>
      <c r="S267" s="7"/>
      <c r="T267" s="7"/>
      <c r="U267" s="7"/>
      <c r="V267" s="7"/>
      <c r="W267" s="7"/>
      <c r="X267" s="7"/>
      <c r="Y267" s="7"/>
      <c r="Z267" s="7"/>
      <c r="AA267" s="7"/>
      <c r="AB267" s="7"/>
      <c r="AC267" s="7"/>
      <c r="AD267" s="7"/>
      <c r="AE267" s="7"/>
      <c r="AF267" s="7"/>
    </row>
    <row r="268" spans="1:32" ht="15.75" customHeight="1">
      <c r="A268" s="43"/>
      <c r="B268" s="30"/>
      <c r="C268" s="30"/>
      <c r="D268" s="31"/>
      <c r="E268" s="31"/>
      <c r="F268" s="31"/>
      <c r="G268" s="31"/>
      <c r="H268" s="31"/>
      <c r="I268" s="31"/>
      <c r="J268" s="31"/>
      <c r="K268" s="31"/>
      <c r="L268" s="31"/>
      <c r="M268" s="31"/>
      <c r="N268" s="13"/>
      <c r="O268" s="7"/>
      <c r="P268" s="7"/>
      <c r="Q268" s="7"/>
      <c r="R268" s="7"/>
      <c r="S268" s="7"/>
      <c r="T268" s="7"/>
      <c r="U268" s="7"/>
      <c r="V268" s="7"/>
      <c r="W268" s="7"/>
      <c r="X268" s="7"/>
      <c r="Y268" s="7"/>
      <c r="Z268" s="7"/>
      <c r="AA268" s="7"/>
      <c r="AB268" s="7"/>
      <c r="AC268" s="7"/>
      <c r="AD268" s="7"/>
      <c r="AE268" s="7"/>
      <c r="AF268" s="7"/>
    </row>
    <row r="269" spans="1:32" ht="15.75" customHeight="1">
      <c r="A269" s="43"/>
      <c r="B269" s="30"/>
      <c r="C269" s="30"/>
      <c r="D269" s="31"/>
      <c r="E269" s="31"/>
      <c r="F269" s="31"/>
      <c r="G269" s="31"/>
      <c r="H269" s="31"/>
      <c r="I269" s="31"/>
      <c r="J269" s="31"/>
      <c r="K269" s="31"/>
      <c r="L269" s="31"/>
      <c r="M269" s="31"/>
      <c r="N269" s="13"/>
      <c r="O269" s="7"/>
      <c r="P269" s="7"/>
      <c r="Q269" s="7"/>
      <c r="R269" s="7"/>
      <c r="S269" s="7"/>
      <c r="T269" s="7"/>
      <c r="U269" s="7"/>
      <c r="V269" s="7"/>
      <c r="W269" s="7"/>
      <c r="X269" s="7"/>
      <c r="Y269" s="7"/>
      <c r="Z269" s="7"/>
      <c r="AA269" s="7"/>
      <c r="AB269" s="7"/>
      <c r="AC269" s="7"/>
      <c r="AD269" s="7"/>
      <c r="AE269" s="7"/>
      <c r="AF269" s="7"/>
    </row>
    <row r="270" spans="1:32" ht="15.75" customHeight="1">
      <c r="A270" s="43"/>
      <c r="B270" s="30"/>
      <c r="C270" s="30"/>
      <c r="D270" s="31"/>
      <c r="E270" s="31"/>
      <c r="F270" s="31"/>
      <c r="G270" s="31"/>
      <c r="H270" s="31"/>
      <c r="I270" s="31"/>
      <c r="J270" s="31"/>
      <c r="K270" s="31"/>
      <c r="L270" s="31"/>
      <c r="M270" s="31"/>
      <c r="N270" s="13"/>
      <c r="O270" s="7"/>
      <c r="P270" s="7"/>
      <c r="Q270" s="7"/>
      <c r="R270" s="7"/>
      <c r="S270" s="7"/>
      <c r="T270" s="7"/>
      <c r="U270" s="7"/>
      <c r="V270" s="7"/>
      <c r="W270" s="7"/>
      <c r="X270" s="7"/>
      <c r="Y270" s="7"/>
      <c r="Z270" s="7"/>
      <c r="AA270" s="7"/>
      <c r="AB270" s="7"/>
      <c r="AC270" s="7"/>
      <c r="AD270" s="7"/>
      <c r="AE270" s="7"/>
      <c r="AF270" s="7"/>
    </row>
    <row r="271" spans="1:32" ht="15.75" customHeight="1">
      <c r="A271" s="43"/>
      <c r="B271" s="30"/>
      <c r="C271" s="30"/>
      <c r="D271" s="31"/>
      <c r="E271" s="31"/>
      <c r="F271" s="31"/>
      <c r="G271" s="31"/>
      <c r="H271" s="31"/>
      <c r="I271" s="31"/>
      <c r="J271" s="31"/>
      <c r="K271" s="31"/>
      <c r="L271" s="31"/>
      <c r="M271" s="31"/>
      <c r="N271" s="13"/>
      <c r="O271" s="7"/>
      <c r="P271" s="7"/>
      <c r="Q271" s="7"/>
      <c r="R271" s="7"/>
      <c r="S271" s="7"/>
      <c r="T271" s="7"/>
      <c r="U271" s="7"/>
      <c r="V271" s="7"/>
      <c r="W271" s="7"/>
      <c r="X271" s="7"/>
      <c r="Y271" s="7"/>
      <c r="Z271" s="7"/>
      <c r="AA271" s="7"/>
      <c r="AB271" s="7"/>
      <c r="AC271" s="7"/>
      <c r="AD271" s="7"/>
      <c r="AE271" s="7"/>
      <c r="AF271" s="7"/>
    </row>
    <row r="272" spans="1:32" ht="15.75" customHeight="1">
      <c r="A272" s="43"/>
      <c r="B272" s="30"/>
      <c r="C272" s="30"/>
      <c r="D272" s="31"/>
      <c r="E272" s="31"/>
      <c r="F272" s="31"/>
      <c r="G272" s="31"/>
      <c r="H272" s="31"/>
      <c r="I272" s="31"/>
      <c r="J272" s="31"/>
      <c r="K272" s="31"/>
      <c r="L272" s="31"/>
      <c r="M272" s="31"/>
      <c r="N272" s="13"/>
      <c r="O272" s="7"/>
      <c r="P272" s="7"/>
      <c r="Q272" s="7"/>
      <c r="R272" s="7"/>
      <c r="S272" s="7"/>
      <c r="T272" s="7"/>
      <c r="U272" s="7"/>
      <c r="V272" s="7"/>
      <c r="W272" s="7"/>
      <c r="X272" s="7"/>
      <c r="Y272" s="7"/>
      <c r="Z272" s="7"/>
      <c r="AA272" s="7"/>
      <c r="AB272" s="7"/>
      <c r="AC272" s="7"/>
      <c r="AD272" s="7"/>
      <c r="AE272" s="7"/>
      <c r="AF272" s="7"/>
    </row>
    <row r="273" spans="1:32" ht="15.75" customHeight="1">
      <c r="A273" s="43"/>
      <c r="B273" s="30"/>
      <c r="C273" s="30"/>
      <c r="D273" s="31"/>
      <c r="E273" s="31"/>
      <c r="F273" s="31"/>
      <c r="G273" s="31"/>
      <c r="H273" s="31"/>
      <c r="I273" s="31"/>
      <c r="J273" s="31"/>
      <c r="K273" s="31"/>
      <c r="L273" s="31"/>
      <c r="M273" s="31"/>
      <c r="N273" s="13"/>
      <c r="O273" s="7"/>
      <c r="P273" s="7"/>
      <c r="Q273" s="7"/>
      <c r="R273" s="7"/>
      <c r="S273" s="7"/>
      <c r="T273" s="7"/>
      <c r="U273" s="7"/>
      <c r="V273" s="7"/>
      <c r="W273" s="7"/>
      <c r="X273" s="7"/>
      <c r="Y273" s="7"/>
      <c r="Z273" s="7"/>
      <c r="AA273" s="7"/>
      <c r="AB273" s="7"/>
      <c r="AC273" s="7"/>
      <c r="AD273" s="7"/>
      <c r="AE273" s="7"/>
      <c r="AF273" s="7"/>
    </row>
    <row r="274" spans="1:32" ht="15.75" customHeight="1">
      <c r="A274" s="43"/>
      <c r="B274" s="30"/>
      <c r="C274" s="30"/>
      <c r="D274" s="31"/>
      <c r="E274" s="31"/>
      <c r="F274" s="31"/>
      <c r="G274" s="31"/>
      <c r="H274" s="31"/>
      <c r="I274" s="31"/>
      <c r="J274" s="31"/>
      <c r="K274" s="31"/>
      <c r="L274" s="31"/>
      <c r="M274" s="31"/>
      <c r="N274" s="13"/>
      <c r="O274" s="7"/>
      <c r="P274" s="7"/>
      <c r="Q274" s="7"/>
      <c r="R274" s="7"/>
      <c r="S274" s="7"/>
      <c r="T274" s="7"/>
      <c r="U274" s="7"/>
      <c r="V274" s="7"/>
      <c r="W274" s="7"/>
      <c r="X274" s="7"/>
      <c r="Y274" s="7"/>
      <c r="Z274" s="7"/>
      <c r="AA274" s="7"/>
      <c r="AB274" s="7"/>
      <c r="AC274" s="7"/>
      <c r="AD274" s="7"/>
      <c r="AE274" s="7"/>
      <c r="AF274" s="7"/>
    </row>
    <row r="275" spans="1:32" ht="15.75" customHeight="1">
      <c r="A275" s="43"/>
      <c r="B275" s="30"/>
      <c r="C275" s="30"/>
      <c r="D275" s="31"/>
      <c r="E275" s="31"/>
      <c r="F275" s="31"/>
      <c r="G275" s="31"/>
      <c r="H275" s="31"/>
      <c r="I275" s="31"/>
      <c r="J275" s="31"/>
      <c r="K275" s="31"/>
      <c r="L275" s="31"/>
      <c r="M275" s="31"/>
      <c r="N275" s="13"/>
      <c r="O275" s="7"/>
      <c r="P275" s="7"/>
      <c r="Q275" s="7"/>
      <c r="R275" s="7"/>
      <c r="S275" s="7"/>
      <c r="T275" s="7"/>
      <c r="U275" s="7"/>
      <c r="V275" s="7"/>
      <c r="W275" s="7"/>
      <c r="X275" s="7"/>
      <c r="Y275" s="7"/>
      <c r="Z275" s="7"/>
      <c r="AA275" s="7"/>
      <c r="AB275" s="7"/>
      <c r="AC275" s="7"/>
      <c r="AD275" s="7"/>
      <c r="AE275" s="7"/>
      <c r="AF275" s="7"/>
    </row>
    <row r="276" spans="1:32" ht="15.75" customHeight="1"/>
    <row r="277" spans="1:32" ht="15.75" customHeight="1"/>
    <row r="278" spans="1:32" ht="15.75" customHeight="1"/>
    <row r="279" spans="1:32" ht="15.75" customHeight="1"/>
    <row r="280" spans="1:32" ht="15.75" customHeight="1"/>
    <row r="281" spans="1:32" ht="15.75" customHeight="1"/>
    <row r="282" spans="1:32" ht="15.75" customHeight="1"/>
    <row r="283" spans="1:32" ht="15.75" customHeight="1"/>
    <row r="284" spans="1:32" ht="15.75" customHeight="1"/>
    <row r="285" spans="1:32" ht="15.75" customHeight="1"/>
    <row r="286" spans="1:32" ht="15.75" customHeight="1"/>
    <row r="287" spans="1:32" ht="15.75" customHeight="1"/>
    <row r="288" spans="1:32"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K75" xr:uid="{00000000-0009-0000-0000-000007000000}"/>
  <phoneticPr fontId="22" type="noConversion"/>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999"/>
  <sheetViews>
    <sheetView workbookViewId="0">
      <pane ySplit="1" topLeftCell="A50" activePane="bottomLeft" state="frozen"/>
      <selection pane="bottomLeft"/>
    </sheetView>
  </sheetViews>
  <sheetFormatPr defaultColWidth="14.42578125" defaultRowHeight="15" customHeight="1"/>
  <cols>
    <col min="1" max="1" width="74" customWidth="1"/>
    <col min="2" max="2" width="13.140625" customWidth="1"/>
    <col min="3" max="3" width="16.42578125" customWidth="1"/>
    <col min="4" max="4" width="12.85546875" customWidth="1"/>
    <col min="5" max="5" width="15.5703125" customWidth="1"/>
    <col min="6" max="6" width="12.7109375" customWidth="1"/>
    <col min="7" max="7" width="22.7109375" customWidth="1"/>
    <col min="8" max="8" width="35.7109375" customWidth="1"/>
    <col min="9" max="9" width="18.85546875" customWidth="1"/>
    <col min="10" max="10" width="21.7109375" customWidth="1"/>
    <col min="11" max="11" width="18.7109375" customWidth="1"/>
    <col min="12" max="12" width="24.42578125" customWidth="1"/>
    <col min="13" max="13" width="37.42578125" customWidth="1"/>
    <col min="14" max="14" width="9.140625" customWidth="1"/>
    <col min="15" max="32" width="8.7109375" customWidth="1"/>
  </cols>
  <sheetData>
    <row r="1" spans="1:14" ht="15.75" customHeight="1">
      <c r="A1" s="47" t="s">
        <v>579</v>
      </c>
      <c r="B1" s="2" t="s">
        <v>5</v>
      </c>
      <c r="C1" s="3" t="s">
        <v>6</v>
      </c>
      <c r="D1" s="4" t="s">
        <v>0</v>
      </c>
      <c r="E1" s="4" t="s">
        <v>1</v>
      </c>
      <c r="F1" s="4" t="s">
        <v>2</v>
      </c>
      <c r="G1" s="4" t="s">
        <v>7</v>
      </c>
      <c r="H1" s="4" t="s">
        <v>3</v>
      </c>
      <c r="I1" s="5" t="s">
        <v>8</v>
      </c>
      <c r="J1" s="5" t="s">
        <v>9</v>
      </c>
      <c r="K1" s="5" t="s">
        <v>10</v>
      </c>
      <c r="L1" s="48" t="s">
        <v>11</v>
      </c>
      <c r="M1" s="48" t="s">
        <v>12</v>
      </c>
      <c r="N1" s="6"/>
    </row>
    <row r="2" spans="1:14" ht="15.75" customHeight="1">
      <c r="A2" s="77" t="s">
        <v>580</v>
      </c>
      <c r="B2" s="18"/>
      <c r="C2" s="18"/>
      <c r="D2" s="78"/>
      <c r="E2" s="19"/>
      <c r="F2" s="19"/>
      <c r="G2" s="19"/>
      <c r="H2" s="19"/>
      <c r="I2" s="19"/>
      <c r="J2" s="19"/>
      <c r="K2" s="19"/>
      <c r="L2" s="19"/>
      <c r="M2" s="19"/>
      <c r="N2" s="6"/>
    </row>
    <row r="3" spans="1:14" ht="15.75" customHeight="1">
      <c r="A3" s="53" t="s">
        <v>581</v>
      </c>
      <c r="B3" s="3" t="s">
        <v>16</v>
      </c>
      <c r="C3" s="3" t="s">
        <v>22</v>
      </c>
      <c r="D3" s="79" t="s">
        <v>582</v>
      </c>
      <c r="E3" s="3" t="s">
        <v>22</v>
      </c>
      <c r="F3" s="9" t="s">
        <v>14</v>
      </c>
      <c r="G3" s="12" t="s">
        <v>14</v>
      </c>
      <c r="H3" s="12" t="s">
        <v>14</v>
      </c>
      <c r="I3" s="122">
        <f>_xlfn.LET(
_xlpm.full,2,
_xlpm.ans0,$C3&amp;"",
_xlpm.resp0,D3&amp;"",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3" s="122">
        <f t="shared" ref="J3:M8" si="0">_xlfn.LET(
_xlpm.full,2,
_xlpm.ans0,$C3&amp;"",
_xlpm.resp0,E3&amp;"",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3" s="122">
        <f t="shared" si="0"/>
        <v>0</v>
      </c>
      <c r="L3" s="122">
        <f t="shared" si="0"/>
        <v>0</v>
      </c>
      <c r="M3" s="122">
        <f t="shared" si="0"/>
        <v>0</v>
      </c>
      <c r="N3" s="50"/>
    </row>
    <row r="4" spans="1:14" ht="15.75" customHeight="1">
      <c r="A4" s="53" t="s">
        <v>583</v>
      </c>
      <c r="B4" s="3" t="s">
        <v>16</v>
      </c>
      <c r="C4" s="3" t="s">
        <v>54</v>
      </c>
      <c r="D4" s="79" t="s">
        <v>584</v>
      </c>
      <c r="E4" s="9" t="s">
        <v>58</v>
      </c>
      <c r="F4" s="9" t="s">
        <v>58</v>
      </c>
      <c r="G4" s="12" t="s">
        <v>58</v>
      </c>
      <c r="H4" s="12" t="s">
        <v>54</v>
      </c>
      <c r="I4" s="122">
        <f t="shared" ref="I4:I8" si="1">_xlfn.LET(
_xlpm.full,2,
_xlpm.ans0,$C4&amp;"",
_xlpm.resp0,D4&amp;"",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4" s="122">
        <f t="shared" si="0"/>
        <v>0.4</v>
      </c>
      <c r="K4" s="122">
        <f t="shared" si="0"/>
        <v>0.4</v>
      </c>
      <c r="L4" s="122">
        <f t="shared" si="0"/>
        <v>0.4</v>
      </c>
      <c r="M4" s="122">
        <f t="shared" si="0"/>
        <v>2</v>
      </c>
      <c r="N4" s="50"/>
    </row>
    <row r="5" spans="1:14" ht="15.75" customHeight="1">
      <c r="A5" s="53" t="s">
        <v>585</v>
      </c>
      <c r="B5" s="3"/>
      <c r="C5" s="3" t="s">
        <v>22</v>
      </c>
      <c r="D5" s="79" t="s">
        <v>586</v>
      </c>
      <c r="E5" s="9" t="s">
        <v>22</v>
      </c>
      <c r="F5" s="9" t="s">
        <v>22</v>
      </c>
      <c r="G5" s="12" t="s">
        <v>22</v>
      </c>
      <c r="H5" s="12" t="s">
        <v>22</v>
      </c>
      <c r="I5" s="122">
        <f t="shared" si="1"/>
        <v>2</v>
      </c>
      <c r="J5" s="122">
        <f t="shared" si="0"/>
        <v>2</v>
      </c>
      <c r="K5" s="122">
        <f t="shared" si="0"/>
        <v>2</v>
      </c>
      <c r="L5" s="122">
        <f t="shared" si="0"/>
        <v>2</v>
      </c>
      <c r="M5" s="122">
        <f t="shared" si="0"/>
        <v>2</v>
      </c>
      <c r="N5" s="6"/>
    </row>
    <row r="6" spans="1:14" ht="15.75" customHeight="1">
      <c r="A6" s="53" t="s">
        <v>587</v>
      </c>
      <c r="B6" s="3"/>
      <c r="C6" s="3" t="s">
        <v>48</v>
      </c>
      <c r="D6" s="79" t="s">
        <v>48</v>
      </c>
      <c r="E6" s="9" t="s">
        <v>48</v>
      </c>
      <c r="F6" s="9" t="s">
        <v>48</v>
      </c>
      <c r="G6" s="12" t="s">
        <v>48</v>
      </c>
      <c r="H6" s="12" t="s">
        <v>48</v>
      </c>
      <c r="I6" s="122">
        <f t="shared" si="1"/>
        <v>2</v>
      </c>
      <c r="J6" s="122">
        <f t="shared" si="0"/>
        <v>2</v>
      </c>
      <c r="K6" s="122">
        <f t="shared" si="0"/>
        <v>2</v>
      </c>
      <c r="L6" s="122">
        <f t="shared" si="0"/>
        <v>2</v>
      </c>
      <c r="M6" s="122">
        <f t="shared" si="0"/>
        <v>2</v>
      </c>
      <c r="N6" s="6"/>
    </row>
    <row r="7" spans="1:14" ht="15.75" customHeight="1">
      <c r="A7" s="53" t="s">
        <v>588</v>
      </c>
      <c r="B7" s="3"/>
      <c r="C7" s="3" t="s">
        <v>21</v>
      </c>
      <c r="D7" s="79" t="s">
        <v>21</v>
      </c>
      <c r="E7" s="9" t="s">
        <v>21</v>
      </c>
      <c r="F7" s="9" t="s">
        <v>21</v>
      </c>
      <c r="G7" s="12" t="s">
        <v>21</v>
      </c>
      <c r="H7" s="12" t="s">
        <v>21</v>
      </c>
      <c r="I7" s="122">
        <f t="shared" si="1"/>
        <v>2</v>
      </c>
      <c r="J7" s="122">
        <f t="shared" si="0"/>
        <v>2</v>
      </c>
      <c r="K7" s="122">
        <f t="shared" si="0"/>
        <v>2</v>
      </c>
      <c r="L7" s="122">
        <f t="shared" si="0"/>
        <v>2</v>
      </c>
      <c r="M7" s="122">
        <f t="shared" si="0"/>
        <v>2</v>
      </c>
      <c r="N7" s="6"/>
    </row>
    <row r="8" spans="1:14" ht="15.75" customHeight="1">
      <c r="A8" s="53" t="s">
        <v>589</v>
      </c>
      <c r="B8" s="3" t="s">
        <v>16</v>
      </c>
      <c r="C8" s="3" t="s">
        <v>54</v>
      </c>
      <c r="D8" s="79" t="s">
        <v>53</v>
      </c>
      <c r="E8" s="9" t="s">
        <v>55</v>
      </c>
      <c r="F8" s="9" t="s">
        <v>14</v>
      </c>
      <c r="G8" s="12" t="s">
        <v>54</v>
      </c>
      <c r="H8" s="12" t="s">
        <v>55</v>
      </c>
      <c r="I8" s="122">
        <f t="shared" si="1"/>
        <v>0.4</v>
      </c>
      <c r="J8" s="122">
        <f t="shared" si="0"/>
        <v>0.4</v>
      </c>
      <c r="K8" s="122">
        <f t="shared" si="0"/>
        <v>0</v>
      </c>
      <c r="L8" s="122">
        <f t="shared" si="0"/>
        <v>2</v>
      </c>
      <c r="M8" s="122">
        <f t="shared" si="0"/>
        <v>0.4</v>
      </c>
      <c r="N8" s="6"/>
    </row>
    <row r="9" spans="1:14" ht="15.75" customHeight="1">
      <c r="A9" s="77" t="s">
        <v>590</v>
      </c>
      <c r="B9" s="18"/>
      <c r="C9" s="18"/>
      <c r="D9" s="78"/>
      <c r="E9" s="19"/>
      <c r="F9" s="19"/>
      <c r="G9" s="19"/>
      <c r="H9" s="19"/>
      <c r="I9" s="19"/>
      <c r="J9" s="19"/>
      <c r="K9" s="19"/>
      <c r="L9" s="19"/>
      <c r="M9" s="19"/>
      <c r="N9" s="6"/>
    </row>
    <row r="10" spans="1:14" ht="15.75" customHeight="1">
      <c r="A10" s="53" t="s">
        <v>591</v>
      </c>
      <c r="B10" s="3" t="s">
        <v>16</v>
      </c>
      <c r="C10" s="3" t="s">
        <v>592</v>
      </c>
      <c r="D10" s="79" t="s">
        <v>21</v>
      </c>
      <c r="E10" s="9" t="s">
        <v>19</v>
      </c>
      <c r="F10" s="9" t="s">
        <v>19</v>
      </c>
      <c r="G10" s="12" t="s">
        <v>17</v>
      </c>
      <c r="H10" s="12" t="s">
        <v>19</v>
      </c>
      <c r="I10" s="122">
        <f t="shared" ref="I10:I21" si="2">_xlfn.LET(
_xlpm.full,2,
_xlpm.ans0,$C10&amp;"",
_xlpm.resp0,D10&amp;"",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10" s="122">
        <f t="shared" ref="J10:J21" si="3">_xlfn.LET(
_xlpm.full,2,
_xlpm.ans0,$C10&amp;"",
_xlpm.resp0,E10&amp;"",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10" s="122">
        <f t="shared" ref="K10:K21" si="4">_xlfn.LET(
_xlpm.full,2,
_xlpm.ans0,$C10&amp;"",
_xlpm.resp0,F10&amp;"",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10" s="122">
        <f t="shared" ref="L10:L21" si="5">_xlfn.LET(
_xlpm.full,2,
_xlpm.ans0,$C10&amp;"",
_xlpm.resp0,G10&amp;"",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M10" s="122">
        <f t="shared" ref="M10:M21" si="6">_xlfn.LET(
_xlpm.full,2,
_xlpm.ans0,$C10&amp;"",
_xlpm.resp0,H10&amp;"",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10" s="6"/>
    </row>
    <row r="11" spans="1:14" ht="15.75" customHeight="1">
      <c r="A11" s="53" t="s">
        <v>593</v>
      </c>
      <c r="B11" s="3" t="s">
        <v>16</v>
      </c>
      <c r="C11" s="3" t="s">
        <v>54</v>
      </c>
      <c r="D11" s="79" t="s">
        <v>58</v>
      </c>
      <c r="E11" s="9" t="s">
        <v>54</v>
      </c>
      <c r="F11" s="9" t="s">
        <v>54</v>
      </c>
      <c r="G11" s="12" t="s">
        <v>58</v>
      </c>
      <c r="H11" s="12" t="s">
        <v>54</v>
      </c>
      <c r="I11" s="122">
        <f t="shared" si="2"/>
        <v>0.4</v>
      </c>
      <c r="J11" s="122">
        <f t="shared" si="3"/>
        <v>2</v>
      </c>
      <c r="K11" s="122">
        <f t="shared" si="4"/>
        <v>2</v>
      </c>
      <c r="L11" s="122">
        <f t="shared" si="5"/>
        <v>0.4</v>
      </c>
      <c r="M11" s="122">
        <f t="shared" si="6"/>
        <v>2</v>
      </c>
      <c r="N11" s="6"/>
    </row>
    <row r="12" spans="1:14" ht="15.75" customHeight="1">
      <c r="A12" s="53" t="s">
        <v>594</v>
      </c>
      <c r="B12" s="3"/>
      <c r="C12" s="3" t="s">
        <v>22</v>
      </c>
      <c r="D12" s="79" t="s">
        <v>22</v>
      </c>
      <c r="E12" s="9" t="s">
        <v>22</v>
      </c>
      <c r="F12" s="9" t="s">
        <v>55</v>
      </c>
      <c r="G12" s="12" t="s">
        <v>22</v>
      </c>
      <c r="H12" s="12" t="s">
        <v>22</v>
      </c>
      <c r="I12" s="122">
        <f t="shared" si="2"/>
        <v>2</v>
      </c>
      <c r="J12" s="122">
        <f t="shared" si="3"/>
        <v>2</v>
      </c>
      <c r="K12" s="122">
        <f t="shared" si="4"/>
        <v>0</v>
      </c>
      <c r="L12" s="122">
        <f t="shared" si="5"/>
        <v>2</v>
      </c>
      <c r="M12" s="122">
        <f t="shared" si="6"/>
        <v>2</v>
      </c>
      <c r="N12" s="6"/>
    </row>
    <row r="13" spans="1:14" ht="15.75" customHeight="1">
      <c r="A13" s="53" t="s">
        <v>595</v>
      </c>
      <c r="B13" s="3"/>
      <c r="C13" s="3" t="s">
        <v>21</v>
      </c>
      <c r="D13" s="79" t="s">
        <v>21</v>
      </c>
      <c r="E13" s="9" t="s">
        <v>21</v>
      </c>
      <c r="F13" s="9" t="s">
        <v>21</v>
      </c>
      <c r="G13" s="12" t="s">
        <v>21</v>
      </c>
      <c r="H13" s="12" t="s">
        <v>21</v>
      </c>
      <c r="I13" s="122">
        <f t="shared" si="2"/>
        <v>2</v>
      </c>
      <c r="J13" s="122">
        <f t="shared" si="3"/>
        <v>2</v>
      </c>
      <c r="K13" s="122">
        <f t="shared" si="4"/>
        <v>2</v>
      </c>
      <c r="L13" s="122">
        <f t="shared" si="5"/>
        <v>2</v>
      </c>
      <c r="M13" s="122">
        <f t="shared" si="6"/>
        <v>2</v>
      </c>
      <c r="N13" s="6"/>
    </row>
    <row r="14" spans="1:14" ht="15.75" customHeight="1">
      <c r="A14" s="53" t="s">
        <v>596</v>
      </c>
      <c r="B14" s="3" t="s">
        <v>16</v>
      </c>
      <c r="C14" s="3" t="s">
        <v>14</v>
      </c>
      <c r="D14" s="79" t="s">
        <v>55</v>
      </c>
      <c r="E14" s="9" t="s">
        <v>50</v>
      </c>
      <c r="F14" s="9" t="s">
        <v>57</v>
      </c>
      <c r="G14" s="12" t="s">
        <v>14</v>
      </c>
      <c r="H14" s="12" t="s">
        <v>14</v>
      </c>
      <c r="I14" s="122">
        <f t="shared" si="2"/>
        <v>0</v>
      </c>
      <c r="J14" s="122">
        <f t="shared" si="3"/>
        <v>0</v>
      </c>
      <c r="K14" s="122">
        <f t="shared" si="4"/>
        <v>0</v>
      </c>
      <c r="L14" s="122">
        <f t="shared" si="5"/>
        <v>2</v>
      </c>
      <c r="M14" s="122">
        <f t="shared" si="6"/>
        <v>2</v>
      </c>
      <c r="N14" s="6"/>
    </row>
    <row r="15" spans="1:14" ht="15.75" customHeight="1">
      <c r="A15" s="53" t="s">
        <v>597</v>
      </c>
      <c r="B15" s="3" t="s">
        <v>16</v>
      </c>
      <c r="C15" s="3" t="s">
        <v>52</v>
      </c>
      <c r="D15" s="79" t="s">
        <v>57</v>
      </c>
      <c r="E15" s="9" t="s">
        <v>52</v>
      </c>
      <c r="F15" s="9" t="s">
        <v>52</v>
      </c>
      <c r="G15" s="12" t="s">
        <v>52</v>
      </c>
      <c r="H15" s="12" t="s">
        <v>52</v>
      </c>
      <c r="I15" s="122">
        <f t="shared" si="2"/>
        <v>0.4</v>
      </c>
      <c r="J15" s="122">
        <f t="shared" si="3"/>
        <v>2</v>
      </c>
      <c r="K15" s="122">
        <f t="shared" si="4"/>
        <v>2</v>
      </c>
      <c r="L15" s="122">
        <f t="shared" si="5"/>
        <v>2</v>
      </c>
      <c r="M15" s="122">
        <f t="shared" si="6"/>
        <v>2</v>
      </c>
      <c r="N15" s="6"/>
    </row>
    <row r="16" spans="1:14" ht="15.75" customHeight="1">
      <c r="A16" s="53" t="s">
        <v>598</v>
      </c>
      <c r="B16" s="3" t="s">
        <v>34</v>
      </c>
      <c r="C16" s="3" t="s">
        <v>17</v>
      </c>
      <c r="D16" s="79" t="s">
        <v>22</v>
      </c>
      <c r="E16" s="9" t="s">
        <v>17</v>
      </c>
      <c r="F16" s="9" t="s">
        <v>58</v>
      </c>
      <c r="G16" s="12" t="s">
        <v>17</v>
      </c>
      <c r="H16" s="12" t="s">
        <v>21</v>
      </c>
      <c r="I16" s="122">
        <f t="shared" si="2"/>
        <v>0</v>
      </c>
      <c r="J16" s="122">
        <f t="shared" si="3"/>
        <v>2</v>
      </c>
      <c r="K16" s="122">
        <f t="shared" si="4"/>
        <v>0</v>
      </c>
      <c r="L16" s="122">
        <f t="shared" si="5"/>
        <v>2</v>
      </c>
      <c r="M16" s="122">
        <f t="shared" si="6"/>
        <v>0</v>
      </c>
      <c r="N16" s="6"/>
    </row>
    <row r="17" spans="1:14" ht="15.75" customHeight="1">
      <c r="A17" s="53" t="s">
        <v>599</v>
      </c>
      <c r="B17" s="3"/>
      <c r="C17" s="3" t="s">
        <v>14</v>
      </c>
      <c r="D17" s="79" t="s">
        <v>14</v>
      </c>
      <c r="E17" s="9" t="s">
        <v>14</v>
      </c>
      <c r="F17" s="9" t="s">
        <v>14</v>
      </c>
      <c r="G17" s="12" t="s">
        <v>14</v>
      </c>
      <c r="H17" s="12" t="s">
        <v>14</v>
      </c>
      <c r="I17" s="122">
        <f t="shared" si="2"/>
        <v>2</v>
      </c>
      <c r="J17" s="122">
        <f t="shared" si="3"/>
        <v>2</v>
      </c>
      <c r="K17" s="122">
        <f t="shared" si="4"/>
        <v>2</v>
      </c>
      <c r="L17" s="122">
        <f t="shared" si="5"/>
        <v>2</v>
      </c>
      <c r="M17" s="122">
        <f t="shared" si="6"/>
        <v>2</v>
      </c>
      <c r="N17" s="6"/>
    </row>
    <row r="18" spans="1:14" ht="15.75" customHeight="1">
      <c r="A18" s="53" t="s">
        <v>600</v>
      </c>
      <c r="B18" s="3" t="s">
        <v>16</v>
      </c>
      <c r="C18" s="3" t="s">
        <v>592</v>
      </c>
      <c r="D18" s="80" t="s">
        <v>17</v>
      </c>
      <c r="E18" s="10" t="s">
        <v>17</v>
      </c>
      <c r="F18" s="10" t="s">
        <v>17</v>
      </c>
      <c r="G18" s="11" t="s">
        <v>19</v>
      </c>
      <c r="H18" s="11" t="s">
        <v>17</v>
      </c>
      <c r="I18" s="122">
        <f t="shared" si="2"/>
        <v>0</v>
      </c>
      <c r="J18" s="122">
        <f t="shared" si="3"/>
        <v>0</v>
      </c>
      <c r="K18" s="122">
        <f t="shared" si="4"/>
        <v>0</v>
      </c>
      <c r="L18" s="122">
        <f t="shared" si="5"/>
        <v>2</v>
      </c>
      <c r="M18" s="122">
        <f t="shared" si="6"/>
        <v>0</v>
      </c>
      <c r="N18" s="6"/>
    </row>
    <row r="19" spans="1:14" ht="15.75" customHeight="1">
      <c r="A19" s="53" t="s">
        <v>601</v>
      </c>
      <c r="B19" s="3" t="s">
        <v>16</v>
      </c>
      <c r="C19" s="3" t="s">
        <v>22</v>
      </c>
      <c r="D19" s="80" t="s">
        <v>21</v>
      </c>
      <c r="E19" s="10" t="s">
        <v>21</v>
      </c>
      <c r="F19" s="10" t="s">
        <v>21</v>
      </c>
      <c r="G19" s="11" t="s">
        <v>14</v>
      </c>
      <c r="H19" s="11" t="s">
        <v>22</v>
      </c>
      <c r="I19" s="122">
        <f t="shared" si="2"/>
        <v>0</v>
      </c>
      <c r="J19" s="122">
        <f t="shared" si="3"/>
        <v>0</v>
      </c>
      <c r="K19" s="122">
        <f t="shared" si="4"/>
        <v>0</v>
      </c>
      <c r="L19" s="122">
        <f t="shared" si="5"/>
        <v>0</v>
      </c>
      <c r="M19" s="122">
        <f t="shared" si="6"/>
        <v>2</v>
      </c>
      <c r="N19" s="6"/>
    </row>
    <row r="20" spans="1:14" ht="15.75" customHeight="1">
      <c r="A20" s="53" t="s">
        <v>602</v>
      </c>
      <c r="B20" s="3" t="s">
        <v>16</v>
      </c>
      <c r="C20" s="3" t="s">
        <v>52</v>
      </c>
      <c r="D20" s="80" t="s">
        <v>53</v>
      </c>
      <c r="E20" s="10" t="s">
        <v>53</v>
      </c>
      <c r="F20" s="10" t="s">
        <v>53</v>
      </c>
      <c r="G20" s="11" t="s">
        <v>54</v>
      </c>
      <c r="H20" s="11" t="s">
        <v>53</v>
      </c>
      <c r="I20" s="122">
        <f t="shared" si="2"/>
        <v>0.4</v>
      </c>
      <c r="J20" s="122">
        <f t="shared" si="3"/>
        <v>0.4</v>
      </c>
      <c r="K20" s="122">
        <f t="shared" si="4"/>
        <v>0.4</v>
      </c>
      <c r="L20" s="122">
        <f t="shared" si="5"/>
        <v>0.4</v>
      </c>
      <c r="M20" s="122">
        <f t="shared" si="6"/>
        <v>0.4</v>
      </c>
      <c r="N20" s="6"/>
    </row>
    <row r="21" spans="1:14" ht="15.75" customHeight="1">
      <c r="A21" s="53" t="s">
        <v>603</v>
      </c>
      <c r="B21" s="3"/>
      <c r="C21" s="3" t="s">
        <v>604</v>
      </c>
      <c r="D21" s="80" t="s">
        <v>57</v>
      </c>
      <c r="E21" s="10" t="s">
        <v>57</v>
      </c>
      <c r="F21" s="10" t="s">
        <v>57</v>
      </c>
      <c r="G21" s="11" t="s">
        <v>57</v>
      </c>
      <c r="H21" s="11" t="s">
        <v>57</v>
      </c>
      <c r="I21" s="122">
        <f t="shared" si="2"/>
        <v>2</v>
      </c>
      <c r="J21" s="122">
        <f t="shared" si="3"/>
        <v>2</v>
      </c>
      <c r="K21" s="122">
        <f t="shared" si="4"/>
        <v>2</v>
      </c>
      <c r="L21" s="122">
        <f t="shared" si="5"/>
        <v>2</v>
      </c>
      <c r="M21" s="122">
        <f t="shared" si="6"/>
        <v>2</v>
      </c>
      <c r="N21" s="6"/>
    </row>
    <row r="22" spans="1:14" ht="15.75" customHeight="1">
      <c r="A22" s="77" t="s">
        <v>605</v>
      </c>
      <c r="B22" s="18"/>
      <c r="C22" s="18"/>
      <c r="D22" s="40"/>
      <c r="E22" s="24"/>
      <c r="F22" s="24"/>
      <c r="G22" s="24"/>
      <c r="H22" s="24"/>
      <c r="I22" s="24"/>
      <c r="J22" s="24"/>
      <c r="K22" s="24"/>
      <c r="L22" s="24"/>
      <c r="M22" s="24"/>
      <c r="N22" s="6"/>
    </row>
    <row r="23" spans="1:14" ht="15.75" customHeight="1">
      <c r="A23" s="53" t="s">
        <v>606</v>
      </c>
      <c r="B23" s="3"/>
      <c r="C23" s="3" t="s">
        <v>22</v>
      </c>
      <c r="D23" s="80" t="s">
        <v>17</v>
      </c>
      <c r="E23" s="10" t="s">
        <v>22</v>
      </c>
      <c r="F23" s="10" t="s">
        <v>54</v>
      </c>
      <c r="G23" s="11" t="s">
        <v>17</v>
      </c>
      <c r="H23" s="11" t="s">
        <v>22</v>
      </c>
      <c r="I23" s="122">
        <f t="shared" ref="I23:I27" si="7">_xlfn.LET(
_xlpm.full,2,
_xlpm.ans0,$C23&amp;"",
_xlpm.resp0,D23&amp;"",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23" s="122">
        <f t="shared" ref="J23:J27" si="8">_xlfn.LET(
_xlpm.full,2,
_xlpm.ans0,$C23&amp;"",
_xlpm.resp0,E23&amp;"",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23" s="122">
        <f t="shared" ref="K23:K27" si="9">_xlfn.LET(
_xlpm.full,2,
_xlpm.ans0,$C23&amp;"",
_xlpm.resp0,F23&amp;"",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L23" s="122">
        <f t="shared" ref="L23:L27" si="10">_xlfn.LET(
_xlpm.full,2,
_xlpm.ans0,$C23&amp;"",
_xlpm.resp0,G23&amp;"",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M23" s="122">
        <f t="shared" ref="M23:M27" si="11">_xlfn.LET(
_xlpm.full,2,
_xlpm.ans0,$C23&amp;"",
_xlpm.resp0,H23&amp;"",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23" s="6"/>
    </row>
    <row r="24" spans="1:14" ht="15.75" customHeight="1">
      <c r="A24" s="53" t="s">
        <v>607</v>
      </c>
      <c r="B24" s="3"/>
      <c r="C24" s="3" t="s">
        <v>55</v>
      </c>
      <c r="D24" s="80" t="s">
        <v>55</v>
      </c>
      <c r="E24" s="10" t="s">
        <v>55</v>
      </c>
      <c r="F24" s="10" t="s">
        <v>55</v>
      </c>
      <c r="G24" s="11" t="s">
        <v>55</v>
      </c>
      <c r="H24" s="11" t="s">
        <v>55</v>
      </c>
      <c r="I24" s="122">
        <f t="shared" si="7"/>
        <v>2</v>
      </c>
      <c r="J24" s="122">
        <f t="shared" si="8"/>
        <v>2</v>
      </c>
      <c r="K24" s="122">
        <f t="shared" si="9"/>
        <v>2</v>
      </c>
      <c r="L24" s="122">
        <f t="shared" si="10"/>
        <v>2</v>
      </c>
      <c r="M24" s="122">
        <f t="shared" si="11"/>
        <v>2</v>
      </c>
      <c r="N24" s="6"/>
    </row>
    <row r="25" spans="1:14" ht="15.75" customHeight="1">
      <c r="A25" s="53" t="s">
        <v>608</v>
      </c>
      <c r="B25" s="3"/>
      <c r="C25" s="3" t="s">
        <v>104</v>
      </c>
      <c r="D25" s="80" t="s">
        <v>104</v>
      </c>
      <c r="E25" s="10" t="s">
        <v>104</v>
      </c>
      <c r="F25" s="10" t="s">
        <v>104</v>
      </c>
      <c r="G25" s="11" t="s">
        <v>104</v>
      </c>
      <c r="H25" s="11" t="s">
        <v>104</v>
      </c>
      <c r="I25" s="122">
        <f t="shared" si="7"/>
        <v>2</v>
      </c>
      <c r="J25" s="122">
        <f t="shared" si="8"/>
        <v>2</v>
      </c>
      <c r="K25" s="122">
        <f t="shared" si="9"/>
        <v>2</v>
      </c>
      <c r="L25" s="122">
        <f t="shared" si="10"/>
        <v>2</v>
      </c>
      <c r="M25" s="122">
        <f t="shared" si="11"/>
        <v>2</v>
      </c>
      <c r="N25" s="50"/>
    </row>
    <row r="26" spans="1:14" ht="15.75" customHeight="1">
      <c r="A26" s="53" t="s">
        <v>609</v>
      </c>
      <c r="B26" s="3"/>
      <c r="C26" s="3" t="s">
        <v>55</v>
      </c>
      <c r="D26" s="80" t="s">
        <v>53</v>
      </c>
      <c r="E26" s="10" t="s">
        <v>55</v>
      </c>
      <c r="F26" s="10" t="s">
        <v>55</v>
      </c>
      <c r="G26" s="11" t="s">
        <v>55</v>
      </c>
      <c r="H26" s="11" t="s">
        <v>55</v>
      </c>
      <c r="I26" s="122">
        <f t="shared" si="7"/>
        <v>0.4</v>
      </c>
      <c r="J26" s="122">
        <f t="shared" si="8"/>
        <v>2</v>
      </c>
      <c r="K26" s="122">
        <f t="shared" si="9"/>
        <v>2</v>
      </c>
      <c r="L26" s="122">
        <f t="shared" si="10"/>
        <v>2</v>
      </c>
      <c r="M26" s="122">
        <f t="shared" si="11"/>
        <v>2</v>
      </c>
      <c r="N26" s="50"/>
    </row>
    <row r="27" spans="1:14" ht="15.75" customHeight="1">
      <c r="A27" s="53" t="s">
        <v>610</v>
      </c>
      <c r="B27" s="3" t="s">
        <v>34</v>
      </c>
      <c r="C27" s="3" t="s">
        <v>611</v>
      </c>
      <c r="D27" s="80" t="s">
        <v>88</v>
      </c>
      <c r="E27" s="10" t="s">
        <v>88</v>
      </c>
      <c r="F27" s="10" t="s">
        <v>60</v>
      </c>
      <c r="G27" s="11" t="s">
        <v>88</v>
      </c>
      <c r="H27" s="11" t="s">
        <v>88</v>
      </c>
      <c r="I27" s="122">
        <f t="shared" si="7"/>
        <v>2</v>
      </c>
      <c r="J27" s="122">
        <f t="shared" si="8"/>
        <v>2</v>
      </c>
      <c r="K27" s="122">
        <f t="shared" si="9"/>
        <v>0.4</v>
      </c>
      <c r="L27" s="122">
        <f t="shared" si="10"/>
        <v>2</v>
      </c>
      <c r="M27" s="122">
        <f t="shared" si="11"/>
        <v>2</v>
      </c>
      <c r="N27" s="50"/>
    </row>
    <row r="28" spans="1:14" ht="15.75" customHeight="1">
      <c r="A28" s="77" t="s">
        <v>612</v>
      </c>
      <c r="B28" s="18"/>
      <c r="C28" s="18"/>
      <c r="D28" s="40"/>
      <c r="E28" s="24"/>
      <c r="F28" s="24"/>
      <c r="G28" s="24"/>
      <c r="H28" s="24"/>
      <c r="I28" s="24"/>
      <c r="J28" s="24"/>
      <c r="K28" s="24"/>
      <c r="L28" s="24"/>
      <c r="M28" s="24"/>
      <c r="N28" s="50"/>
    </row>
    <row r="29" spans="1:14" ht="15.75" customHeight="1">
      <c r="A29" s="53" t="s">
        <v>613</v>
      </c>
      <c r="B29" s="3"/>
      <c r="C29" s="3" t="s">
        <v>611</v>
      </c>
      <c r="D29" s="80" t="s">
        <v>88</v>
      </c>
      <c r="E29" s="10" t="s">
        <v>88</v>
      </c>
      <c r="F29" s="10" t="s">
        <v>88</v>
      </c>
      <c r="G29" s="11" t="s">
        <v>88</v>
      </c>
      <c r="H29" s="11" t="s">
        <v>88</v>
      </c>
      <c r="I29" s="122">
        <f t="shared" ref="I29:I32" si="12">_xlfn.LET(
_xlpm.full,2,
_xlpm.ans0,$C29&amp;"",
_xlpm.resp0,D29&amp;"",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29" s="122">
        <f t="shared" ref="J29:J32" si="13">_xlfn.LET(
_xlpm.full,2,
_xlpm.ans0,$C29&amp;"",
_xlpm.resp0,E29&amp;"",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29" s="122">
        <f t="shared" ref="K29:K32" si="14">_xlfn.LET(
_xlpm.full,2,
_xlpm.ans0,$C29&amp;"",
_xlpm.resp0,F29&amp;"",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29" s="122">
        <f t="shared" ref="L29:L32" si="15">_xlfn.LET(
_xlpm.full,2,
_xlpm.ans0,$C29&amp;"",
_xlpm.resp0,G29&amp;"",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29" s="122">
        <f t="shared" ref="M29:M32" si="16">_xlfn.LET(
_xlpm.full,2,
_xlpm.ans0,$C29&amp;"",
_xlpm.resp0,H29&amp;"",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29" s="50"/>
    </row>
    <row r="30" spans="1:14" ht="15.75" customHeight="1">
      <c r="A30" s="81" t="s">
        <v>614</v>
      </c>
      <c r="B30" s="3" t="s">
        <v>16</v>
      </c>
      <c r="C30" s="3" t="s">
        <v>69</v>
      </c>
      <c r="D30" s="80" t="s">
        <v>69</v>
      </c>
      <c r="E30" s="10" t="s">
        <v>174</v>
      </c>
      <c r="F30" s="10" t="s">
        <v>69</v>
      </c>
      <c r="G30" s="11" t="s">
        <v>69</v>
      </c>
      <c r="H30" s="11" t="s">
        <v>69</v>
      </c>
      <c r="I30" s="122">
        <f t="shared" si="12"/>
        <v>2</v>
      </c>
      <c r="J30" s="122">
        <f t="shared" si="13"/>
        <v>0.4</v>
      </c>
      <c r="K30" s="122">
        <f t="shared" si="14"/>
        <v>2</v>
      </c>
      <c r="L30" s="122">
        <f t="shared" si="15"/>
        <v>2</v>
      </c>
      <c r="M30" s="122">
        <f t="shared" si="16"/>
        <v>2</v>
      </c>
      <c r="N30" s="50"/>
    </row>
    <row r="31" spans="1:14" ht="15.75" customHeight="1">
      <c r="A31" s="53" t="s">
        <v>615</v>
      </c>
      <c r="B31" s="3"/>
      <c r="C31" s="3" t="s">
        <v>611</v>
      </c>
      <c r="D31" s="80" t="s">
        <v>88</v>
      </c>
      <c r="E31" s="10" t="s">
        <v>88</v>
      </c>
      <c r="F31" s="10" t="s">
        <v>88</v>
      </c>
      <c r="G31" s="11" t="s">
        <v>88</v>
      </c>
      <c r="H31" s="11" t="s">
        <v>88</v>
      </c>
      <c r="I31" s="122">
        <f t="shared" si="12"/>
        <v>2</v>
      </c>
      <c r="J31" s="122">
        <f t="shared" si="13"/>
        <v>2</v>
      </c>
      <c r="K31" s="122">
        <f t="shared" si="14"/>
        <v>2</v>
      </c>
      <c r="L31" s="122">
        <f t="shared" si="15"/>
        <v>2</v>
      </c>
      <c r="M31" s="122">
        <f t="shared" si="16"/>
        <v>2</v>
      </c>
      <c r="N31" s="50"/>
    </row>
    <row r="32" spans="1:14" ht="15.75" customHeight="1">
      <c r="A32" s="53" t="s">
        <v>616</v>
      </c>
      <c r="B32" s="3"/>
      <c r="C32" s="3" t="s">
        <v>46</v>
      </c>
      <c r="D32" s="80" t="s">
        <v>46</v>
      </c>
      <c r="E32" s="10" t="s">
        <v>46</v>
      </c>
      <c r="F32" s="10" t="s">
        <v>46</v>
      </c>
      <c r="G32" s="10" t="s">
        <v>46</v>
      </c>
      <c r="H32" s="10" t="s">
        <v>46</v>
      </c>
      <c r="I32" s="122">
        <f t="shared" si="12"/>
        <v>2</v>
      </c>
      <c r="J32" s="122">
        <f t="shared" si="13"/>
        <v>2</v>
      </c>
      <c r="K32" s="122">
        <f t="shared" si="14"/>
        <v>2</v>
      </c>
      <c r="L32" s="122">
        <f t="shared" si="15"/>
        <v>2</v>
      </c>
      <c r="M32" s="122">
        <f t="shared" si="16"/>
        <v>2</v>
      </c>
      <c r="N32" s="50"/>
    </row>
    <row r="33" spans="1:32" ht="15.75" customHeight="1">
      <c r="A33" s="77" t="s">
        <v>617</v>
      </c>
      <c r="B33" s="18"/>
      <c r="C33" s="18"/>
      <c r="D33" s="40"/>
      <c r="E33" s="24"/>
      <c r="F33" s="24"/>
      <c r="G33" s="24"/>
      <c r="H33" s="24"/>
      <c r="I33" s="24"/>
      <c r="J33" s="24"/>
      <c r="K33" s="24"/>
      <c r="L33" s="24"/>
      <c r="M33" s="24"/>
      <c r="N33" s="50"/>
    </row>
    <row r="34" spans="1:32" ht="15.75" customHeight="1">
      <c r="A34" s="53" t="s">
        <v>618</v>
      </c>
      <c r="B34" s="3"/>
      <c r="C34" s="3" t="s">
        <v>52</v>
      </c>
      <c r="D34" s="80" t="s">
        <v>52</v>
      </c>
      <c r="E34" s="10" t="s">
        <v>52</v>
      </c>
      <c r="F34" s="10" t="s">
        <v>52</v>
      </c>
      <c r="G34" s="11" t="s">
        <v>52</v>
      </c>
      <c r="H34" s="11" t="s">
        <v>52</v>
      </c>
      <c r="I34" s="122">
        <f t="shared" ref="I34:I40" si="17">_xlfn.LET(
_xlpm.full,2,
_xlpm.ans0,$C34&amp;"",
_xlpm.resp0,D34&amp;"",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34" s="122">
        <f t="shared" ref="J34:J40" si="18">_xlfn.LET(
_xlpm.full,2,
_xlpm.ans0,$C34&amp;"",
_xlpm.resp0,E34&amp;"",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34" s="122">
        <f t="shared" ref="K34:K40" si="19">_xlfn.LET(
_xlpm.full,2,
_xlpm.ans0,$C34&amp;"",
_xlpm.resp0,F34&amp;"",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34" s="122">
        <f t="shared" ref="L34:L40" si="20">_xlfn.LET(
_xlpm.full,2,
_xlpm.ans0,$C34&amp;"",
_xlpm.resp0,G34&amp;"",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34" s="122">
        <f t="shared" ref="M34:M40" si="21">_xlfn.LET(
_xlpm.full,2,
_xlpm.ans0,$C34&amp;"",
_xlpm.resp0,H34&amp;"",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34" s="50"/>
    </row>
    <row r="35" spans="1:32" ht="15.75" customHeight="1">
      <c r="A35" s="53" t="s">
        <v>619</v>
      </c>
      <c r="B35" s="3" t="s">
        <v>16</v>
      </c>
      <c r="C35" s="3" t="s">
        <v>592</v>
      </c>
      <c r="D35" s="80" t="s">
        <v>14</v>
      </c>
      <c r="E35" s="10" t="s">
        <v>14</v>
      </c>
      <c r="F35" s="10" t="s">
        <v>21</v>
      </c>
      <c r="G35" s="11" t="s">
        <v>19</v>
      </c>
      <c r="H35" s="11" t="s">
        <v>19</v>
      </c>
      <c r="I35" s="122">
        <f t="shared" si="17"/>
        <v>0</v>
      </c>
      <c r="J35" s="122">
        <f t="shared" si="18"/>
        <v>0</v>
      </c>
      <c r="K35" s="122">
        <f t="shared" si="19"/>
        <v>0</v>
      </c>
      <c r="L35" s="122">
        <f t="shared" si="20"/>
        <v>2</v>
      </c>
      <c r="M35" s="122">
        <f t="shared" si="21"/>
        <v>2</v>
      </c>
      <c r="N35" s="50"/>
    </row>
    <row r="36" spans="1:32" ht="15.75" customHeight="1">
      <c r="A36" s="53" t="s">
        <v>620</v>
      </c>
      <c r="B36" s="3" t="s">
        <v>16</v>
      </c>
      <c r="C36" s="3" t="s">
        <v>102</v>
      </c>
      <c r="D36" s="80" t="s">
        <v>57</v>
      </c>
      <c r="E36" s="10" t="s">
        <v>102</v>
      </c>
      <c r="F36" s="10" t="s">
        <v>57</v>
      </c>
      <c r="G36" s="11" t="s">
        <v>102</v>
      </c>
      <c r="H36" s="11" t="s">
        <v>102</v>
      </c>
      <c r="I36" s="122">
        <f t="shared" si="17"/>
        <v>0</v>
      </c>
      <c r="J36" s="122">
        <f t="shared" si="18"/>
        <v>2</v>
      </c>
      <c r="K36" s="122">
        <f t="shared" si="19"/>
        <v>0</v>
      </c>
      <c r="L36" s="122">
        <f t="shared" si="20"/>
        <v>2</v>
      </c>
      <c r="M36" s="122">
        <f t="shared" si="21"/>
        <v>2</v>
      </c>
      <c r="N36" s="50"/>
    </row>
    <row r="37" spans="1:32" ht="15.75" customHeight="1">
      <c r="A37" s="53" t="s">
        <v>621</v>
      </c>
      <c r="B37" s="3"/>
      <c r="C37" s="3" t="s">
        <v>21</v>
      </c>
      <c r="D37" s="80" t="s">
        <v>21</v>
      </c>
      <c r="E37" s="10" t="s">
        <v>21</v>
      </c>
      <c r="F37" s="10" t="s">
        <v>57</v>
      </c>
      <c r="G37" s="11" t="s">
        <v>21</v>
      </c>
      <c r="H37" s="11" t="s">
        <v>21</v>
      </c>
      <c r="I37" s="122">
        <f t="shared" si="17"/>
        <v>2</v>
      </c>
      <c r="J37" s="122">
        <f t="shared" si="18"/>
        <v>2</v>
      </c>
      <c r="K37" s="122">
        <f t="shared" si="19"/>
        <v>0</v>
      </c>
      <c r="L37" s="122">
        <f t="shared" si="20"/>
        <v>2</v>
      </c>
      <c r="M37" s="122">
        <f t="shared" si="21"/>
        <v>2</v>
      </c>
      <c r="N37" s="50"/>
      <c r="O37" s="50"/>
      <c r="P37" s="50"/>
      <c r="Q37" s="50"/>
      <c r="R37" s="50"/>
      <c r="S37" s="50"/>
      <c r="T37" s="50"/>
      <c r="U37" s="50"/>
      <c r="V37" s="50"/>
      <c r="W37" s="50"/>
      <c r="X37" s="50"/>
      <c r="Y37" s="50"/>
      <c r="Z37" s="50"/>
      <c r="AA37" s="50"/>
      <c r="AB37" s="50"/>
      <c r="AC37" s="50"/>
      <c r="AD37" s="50"/>
      <c r="AE37" s="50"/>
      <c r="AF37" s="50"/>
    </row>
    <row r="38" spans="1:32" ht="15.75" customHeight="1">
      <c r="A38" s="53" t="s">
        <v>622</v>
      </c>
      <c r="B38" s="3"/>
      <c r="C38" s="3" t="s">
        <v>72</v>
      </c>
      <c r="D38" s="80" t="s">
        <v>72</v>
      </c>
      <c r="E38" s="10" t="s">
        <v>72</v>
      </c>
      <c r="F38" s="10" t="s">
        <v>72</v>
      </c>
      <c r="G38" s="11" t="s">
        <v>72</v>
      </c>
      <c r="H38" s="11" t="s">
        <v>72</v>
      </c>
      <c r="I38" s="122">
        <f t="shared" si="17"/>
        <v>2</v>
      </c>
      <c r="J38" s="122">
        <f t="shared" si="18"/>
        <v>2</v>
      </c>
      <c r="K38" s="122">
        <f t="shared" si="19"/>
        <v>2</v>
      </c>
      <c r="L38" s="122">
        <f t="shared" si="20"/>
        <v>2</v>
      </c>
      <c r="M38" s="122">
        <f t="shared" si="21"/>
        <v>2</v>
      </c>
      <c r="N38" s="50"/>
      <c r="O38" s="50"/>
      <c r="P38" s="50"/>
      <c r="Q38" s="50"/>
      <c r="R38" s="50"/>
      <c r="S38" s="50"/>
      <c r="T38" s="50"/>
      <c r="U38" s="50"/>
      <c r="V38" s="50"/>
      <c r="W38" s="50"/>
      <c r="X38" s="50"/>
      <c r="Y38" s="50"/>
      <c r="Z38" s="50"/>
      <c r="AA38" s="50"/>
      <c r="AB38" s="50"/>
      <c r="AC38" s="50"/>
      <c r="AD38" s="50"/>
      <c r="AE38" s="50"/>
      <c r="AF38" s="50"/>
    </row>
    <row r="39" spans="1:32" ht="15.75" customHeight="1">
      <c r="A39" s="53" t="s">
        <v>623</v>
      </c>
      <c r="B39" s="3" t="s">
        <v>16</v>
      </c>
      <c r="C39" s="3" t="s">
        <v>592</v>
      </c>
      <c r="D39" s="80" t="s">
        <v>14</v>
      </c>
      <c r="E39" s="10" t="s">
        <v>19</v>
      </c>
      <c r="F39" s="10" t="s">
        <v>21</v>
      </c>
      <c r="G39" s="11" t="s">
        <v>19</v>
      </c>
      <c r="H39" s="11" t="s">
        <v>17</v>
      </c>
      <c r="I39" s="122">
        <f t="shared" si="17"/>
        <v>0</v>
      </c>
      <c r="J39" s="122">
        <f t="shared" si="18"/>
        <v>2</v>
      </c>
      <c r="K39" s="122">
        <f t="shared" si="19"/>
        <v>0</v>
      </c>
      <c r="L39" s="122">
        <f t="shared" si="20"/>
        <v>2</v>
      </c>
      <c r="M39" s="122">
        <f t="shared" si="21"/>
        <v>0</v>
      </c>
      <c r="N39" s="50"/>
      <c r="O39" s="50"/>
      <c r="P39" s="50"/>
      <c r="Q39" s="50"/>
      <c r="R39" s="50"/>
      <c r="S39" s="50"/>
      <c r="T39" s="50"/>
      <c r="U39" s="50"/>
      <c r="V39" s="50"/>
      <c r="W39" s="50"/>
      <c r="X39" s="50"/>
      <c r="Y39" s="50"/>
      <c r="Z39" s="50"/>
      <c r="AA39" s="50"/>
      <c r="AB39" s="50"/>
      <c r="AC39" s="50"/>
      <c r="AD39" s="50"/>
      <c r="AE39" s="50"/>
      <c r="AF39" s="50"/>
    </row>
    <row r="40" spans="1:32" ht="15.75" customHeight="1">
      <c r="A40" s="53" t="s">
        <v>624</v>
      </c>
      <c r="B40" s="3" t="s">
        <v>16</v>
      </c>
      <c r="C40" s="3" t="s">
        <v>46</v>
      </c>
      <c r="D40" s="80" t="s">
        <v>46</v>
      </c>
      <c r="E40" s="10" t="s">
        <v>46</v>
      </c>
      <c r="F40" s="10" t="s">
        <v>96</v>
      </c>
      <c r="G40" s="11" t="s">
        <v>46</v>
      </c>
      <c r="H40" s="11" t="s">
        <v>46</v>
      </c>
      <c r="I40" s="122">
        <f t="shared" si="17"/>
        <v>2</v>
      </c>
      <c r="J40" s="122">
        <f t="shared" si="18"/>
        <v>2</v>
      </c>
      <c r="K40" s="122">
        <f t="shared" si="19"/>
        <v>0.4</v>
      </c>
      <c r="L40" s="122">
        <f t="shared" si="20"/>
        <v>2</v>
      </c>
      <c r="M40" s="122">
        <f t="shared" si="21"/>
        <v>2</v>
      </c>
      <c r="N40" s="50"/>
      <c r="O40" s="50"/>
      <c r="P40" s="50"/>
      <c r="Q40" s="50"/>
      <c r="R40" s="50"/>
      <c r="S40" s="50"/>
      <c r="T40" s="50"/>
      <c r="U40" s="50"/>
      <c r="V40" s="50"/>
      <c r="W40" s="50"/>
      <c r="X40" s="50"/>
      <c r="Y40" s="50"/>
      <c r="Z40" s="50"/>
      <c r="AA40" s="50"/>
      <c r="AB40" s="50"/>
      <c r="AC40" s="50"/>
      <c r="AD40" s="50"/>
      <c r="AE40" s="50"/>
      <c r="AF40" s="50"/>
    </row>
    <row r="41" spans="1:32" ht="15.75" customHeight="1">
      <c r="A41" s="77" t="s">
        <v>625</v>
      </c>
      <c r="B41" s="18"/>
      <c r="C41" s="18"/>
      <c r="D41" s="40"/>
      <c r="E41" s="24"/>
      <c r="F41" s="24"/>
      <c r="G41" s="24"/>
      <c r="H41" s="24"/>
      <c r="I41" s="24"/>
      <c r="J41" s="24"/>
      <c r="K41" s="24"/>
      <c r="L41" s="24"/>
      <c r="M41" s="24"/>
      <c r="N41" s="50"/>
      <c r="O41" s="50"/>
      <c r="P41" s="50"/>
      <c r="Q41" s="50"/>
      <c r="R41" s="50"/>
      <c r="S41" s="50"/>
      <c r="T41" s="50"/>
      <c r="U41" s="50"/>
      <c r="V41" s="50"/>
      <c r="W41" s="50"/>
      <c r="X41" s="50"/>
      <c r="Y41" s="50"/>
      <c r="Z41" s="50"/>
      <c r="AA41" s="50"/>
      <c r="AB41" s="50"/>
      <c r="AC41" s="50"/>
      <c r="AD41" s="50"/>
      <c r="AE41" s="50"/>
      <c r="AF41" s="50"/>
    </row>
    <row r="42" spans="1:32" ht="15.75" customHeight="1">
      <c r="A42" s="53" t="s">
        <v>626</v>
      </c>
      <c r="B42" s="3"/>
      <c r="C42" s="3" t="s">
        <v>14</v>
      </c>
      <c r="D42" s="80" t="s">
        <v>22</v>
      </c>
      <c r="E42" s="10" t="s">
        <v>22</v>
      </c>
      <c r="F42" s="10" t="s">
        <v>55</v>
      </c>
      <c r="G42" s="11" t="s">
        <v>14</v>
      </c>
      <c r="H42" s="11" t="s">
        <v>14</v>
      </c>
      <c r="I42" s="122">
        <f>_xlfn.LET(
_xlpm.full,2,
_xlpm.ans0,$C42&amp;"",
_xlpm.resp0,D42&amp;"",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42" s="122">
        <f t="shared" ref="J42:J43" si="22">_xlfn.LET(
_xlpm.full,2,
_xlpm.ans0,$C42&amp;"",
_xlpm.resp0,E42&amp;"",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K42" s="122">
        <f t="shared" ref="K42:K43" si="23">_xlfn.LET(
_xlpm.full,2,
_xlpm.ans0,$C42&amp;"",
_xlpm.resp0,F42&amp;"",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L42" s="122">
        <f t="shared" ref="L42:L43" si="24">_xlfn.LET(
_xlpm.full,2,
_xlpm.ans0,$C42&amp;"",
_xlpm.resp0,G42&amp;"",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42" s="122">
        <f t="shared" ref="M42:M43" si="25">_xlfn.LET(
_xlpm.full,2,
_xlpm.ans0,$C42&amp;"",
_xlpm.resp0,H42&amp;"",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42" s="50"/>
      <c r="O42" s="50"/>
      <c r="P42" s="50"/>
      <c r="Q42" s="50"/>
      <c r="R42" s="50"/>
      <c r="S42" s="50"/>
      <c r="T42" s="50"/>
      <c r="U42" s="50"/>
      <c r="V42" s="50"/>
      <c r="W42" s="50"/>
      <c r="X42" s="50"/>
      <c r="Y42" s="50"/>
      <c r="Z42" s="50"/>
      <c r="AA42" s="50"/>
      <c r="AB42" s="50"/>
      <c r="AC42" s="50"/>
      <c r="AD42" s="50"/>
      <c r="AE42" s="50"/>
      <c r="AF42" s="50"/>
    </row>
    <row r="43" spans="1:32" ht="15.75" customHeight="1">
      <c r="A43" s="53" t="s">
        <v>627</v>
      </c>
      <c r="B43" s="3"/>
      <c r="C43" s="3" t="s">
        <v>21</v>
      </c>
      <c r="D43" s="80" t="s">
        <v>21</v>
      </c>
      <c r="E43" s="10" t="s">
        <v>21</v>
      </c>
      <c r="F43" s="10" t="s">
        <v>21</v>
      </c>
      <c r="G43" s="11" t="s">
        <v>21</v>
      </c>
      <c r="H43" s="11" t="s">
        <v>21</v>
      </c>
      <c r="I43" s="122">
        <f>_xlfn.LET(
_xlpm.full,2,
_xlpm.ans0,$C43&amp;"",
_xlpm.resp0,D43&amp;"",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3" s="122">
        <f t="shared" si="22"/>
        <v>2</v>
      </c>
      <c r="K43" s="122">
        <f t="shared" si="23"/>
        <v>2</v>
      </c>
      <c r="L43" s="122">
        <f t="shared" si="24"/>
        <v>2</v>
      </c>
      <c r="M43" s="122">
        <f t="shared" si="25"/>
        <v>2</v>
      </c>
      <c r="N43" s="50"/>
      <c r="O43" s="50"/>
      <c r="P43" s="50"/>
      <c r="Q43" s="50"/>
      <c r="R43" s="50"/>
      <c r="S43" s="50"/>
      <c r="T43" s="50"/>
      <c r="U43" s="50"/>
      <c r="V43" s="50"/>
      <c r="W43" s="50"/>
      <c r="X43" s="50"/>
      <c r="Y43" s="50"/>
      <c r="Z43" s="50"/>
      <c r="AA43" s="50"/>
      <c r="AB43" s="50"/>
      <c r="AC43" s="50"/>
      <c r="AD43" s="50"/>
      <c r="AE43" s="50"/>
      <c r="AF43" s="50"/>
    </row>
    <row r="44" spans="1:32" ht="15.75" customHeight="1">
      <c r="A44" s="77" t="s">
        <v>628</v>
      </c>
      <c r="B44" s="18"/>
      <c r="C44" s="18"/>
      <c r="D44" s="40"/>
      <c r="E44" s="24"/>
      <c r="F44" s="24"/>
      <c r="G44" s="24"/>
      <c r="H44" s="24"/>
      <c r="I44" s="24"/>
      <c r="J44" s="24"/>
      <c r="K44" s="24"/>
      <c r="L44" s="24"/>
      <c r="M44" s="24"/>
      <c r="N44" s="50"/>
      <c r="O44" s="50"/>
      <c r="P44" s="50"/>
      <c r="Q44" s="50"/>
      <c r="R44" s="50"/>
      <c r="S44" s="50"/>
      <c r="T44" s="50"/>
      <c r="U44" s="50"/>
      <c r="V44" s="50"/>
      <c r="W44" s="50"/>
      <c r="X44" s="50"/>
      <c r="Y44" s="50"/>
      <c r="Z44" s="50"/>
      <c r="AA44" s="50"/>
      <c r="AB44" s="50"/>
      <c r="AC44" s="50"/>
      <c r="AD44" s="50"/>
      <c r="AE44" s="50"/>
      <c r="AF44" s="50"/>
    </row>
    <row r="45" spans="1:32" ht="15.75" customHeight="1">
      <c r="A45" s="53" t="s">
        <v>629</v>
      </c>
      <c r="B45" s="3" t="s">
        <v>16</v>
      </c>
      <c r="C45" s="3" t="s">
        <v>102</v>
      </c>
      <c r="D45" s="80" t="s">
        <v>60</v>
      </c>
      <c r="E45" s="10" t="s">
        <v>102</v>
      </c>
      <c r="F45" s="10" t="s">
        <v>102</v>
      </c>
      <c r="G45" s="11" t="s">
        <v>102</v>
      </c>
      <c r="H45" s="11" t="s">
        <v>102</v>
      </c>
      <c r="I45" s="124">
        <f>_xlfn.LET(
_xlpm.full,2,
_xlpm.ans0,$C45&amp;"",
_xlpm.resp0,D45&amp;"",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45" s="124">
        <f t="shared" ref="J45:M45" si="26">_xlfn.LET(
_xlpm.full,2,
_xlpm.ans0,$C45&amp;"",
_xlpm.resp0,E45&amp;"",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45" s="124">
        <f t="shared" si="26"/>
        <v>2</v>
      </c>
      <c r="L45" s="124">
        <f t="shared" si="26"/>
        <v>2</v>
      </c>
      <c r="M45" s="124">
        <f t="shared" si="26"/>
        <v>2</v>
      </c>
      <c r="N45" s="50"/>
      <c r="O45" s="50"/>
      <c r="P45" s="50"/>
      <c r="Q45" s="50"/>
      <c r="R45" s="50"/>
      <c r="S45" s="50"/>
      <c r="T45" s="50"/>
      <c r="U45" s="50"/>
      <c r="V45" s="50"/>
      <c r="W45" s="50"/>
      <c r="X45" s="50"/>
      <c r="Y45" s="50"/>
      <c r="Z45" s="50"/>
      <c r="AA45" s="50"/>
      <c r="AB45" s="50"/>
      <c r="AC45" s="50"/>
      <c r="AD45" s="50"/>
      <c r="AE45" s="50"/>
      <c r="AF45" s="50"/>
    </row>
    <row r="46" spans="1:32" ht="15.75" customHeight="1">
      <c r="A46" s="53" t="s">
        <v>630</v>
      </c>
      <c r="B46" s="3" t="s">
        <v>16</v>
      </c>
      <c r="C46" s="3" t="s">
        <v>631</v>
      </c>
      <c r="D46" s="3" t="s">
        <v>631</v>
      </c>
      <c r="E46" s="10" t="s">
        <v>632</v>
      </c>
      <c r="F46" s="15" t="s">
        <v>632</v>
      </c>
      <c r="G46" s="3" t="s">
        <v>631</v>
      </c>
      <c r="H46" s="15" t="s">
        <v>632</v>
      </c>
      <c r="I46" s="82">
        <v>2</v>
      </c>
      <c r="J46" s="82">
        <v>0</v>
      </c>
      <c r="K46" s="82">
        <v>0</v>
      </c>
      <c r="L46" s="83">
        <v>2</v>
      </c>
      <c r="M46" s="83">
        <v>0</v>
      </c>
      <c r="N46" s="50"/>
      <c r="O46" s="50"/>
      <c r="P46" s="50"/>
      <c r="Q46" s="50"/>
      <c r="R46" s="50"/>
      <c r="S46" s="50"/>
      <c r="T46" s="50"/>
      <c r="U46" s="50"/>
      <c r="V46" s="50"/>
      <c r="W46" s="50"/>
      <c r="X46" s="50"/>
      <c r="Y46" s="50"/>
      <c r="Z46" s="50"/>
      <c r="AA46" s="50"/>
      <c r="AB46" s="50"/>
      <c r="AC46" s="50"/>
      <c r="AD46" s="50"/>
      <c r="AE46" s="50"/>
      <c r="AF46" s="50"/>
    </row>
    <row r="47" spans="1:32" ht="15.75" customHeight="1">
      <c r="A47" s="53" t="s">
        <v>633</v>
      </c>
      <c r="B47" s="3"/>
      <c r="C47" s="3" t="s">
        <v>57</v>
      </c>
      <c r="D47" s="80" t="s">
        <v>57</v>
      </c>
      <c r="E47" s="10" t="s">
        <v>57</v>
      </c>
      <c r="F47" s="10" t="s">
        <v>57</v>
      </c>
      <c r="G47" s="3" t="s">
        <v>57</v>
      </c>
      <c r="H47" s="3" t="s">
        <v>57</v>
      </c>
      <c r="I47" s="124">
        <f>_xlfn.LET(
_xlpm.full,2,
_xlpm.ans0,$C47&amp;"",
_xlpm.resp0,D47&amp;"",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7" s="124">
        <f t="shared" ref="J47" si="27">_xlfn.LET(
_xlpm.full,2,
_xlpm.ans0,$C47&amp;"",
_xlpm.resp0,E47&amp;"",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47" s="124">
        <f t="shared" ref="K47" si="28">_xlfn.LET(
_xlpm.full,2,
_xlpm.ans0,$C47&amp;"",
_xlpm.resp0,F47&amp;"",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47" s="124">
        <f t="shared" ref="L47" si="29">_xlfn.LET(
_xlpm.full,2,
_xlpm.ans0,$C47&amp;"",
_xlpm.resp0,G47&amp;"",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47" s="124">
        <f t="shared" ref="M47" si="30">_xlfn.LET(
_xlpm.full,2,
_xlpm.ans0,$C47&amp;"",
_xlpm.resp0,H47&amp;"",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47" s="50"/>
      <c r="O47" s="50"/>
      <c r="P47" s="50"/>
      <c r="Q47" s="50"/>
      <c r="R47" s="50"/>
      <c r="S47" s="50"/>
      <c r="T47" s="50"/>
      <c r="U47" s="50"/>
      <c r="V47" s="50"/>
      <c r="W47" s="50"/>
      <c r="X47" s="50"/>
      <c r="Y47" s="50"/>
      <c r="Z47" s="50"/>
      <c r="AA47" s="50"/>
      <c r="AB47" s="50"/>
      <c r="AC47" s="50"/>
      <c r="AD47" s="50"/>
      <c r="AE47" s="50"/>
      <c r="AF47" s="50"/>
    </row>
    <row r="48" spans="1:32" ht="15.75" customHeight="1">
      <c r="A48" s="53" t="s">
        <v>634</v>
      </c>
      <c r="B48" s="3"/>
      <c r="C48" s="3" t="s">
        <v>635</v>
      </c>
      <c r="D48" s="80" t="s">
        <v>635</v>
      </c>
      <c r="E48" s="10" t="s">
        <v>635</v>
      </c>
      <c r="F48" s="10" t="s">
        <v>635</v>
      </c>
      <c r="G48" s="3" t="s">
        <v>635</v>
      </c>
      <c r="H48" s="3" t="s">
        <v>635</v>
      </c>
      <c r="I48" s="82">
        <v>2</v>
      </c>
      <c r="J48" s="82">
        <v>2</v>
      </c>
      <c r="K48" s="82">
        <v>2</v>
      </c>
      <c r="L48" s="83">
        <v>2</v>
      </c>
      <c r="M48" s="83">
        <v>2</v>
      </c>
      <c r="N48" s="50"/>
      <c r="O48" s="50"/>
      <c r="P48" s="50"/>
      <c r="Q48" s="50"/>
      <c r="R48" s="50"/>
      <c r="S48" s="50"/>
      <c r="T48" s="50"/>
      <c r="U48" s="50"/>
      <c r="V48" s="50"/>
      <c r="W48" s="50"/>
      <c r="X48" s="50"/>
      <c r="Y48" s="50"/>
      <c r="Z48" s="50"/>
      <c r="AA48" s="50"/>
      <c r="AB48" s="50"/>
      <c r="AC48" s="50"/>
      <c r="AD48" s="50"/>
      <c r="AE48" s="50"/>
      <c r="AF48" s="50"/>
    </row>
    <row r="49" spans="1:32" ht="15.75" customHeight="1">
      <c r="A49" s="53" t="s">
        <v>636</v>
      </c>
      <c r="B49" s="3"/>
      <c r="C49" s="3" t="s">
        <v>19</v>
      </c>
      <c r="D49" s="80" t="s">
        <v>19</v>
      </c>
      <c r="E49" s="10" t="s">
        <v>19</v>
      </c>
      <c r="F49" s="10" t="s">
        <v>88</v>
      </c>
      <c r="G49" s="3" t="s">
        <v>19</v>
      </c>
      <c r="H49" s="11" t="s">
        <v>19</v>
      </c>
      <c r="I49" s="124">
        <f t="shared" ref="I49:I50" si="31">_xlfn.LET(
_xlpm.full,2,
_xlpm.ans0,$C49&amp;"",
_xlpm.resp0,D49&amp;"",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9" s="124">
        <f t="shared" ref="J49:J50" si="32">_xlfn.LET(
_xlpm.full,2,
_xlpm.ans0,$C49&amp;"",
_xlpm.resp0,E49&amp;"",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49" s="124">
        <f t="shared" ref="K49:K50" si="33">_xlfn.LET(
_xlpm.full,2,
_xlpm.ans0,$C49&amp;"",
_xlpm.resp0,F49&amp;"",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L49" s="124">
        <f t="shared" ref="L49:L50" si="34">_xlfn.LET(
_xlpm.full,2,
_xlpm.ans0,$C49&amp;"",
_xlpm.resp0,G49&amp;"",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49" s="124">
        <f t="shared" ref="M49:M50" si="35">_xlfn.LET(
_xlpm.full,2,
_xlpm.ans0,$C49&amp;"",
_xlpm.resp0,H49&amp;"",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49" s="50"/>
      <c r="O49" s="50"/>
      <c r="P49" s="50"/>
      <c r="Q49" s="50"/>
      <c r="R49" s="50"/>
      <c r="S49" s="50"/>
      <c r="T49" s="50"/>
      <c r="U49" s="50"/>
      <c r="V49" s="50"/>
      <c r="W49" s="50"/>
      <c r="X49" s="50"/>
      <c r="Y49" s="50"/>
      <c r="Z49" s="50"/>
      <c r="AA49" s="50"/>
      <c r="AB49" s="50"/>
      <c r="AC49" s="50"/>
      <c r="AD49" s="50"/>
      <c r="AE49" s="50"/>
      <c r="AF49" s="50"/>
    </row>
    <row r="50" spans="1:32" ht="15.75" customHeight="1">
      <c r="A50" s="53" t="s">
        <v>637</v>
      </c>
      <c r="B50" s="3"/>
      <c r="C50" s="3" t="s">
        <v>96</v>
      </c>
      <c r="D50" s="80" t="s">
        <v>96</v>
      </c>
      <c r="E50" s="10" t="s">
        <v>96</v>
      </c>
      <c r="F50" s="10" t="s">
        <v>96</v>
      </c>
      <c r="G50" s="3" t="s">
        <v>96</v>
      </c>
      <c r="H50" s="11" t="s">
        <v>96</v>
      </c>
      <c r="I50" s="124">
        <f t="shared" si="31"/>
        <v>2</v>
      </c>
      <c r="J50" s="124">
        <f t="shared" si="32"/>
        <v>2</v>
      </c>
      <c r="K50" s="124">
        <f t="shared" si="33"/>
        <v>2</v>
      </c>
      <c r="L50" s="124">
        <f t="shared" si="34"/>
        <v>2</v>
      </c>
      <c r="M50" s="124">
        <f t="shared" si="35"/>
        <v>2</v>
      </c>
      <c r="N50" s="50"/>
      <c r="O50" s="50"/>
      <c r="P50" s="50"/>
      <c r="Q50" s="50"/>
      <c r="R50" s="50"/>
      <c r="S50" s="50"/>
      <c r="T50" s="50"/>
      <c r="U50" s="50"/>
      <c r="V50" s="50"/>
      <c r="W50" s="50"/>
      <c r="X50" s="50"/>
      <c r="Y50" s="50"/>
      <c r="Z50" s="50"/>
      <c r="AA50" s="50"/>
      <c r="AB50" s="50"/>
      <c r="AC50" s="50"/>
      <c r="AD50" s="50"/>
      <c r="AE50" s="50"/>
      <c r="AF50" s="50"/>
    </row>
    <row r="51" spans="1:32" ht="15.75" customHeight="1">
      <c r="A51" s="77" t="s">
        <v>638</v>
      </c>
      <c r="B51" s="18"/>
      <c r="C51" s="18"/>
      <c r="D51" s="40"/>
      <c r="E51" s="24"/>
      <c r="F51" s="24"/>
      <c r="G51" s="24"/>
      <c r="H51" s="24"/>
      <c r="I51" s="24"/>
      <c r="J51" s="24"/>
      <c r="K51" s="24"/>
      <c r="L51" s="24"/>
      <c r="M51" s="24"/>
      <c r="N51" s="50"/>
      <c r="O51" s="50"/>
      <c r="P51" s="50"/>
      <c r="Q51" s="50"/>
      <c r="R51" s="50"/>
      <c r="S51" s="50"/>
      <c r="T51" s="50"/>
      <c r="U51" s="50"/>
      <c r="V51" s="50"/>
      <c r="W51" s="50"/>
      <c r="X51" s="50"/>
      <c r="Y51" s="50"/>
      <c r="Z51" s="50"/>
      <c r="AA51" s="50"/>
      <c r="AB51" s="50"/>
      <c r="AC51" s="50"/>
      <c r="AD51" s="50"/>
      <c r="AE51" s="50"/>
      <c r="AF51" s="50"/>
    </row>
    <row r="52" spans="1:32" ht="15.75" customHeight="1">
      <c r="A52" s="53" t="s">
        <v>639</v>
      </c>
      <c r="B52" s="3" t="s">
        <v>16</v>
      </c>
      <c r="C52" s="3" t="s">
        <v>14</v>
      </c>
      <c r="D52" s="80" t="s">
        <v>14</v>
      </c>
      <c r="E52" s="10" t="s">
        <v>14</v>
      </c>
      <c r="F52" s="10" t="s">
        <v>14</v>
      </c>
      <c r="G52" s="11" t="s">
        <v>14</v>
      </c>
      <c r="H52" s="11" t="s">
        <v>14</v>
      </c>
      <c r="I52" s="124">
        <f>_xlfn.LET(
_xlpm.full,2,
_xlpm.ans0,$C52&amp;"",
_xlpm.resp0,D52&amp;"",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52" s="124">
        <f t="shared" ref="J52:J53" si="36">_xlfn.LET(
_xlpm.full,2,
_xlpm.ans0,$C52&amp;"",
_xlpm.resp0,E52&amp;"",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52" s="124">
        <f t="shared" ref="K52:K53" si="37">_xlfn.LET(
_xlpm.full,2,
_xlpm.ans0,$C52&amp;"",
_xlpm.resp0,F52&amp;"",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52" s="124">
        <f t="shared" ref="L52:L53" si="38">_xlfn.LET(
_xlpm.full,2,
_xlpm.ans0,$C52&amp;"",
_xlpm.resp0,G52&amp;"",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52" s="124">
        <f t="shared" ref="M52:M53" si="39">_xlfn.LET(
_xlpm.full,2,
_xlpm.ans0,$C52&amp;"",
_xlpm.resp0,H52&amp;"",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52" s="50"/>
      <c r="O52" s="50"/>
      <c r="P52" s="50"/>
      <c r="Q52" s="50"/>
      <c r="R52" s="50"/>
      <c r="S52" s="50"/>
      <c r="T52" s="50"/>
      <c r="U52" s="50"/>
      <c r="V52" s="50"/>
      <c r="W52" s="50"/>
      <c r="X52" s="50"/>
      <c r="Y52" s="50"/>
      <c r="Z52" s="50"/>
      <c r="AA52" s="50"/>
      <c r="AB52" s="50"/>
      <c r="AC52" s="50"/>
      <c r="AD52" s="50"/>
      <c r="AE52" s="50"/>
      <c r="AF52" s="50"/>
    </row>
    <row r="53" spans="1:32" ht="15.75" customHeight="1">
      <c r="A53" s="53" t="s">
        <v>640</v>
      </c>
      <c r="B53" s="3" t="s">
        <v>16</v>
      </c>
      <c r="C53" s="3" t="s">
        <v>53</v>
      </c>
      <c r="D53" s="80" t="s">
        <v>53</v>
      </c>
      <c r="E53" s="10" t="s">
        <v>53</v>
      </c>
      <c r="F53" s="10" t="s">
        <v>53</v>
      </c>
      <c r="G53" s="11" t="s">
        <v>53</v>
      </c>
      <c r="H53" s="11" t="s">
        <v>53</v>
      </c>
      <c r="I53" s="124">
        <f>_xlfn.LET(
_xlpm.full,2,
_xlpm.ans0,$C53&amp;"",
_xlpm.resp0,D53&amp;"",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53" s="124">
        <f t="shared" si="36"/>
        <v>2</v>
      </c>
      <c r="K53" s="124">
        <f t="shared" si="37"/>
        <v>2</v>
      </c>
      <c r="L53" s="124">
        <f t="shared" si="38"/>
        <v>2</v>
      </c>
      <c r="M53" s="124">
        <f t="shared" si="39"/>
        <v>2</v>
      </c>
      <c r="N53" s="50"/>
      <c r="O53" s="50"/>
      <c r="P53" s="50"/>
      <c r="Q53" s="50"/>
      <c r="R53" s="50"/>
      <c r="S53" s="50"/>
      <c r="T53" s="50"/>
      <c r="U53" s="50"/>
      <c r="V53" s="50"/>
      <c r="W53" s="50"/>
      <c r="X53" s="50"/>
      <c r="Y53" s="50"/>
      <c r="Z53" s="50"/>
      <c r="AA53" s="50"/>
      <c r="AB53" s="50"/>
      <c r="AC53" s="50"/>
      <c r="AD53" s="50"/>
      <c r="AE53" s="50"/>
      <c r="AF53" s="50"/>
    </row>
    <row r="54" spans="1:32" ht="15.75" customHeight="1">
      <c r="A54" s="53" t="s">
        <v>641</v>
      </c>
      <c r="B54" s="3" t="s">
        <v>16</v>
      </c>
      <c r="C54" s="84" t="s">
        <v>642</v>
      </c>
      <c r="D54" s="80" t="s">
        <v>643</v>
      </c>
      <c r="E54" s="10" t="s">
        <v>644</v>
      </c>
      <c r="F54" s="10" t="s">
        <v>645</v>
      </c>
      <c r="G54" s="11" t="s">
        <v>646</v>
      </c>
      <c r="H54" s="11" t="s">
        <v>646</v>
      </c>
      <c r="I54" s="82">
        <v>2</v>
      </c>
      <c r="J54" s="83">
        <v>2</v>
      </c>
      <c r="K54" s="83">
        <v>2</v>
      </c>
      <c r="L54" s="83">
        <v>2</v>
      </c>
      <c r="M54" s="83">
        <v>2</v>
      </c>
      <c r="N54" s="50"/>
      <c r="O54" s="50"/>
      <c r="P54" s="50"/>
      <c r="Q54" s="50"/>
      <c r="R54" s="50"/>
      <c r="S54" s="50"/>
      <c r="T54" s="50"/>
      <c r="U54" s="50"/>
      <c r="V54" s="50"/>
      <c r="W54" s="50"/>
      <c r="X54" s="50"/>
      <c r="Y54" s="50"/>
      <c r="Z54" s="50"/>
      <c r="AA54" s="50"/>
      <c r="AB54" s="50"/>
      <c r="AC54" s="50"/>
      <c r="AD54" s="50"/>
      <c r="AE54" s="50"/>
      <c r="AF54" s="50"/>
    </row>
    <row r="55" spans="1:32" ht="15.75" customHeight="1">
      <c r="A55" s="77" t="s">
        <v>647</v>
      </c>
      <c r="B55" s="18"/>
      <c r="C55" s="18"/>
      <c r="D55" s="40"/>
      <c r="E55" s="24"/>
      <c r="F55" s="24"/>
      <c r="G55" s="24"/>
      <c r="H55" s="24"/>
      <c r="I55" s="24"/>
      <c r="J55" s="24"/>
      <c r="K55" s="24"/>
      <c r="L55" s="24"/>
      <c r="M55" s="24"/>
      <c r="N55" s="50"/>
      <c r="O55" s="50"/>
      <c r="P55" s="50"/>
      <c r="Q55" s="50"/>
      <c r="R55" s="50"/>
      <c r="S55" s="50"/>
      <c r="T55" s="50"/>
      <c r="U55" s="50"/>
      <c r="V55" s="50"/>
      <c r="W55" s="50"/>
      <c r="X55" s="50"/>
      <c r="Y55" s="50"/>
      <c r="Z55" s="50"/>
      <c r="AA55" s="50"/>
      <c r="AB55" s="50"/>
      <c r="AC55" s="50"/>
      <c r="AD55" s="50"/>
      <c r="AE55" s="50"/>
      <c r="AF55" s="50"/>
    </row>
    <row r="56" spans="1:32" ht="15.75" customHeight="1">
      <c r="A56" s="53" t="s">
        <v>648</v>
      </c>
      <c r="B56" s="3" t="s">
        <v>16</v>
      </c>
      <c r="C56" s="3" t="s">
        <v>64</v>
      </c>
      <c r="D56" s="80" t="s">
        <v>64</v>
      </c>
      <c r="E56" s="10" t="s">
        <v>64</v>
      </c>
      <c r="F56" s="10" t="s">
        <v>64</v>
      </c>
      <c r="G56" s="3" t="s">
        <v>64</v>
      </c>
      <c r="H56" s="3" t="s">
        <v>64</v>
      </c>
      <c r="I56" s="124">
        <f>_xlfn.LET(
_xlpm.full,2,
_xlpm.ans0,$C56&amp;"",
_xlpm.resp0,D56&amp;"",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56" s="124">
        <f t="shared" ref="J56:J57" si="40">_xlfn.LET(
_xlpm.full,2,
_xlpm.ans0,$C56&amp;"",
_xlpm.resp0,E56&amp;"",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56" s="124">
        <f t="shared" ref="K56:K57" si="41">_xlfn.LET(
_xlpm.full,2,
_xlpm.ans0,$C56&amp;"",
_xlpm.resp0,F56&amp;"",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56" s="124">
        <f t="shared" ref="L56:L57" si="42">_xlfn.LET(
_xlpm.full,2,
_xlpm.ans0,$C56&amp;"",
_xlpm.resp0,G56&amp;"",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56" s="124">
        <f t="shared" ref="M56:M57" si="43">_xlfn.LET(
_xlpm.full,2,
_xlpm.ans0,$C56&amp;"",
_xlpm.resp0,H56&amp;"",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56" s="50"/>
      <c r="O56" s="50"/>
      <c r="P56" s="50"/>
      <c r="Q56" s="50"/>
      <c r="R56" s="50"/>
      <c r="S56" s="50"/>
      <c r="T56" s="50"/>
      <c r="U56" s="50"/>
      <c r="V56" s="50"/>
      <c r="W56" s="50"/>
      <c r="X56" s="50"/>
      <c r="Y56" s="50"/>
      <c r="Z56" s="50"/>
      <c r="AA56" s="50"/>
      <c r="AB56" s="50"/>
      <c r="AC56" s="50"/>
      <c r="AD56" s="50"/>
      <c r="AE56" s="50"/>
      <c r="AF56" s="50"/>
    </row>
    <row r="57" spans="1:32" ht="15.75" customHeight="1">
      <c r="A57" s="53" t="s">
        <v>649</v>
      </c>
      <c r="B57" s="3"/>
      <c r="C57" s="3" t="s">
        <v>88</v>
      </c>
      <c r="D57" s="80" t="s">
        <v>60</v>
      </c>
      <c r="E57" s="10" t="s">
        <v>88</v>
      </c>
      <c r="F57" s="10" t="s">
        <v>88</v>
      </c>
      <c r="G57" s="3" t="s">
        <v>88</v>
      </c>
      <c r="H57" s="3" t="s">
        <v>88</v>
      </c>
      <c r="I57" s="124">
        <f>_xlfn.LET(
_xlpm.full,2,
_xlpm.ans0,$C57&amp;"",
_xlpm.resp0,D57&amp;"",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57" s="124">
        <f t="shared" si="40"/>
        <v>2</v>
      </c>
      <c r="K57" s="124">
        <f t="shared" si="41"/>
        <v>2</v>
      </c>
      <c r="L57" s="124">
        <f t="shared" si="42"/>
        <v>2</v>
      </c>
      <c r="M57" s="124">
        <f t="shared" si="43"/>
        <v>2</v>
      </c>
      <c r="N57" s="50"/>
      <c r="O57" s="50"/>
      <c r="P57" s="50"/>
      <c r="Q57" s="50"/>
      <c r="R57" s="50"/>
      <c r="S57" s="50"/>
      <c r="T57" s="50"/>
      <c r="U57" s="50"/>
      <c r="V57" s="50"/>
      <c r="W57" s="50"/>
      <c r="X57" s="50"/>
      <c r="Y57" s="50"/>
      <c r="Z57" s="50"/>
      <c r="AA57" s="50"/>
      <c r="AB57" s="50"/>
      <c r="AC57" s="50"/>
      <c r="AD57" s="50"/>
      <c r="AE57" s="50"/>
      <c r="AF57" s="50"/>
    </row>
    <row r="58" spans="1:32" ht="15.75" customHeight="1">
      <c r="A58" s="53" t="s">
        <v>650</v>
      </c>
      <c r="B58" s="3" t="s">
        <v>16</v>
      </c>
      <c r="C58" s="84" t="s">
        <v>651</v>
      </c>
      <c r="D58" s="80" t="s">
        <v>652</v>
      </c>
      <c r="E58" s="10" t="s">
        <v>653</v>
      </c>
      <c r="F58" s="15" t="s">
        <v>652</v>
      </c>
      <c r="G58" s="85" t="s">
        <v>654</v>
      </c>
      <c r="H58" s="85" t="s">
        <v>655</v>
      </c>
      <c r="I58" s="82">
        <v>0</v>
      </c>
      <c r="J58" s="82">
        <v>0</v>
      </c>
      <c r="K58" s="82">
        <v>0</v>
      </c>
      <c r="L58" s="83">
        <v>0</v>
      </c>
      <c r="M58" s="83">
        <v>0</v>
      </c>
      <c r="N58" s="50"/>
      <c r="O58" s="50"/>
      <c r="P58" s="50"/>
      <c r="Q58" s="50"/>
      <c r="R58" s="50"/>
      <c r="S58" s="50"/>
      <c r="T58" s="50"/>
      <c r="U58" s="50"/>
      <c r="V58" s="50"/>
      <c r="W58" s="50"/>
      <c r="X58" s="50"/>
      <c r="Y58" s="50"/>
      <c r="Z58" s="50"/>
      <c r="AA58" s="50"/>
      <c r="AB58" s="50"/>
      <c r="AC58" s="50"/>
      <c r="AD58" s="50"/>
      <c r="AE58" s="50"/>
      <c r="AF58" s="50"/>
    </row>
    <row r="59" spans="1:32" ht="15.75" customHeight="1">
      <c r="A59" s="77" t="s">
        <v>656</v>
      </c>
      <c r="B59" s="18"/>
      <c r="C59" s="18"/>
      <c r="D59" s="40"/>
      <c r="E59" s="24"/>
      <c r="F59" s="24"/>
      <c r="G59" s="24"/>
      <c r="H59" s="24"/>
      <c r="I59" s="24"/>
      <c r="J59" s="24"/>
      <c r="K59" s="24"/>
      <c r="L59" s="24"/>
      <c r="M59" s="24"/>
      <c r="N59" s="50"/>
      <c r="O59" s="50"/>
      <c r="P59" s="50"/>
      <c r="Q59" s="50"/>
      <c r="R59" s="50"/>
      <c r="S59" s="50"/>
      <c r="T59" s="50"/>
      <c r="U59" s="50"/>
      <c r="V59" s="50"/>
      <c r="W59" s="50"/>
      <c r="X59" s="50"/>
      <c r="Y59" s="50"/>
      <c r="Z59" s="50"/>
      <c r="AA59" s="50"/>
      <c r="AB59" s="50"/>
      <c r="AC59" s="50"/>
      <c r="AD59" s="50"/>
      <c r="AE59" s="50"/>
      <c r="AF59" s="50"/>
    </row>
    <row r="60" spans="1:32" ht="15.75" customHeight="1">
      <c r="A60" s="53" t="s">
        <v>657</v>
      </c>
      <c r="B60" s="3" t="s">
        <v>16</v>
      </c>
      <c r="C60" s="3" t="s">
        <v>58</v>
      </c>
      <c r="D60" s="80" t="s">
        <v>60</v>
      </c>
      <c r="E60" s="10" t="s">
        <v>58</v>
      </c>
      <c r="F60" s="10" t="s">
        <v>60</v>
      </c>
      <c r="G60" s="3" t="s">
        <v>58</v>
      </c>
      <c r="H60" s="11" t="s">
        <v>55</v>
      </c>
      <c r="I60" s="124">
        <f>_xlfn.LET(
_xlpm.full,2,
_xlpm.ans0,$C60&amp;"",
_xlpm.resp0,D60&amp;"",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60" s="124">
        <f t="shared" ref="J60:J61" si="44">_xlfn.LET(
_xlpm.full,2,
_xlpm.ans0,$C60&amp;"",
_xlpm.resp0,E60&amp;"",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60" s="124">
        <f t="shared" ref="K60:K61" si="45">_xlfn.LET(
_xlpm.full,2,
_xlpm.ans0,$C60&amp;"",
_xlpm.resp0,F60&amp;"",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L60" s="124">
        <f t="shared" ref="L60:L61" si="46">_xlfn.LET(
_xlpm.full,2,
_xlpm.ans0,$C60&amp;"",
_xlpm.resp0,G60&amp;"",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60" s="124">
        <f t="shared" ref="M60:M61" si="47">_xlfn.LET(
_xlpm.full,2,
_xlpm.ans0,$C60&amp;"",
_xlpm.resp0,H60&amp;"",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N60" s="50"/>
      <c r="O60" s="50"/>
      <c r="P60" s="50"/>
      <c r="Q60" s="50"/>
      <c r="R60" s="50"/>
      <c r="S60" s="50"/>
      <c r="T60" s="50"/>
      <c r="U60" s="50"/>
      <c r="V60" s="50"/>
      <c r="W60" s="50"/>
      <c r="X60" s="50"/>
      <c r="Y60" s="50"/>
      <c r="Z60" s="50"/>
      <c r="AA60" s="50"/>
      <c r="AB60" s="50"/>
      <c r="AC60" s="50"/>
      <c r="AD60" s="50"/>
      <c r="AE60" s="50"/>
      <c r="AF60" s="50"/>
    </row>
    <row r="61" spans="1:32" ht="15.75" customHeight="1">
      <c r="A61" s="53" t="s">
        <v>658</v>
      </c>
      <c r="B61" s="3" t="s">
        <v>16</v>
      </c>
      <c r="C61" s="3" t="s">
        <v>19</v>
      </c>
      <c r="D61" s="80" t="s">
        <v>19</v>
      </c>
      <c r="E61" s="10" t="s">
        <v>19</v>
      </c>
      <c r="F61" s="10" t="s">
        <v>19</v>
      </c>
      <c r="G61" s="3" t="s">
        <v>19</v>
      </c>
      <c r="H61" s="11" t="s">
        <v>19</v>
      </c>
      <c r="I61" s="124">
        <f>_xlfn.LET(
_xlpm.full,2,
_xlpm.ans0,$C61&amp;"",
_xlpm.resp0,D61&amp;"",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61" s="124">
        <f t="shared" si="44"/>
        <v>2</v>
      </c>
      <c r="K61" s="124">
        <f t="shared" si="45"/>
        <v>2</v>
      </c>
      <c r="L61" s="124">
        <f t="shared" si="46"/>
        <v>2</v>
      </c>
      <c r="M61" s="124">
        <f t="shared" si="47"/>
        <v>2</v>
      </c>
      <c r="N61" s="50"/>
      <c r="O61" s="50"/>
      <c r="P61" s="50"/>
      <c r="Q61" s="50"/>
      <c r="R61" s="50"/>
      <c r="S61" s="50"/>
      <c r="T61" s="50"/>
      <c r="U61" s="50"/>
      <c r="V61" s="50"/>
      <c r="W61" s="50"/>
      <c r="X61" s="50"/>
      <c r="Y61" s="50"/>
      <c r="Z61" s="50"/>
      <c r="AA61" s="50"/>
      <c r="AB61" s="50"/>
      <c r="AC61" s="50"/>
      <c r="AD61" s="50"/>
      <c r="AE61" s="50"/>
      <c r="AF61" s="50"/>
    </row>
    <row r="62" spans="1:32" ht="15.75" customHeight="1">
      <c r="A62" s="53" t="s">
        <v>659</v>
      </c>
      <c r="B62" s="3" t="s">
        <v>16</v>
      </c>
      <c r="C62" s="84" t="s">
        <v>660</v>
      </c>
      <c r="D62" s="80" t="s">
        <v>661</v>
      </c>
      <c r="E62" s="10" t="s">
        <v>662</v>
      </c>
      <c r="F62" s="15" t="s">
        <v>663</v>
      </c>
      <c r="G62" s="85" t="s">
        <v>664</v>
      </c>
      <c r="H62" s="85" t="s">
        <v>665</v>
      </c>
      <c r="I62" s="82">
        <v>2</v>
      </c>
      <c r="J62" s="82">
        <v>2</v>
      </c>
      <c r="K62" s="82">
        <v>2</v>
      </c>
      <c r="L62" s="83">
        <v>2</v>
      </c>
      <c r="M62" s="83">
        <v>2</v>
      </c>
      <c r="N62" s="50"/>
      <c r="O62" s="50"/>
      <c r="P62" s="50"/>
      <c r="Q62" s="50"/>
      <c r="R62" s="50"/>
      <c r="S62" s="50"/>
      <c r="T62" s="50"/>
      <c r="U62" s="50"/>
      <c r="V62" s="50"/>
      <c r="W62" s="50"/>
      <c r="X62" s="50"/>
      <c r="Y62" s="50"/>
      <c r="Z62" s="50"/>
      <c r="AA62" s="50"/>
      <c r="AB62" s="50"/>
      <c r="AC62" s="50"/>
      <c r="AD62" s="50"/>
      <c r="AE62" s="50"/>
      <c r="AF62" s="50"/>
    </row>
    <row r="63" spans="1:32" ht="15.75" customHeight="1">
      <c r="A63" s="53" t="s">
        <v>666</v>
      </c>
      <c r="B63" s="3"/>
      <c r="C63" s="3" t="s">
        <v>22</v>
      </c>
      <c r="D63" s="80" t="s">
        <v>22</v>
      </c>
      <c r="E63" s="10" t="s">
        <v>22</v>
      </c>
      <c r="F63" s="15" t="s">
        <v>22</v>
      </c>
      <c r="G63" s="3" t="s">
        <v>22</v>
      </c>
      <c r="H63" s="3" t="s">
        <v>22</v>
      </c>
      <c r="I63" s="124">
        <f>_xlfn.LET(
_xlpm.full,2,
_xlpm.ans0,$C63&amp;"",
_xlpm.resp0,D63&amp;"",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63" s="124">
        <f t="shared" ref="J63:J64" si="48">_xlfn.LET(
_xlpm.full,2,
_xlpm.ans0,$C63&amp;"",
_xlpm.resp0,E63&amp;"",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63" s="124">
        <f t="shared" ref="K63:K64" si="49">_xlfn.LET(
_xlpm.full,2,
_xlpm.ans0,$C63&amp;"",
_xlpm.resp0,F63&amp;"",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63" s="124">
        <f t="shared" ref="L63:L64" si="50">_xlfn.LET(
_xlpm.full,2,
_xlpm.ans0,$C63&amp;"",
_xlpm.resp0,G63&amp;"",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63" s="124">
        <f t="shared" ref="M63:M64" si="51">_xlfn.LET(
_xlpm.full,2,
_xlpm.ans0,$C63&amp;"",
_xlpm.resp0,H63&amp;"",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63" s="50"/>
      <c r="O63" s="50"/>
      <c r="P63" s="50"/>
      <c r="Q63" s="50"/>
      <c r="R63" s="50"/>
      <c r="S63" s="50"/>
      <c r="T63" s="50"/>
      <c r="U63" s="50"/>
      <c r="V63" s="50"/>
      <c r="W63" s="50"/>
      <c r="X63" s="50"/>
      <c r="Y63" s="50"/>
      <c r="Z63" s="50"/>
      <c r="AA63" s="50"/>
      <c r="AB63" s="50"/>
      <c r="AC63" s="50"/>
      <c r="AD63" s="50"/>
      <c r="AE63" s="50"/>
      <c r="AF63" s="50"/>
    </row>
    <row r="64" spans="1:32" ht="15.75" customHeight="1">
      <c r="A64" s="53" t="s">
        <v>667</v>
      </c>
      <c r="B64" s="3" t="s">
        <v>16</v>
      </c>
      <c r="C64" s="3" t="s">
        <v>21</v>
      </c>
      <c r="D64" s="80" t="s">
        <v>21</v>
      </c>
      <c r="E64" s="10" t="s">
        <v>21</v>
      </c>
      <c r="F64" s="10" t="s">
        <v>21</v>
      </c>
      <c r="G64" s="3" t="s">
        <v>21</v>
      </c>
      <c r="H64" s="3" t="s">
        <v>21</v>
      </c>
      <c r="I64" s="124">
        <f>_xlfn.LET(
_xlpm.full,2,
_xlpm.ans0,$C64&amp;"",
_xlpm.resp0,D64&amp;"",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64" s="124">
        <f t="shared" si="48"/>
        <v>2</v>
      </c>
      <c r="K64" s="124">
        <f t="shared" si="49"/>
        <v>2</v>
      </c>
      <c r="L64" s="124">
        <f t="shared" si="50"/>
        <v>2</v>
      </c>
      <c r="M64" s="124">
        <f t="shared" si="51"/>
        <v>2</v>
      </c>
      <c r="N64" s="50"/>
      <c r="O64" s="50"/>
      <c r="P64" s="50"/>
      <c r="Q64" s="50"/>
      <c r="R64" s="50"/>
      <c r="S64" s="50"/>
      <c r="T64" s="50"/>
      <c r="U64" s="50"/>
      <c r="V64" s="50"/>
      <c r="W64" s="50"/>
      <c r="X64" s="50"/>
      <c r="Y64" s="50"/>
      <c r="Z64" s="50"/>
      <c r="AA64" s="50"/>
      <c r="AB64" s="50"/>
      <c r="AC64" s="50"/>
      <c r="AD64" s="50"/>
      <c r="AE64" s="50"/>
      <c r="AF64" s="50"/>
    </row>
    <row r="65" spans="1:32" ht="15.75" customHeight="1">
      <c r="A65" s="53" t="s">
        <v>668</v>
      </c>
      <c r="B65" s="3"/>
      <c r="C65" s="3" t="s">
        <v>669</v>
      </c>
      <c r="D65" s="80" t="s">
        <v>670</v>
      </c>
      <c r="E65" s="86" t="s">
        <v>671</v>
      </c>
      <c r="F65" s="15" t="s">
        <v>671</v>
      </c>
      <c r="G65" s="3" t="s">
        <v>669</v>
      </c>
      <c r="H65" s="3" t="s">
        <v>669</v>
      </c>
      <c r="I65" s="82">
        <v>2</v>
      </c>
      <c r="J65" s="82">
        <v>2</v>
      </c>
      <c r="K65" s="82">
        <v>2</v>
      </c>
      <c r="L65" s="83">
        <v>2</v>
      </c>
      <c r="M65" s="83">
        <v>2</v>
      </c>
      <c r="N65" s="50"/>
      <c r="O65" s="50"/>
      <c r="P65" s="50"/>
      <c r="Q65" s="50"/>
      <c r="R65" s="50"/>
      <c r="S65" s="50"/>
      <c r="T65" s="50"/>
      <c r="U65" s="50"/>
      <c r="V65" s="50"/>
      <c r="W65" s="50"/>
      <c r="X65" s="50"/>
      <c r="Y65" s="50"/>
      <c r="Z65" s="50"/>
      <c r="AA65" s="50"/>
      <c r="AB65" s="50"/>
      <c r="AC65" s="50"/>
      <c r="AD65" s="50"/>
      <c r="AE65" s="50"/>
      <c r="AF65" s="50"/>
    </row>
    <row r="66" spans="1:32" ht="15.75" customHeight="1">
      <c r="A66" s="77" t="s">
        <v>672</v>
      </c>
      <c r="B66" s="18"/>
      <c r="C66" s="18"/>
      <c r="D66" s="40"/>
      <c r="E66" s="24"/>
      <c r="F66" s="24"/>
      <c r="G66" s="24"/>
      <c r="H66" s="24"/>
      <c r="I66" s="24"/>
      <c r="J66" s="24"/>
      <c r="K66" s="24"/>
      <c r="L66" s="24"/>
      <c r="M66" s="24"/>
      <c r="N66" s="50"/>
      <c r="O66" s="50"/>
      <c r="P66" s="50"/>
      <c r="Q66" s="50"/>
      <c r="R66" s="50"/>
      <c r="S66" s="50"/>
      <c r="T66" s="50"/>
      <c r="U66" s="50"/>
      <c r="V66" s="50"/>
      <c r="W66" s="50"/>
      <c r="X66" s="50"/>
      <c r="Y66" s="50"/>
      <c r="Z66" s="50"/>
      <c r="AA66" s="50"/>
      <c r="AB66" s="50"/>
      <c r="AC66" s="50"/>
      <c r="AD66" s="50"/>
      <c r="AE66" s="50"/>
      <c r="AF66" s="50"/>
    </row>
    <row r="67" spans="1:32" ht="15.75" customHeight="1">
      <c r="A67" s="53" t="s">
        <v>673</v>
      </c>
      <c r="B67" s="3" t="s">
        <v>16</v>
      </c>
      <c r="C67" s="3" t="s">
        <v>72</v>
      </c>
      <c r="D67" s="80" t="s">
        <v>104</v>
      </c>
      <c r="E67" s="10" t="s">
        <v>104</v>
      </c>
      <c r="F67" s="10" t="s">
        <v>52</v>
      </c>
      <c r="G67" s="11" t="s">
        <v>72</v>
      </c>
      <c r="H67" s="11" t="s">
        <v>72</v>
      </c>
      <c r="I67" s="124">
        <f>_xlfn.LET(
_xlpm.full,2,
_xlpm.ans0,$C67&amp;"",
_xlpm.resp0,D67&amp;"",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67" s="124">
        <f t="shared" ref="J67:J68" si="52">_xlfn.LET(
_xlpm.full,2,
_xlpm.ans0,$C67&amp;"",
_xlpm.resp0,E67&amp;"",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K67" s="124">
        <f t="shared" ref="K67:K68" si="53">_xlfn.LET(
_xlpm.full,2,
_xlpm.ans0,$C67&amp;"",
_xlpm.resp0,F67&amp;"",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1.2</v>
      </c>
      <c r="L67" s="124">
        <f t="shared" ref="L67:L68" si="54">_xlfn.LET(
_xlpm.full,2,
_xlpm.ans0,$C67&amp;"",
_xlpm.resp0,G67&amp;"",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67" s="124">
        <f t="shared" ref="M67:M68" si="55">_xlfn.LET(
_xlpm.full,2,
_xlpm.ans0,$C67&amp;"",
_xlpm.resp0,H67&amp;"",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67" s="50"/>
      <c r="O67" s="50"/>
      <c r="P67" s="50"/>
      <c r="Q67" s="50"/>
      <c r="R67" s="50"/>
      <c r="S67" s="50"/>
      <c r="T67" s="50"/>
      <c r="U67" s="50"/>
      <c r="V67" s="50"/>
      <c r="W67" s="50"/>
      <c r="X67" s="50"/>
      <c r="Y67" s="50"/>
      <c r="Z67" s="50"/>
      <c r="AA67" s="50"/>
      <c r="AB67" s="50"/>
      <c r="AC67" s="50"/>
      <c r="AD67" s="50"/>
      <c r="AE67" s="50"/>
      <c r="AF67" s="50"/>
    </row>
    <row r="68" spans="1:32" ht="15.75" customHeight="1">
      <c r="A68" s="53" t="s">
        <v>674</v>
      </c>
      <c r="B68" s="3" t="s">
        <v>16</v>
      </c>
      <c r="C68" s="3" t="s">
        <v>96</v>
      </c>
      <c r="D68" s="3" t="s">
        <v>96</v>
      </c>
      <c r="E68" s="3" t="s">
        <v>96</v>
      </c>
      <c r="F68" s="3" t="s">
        <v>104</v>
      </c>
      <c r="G68" s="3" t="s">
        <v>96</v>
      </c>
      <c r="H68" s="3" t="s">
        <v>96</v>
      </c>
      <c r="I68" s="124">
        <f>_xlfn.LET(
_xlpm.full,2,
_xlpm.ans0,$C68&amp;"",
_xlpm.resp0,D68&amp;"",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68" s="124">
        <f t="shared" si="52"/>
        <v>2</v>
      </c>
      <c r="K68" s="124">
        <f t="shared" si="53"/>
        <v>0.4</v>
      </c>
      <c r="L68" s="124">
        <f t="shared" si="54"/>
        <v>2</v>
      </c>
      <c r="M68" s="124">
        <f t="shared" si="55"/>
        <v>2</v>
      </c>
      <c r="N68" s="29"/>
      <c r="O68" s="29"/>
      <c r="P68" s="29"/>
      <c r="Q68" s="29"/>
      <c r="R68" s="29"/>
      <c r="S68" s="29"/>
      <c r="T68" s="29"/>
      <c r="U68" s="29"/>
      <c r="V68" s="29"/>
      <c r="W68" s="29"/>
      <c r="X68" s="29"/>
      <c r="Y68" s="29"/>
      <c r="Z68" s="29"/>
      <c r="AA68" s="29"/>
      <c r="AB68" s="29"/>
      <c r="AC68" s="29"/>
      <c r="AD68" s="29"/>
      <c r="AE68" s="29"/>
      <c r="AF68" s="29"/>
    </row>
    <row r="69" spans="1:32" ht="15.75" customHeight="1">
      <c r="A69" s="87" t="s">
        <v>675</v>
      </c>
      <c r="B69" s="3"/>
      <c r="C69" s="3" t="s">
        <v>676</v>
      </c>
      <c r="D69" s="80" t="s">
        <v>677</v>
      </c>
      <c r="E69" s="10" t="s">
        <v>678</v>
      </c>
      <c r="F69" s="15" t="s">
        <v>679</v>
      </c>
      <c r="G69" s="85" t="s">
        <v>680</v>
      </c>
      <c r="H69" s="85" t="s">
        <v>680</v>
      </c>
      <c r="I69" s="82">
        <v>4</v>
      </c>
      <c r="J69" s="82">
        <v>4</v>
      </c>
      <c r="K69" s="82">
        <v>4</v>
      </c>
      <c r="L69" s="83">
        <v>4</v>
      </c>
      <c r="M69" s="83">
        <v>4</v>
      </c>
      <c r="N69" s="50"/>
      <c r="O69" s="50"/>
      <c r="P69" s="50"/>
      <c r="Q69" s="50"/>
      <c r="R69" s="50"/>
      <c r="S69" s="50"/>
      <c r="T69" s="50"/>
      <c r="U69" s="50"/>
      <c r="V69" s="50"/>
      <c r="W69" s="50"/>
      <c r="X69" s="50"/>
      <c r="Y69" s="50"/>
      <c r="Z69" s="50"/>
      <c r="AA69" s="50"/>
      <c r="AB69" s="50"/>
      <c r="AC69" s="50"/>
      <c r="AD69" s="50"/>
      <c r="AE69" s="50"/>
      <c r="AF69" s="50"/>
    </row>
    <row r="70" spans="1:32" ht="15.75" customHeight="1">
      <c r="A70" s="77" t="s">
        <v>681</v>
      </c>
      <c r="B70" s="18" t="s">
        <v>16</v>
      </c>
      <c r="C70" s="18"/>
      <c r="D70" s="40"/>
      <c r="E70" s="24"/>
      <c r="F70" s="24"/>
      <c r="G70" s="24"/>
      <c r="H70" s="24"/>
      <c r="I70" s="24"/>
      <c r="J70" s="24"/>
      <c r="K70" s="24"/>
      <c r="L70" s="24"/>
      <c r="M70" s="24"/>
      <c r="N70" s="50"/>
      <c r="O70" s="50"/>
      <c r="P70" s="50"/>
      <c r="Q70" s="50"/>
      <c r="R70" s="50"/>
      <c r="S70" s="50"/>
      <c r="T70" s="50"/>
      <c r="U70" s="50"/>
      <c r="V70" s="50"/>
      <c r="W70" s="50"/>
      <c r="X70" s="50"/>
      <c r="Y70" s="50"/>
      <c r="Z70" s="50"/>
      <c r="AA70" s="50"/>
      <c r="AB70" s="50"/>
      <c r="AC70" s="50"/>
      <c r="AD70" s="50"/>
      <c r="AE70" s="50"/>
      <c r="AF70" s="50"/>
    </row>
    <row r="71" spans="1:32" ht="15.75" customHeight="1">
      <c r="A71" s="53" t="s">
        <v>682</v>
      </c>
      <c r="B71" s="3" t="s">
        <v>16</v>
      </c>
      <c r="C71" s="3" t="s">
        <v>21</v>
      </c>
      <c r="D71" s="80" t="s">
        <v>21</v>
      </c>
      <c r="E71" s="10" t="s">
        <v>21</v>
      </c>
      <c r="F71" s="10" t="s">
        <v>21</v>
      </c>
      <c r="G71" s="3" t="s">
        <v>21</v>
      </c>
      <c r="H71" s="11" t="s">
        <v>21</v>
      </c>
      <c r="I71" s="124">
        <f>_xlfn.LET(
_xlpm.full,2,
_xlpm.ans0,$C71&amp;"",
_xlpm.resp0,D71&amp;"",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71" s="124">
        <f t="shared" ref="J71:J72" si="56">_xlfn.LET(
_xlpm.full,2,
_xlpm.ans0,$C71&amp;"",
_xlpm.resp0,E71&amp;"",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71" s="124">
        <f t="shared" ref="K71:K72" si="57">_xlfn.LET(
_xlpm.full,2,
_xlpm.ans0,$C71&amp;"",
_xlpm.resp0,F71&amp;"",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71" s="124">
        <f t="shared" ref="L71:L72" si="58">_xlfn.LET(
_xlpm.full,2,
_xlpm.ans0,$C71&amp;"",
_xlpm.resp0,G71&amp;"",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71" s="124">
        <f t="shared" ref="M71:M72" si="59">_xlfn.LET(
_xlpm.full,2,
_xlpm.ans0,$C71&amp;"",
_xlpm.resp0,H71&amp;"",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71" s="50"/>
      <c r="O71" s="50"/>
      <c r="P71" s="50"/>
      <c r="Q71" s="50"/>
      <c r="R71" s="50"/>
      <c r="S71" s="50"/>
      <c r="T71" s="50"/>
      <c r="U71" s="50"/>
      <c r="V71" s="50"/>
      <c r="W71" s="50"/>
      <c r="X71" s="50"/>
      <c r="Y71" s="50"/>
      <c r="Z71" s="50"/>
      <c r="AA71" s="50"/>
      <c r="AB71" s="50"/>
      <c r="AC71" s="50"/>
      <c r="AD71" s="50"/>
      <c r="AE71" s="50"/>
      <c r="AF71" s="50"/>
    </row>
    <row r="72" spans="1:32" ht="15.75" customHeight="1">
      <c r="A72" s="53" t="s">
        <v>683</v>
      </c>
      <c r="B72" s="3" t="s">
        <v>16</v>
      </c>
      <c r="C72" s="3" t="s">
        <v>57</v>
      </c>
      <c r="D72" s="80" t="s">
        <v>53</v>
      </c>
      <c r="E72" s="10" t="s">
        <v>55</v>
      </c>
      <c r="F72" s="10" t="s">
        <v>57</v>
      </c>
      <c r="G72" s="3" t="s">
        <v>57</v>
      </c>
      <c r="H72" s="11" t="s">
        <v>55</v>
      </c>
      <c r="I72" s="124">
        <f>_xlfn.LET(
_xlpm.full,2,
_xlpm.ans0,$C72&amp;"",
_xlpm.resp0,D72&amp;"",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72" s="124">
        <f t="shared" si="56"/>
        <v>0</v>
      </c>
      <c r="K72" s="124">
        <f t="shared" si="57"/>
        <v>2</v>
      </c>
      <c r="L72" s="124">
        <f t="shared" si="58"/>
        <v>2</v>
      </c>
      <c r="M72" s="124">
        <f t="shared" si="59"/>
        <v>0</v>
      </c>
      <c r="N72" s="50"/>
      <c r="O72" s="50"/>
      <c r="P72" s="50"/>
      <c r="Q72" s="50"/>
      <c r="R72" s="50"/>
      <c r="S72" s="50"/>
      <c r="T72" s="50"/>
      <c r="U72" s="50"/>
      <c r="V72" s="50"/>
      <c r="W72" s="50"/>
      <c r="X72" s="50"/>
      <c r="Y72" s="50"/>
      <c r="Z72" s="50"/>
      <c r="AA72" s="50"/>
      <c r="AB72" s="50"/>
      <c r="AC72" s="50"/>
      <c r="AD72" s="50"/>
      <c r="AE72" s="50"/>
      <c r="AF72" s="50"/>
    </row>
    <row r="73" spans="1:32" ht="15.75" customHeight="1">
      <c r="A73" s="53" t="s">
        <v>684</v>
      </c>
      <c r="B73" s="3" t="s">
        <v>78</v>
      </c>
      <c r="C73" s="27" t="s">
        <v>685</v>
      </c>
      <c r="D73" s="80" t="s">
        <v>686</v>
      </c>
      <c r="E73" s="10" t="s">
        <v>687</v>
      </c>
      <c r="F73" s="10" t="s">
        <v>688</v>
      </c>
      <c r="G73" s="11" t="s">
        <v>689</v>
      </c>
      <c r="H73" s="11" t="s">
        <v>690</v>
      </c>
      <c r="I73" s="82">
        <v>2</v>
      </c>
      <c r="J73" s="82">
        <v>4</v>
      </c>
      <c r="K73" s="82">
        <v>2</v>
      </c>
      <c r="L73" s="83">
        <v>4</v>
      </c>
      <c r="M73" s="83">
        <v>4</v>
      </c>
      <c r="N73" s="50"/>
      <c r="O73" s="50"/>
      <c r="P73" s="50"/>
      <c r="Q73" s="50"/>
      <c r="R73" s="50"/>
      <c r="S73" s="50"/>
      <c r="T73" s="50"/>
      <c r="U73" s="50"/>
      <c r="V73" s="50"/>
      <c r="W73" s="50"/>
      <c r="X73" s="50"/>
      <c r="Y73" s="50"/>
      <c r="Z73" s="50"/>
      <c r="AA73" s="50"/>
      <c r="AB73" s="50"/>
      <c r="AC73" s="50"/>
      <c r="AD73" s="50"/>
      <c r="AE73" s="50"/>
      <c r="AF73" s="50"/>
    </row>
    <row r="74" spans="1:32" ht="15.75" customHeight="1">
      <c r="A74" s="53"/>
      <c r="B74" s="30"/>
      <c r="C74" s="30"/>
      <c r="D74" s="88"/>
      <c r="E74" s="44"/>
      <c r="F74" s="44"/>
      <c r="G74" s="44"/>
      <c r="H74" s="44"/>
      <c r="I74" s="89"/>
      <c r="J74" s="44"/>
      <c r="K74" s="44"/>
      <c r="L74" s="44"/>
      <c r="M74" s="44"/>
      <c r="N74" s="50"/>
      <c r="O74" s="50"/>
      <c r="P74" s="50"/>
      <c r="Q74" s="50"/>
      <c r="R74" s="50"/>
      <c r="S74" s="50"/>
      <c r="T74" s="50"/>
      <c r="U74" s="50"/>
      <c r="V74" s="50"/>
      <c r="W74" s="50"/>
      <c r="X74" s="50"/>
      <c r="Y74" s="50"/>
      <c r="Z74" s="50"/>
      <c r="AA74" s="50"/>
      <c r="AB74" s="50"/>
      <c r="AC74" s="50"/>
      <c r="AD74" s="50"/>
      <c r="AE74" s="50"/>
      <c r="AF74" s="50"/>
    </row>
    <row r="75" spans="1:32" ht="15.75" customHeight="1">
      <c r="A75" s="53"/>
      <c r="B75" s="30"/>
      <c r="C75" s="30"/>
      <c r="D75" s="88"/>
      <c r="E75" s="44"/>
      <c r="F75" s="44"/>
      <c r="G75" s="44"/>
      <c r="H75" s="44"/>
      <c r="I75" s="89"/>
      <c r="J75" s="44"/>
      <c r="K75" s="44"/>
      <c r="L75" s="44"/>
      <c r="M75" s="44"/>
      <c r="N75" s="50"/>
      <c r="O75" s="50"/>
      <c r="P75" s="50"/>
      <c r="Q75" s="50"/>
      <c r="R75" s="50"/>
      <c r="S75" s="50"/>
      <c r="T75" s="50"/>
      <c r="U75" s="50"/>
      <c r="V75" s="50"/>
      <c r="W75" s="50"/>
      <c r="X75" s="50"/>
      <c r="Y75" s="50"/>
      <c r="Z75" s="50"/>
      <c r="AA75" s="50"/>
      <c r="AB75" s="50"/>
      <c r="AC75" s="50"/>
      <c r="AD75" s="50"/>
      <c r="AE75" s="50"/>
      <c r="AF75" s="50"/>
    </row>
    <row r="76" spans="1:32" ht="15.75" customHeight="1">
      <c r="A76" s="53"/>
      <c r="B76" s="30"/>
      <c r="C76" s="30"/>
      <c r="D76" s="88"/>
      <c r="E76" s="44"/>
      <c r="F76" s="44"/>
      <c r="G76" s="44"/>
      <c r="H76" s="44"/>
      <c r="I76" s="89"/>
      <c r="J76" s="44"/>
      <c r="K76" s="44"/>
      <c r="L76" s="44"/>
      <c r="M76" s="44"/>
      <c r="N76" s="50"/>
      <c r="O76" s="50"/>
      <c r="P76" s="50"/>
      <c r="Q76" s="50"/>
      <c r="R76" s="50"/>
      <c r="S76" s="50"/>
      <c r="T76" s="50"/>
      <c r="U76" s="50"/>
      <c r="V76" s="50"/>
      <c r="W76" s="50"/>
      <c r="X76" s="50"/>
      <c r="Y76" s="50"/>
      <c r="Z76" s="50"/>
      <c r="AA76" s="50"/>
      <c r="AB76" s="50"/>
      <c r="AC76" s="50"/>
      <c r="AD76" s="50"/>
      <c r="AE76" s="50"/>
      <c r="AF76" s="50"/>
    </row>
    <row r="77" spans="1:32" ht="15.75" customHeight="1">
      <c r="A77" s="53"/>
      <c r="B77" s="30"/>
      <c r="C77" s="30"/>
      <c r="D77" s="88"/>
      <c r="E77" s="44"/>
      <c r="F77" s="44"/>
      <c r="G77" s="44"/>
      <c r="H77" s="44"/>
      <c r="I77" s="89"/>
      <c r="J77" s="44"/>
      <c r="K77" s="44"/>
      <c r="L77" s="44"/>
      <c r="M77" s="44"/>
      <c r="N77" s="50"/>
      <c r="O77" s="50"/>
      <c r="P77" s="50"/>
      <c r="Q77" s="50"/>
      <c r="R77" s="50"/>
      <c r="S77" s="50"/>
      <c r="T77" s="50"/>
      <c r="U77" s="50"/>
      <c r="V77" s="50"/>
      <c r="W77" s="50"/>
      <c r="X77" s="50"/>
      <c r="Y77" s="50"/>
      <c r="Z77" s="50"/>
      <c r="AA77" s="50"/>
      <c r="AB77" s="50"/>
      <c r="AC77" s="50"/>
      <c r="AD77" s="50"/>
      <c r="AE77" s="50"/>
      <c r="AF77" s="50"/>
    </row>
    <row r="78" spans="1:32" ht="15.75" customHeight="1">
      <c r="A78" s="55"/>
      <c r="B78" s="30"/>
      <c r="C78" s="30"/>
      <c r="D78" s="88"/>
      <c r="E78" s="44"/>
      <c r="F78" s="44"/>
      <c r="G78" s="44"/>
      <c r="H78" s="44"/>
      <c r="I78" s="89"/>
      <c r="J78" s="44"/>
      <c r="K78" s="44"/>
      <c r="L78" s="44"/>
      <c r="M78" s="44"/>
      <c r="N78" s="50"/>
      <c r="O78" s="50"/>
      <c r="P78" s="50"/>
      <c r="Q78" s="50"/>
      <c r="R78" s="50"/>
      <c r="S78" s="50"/>
      <c r="T78" s="50"/>
      <c r="U78" s="50"/>
      <c r="V78" s="50"/>
      <c r="W78" s="50"/>
      <c r="X78" s="50"/>
      <c r="Y78" s="50"/>
      <c r="Z78" s="50"/>
      <c r="AA78" s="50"/>
      <c r="AB78" s="50"/>
      <c r="AC78" s="50"/>
      <c r="AD78" s="50"/>
      <c r="AE78" s="50"/>
      <c r="AF78" s="50"/>
    </row>
    <row r="79" spans="1:32" ht="15.75" customHeight="1">
      <c r="A79" s="53"/>
      <c r="B79" s="30"/>
      <c r="C79" s="30"/>
      <c r="D79" s="88"/>
      <c r="E79" s="44"/>
      <c r="F79" s="44"/>
      <c r="G79" s="44"/>
      <c r="H79" s="44"/>
      <c r="I79" s="89"/>
      <c r="J79" s="44"/>
      <c r="K79" s="44"/>
      <c r="L79" s="44"/>
      <c r="M79" s="44"/>
      <c r="N79" s="50"/>
      <c r="O79" s="50"/>
      <c r="P79" s="50"/>
      <c r="Q79" s="50"/>
      <c r="R79" s="50"/>
      <c r="S79" s="50"/>
      <c r="T79" s="50"/>
      <c r="U79" s="50"/>
      <c r="V79" s="50"/>
      <c r="W79" s="50"/>
      <c r="X79" s="50"/>
      <c r="Y79" s="50"/>
      <c r="Z79" s="50"/>
      <c r="AA79" s="50"/>
      <c r="AB79" s="50"/>
      <c r="AC79" s="50"/>
      <c r="AD79" s="50"/>
      <c r="AE79" s="50"/>
      <c r="AF79" s="50"/>
    </row>
    <row r="80" spans="1:32" ht="15.75" customHeight="1">
      <c r="A80" s="53"/>
      <c r="B80" s="30"/>
      <c r="C80" s="30"/>
      <c r="D80" s="88"/>
      <c r="E80" s="44"/>
      <c r="F80" s="44"/>
      <c r="G80" s="44"/>
      <c r="H80" s="44"/>
      <c r="I80" s="89"/>
      <c r="J80" s="44"/>
      <c r="K80" s="44"/>
      <c r="L80" s="44"/>
      <c r="M80" s="44"/>
      <c r="N80" s="50"/>
      <c r="O80" s="50"/>
      <c r="P80" s="50"/>
      <c r="Q80" s="50"/>
      <c r="R80" s="50"/>
      <c r="S80" s="50"/>
      <c r="T80" s="50"/>
      <c r="U80" s="50"/>
      <c r="V80" s="50"/>
      <c r="W80" s="50"/>
      <c r="X80" s="50"/>
      <c r="Y80" s="50"/>
      <c r="Z80" s="50"/>
      <c r="AA80" s="50"/>
      <c r="AB80" s="50"/>
      <c r="AC80" s="50"/>
      <c r="AD80" s="50"/>
      <c r="AE80" s="50"/>
      <c r="AF80" s="50"/>
    </row>
    <row r="81" spans="1:32" ht="15.75" customHeight="1">
      <c r="A81" s="53"/>
      <c r="B81" s="30"/>
      <c r="C81" s="30"/>
      <c r="D81" s="88"/>
      <c r="E81" s="44"/>
      <c r="F81" s="44"/>
      <c r="G81" s="44"/>
      <c r="H81" s="44"/>
      <c r="I81" s="89"/>
      <c r="J81" s="44"/>
      <c r="K81" s="44"/>
      <c r="L81" s="44"/>
      <c r="M81" s="44"/>
      <c r="N81" s="50"/>
      <c r="O81" s="50"/>
      <c r="P81" s="50"/>
      <c r="Q81" s="50"/>
      <c r="R81" s="50"/>
      <c r="S81" s="50"/>
      <c r="T81" s="50"/>
      <c r="U81" s="50"/>
      <c r="V81" s="50"/>
      <c r="W81" s="50"/>
      <c r="X81" s="50"/>
      <c r="Y81" s="50"/>
      <c r="Z81" s="50"/>
      <c r="AA81" s="50"/>
      <c r="AB81" s="50"/>
      <c r="AC81" s="50"/>
      <c r="AD81" s="50"/>
      <c r="AE81" s="50"/>
      <c r="AF81" s="50"/>
    </row>
    <row r="82" spans="1:32" ht="15.75" customHeight="1">
      <c r="A82" s="54"/>
      <c r="B82" s="30"/>
      <c r="C82" s="30"/>
      <c r="D82" s="88"/>
      <c r="E82" s="44"/>
      <c r="F82" s="44"/>
      <c r="G82" s="44"/>
      <c r="H82" s="44"/>
      <c r="I82" s="89"/>
      <c r="J82" s="44"/>
      <c r="K82" s="44"/>
      <c r="L82" s="44"/>
      <c r="M82" s="44"/>
      <c r="N82" s="50"/>
      <c r="O82" s="50"/>
      <c r="P82" s="50"/>
      <c r="Q82" s="50"/>
      <c r="R82" s="50"/>
      <c r="S82" s="50"/>
      <c r="T82" s="50"/>
      <c r="U82" s="50"/>
      <c r="V82" s="50"/>
      <c r="W82" s="50"/>
      <c r="X82" s="50"/>
      <c r="Y82" s="50"/>
      <c r="Z82" s="50"/>
      <c r="AA82" s="50"/>
      <c r="AB82" s="50"/>
      <c r="AC82" s="50"/>
      <c r="AD82" s="50"/>
      <c r="AE82" s="50"/>
      <c r="AF82" s="50"/>
    </row>
    <row r="83" spans="1:32" ht="15.75" customHeight="1">
      <c r="A83" s="54"/>
      <c r="B83" s="30"/>
      <c r="C83" s="30"/>
      <c r="D83" s="88"/>
      <c r="E83" s="44"/>
      <c r="F83" s="44"/>
      <c r="G83" s="44"/>
      <c r="H83" s="44"/>
      <c r="I83" s="89"/>
      <c r="J83" s="44"/>
      <c r="K83" s="44"/>
      <c r="L83" s="44"/>
      <c r="M83" s="44"/>
      <c r="N83" s="50"/>
      <c r="O83" s="50"/>
      <c r="P83" s="50"/>
      <c r="Q83" s="50"/>
      <c r="R83" s="50"/>
      <c r="S83" s="50"/>
      <c r="T83" s="50"/>
      <c r="U83" s="50"/>
      <c r="V83" s="50"/>
      <c r="W83" s="50"/>
      <c r="X83" s="50"/>
      <c r="Y83" s="50"/>
      <c r="Z83" s="50"/>
      <c r="AA83" s="50"/>
      <c r="AB83" s="50"/>
      <c r="AC83" s="50"/>
      <c r="AD83" s="50"/>
      <c r="AE83" s="50"/>
      <c r="AF83" s="50"/>
    </row>
    <row r="84" spans="1:32" ht="15.75" customHeight="1">
      <c r="A84" s="54"/>
      <c r="B84" s="30"/>
      <c r="C84" s="30"/>
      <c r="D84" s="88"/>
      <c r="E84" s="44"/>
      <c r="F84" s="44"/>
      <c r="G84" s="44"/>
      <c r="H84" s="44"/>
      <c r="I84" s="89"/>
      <c r="J84" s="44"/>
      <c r="K84" s="44"/>
      <c r="L84" s="44"/>
      <c r="M84" s="44"/>
      <c r="N84" s="50"/>
      <c r="O84" s="50"/>
      <c r="P84" s="50"/>
      <c r="Q84" s="50"/>
      <c r="R84" s="50"/>
      <c r="S84" s="50"/>
      <c r="T84" s="50"/>
      <c r="U84" s="50"/>
      <c r="V84" s="50"/>
      <c r="W84" s="50"/>
      <c r="X84" s="50"/>
      <c r="Y84" s="50"/>
      <c r="Z84" s="50"/>
      <c r="AA84" s="50"/>
      <c r="AB84" s="50"/>
      <c r="AC84" s="50"/>
      <c r="AD84" s="50"/>
      <c r="AE84" s="50"/>
      <c r="AF84" s="50"/>
    </row>
    <row r="85" spans="1:32" ht="15.75" customHeight="1">
      <c r="A85" s="54"/>
      <c r="B85" s="30"/>
      <c r="C85" s="30"/>
      <c r="D85" s="88"/>
      <c r="E85" s="44"/>
      <c r="F85" s="44"/>
      <c r="G85" s="44"/>
      <c r="H85" s="44"/>
      <c r="I85" s="89"/>
      <c r="J85" s="44"/>
      <c r="K85" s="44"/>
      <c r="L85" s="44"/>
      <c r="M85" s="44"/>
      <c r="N85" s="50"/>
      <c r="O85" s="50"/>
      <c r="P85" s="50"/>
      <c r="Q85" s="50"/>
      <c r="R85" s="50"/>
      <c r="S85" s="50"/>
      <c r="T85" s="50"/>
      <c r="U85" s="50"/>
      <c r="V85" s="50"/>
      <c r="W85" s="50"/>
      <c r="X85" s="50"/>
      <c r="Y85" s="50"/>
      <c r="Z85" s="50"/>
      <c r="AA85" s="50"/>
      <c r="AB85" s="50"/>
      <c r="AC85" s="50"/>
      <c r="AD85" s="50"/>
      <c r="AE85" s="50"/>
      <c r="AF85" s="50"/>
    </row>
    <row r="86" spans="1:32" ht="15.75" customHeight="1">
      <c r="A86" s="54"/>
      <c r="B86" s="30"/>
      <c r="C86" s="30"/>
      <c r="D86" s="88"/>
      <c r="E86" s="44"/>
      <c r="F86" s="44"/>
      <c r="G86" s="44"/>
      <c r="H86" s="44"/>
      <c r="I86" s="89"/>
      <c r="J86" s="44"/>
      <c r="K86" s="44"/>
      <c r="L86" s="44"/>
      <c r="M86" s="44"/>
      <c r="N86" s="50"/>
      <c r="O86" s="50"/>
      <c r="P86" s="50"/>
      <c r="Q86" s="50"/>
      <c r="R86" s="50"/>
      <c r="S86" s="50"/>
      <c r="T86" s="50"/>
      <c r="U86" s="50"/>
      <c r="V86" s="50"/>
      <c r="W86" s="50"/>
      <c r="X86" s="50"/>
      <c r="Y86" s="50"/>
      <c r="Z86" s="50"/>
      <c r="AA86" s="50"/>
      <c r="AB86" s="50"/>
      <c r="AC86" s="50"/>
      <c r="AD86" s="50"/>
      <c r="AE86" s="50"/>
      <c r="AF86" s="50"/>
    </row>
    <row r="87" spans="1:32" ht="15.75" customHeight="1">
      <c r="A87" s="54"/>
      <c r="B87" s="30"/>
      <c r="C87" s="30"/>
      <c r="D87" s="88"/>
      <c r="E87" s="44"/>
      <c r="F87" s="44"/>
      <c r="G87" s="44"/>
      <c r="H87" s="44"/>
      <c r="I87" s="89"/>
      <c r="J87" s="44"/>
      <c r="K87" s="44"/>
      <c r="L87" s="44"/>
      <c r="M87" s="44"/>
      <c r="N87" s="50"/>
      <c r="O87" s="50"/>
      <c r="P87" s="50"/>
      <c r="Q87" s="50"/>
      <c r="R87" s="50"/>
      <c r="S87" s="50"/>
      <c r="T87" s="50"/>
      <c r="U87" s="50"/>
      <c r="V87" s="50"/>
      <c r="W87" s="50"/>
      <c r="X87" s="50"/>
      <c r="Y87" s="50"/>
      <c r="Z87" s="50"/>
      <c r="AA87" s="50"/>
      <c r="AB87" s="50"/>
      <c r="AC87" s="50"/>
      <c r="AD87" s="50"/>
      <c r="AE87" s="50"/>
      <c r="AF87" s="50"/>
    </row>
    <row r="88" spans="1:32" ht="15.75" customHeight="1">
      <c r="A88" s="54"/>
      <c r="B88" s="30"/>
      <c r="C88" s="30"/>
      <c r="D88" s="88"/>
      <c r="E88" s="44"/>
      <c r="F88" s="44"/>
      <c r="G88" s="44"/>
      <c r="H88" s="44"/>
      <c r="I88" s="89"/>
      <c r="J88" s="44"/>
      <c r="K88" s="44"/>
      <c r="L88" s="44"/>
      <c r="M88" s="44"/>
      <c r="N88" s="50"/>
      <c r="O88" s="50"/>
      <c r="P88" s="50"/>
      <c r="Q88" s="50"/>
      <c r="R88" s="50"/>
      <c r="S88" s="50"/>
      <c r="T88" s="50"/>
      <c r="U88" s="50"/>
      <c r="V88" s="50"/>
      <c r="W88" s="50"/>
      <c r="X88" s="50"/>
      <c r="Y88" s="50"/>
      <c r="Z88" s="50"/>
      <c r="AA88" s="50"/>
      <c r="AB88" s="50"/>
      <c r="AC88" s="50"/>
      <c r="AD88" s="50"/>
      <c r="AE88" s="50"/>
      <c r="AF88" s="50"/>
    </row>
    <row r="89" spans="1:32" ht="15.75" customHeight="1">
      <c r="A89" s="54"/>
      <c r="B89" s="30"/>
      <c r="C89" s="30"/>
      <c r="D89" s="88"/>
      <c r="E89" s="44"/>
      <c r="F89" s="44"/>
      <c r="G89" s="44"/>
      <c r="H89" s="44"/>
      <c r="I89" s="89"/>
      <c r="J89" s="44"/>
      <c r="K89" s="44"/>
      <c r="L89" s="44"/>
      <c r="M89" s="44"/>
      <c r="N89" s="50"/>
      <c r="O89" s="50"/>
      <c r="P89" s="50"/>
      <c r="Q89" s="50"/>
      <c r="R89" s="50"/>
      <c r="S89" s="50"/>
      <c r="T89" s="50"/>
      <c r="U89" s="50"/>
      <c r="V89" s="50"/>
      <c r="W89" s="50"/>
      <c r="X89" s="50"/>
      <c r="Y89" s="50"/>
      <c r="Z89" s="50"/>
      <c r="AA89" s="50"/>
      <c r="AB89" s="50"/>
      <c r="AC89" s="50"/>
      <c r="AD89" s="50"/>
      <c r="AE89" s="50"/>
      <c r="AF89" s="50"/>
    </row>
    <row r="90" spans="1:32" ht="15.75" customHeight="1">
      <c r="A90" s="54"/>
      <c r="B90" s="30"/>
      <c r="C90" s="30"/>
      <c r="D90" s="88"/>
      <c r="E90" s="44"/>
      <c r="F90" s="44"/>
      <c r="G90" s="44"/>
      <c r="H90" s="44"/>
      <c r="I90" s="89"/>
      <c r="J90" s="44"/>
      <c r="K90" s="44"/>
      <c r="L90" s="44"/>
      <c r="M90" s="44"/>
      <c r="N90" s="50"/>
      <c r="O90" s="50"/>
      <c r="P90" s="50"/>
      <c r="Q90" s="50"/>
      <c r="R90" s="50"/>
      <c r="S90" s="50"/>
      <c r="T90" s="50"/>
      <c r="U90" s="50"/>
      <c r="V90" s="50"/>
      <c r="W90" s="50"/>
      <c r="X90" s="50"/>
      <c r="Y90" s="50"/>
      <c r="Z90" s="50"/>
      <c r="AA90" s="50"/>
      <c r="AB90" s="50"/>
      <c r="AC90" s="50"/>
      <c r="AD90" s="50"/>
      <c r="AE90" s="50"/>
      <c r="AF90" s="50"/>
    </row>
    <row r="91" spans="1:32" ht="15.75" customHeight="1">
      <c r="A91" s="54"/>
      <c r="B91" s="30"/>
      <c r="C91" s="30"/>
      <c r="D91" s="88"/>
      <c r="E91" s="44"/>
      <c r="F91" s="44"/>
      <c r="G91" s="44"/>
      <c r="H91" s="44"/>
      <c r="I91" s="89"/>
      <c r="J91" s="44"/>
      <c r="K91" s="44"/>
      <c r="L91" s="44"/>
      <c r="M91" s="44"/>
      <c r="N91" s="50"/>
      <c r="O91" s="50"/>
      <c r="P91" s="50"/>
      <c r="Q91" s="50"/>
      <c r="R91" s="50"/>
      <c r="S91" s="50"/>
      <c r="T91" s="50"/>
      <c r="U91" s="50"/>
      <c r="V91" s="50"/>
      <c r="W91" s="50"/>
      <c r="X91" s="50"/>
      <c r="Y91" s="50"/>
      <c r="Z91" s="50"/>
      <c r="AA91" s="50"/>
      <c r="AB91" s="50"/>
      <c r="AC91" s="50"/>
      <c r="AD91" s="50"/>
      <c r="AE91" s="50"/>
      <c r="AF91" s="50"/>
    </row>
    <row r="92" spans="1:32" ht="15.75" customHeight="1">
      <c r="A92" s="54"/>
      <c r="B92" s="30"/>
      <c r="C92" s="30"/>
      <c r="D92" s="88"/>
      <c r="E92" s="44"/>
      <c r="F92" s="44"/>
      <c r="G92" s="44"/>
      <c r="H92" s="44"/>
      <c r="I92" s="89"/>
      <c r="J92" s="44"/>
      <c r="K92" s="44"/>
      <c r="L92" s="44"/>
      <c r="M92" s="44"/>
      <c r="N92" s="50"/>
      <c r="O92" s="50"/>
      <c r="P92" s="50"/>
      <c r="Q92" s="50"/>
      <c r="R92" s="50"/>
      <c r="S92" s="50"/>
      <c r="T92" s="50"/>
      <c r="U92" s="50"/>
      <c r="V92" s="50"/>
      <c r="W92" s="50"/>
      <c r="X92" s="50"/>
      <c r="Y92" s="50"/>
      <c r="Z92" s="50"/>
      <c r="AA92" s="50"/>
      <c r="AB92" s="50"/>
      <c r="AC92" s="50"/>
      <c r="AD92" s="50"/>
      <c r="AE92" s="50"/>
      <c r="AF92" s="50"/>
    </row>
    <row r="93" spans="1:32" ht="15.75" customHeight="1">
      <c r="A93" s="55"/>
      <c r="B93" s="30"/>
      <c r="C93" s="30"/>
      <c r="D93" s="88"/>
      <c r="E93" s="44"/>
      <c r="F93" s="44"/>
      <c r="G93" s="44"/>
      <c r="H93" s="44"/>
      <c r="I93" s="89"/>
      <c r="J93" s="44"/>
      <c r="K93" s="44"/>
      <c r="L93" s="44"/>
      <c r="M93" s="44"/>
      <c r="N93" s="50"/>
      <c r="O93" s="50"/>
      <c r="P93" s="50"/>
      <c r="Q93" s="50"/>
      <c r="R93" s="50"/>
      <c r="S93" s="50"/>
      <c r="T93" s="50"/>
      <c r="U93" s="50"/>
      <c r="V93" s="50"/>
      <c r="W93" s="50"/>
      <c r="X93" s="50"/>
      <c r="Y93" s="50"/>
      <c r="Z93" s="50"/>
      <c r="AA93" s="50"/>
      <c r="AB93" s="50"/>
      <c r="AC93" s="50"/>
      <c r="AD93" s="50"/>
      <c r="AE93" s="50"/>
      <c r="AF93" s="50"/>
    </row>
    <row r="94" spans="1:32" ht="15.75" customHeight="1">
      <c r="A94" s="53"/>
      <c r="B94" s="30"/>
      <c r="C94" s="30"/>
      <c r="D94" s="88"/>
      <c r="E94" s="44"/>
      <c r="F94" s="44"/>
      <c r="G94" s="44"/>
      <c r="H94" s="44"/>
      <c r="I94" s="89"/>
      <c r="J94" s="44"/>
      <c r="K94" s="44"/>
      <c r="L94" s="44"/>
      <c r="M94" s="44"/>
      <c r="N94" s="50"/>
      <c r="O94" s="50"/>
      <c r="P94" s="50"/>
      <c r="Q94" s="50"/>
      <c r="R94" s="50"/>
      <c r="S94" s="50"/>
      <c r="T94" s="50"/>
      <c r="U94" s="50"/>
      <c r="V94" s="50"/>
      <c r="W94" s="50"/>
      <c r="X94" s="50"/>
      <c r="Y94" s="50"/>
      <c r="Z94" s="50"/>
      <c r="AA94" s="50"/>
      <c r="AB94" s="50"/>
      <c r="AC94" s="50"/>
      <c r="AD94" s="50"/>
      <c r="AE94" s="50"/>
      <c r="AF94" s="50"/>
    </row>
    <row r="95" spans="1:32" ht="15.75" customHeight="1">
      <c r="A95" s="53"/>
      <c r="B95" s="30"/>
      <c r="C95" s="30"/>
      <c r="D95" s="88"/>
      <c r="E95" s="44"/>
      <c r="F95" s="44"/>
      <c r="G95" s="44"/>
      <c r="H95" s="44"/>
      <c r="I95" s="89"/>
      <c r="J95" s="44"/>
      <c r="K95" s="44"/>
      <c r="L95" s="44"/>
      <c r="M95" s="44"/>
      <c r="N95" s="50"/>
      <c r="O95" s="50"/>
      <c r="P95" s="50"/>
      <c r="Q95" s="50"/>
      <c r="R95" s="50"/>
      <c r="S95" s="50"/>
      <c r="T95" s="50"/>
      <c r="U95" s="50"/>
      <c r="V95" s="50"/>
      <c r="W95" s="50"/>
      <c r="X95" s="50"/>
      <c r="Y95" s="50"/>
      <c r="Z95" s="50"/>
      <c r="AA95" s="50"/>
      <c r="AB95" s="50"/>
      <c r="AC95" s="50"/>
      <c r="AD95" s="50"/>
      <c r="AE95" s="50"/>
      <c r="AF95" s="50"/>
    </row>
    <row r="96" spans="1:32" ht="15.75" customHeight="1">
      <c r="A96" s="53"/>
      <c r="B96" s="30"/>
      <c r="C96" s="30"/>
      <c r="D96" s="88"/>
      <c r="E96" s="44"/>
      <c r="F96" s="44"/>
      <c r="G96" s="44"/>
      <c r="H96" s="44"/>
      <c r="I96" s="89"/>
      <c r="J96" s="44"/>
      <c r="K96" s="44"/>
      <c r="L96" s="44"/>
      <c r="M96" s="44"/>
      <c r="N96" s="50"/>
      <c r="O96" s="50"/>
      <c r="P96" s="50"/>
      <c r="Q96" s="50"/>
      <c r="R96" s="50"/>
      <c r="S96" s="50"/>
      <c r="T96" s="50"/>
      <c r="U96" s="50"/>
      <c r="V96" s="50"/>
      <c r="W96" s="50"/>
      <c r="X96" s="50"/>
      <c r="Y96" s="50"/>
      <c r="Z96" s="50"/>
      <c r="AA96" s="50"/>
      <c r="AB96" s="50"/>
      <c r="AC96" s="50"/>
      <c r="AD96" s="50"/>
      <c r="AE96" s="50"/>
      <c r="AF96" s="50"/>
    </row>
    <row r="97" spans="1:14" ht="15.75" customHeight="1">
      <c r="A97" s="53"/>
      <c r="B97" s="30"/>
      <c r="C97" s="30"/>
      <c r="D97" s="88"/>
      <c r="E97" s="44"/>
      <c r="F97" s="44"/>
      <c r="G97" s="44"/>
      <c r="H97" s="44"/>
      <c r="I97" s="89"/>
      <c r="J97" s="44"/>
      <c r="K97" s="44"/>
      <c r="L97" s="44"/>
      <c r="M97" s="44"/>
      <c r="N97" s="50"/>
    </row>
    <row r="98" spans="1:14" ht="15.75" customHeight="1">
      <c r="A98" s="53"/>
      <c r="B98" s="30"/>
      <c r="C98" s="30"/>
      <c r="D98" s="88"/>
      <c r="E98" s="44"/>
      <c r="F98" s="44"/>
      <c r="G98" s="44"/>
      <c r="H98" s="44"/>
      <c r="I98" s="89"/>
      <c r="J98" s="44"/>
      <c r="K98" s="44"/>
      <c r="L98" s="44"/>
      <c r="M98" s="44"/>
      <c r="N98" s="50"/>
    </row>
    <row r="99" spans="1:14" ht="15.75" customHeight="1">
      <c r="A99" s="53"/>
      <c r="B99" s="30"/>
      <c r="C99" s="30"/>
      <c r="D99" s="88"/>
      <c r="E99" s="44"/>
      <c r="F99" s="44"/>
      <c r="G99" s="44"/>
      <c r="H99" s="44"/>
      <c r="I99" s="89"/>
      <c r="J99" s="44"/>
      <c r="K99" s="44"/>
      <c r="L99" s="44"/>
      <c r="M99" s="44"/>
      <c r="N99" s="50"/>
    </row>
    <row r="100" spans="1:14" ht="15.75" customHeight="1">
      <c r="A100" s="53"/>
      <c r="B100" s="30"/>
      <c r="C100" s="30"/>
      <c r="D100" s="88"/>
      <c r="E100" s="44"/>
      <c r="F100" s="44"/>
      <c r="G100" s="44"/>
      <c r="H100" s="44"/>
      <c r="I100" s="89"/>
      <c r="J100" s="44"/>
      <c r="K100" s="44"/>
      <c r="L100" s="44"/>
      <c r="M100" s="44"/>
      <c r="N100" s="50"/>
    </row>
    <row r="101" spans="1:14" ht="15.75" customHeight="1">
      <c r="A101" s="53"/>
      <c r="B101" s="30"/>
      <c r="C101" s="30"/>
      <c r="D101" s="88"/>
      <c r="E101" s="44"/>
      <c r="F101" s="44"/>
      <c r="G101" s="44"/>
      <c r="H101" s="44"/>
      <c r="I101" s="89"/>
      <c r="J101" s="44"/>
      <c r="K101" s="44"/>
      <c r="L101" s="44"/>
      <c r="M101" s="44"/>
      <c r="N101" s="50"/>
    </row>
    <row r="102" spans="1:14" ht="15.75" customHeight="1">
      <c r="A102" s="53"/>
      <c r="B102" s="30"/>
      <c r="C102" s="30"/>
      <c r="D102" s="88"/>
      <c r="E102" s="44"/>
      <c r="F102" s="44"/>
      <c r="G102" s="44"/>
      <c r="H102" s="44"/>
      <c r="I102" s="89"/>
      <c r="J102" s="44"/>
      <c r="K102" s="44"/>
      <c r="L102" s="44"/>
      <c r="M102" s="44"/>
      <c r="N102" s="50"/>
    </row>
    <row r="103" spans="1:14" ht="15.75" customHeight="1">
      <c r="A103" s="53"/>
      <c r="B103" s="30"/>
      <c r="C103" s="30"/>
      <c r="D103" s="88"/>
      <c r="E103" s="44"/>
      <c r="F103" s="44"/>
      <c r="G103" s="44"/>
      <c r="H103" s="44"/>
      <c r="I103" s="89"/>
      <c r="J103" s="44"/>
      <c r="K103" s="44"/>
      <c r="L103" s="44"/>
      <c r="M103" s="44"/>
      <c r="N103" s="50"/>
    </row>
    <row r="104" spans="1:14" ht="15.75" customHeight="1">
      <c r="A104" s="53"/>
      <c r="B104" s="30"/>
      <c r="C104" s="30"/>
      <c r="D104" s="88"/>
      <c r="E104" s="44"/>
      <c r="F104" s="44"/>
      <c r="G104" s="44"/>
      <c r="H104" s="44"/>
      <c r="I104" s="89"/>
      <c r="J104" s="44"/>
      <c r="K104" s="44"/>
      <c r="L104" s="44"/>
      <c r="M104" s="44"/>
      <c r="N104" s="50"/>
    </row>
    <row r="105" spans="1:14" ht="15.75" customHeight="1">
      <c r="A105" s="53"/>
      <c r="B105" s="30"/>
      <c r="C105" s="30"/>
      <c r="D105" s="88"/>
      <c r="E105" s="44"/>
      <c r="F105" s="44"/>
      <c r="G105" s="44"/>
      <c r="H105" s="44"/>
      <c r="I105" s="89"/>
      <c r="J105" s="44"/>
      <c r="K105" s="44"/>
      <c r="L105" s="44"/>
      <c r="M105" s="44"/>
      <c r="N105" s="50"/>
    </row>
    <row r="106" spans="1:14" ht="15.75" customHeight="1">
      <c r="A106" s="53"/>
      <c r="B106" s="30"/>
      <c r="C106" s="30"/>
      <c r="D106" s="88"/>
      <c r="E106" s="44"/>
      <c r="F106" s="44"/>
      <c r="G106" s="44"/>
      <c r="H106" s="44"/>
      <c r="I106" s="89"/>
      <c r="J106" s="44"/>
      <c r="K106" s="44"/>
      <c r="L106" s="44"/>
      <c r="M106" s="44"/>
      <c r="N106" s="50"/>
    </row>
    <row r="107" spans="1:14" ht="15.75" customHeight="1">
      <c r="A107" s="53"/>
      <c r="B107" s="30"/>
      <c r="C107" s="30"/>
      <c r="D107" s="88"/>
      <c r="E107" s="44"/>
      <c r="F107" s="44"/>
      <c r="G107" s="44"/>
      <c r="H107" s="44"/>
      <c r="I107" s="89"/>
      <c r="J107" s="44"/>
      <c r="K107" s="44"/>
      <c r="L107" s="44"/>
      <c r="M107" s="44"/>
      <c r="N107" s="50"/>
    </row>
    <row r="108" spans="1:14" ht="15.75" customHeight="1">
      <c r="A108" s="53"/>
      <c r="B108" s="30"/>
      <c r="C108" s="30"/>
      <c r="D108" s="88"/>
      <c r="E108" s="44"/>
      <c r="F108" s="44"/>
      <c r="G108" s="44"/>
      <c r="H108" s="44"/>
      <c r="I108" s="89"/>
      <c r="J108" s="44"/>
      <c r="K108" s="44"/>
      <c r="L108" s="44"/>
      <c r="M108" s="44"/>
      <c r="N108" s="50"/>
    </row>
    <row r="109" spans="1:14" ht="15.75" customHeight="1">
      <c r="A109" s="53"/>
      <c r="B109" s="30"/>
      <c r="C109" s="30"/>
      <c r="D109" s="88"/>
      <c r="E109" s="44"/>
      <c r="F109" s="44"/>
      <c r="G109" s="44"/>
      <c r="H109" s="44"/>
      <c r="I109" s="89"/>
      <c r="J109" s="44"/>
      <c r="K109" s="44"/>
      <c r="L109" s="44"/>
      <c r="M109" s="44"/>
      <c r="N109" s="50"/>
    </row>
    <row r="110" spans="1:14" ht="15.75" customHeight="1">
      <c r="A110" s="53"/>
      <c r="B110" s="30"/>
      <c r="C110" s="30"/>
      <c r="D110" s="88"/>
      <c r="E110" s="44"/>
      <c r="F110" s="44"/>
      <c r="G110" s="44"/>
      <c r="H110" s="44"/>
      <c r="I110" s="89"/>
      <c r="J110" s="44"/>
      <c r="K110" s="44"/>
      <c r="L110" s="44"/>
      <c r="M110" s="44"/>
      <c r="N110" s="50"/>
    </row>
    <row r="111" spans="1:14" ht="15.75" customHeight="1">
      <c r="A111" s="53"/>
      <c r="B111" s="30"/>
      <c r="C111" s="30"/>
      <c r="D111" s="88"/>
      <c r="E111" s="44"/>
      <c r="F111" s="44"/>
      <c r="G111" s="44"/>
      <c r="H111" s="44"/>
      <c r="I111" s="89"/>
      <c r="J111" s="44"/>
      <c r="K111" s="44"/>
      <c r="L111" s="44"/>
      <c r="M111" s="44"/>
      <c r="N111" s="50"/>
    </row>
    <row r="112" spans="1:14" ht="15.75" customHeight="1">
      <c r="A112" s="53"/>
      <c r="B112" s="30"/>
      <c r="C112" s="30"/>
      <c r="D112" s="88"/>
      <c r="E112" s="44"/>
      <c r="F112" s="44"/>
      <c r="G112" s="44"/>
      <c r="H112" s="44"/>
      <c r="I112" s="89"/>
      <c r="J112" s="44"/>
      <c r="K112" s="44"/>
      <c r="L112" s="44"/>
      <c r="M112" s="44"/>
      <c r="N112" s="50"/>
    </row>
    <row r="113" spans="1:14" ht="15.75" customHeight="1">
      <c r="A113" s="53"/>
      <c r="B113" s="30"/>
      <c r="C113" s="30"/>
      <c r="D113" s="88"/>
      <c r="E113" s="44"/>
      <c r="F113" s="44"/>
      <c r="G113" s="44"/>
      <c r="H113" s="44"/>
      <c r="I113" s="89"/>
      <c r="J113" s="44"/>
      <c r="K113" s="44"/>
      <c r="L113" s="44"/>
      <c r="M113" s="44"/>
      <c r="N113" s="50"/>
    </row>
    <row r="114" spans="1:14" ht="15.75" customHeight="1">
      <c r="A114" s="53"/>
      <c r="B114" s="30"/>
      <c r="C114" s="30"/>
      <c r="D114" s="88"/>
      <c r="E114" s="44"/>
      <c r="F114" s="44"/>
      <c r="G114" s="44"/>
      <c r="H114" s="44"/>
      <c r="I114" s="89"/>
      <c r="J114" s="44"/>
      <c r="K114" s="44"/>
      <c r="L114" s="44"/>
      <c r="M114" s="44"/>
      <c r="N114" s="50"/>
    </row>
    <row r="115" spans="1:14" ht="15.75" customHeight="1">
      <c r="A115" s="53"/>
      <c r="B115" s="30"/>
      <c r="C115" s="30"/>
      <c r="D115" s="88"/>
      <c r="E115" s="44"/>
      <c r="F115" s="44"/>
      <c r="G115" s="44"/>
      <c r="H115" s="44"/>
      <c r="I115" s="89"/>
      <c r="J115" s="44"/>
      <c r="K115" s="44"/>
      <c r="L115" s="44"/>
      <c r="M115" s="44"/>
      <c r="N115" s="50"/>
    </row>
    <row r="116" spans="1:14" ht="15.75" customHeight="1">
      <c r="A116" s="53"/>
      <c r="B116" s="30"/>
      <c r="C116" s="30"/>
      <c r="D116" s="88"/>
      <c r="E116" s="44"/>
      <c r="F116" s="44"/>
      <c r="G116" s="44"/>
      <c r="H116" s="44"/>
      <c r="I116" s="89"/>
      <c r="J116" s="44"/>
      <c r="K116" s="44"/>
      <c r="L116" s="44"/>
      <c r="M116" s="44"/>
      <c r="N116" s="50"/>
    </row>
    <row r="117" spans="1:14" ht="15.75" customHeight="1">
      <c r="A117" s="53"/>
      <c r="B117" s="30"/>
      <c r="C117" s="30"/>
      <c r="D117" s="88"/>
      <c r="E117" s="44"/>
      <c r="F117" s="44"/>
      <c r="G117" s="44"/>
      <c r="H117" s="44"/>
      <c r="I117" s="89"/>
      <c r="J117" s="44"/>
      <c r="K117" s="44"/>
      <c r="L117" s="44"/>
      <c r="M117" s="44"/>
      <c r="N117" s="50"/>
    </row>
    <row r="118" spans="1:14" ht="15.75" customHeight="1">
      <c r="A118" s="53"/>
      <c r="B118" s="30"/>
      <c r="C118" s="30"/>
      <c r="D118" s="88"/>
      <c r="E118" s="44"/>
      <c r="F118" s="44"/>
      <c r="G118" s="44"/>
      <c r="H118" s="44"/>
      <c r="I118" s="89"/>
      <c r="J118" s="44"/>
      <c r="K118" s="44"/>
      <c r="L118" s="44"/>
      <c r="M118" s="44"/>
      <c r="N118" s="50"/>
    </row>
    <row r="119" spans="1:14" ht="15.75" customHeight="1">
      <c r="A119" s="53"/>
      <c r="B119" s="30"/>
      <c r="C119" s="30"/>
      <c r="D119" s="88"/>
      <c r="E119" s="44"/>
      <c r="F119" s="44"/>
      <c r="G119" s="44"/>
      <c r="H119" s="44"/>
      <c r="I119" s="89"/>
      <c r="J119" s="44"/>
      <c r="K119" s="44"/>
      <c r="L119" s="44"/>
      <c r="M119" s="44"/>
      <c r="N119" s="50"/>
    </row>
    <row r="120" spans="1:14" ht="15.75" customHeight="1">
      <c r="A120" s="53"/>
      <c r="B120" s="30"/>
      <c r="C120" s="30"/>
      <c r="D120" s="88"/>
      <c r="E120" s="44"/>
      <c r="F120" s="44"/>
      <c r="G120" s="44"/>
      <c r="H120" s="44"/>
      <c r="I120" s="89"/>
      <c r="J120" s="44"/>
      <c r="K120" s="44"/>
      <c r="L120" s="44"/>
      <c r="M120" s="44"/>
      <c r="N120" s="50"/>
    </row>
    <row r="121" spans="1:14" ht="15.75" customHeight="1">
      <c r="A121" s="53"/>
      <c r="B121" s="30"/>
      <c r="C121" s="30"/>
      <c r="D121" s="88"/>
      <c r="E121" s="44"/>
      <c r="F121" s="44"/>
      <c r="G121" s="44"/>
      <c r="H121" s="44"/>
      <c r="I121" s="89"/>
      <c r="J121" s="44"/>
      <c r="K121" s="44"/>
      <c r="L121" s="44"/>
      <c r="M121" s="44"/>
      <c r="N121" s="50"/>
    </row>
    <row r="122" spans="1:14" ht="15.75" customHeight="1">
      <c r="A122" s="53"/>
      <c r="B122" s="30"/>
      <c r="C122" s="30"/>
      <c r="D122" s="88"/>
      <c r="E122" s="44"/>
      <c r="F122" s="44"/>
      <c r="G122" s="44"/>
      <c r="H122" s="44"/>
      <c r="I122" s="89"/>
      <c r="J122" s="44"/>
      <c r="K122" s="44"/>
      <c r="L122" s="44"/>
      <c r="M122" s="44"/>
      <c r="N122" s="50"/>
    </row>
    <row r="123" spans="1:14" ht="15.75" customHeight="1">
      <c r="A123" s="53"/>
      <c r="B123" s="30"/>
      <c r="C123" s="30"/>
      <c r="D123" s="88"/>
      <c r="E123" s="44"/>
      <c r="F123" s="44"/>
      <c r="G123" s="44"/>
      <c r="H123" s="44"/>
      <c r="I123" s="89"/>
      <c r="J123" s="44"/>
      <c r="K123" s="44"/>
      <c r="L123" s="44"/>
      <c r="M123" s="44"/>
      <c r="N123" s="50"/>
    </row>
    <row r="124" spans="1:14" ht="15.75" customHeight="1">
      <c r="A124" s="53"/>
      <c r="B124" s="30"/>
      <c r="C124" s="30"/>
      <c r="D124" s="88"/>
      <c r="E124" s="44"/>
      <c r="F124" s="44"/>
      <c r="G124" s="44"/>
      <c r="H124" s="44"/>
      <c r="I124" s="89"/>
      <c r="J124" s="44"/>
      <c r="K124" s="44"/>
      <c r="L124" s="44"/>
      <c r="M124" s="44"/>
      <c r="N124" s="50"/>
    </row>
    <row r="125" spans="1:14" ht="15.75" customHeight="1">
      <c r="A125" s="53"/>
      <c r="B125" s="30"/>
      <c r="C125" s="30"/>
      <c r="D125" s="88"/>
      <c r="E125" s="44"/>
      <c r="F125" s="44"/>
      <c r="G125" s="44"/>
      <c r="H125" s="44"/>
      <c r="I125" s="89"/>
      <c r="J125" s="44"/>
      <c r="K125" s="44"/>
      <c r="L125" s="44"/>
      <c r="M125" s="44"/>
      <c r="N125" s="50"/>
    </row>
    <row r="126" spans="1:14" ht="15.75" customHeight="1">
      <c r="A126" s="53"/>
      <c r="B126" s="30"/>
      <c r="C126" s="30"/>
      <c r="D126" s="88"/>
      <c r="E126" s="44"/>
      <c r="F126" s="44"/>
      <c r="G126" s="44"/>
      <c r="H126" s="44"/>
      <c r="I126" s="89"/>
      <c r="J126" s="44"/>
      <c r="K126" s="44"/>
      <c r="L126" s="44"/>
      <c r="M126" s="44"/>
      <c r="N126" s="50"/>
    </row>
    <row r="127" spans="1:14" ht="15.75" customHeight="1">
      <c r="A127" s="53"/>
      <c r="B127" s="30"/>
      <c r="C127" s="30"/>
      <c r="D127" s="88"/>
      <c r="E127" s="44"/>
      <c r="F127" s="44"/>
      <c r="G127" s="44"/>
      <c r="H127" s="44"/>
      <c r="I127" s="89"/>
      <c r="J127" s="44"/>
      <c r="K127" s="44"/>
      <c r="L127" s="44"/>
      <c r="M127" s="44"/>
      <c r="N127" s="50"/>
    </row>
    <row r="128" spans="1:14" ht="15.75" customHeight="1">
      <c r="A128" s="53"/>
      <c r="B128" s="30"/>
      <c r="C128" s="30"/>
      <c r="D128" s="88"/>
      <c r="E128" s="44"/>
      <c r="F128" s="44"/>
      <c r="G128" s="44"/>
      <c r="H128" s="44"/>
      <c r="I128" s="89"/>
      <c r="J128" s="44"/>
      <c r="K128" s="44"/>
      <c r="L128" s="44"/>
      <c r="M128" s="44"/>
      <c r="N128" s="50"/>
    </row>
    <row r="129" spans="1:14" ht="15.75" customHeight="1">
      <c r="A129" s="53"/>
      <c r="B129" s="30"/>
      <c r="C129" s="30"/>
      <c r="D129" s="88"/>
      <c r="E129" s="44"/>
      <c r="F129" s="44"/>
      <c r="G129" s="44"/>
      <c r="H129" s="44"/>
      <c r="I129" s="89"/>
      <c r="J129" s="44"/>
      <c r="K129" s="44"/>
      <c r="L129" s="44"/>
      <c r="M129" s="44"/>
      <c r="N129" s="50"/>
    </row>
    <row r="130" spans="1:14" ht="15.75" customHeight="1">
      <c r="A130" s="53"/>
      <c r="B130" s="30"/>
      <c r="C130" s="30"/>
      <c r="D130" s="88"/>
      <c r="E130" s="44"/>
      <c r="F130" s="44"/>
      <c r="G130" s="44"/>
      <c r="H130" s="44"/>
      <c r="I130" s="89"/>
      <c r="J130" s="44"/>
      <c r="K130" s="44"/>
      <c r="L130" s="44"/>
      <c r="M130" s="44"/>
      <c r="N130" s="50"/>
    </row>
    <row r="131" spans="1:14" ht="15.75" customHeight="1">
      <c r="A131" s="53"/>
      <c r="B131" s="30"/>
      <c r="C131" s="30"/>
      <c r="D131" s="88"/>
      <c r="E131" s="44"/>
      <c r="F131" s="44"/>
      <c r="G131" s="44"/>
      <c r="H131" s="44"/>
      <c r="I131" s="89"/>
      <c r="J131" s="44"/>
      <c r="K131" s="44"/>
      <c r="L131" s="44"/>
      <c r="M131" s="44"/>
      <c r="N131" s="50"/>
    </row>
    <row r="132" spans="1:14" ht="15.75" customHeight="1">
      <c r="A132" s="53"/>
      <c r="B132" s="30"/>
      <c r="C132" s="30"/>
      <c r="D132" s="88"/>
      <c r="E132" s="44"/>
      <c r="F132" s="44"/>
      <c r="G132" s="44"/>
      <c r="H132" s="44"/>
      <c r="I132" s="89"/>
      <c r="J132" s="44"/>
      <c r="K132" s="44"/>
      <c r="L132" s="44"/>
      <c r="M132" s="44"/>
      <c r="N132" s="50"/>
    </row>
    <row r="133" spans="1:14" ht="15.75" customHeight="1">
      <c r="A133" s="53"/>
      <c r="B133" s="30"/>
      <c r="C133" s="30"/>
      <c r="D133" s="88"/>
      <c r="E133" s="44"/>
      <c r="F133" s="44"/>
      <c r="G133" s="44"/>
      <c r="H133" s="44"/>
      <c r="I133" s="89"/>
      <c r="J133" s="44"/>
      <c r="K133" s="44"/>
      <c r="L133" s="44"/>
      <c r="M133" s="44"/>
      <c r="N133" s="50"/>
    </row>
    <row r="134" spans="1:14" ht="15.75" customHeight="1">
      <c r="A134" s="53"/>
      <c r="B134" s="30"/>
      <c r="C134" s="30"/>
      <c r="D134" s="88"/>
      <c r="E134" s="44"/>
      <c r="F134" s="44"/>
      <c r="G134" s="44"/>
      <c r="H134" s="44"/>
      <c r="I134" s="89"/>
      <c r="J134" s="44"/>
      <c r="K134" s="44"/>
      <c r="L134" s="44"/>
      <c r="M134" s="44"/>
      <c r="N134" s="50"/>
    </row>
    <row r="135" spans="1:14" ht="15.75" customHeight="1">
      <c r="A135" s="53"/>
      <c r="B135" s="30"/>
      <c r="C135" s="30"/>
      <c r="D135" s="88"/>
      <c r="E135" s="44"/>
      <c r="F135" s="44"/>
      <c r="G135" s="44"/>
      <c r="H135" s="44"/>
      <c r="I135" s="89"/>
      <c r="J135" s="44"/>
      <c r="K135" s="44"/>
      <c r="L135" s="44"/>
      <c r="M135" s="44"/>
      <c r="N135" s="50"/>
    </row>
    <row r="136" spans="1:14" ht="15.75" customHeight="1">
      <c r="A136" s="53"/>
      <c r="B136" s="30"/>
      <c r="C136" s="30"/>
      <c r="D136" s="88"/>
      <c r="E136" s="44"/>
      <c r="F136" s="44"/>
      <c r="G136" s="44"/>
      <c r="H136" s="44"/>
      <c r="I136" s="89"/>
      <c r="J136" s="44"/>
      <c r="K136" s="44"/>
      <c r="L136" s="44"/>
      <c r="M136" s="44"/>
      <c r="N136" s="50"/>
    </row>
    <row r="137" spans="1:14" ht="15.75" customHeight="1">
      <c r="A137" s="53"/>
      <c r="B137" s="30"/>
      <c r="C137" s="30"/>
      <c r="D137" s="88"/>
      <c r="E137" s="44"/>
      <c r="F137" s="44"/>
      <c r="G137" s="44"/>
      <c r="H137" s="44"/>
      <c r="I137" s="89"/>
      <c r="J137" s="44"/>
      <c r="K137" s="44"/>
      <c r="L137" s="44"/>
      <c r="M137" s="44"/>
      <c r="N137" s="50"/>
    </row>
    <row r="138" spans="1:14" ht="15.75" customHeight="1">
      <c r="A138" s="53"/>
      <c r="B138" s="30"/>
      <c r="C138" s="30"/>
      <c r="D138" s="88"/>
      <c r="E138" s="44"/>
      <c r="F138" s="44"/>
      <c r="G138" s="44"/>
      <c r="H138" s="44"/>
      <c r="I138" s="89"/>
      <c r="J138" s="44"/>
      <c r="K138" s="44"/>
      <c r="L138" s="44"/>
      <c r="M138" s="44"/>
      <c r="N138" s="50"/>
    </row>
    <row r="139" spans="1:14" ht="15.75" customHeight="1">
      <c r="A139" s="53"/>
      <c r="B139" s="30"/>
      <c r="C139" s="30"/>
      <c r="D139" s="88"/>
      <c r="E139" s="44"/>
      <c r="F139" s="44"/>
      <c r="G139" s="44"/>
      <c r="H139" s="44"/>
      <c r="I139" s="89"/>
      <c r="J139" s="44"/>
      <c r="K139" s="44"/>
      <c r="L139" s="44"/>
      <c r="M139" s="44"/>
      <c r="N139" s="50"/>
    </row>
    <row r="140" spans="1:14" ht="15.75" customHeight="1">
      <c r="A140" s="53"/>
      <c r="B140" s="30"/>
      <c r="C140" s="30"/>
      <c r="D140" s="88"/>
      <c r="E140" s="44"/>
      <c r="F140" s="44"/>
      <c r="G140" s="44"/>
      <c r="H140" s="44"/>
      <c r="I140" s="89"/>
      <c r="J140" s="44"/>
      <c r="K140" s="44"/>
      <c r="L140" s="44"/>
      <c r="M140" s="44"/>
      <c r="N140" s="50"/>
    </row>
    <row r="141" spans="1:14" ht="15.75" customHeight="1">
      <c r="A141" s="53"/>
      <c r="B141" s="30"/>
      <c r="C141" s="30"/>
      <c r="D141" s="88"/>
      <c r="E141" s="44"/>
      <c r="F141" s="44"/>
      <c r="G141" s="44"/>
      <c r="H141" s="44"/>
      <c r="I141" s="89"/>
      <c r="J141" s="44"/>
      <c r="K141" s="44"/>
      <c r="L141" s="44"/>
      <c r="M141" s="44"/>
      <c r="N141" s="50"/>
    </row>
    <row r="142" spans="1:14" ht="15.75" customHeight="1">
      <c r="A142" s="53"/>
      <c r="B142" s="30"/>
      <c r="C142" s="30"/>
      <c r="D142" s="88"/>
      <c r="E142" s="44"/>
      <c r="F142" s="44"/>
      <c r="G142" s="44"/>
      <c r="H142" s="44"/>
      <c r="I142" s="89"/>
      <c r="J142" s="44"/>
      <c r="K142" s="44"/>
      <c r="L142" s="44"/>
      <c r="M142" s="44"/>
      <c r="N142" s="50"/>
    </row>
    <row r="143" spans="1:14" ht="15.75" customHeight="1">
      <c r="A143" s="53"/>
      <c r="B143" s="30"/>
      <c r="C143" s="30"/>
      <c r="D143" s="88"/>
      <c r="E143" s="44"/>
      <c r="F143" s="44"/>
      <c r="G143" s="44"/>
      <c r="H143" s="44"/>
      <c r="I143" s="89"/>
      <c r="J143" s="44"/>
      <c r="K143" s="44"/>
      <c r="L143" s="44"/>
      <c r="M143" s="44"/>
      <c r="N143" s="50"/>
    </row>
    <row r="144" spans="1:14" ht="15.75" customHeight="1">
      <c r="A144" s="53"/>
      <c r="B144" s="30"/>
      <c r="C144" s="30"/>
      <c r="D144" s="88"/>
      <c r="E144" s="44"/>
      <c r="F144" s="44"/>
      <c r="G144" s="44"/>
      <c r="H144" s="44"/>
      <c r="I144" s="89"/>
      <c r="J144" s="44"/>
      <c r="K144" s="44"/>
      <c r="L144" s="44"/>
      <c r="M144" s="44"/>
      <c r="N144" s="50"/>
    </row>
    <row r="145" spans="1:14" ht="15.75" customHeight="1">
      <c r="A145" s="53"/>
      <c r="B145" s="30"/>
      <c r="C145" s="30"/>
      <c r="D145" s="88"/>
      <c r="E145" s="44"/>
      <c r="F145" s="44"/>
      <c r="G145" s="44"/>
      <c r="H145" s="44"/>
      <c r="I145" s="89"/>
      <c r="J145" s="44"/>
      <c r="K145" s="44"/>
      <c r="L145" s="44"/>
      <c r="M145" s="44"/>
      <c r="N145" s="50"/>
    </row>
    <row r="146" spans="1:14" ht="15.75" customHeight="1">
      <c r="A146" s="53"/>
      <c r="B146" s="30"/>
      <c r="C146" s="30"/>
      <c r="D146" s="88"/>
      <c r="E146" s="44"/>
      <c r="F146" s="44"/>
      <c r="G146" s="44"/>
      <c r="H146" s="44"/>
      <c r="I146" s="89"/>
      <c r="J146" s="44"/>
      <c r="K146" s="44"/>
      <c r="L146" s="44"/>
      <c r="M146" s="44"/>
      <c r="N146" s="50"/>
    </row>
    <row r="147" spans="1:14" ht="15.75" customHeight="1">
      <c r="A147" s="53"/>
      <c r="B147" s="30"/>
      <c r="C147" s="30"/>
      <c r="D147" s="88"/>
      <c r="E147" s="44"/>
      <c r="F147" s="44"/>
      <c r="G147" s="44"/>
      <c r="H147" s="44"/>
      <c r="I147" s="89"/>
      <c r="J147" s="44"/>
      <c r="K147" s="44"/>
      <c r="L147" s="44"/>
      <c r="M147" s="44"/>
      <c r="N147" s="50"/>
    </row>
    <row r="148" spans="1:14" ht="15.75" customHeight="1">
      <c r="A148" s="53"/>
      <c r="B148" s="30"/>
      <c r="C148" s="30"/>
      <c r="D148" s="88"/>
      <c r="E148" s="44"/>
      <c r="F148" s="44"/>
      <c r="G148" s="44"/>
      <c r="H148" s="44"/>
      <c r="I148" s="89"/>
      <c r="J148" s="44"/>
      <c r="K148" s="44"/>
      <c r="L148" s="44"/>
      <c r="M148" s="44"/>
      <c r="N148" s="50"/>
    </row>
    <row r="149" spans="1:14" ht="15.75" customHeight="1">
      <c r="A149" s="53"/>
      <c r="B149" s="30"/>
      <c r="C149" s="30"/>
      <c r="D149" s="88"/>
      <c r="E149" s="44"/>
      <c r="F149" s="44"/>
      <c r="G149" s="44"/>
      <c r="H149" s="44"/>
      <c r="I149" s="89"/>
      <c r="J149" s="44"/>
      <c r="K149" s="44"/>
      <c r="L149" s="44"/>
      <c r="M149" s="44"/>
      <c r="N149" s="50"/>
    </row>
    <row r="150" spans="1:14" ht="15.75" customHeight="1">
      <c r="A150" s="53"/>
      <c r="B150" s="30"/>
      <c r="C150" s="30"/>
      <c r="D150" s="88"/>
      <c r="E150" s="44"/>
      <c r="F150" s="44"/>
      <c r="G150" s="44"/>
      <c r="H150" s="44"/>
      <c r="I150" s="89"/>
      <c r="J150" s="44"/>
      <c r="K150" s="44"/>
      <c r="L150" s="44"/>
      <c r="M150" s="44"/>
      <c r="N150" s="50"/>
    </row>
    <row r="151" spans="1:14" ht="15.75" customHeight="1">
      <c r="A151" s="53"/>
      <c r="B151" s="30"/>
      <c r="C151" s="30"/>
      <c r="D151" s="88"/>
      <c r="E151" s="44"/>
      <c r="F151" s="44"/>
      <c r="G151" s="44"/>
      <c r="H151" s="44"/>
      <c r="I151" s="89"/>
      <c r="J151" s="44"/>
      <c r="K151" s="44"/>
      <c r="L151" s="44"/>
      <c r="M151" s="44"/>
      <c r="N151" s="50"/>
    </row>
    <row r="152" spans="1:14" ht="15.75" customHeight="1">
      <c r="A152" s="53"/>
      <c r="B152" s="30"/>
      <c r="C152" s="30"/>
      <c r="D152" s="88"/>
      <c r="E152" s="44"/>
      <c r="F152" s="44"/>
      <c r="G152" s="44"/>
      <c r="H152" s="44"/>
      <c r="I152" s="89"/>
      <c r="J152" s="44"/>
      <c r="K152" s="44"/>
      <c r="L152" s="44"/>
      <c r="M152" s="44"/>
      <c r="N152" s="50"/>
    </row>
    <row r="153" spans="1:14" ht="15.75" customHeight="1">
      <c r="A153" s="53"/>
      <c r="B153" s="30"/>
      <c r="C153" s="30"/>
      <c r="D153" s="88"/>
      <c r="E153" s="44"/>
      <c r="F153" s="44"/>
      <c r="G153" s="44"/>
      <c r="H153" s="44"/>
      <c r="I153" s="89"/>
      <c r="J153" s="44"/>
      <c r="K153" s="44"/>
      <c r="L153" s="44"/>
      <c r="M153" s="44"/>
      <c r="N153" s="50"/>
    </row>
    <row r="154" spans="1:14" ht="15.75" customHeight="1">
      <c r="A154" s="53"/>
      <c r="B154" s="30"/>
      <c r="C154" s="30"/>
      <c r="D154" s="88"/>
      <c r="E154" s="44"/>
      <c r="F154" s="44"/>
      <c r="G154" s="44"/>
      <c r="H154" s="44"/>
      <c r="I154" s="89"/>
      <c r="J154" s="44"/>
      <c r="K154" s="44"/>
      <c r="L154" s="44"/>
      <c r="M154" s="44"/>
      <c r="N154" s="50"/>
    </row>
    <row r="155" spans="1:14" ht="15.75" customHeight="1">
      <c r="A155" s="53"/>
      <c r="B155" s="30"/>
      <c r="C155" s="30"/>
      <c r="D155" s="88"/>
      <c r="E155" s="44"/>
      <c r="F155" s="44"/>
      <c r="G155" s="44"/>
      <c r="H155" s="44"/>
      <c r="I155" s="89"/>
      <c r="J155" s="44"/>
      <c r="K155" s="44"/>
      <c r="L155" s="44"/>
      <c r="M155" s="44"/>
      <c r="N155" s="50"/>
    </row>
    <row r="156" spans="1:14" ht="15.75" customHeight="1">
      <c r="A156" s="53"/>
      <c r="B156" s="30"/>
      <c r="C156" s="30"/>
      <c r="D156" s="88"/>
      <c r="E156" s="44"/>
      <c r="F156" s="44"/>
      <c r="G156" s="44"/>
      <c r="H156" s="44"/>
      <c r="I156" s="89"/>
      <c r="J156" s="44"/>
      <c r="K156" s="44"/>
      <c r="L156" s="44"/>
      <c r="M156" s="44"/>
      <c r="N156" s="50"/>
    </row>
    <row r="157" spans="1:14" ht="15.75" customHeight="1">
      <c r="A157" s="53"/>
      <c r="B157" s="30"/>
      <c r="C157" s="30"/>
      <c r="D157" s="88"/>
      <c r="E157" s="44"/>
      <c r="F157" s="44"/>
      <c r="G157" s="44"/>
      <c r="H157" s="44"/>
      <c r="I157" s="89"/>
      <c r="J157" s="44"/>
      <c r="K157" s="44"/>
      <c r="L157" s="44"/>
      <c r="M157" s="44"/>
      <c r="N157" s="50"/>
    </row>
    <row r="158" spans="1:14" ht="15.75" customHeight="1">
      <c r="A158" s="53"/>
      <c r="B158" s="30"/>
      <c r="C158" s="30"/>
      <c r="D158" s="88"/>
      <c r="E158" s="44"/>
      <c r="F158" s="44"/>
      <c r="G158" s="44"/>
      <c r="H158" s="44"/>
      <c r="I158" s="89"/>
      <c r="J158" s="44"/>
      <c r="K158" s="44"/>
      <c r="L158" s="44"/>
      <c r="M158" s="44"/>
      <c r="N158" s="50"/>
    </row>
    <row r="159" spans="1:14" ht="15.75" customHeight="1">
      <c r="A159" s="53"/>
      <c r="B159" s="30"/>
      <c r="C159" s="30"/>
      <c r="D159" s="88"/>
      <c r="E159" s="44"/>
      <c r="F159" s="44"/>
      <c r="G159" s="44"/>
      <c r="H159" s="44"/>
      <c r="I159" s="89"/>
      <c r="J159" s="44"/>
      <c r="K159" s="44"/>
      <c r="L159" s="44"/>
      <c r="M159" s="44"/>
      <c r="N159" s="50"/>
    </row>
    <row r="160" spans="1:14" ht="15.75" customHeight="1">
      <c r="A160" s="53"/>
      <c r="B160" s="30"/>
      <c r="C160" s="30"/>
      <c r="D160" s="88"/>
      <c r="E160" s="44"/>
      <c r="F160" s="44"/>
      <c r="G160" s="44"/>
      <c r="H160" s="44"/>
      <c r="I160" s="89"/>
      <c r="J160" s="44"/>
      <c r="K160" s="44"/>
      <c r="L160" s="44"/>
      <c r="M160" s="44"/>
      <c r="N160" s="50"/>
    </row>
    <row r="161" spans="1:14" ht="15.75" customHeight="1">
      <c r="A161" s="53"/>
      <c r="B161" s="30"/>
      <c r="C161" s="30"/>
      <c r="D161" s="88"/>
      <c r="E161" s="44"/>
      <c r="F161" s="44"/>
      <c r="G161" s="44"/>
      <c r="H161" s="44"/>
      <c r="I161" s="89"/>
      <c r="J161" s="44"/>
      <c r="K161" s="44"/>
      <c r="L161" s="44"/>
      <c r="M161" s="44"/>
      <c r="N161" s="50"/>
    </row>
    <row r="162" spans="1:14" ht="15.75" customHeight="1">
      <c r="A162" s="53"/>
      <c r="B162" s="30"/>
      <c r="C162" s="30"/>
      <c r="D162" s="88"/>
      <c r="E162" s="44"/>
      <c r="F162" s="44"/>
      <c r="G162" s="44"/>
      <c r="H162" s="44"/>
      <c r="I162" s="89"/>
      <c r="J162" s="44"/>
      <c r="K162" s="44"/>
      <c r="L162" s="44"/>
      <c r="M162" s="44"/>
      <c r="N162" s="50"/>
    </row>
    <row r="163" spans="1:14" ht="15.75" customHeight="1">
      <c r="A163" s="53"/>
      <c r="B163" s="30"/>
      <c r="C163" s="30"/>
      <c r="D163" s="88"/>
      <c r="E163" s="44"/>
      <c r="F163" s="44"/>
      <c r="G163" s="44"/>
      <c r="H163" s="44"/>
      <c r="I163" s="89"/>
      <c r="J163" s="44"/>
      <c r="K163" s="44"/>
      <c r="L163" s="44"/>
      <c r="M163" s="44"/>
      <c r="N163" s="50"/>
    </row>
    <row r="164" spans="1:14" ht="15.75" customHeight="1">
      <c r="A164" s="53"/>
      <c r="B164" s="30"/>
      <c r="C164" s="30"/>
      <c r="D164" s="88"/>
      <c r="E164" s="44"/>
      <c r="F164" s="44"/>
      <c r="G164" s="44"/>
      <c r="H164" s="44"/>
      <c r="I164" s="89"/>
      <c r="J164" s="44"/>
      <c r="K164" s="44"/>
      <c r="L164" s="44"/>
      <c r="M164" s="44"/>
      <c r="N164" s="50"/>
    </row>
    <row r="165" spans="1:14" ht="15.75" customHeight="1">
      <c r="A165" s="53"/>
      <c r="B165" s="30"/>
      <c r="C165" s="30"/>
      <c r="D165" s="88"/>
      <c r="E165" s="44"/>
      <c r="F165" s="44"/>
      <c r="G165" s="44"/>
      <c r="H165" s="44"/>
      <c r="I165" s="89"/>
      <c r="J165" s="44"/>
      <c r="K165" s="44"/>
      <c r="L165" s="44"/>
      <c r="M165" s="44"/>
      <c r="N165" s="50"/>
    </row>
    <row r="166" spans="1:14" ht="15.75" customHeight="1">
      <c r="A166" s="53"/>
      <c r="B166" s="30"/>
      <c r="C166" s="30"/>
      <c r="D166" s="88"/>
      <c r="E166" s="44"/>
      <c r="F166" s="44"/>
      <c r="G166" s="44"/>
      <c r="H166" s="44"/>
      <c r="I166" s="89"/>
      <c r="J166" s="44"/>
      <c r="K166" s="44"/>
      <c r="L166" s="44"/>
      <c r="M166" s="44"/>
      <c r="N166" s="50"/>
    </row>
    <row r="167" spans="1:14" ht="15.75" customHeight="1">
      <c r="A167" s="53"/>
      <c r="B167" s="30"/>
      <c r="C167" s="30"/>
      <c r="D167" s="88"/>
      <c r="E167" s="44"/>
      <c r="F167" s="44"/>
      <c r="G167" s="44"/>
      <c r="H167" s="44"/>
      <c r="I167" s="89"/>
      <c r="J167" s="44"/>
      <c r="K167" s="44"/>
      <c r="L167" s="44"/>
      <c r="M167" s="44"/>
      <c r="N167" s="50"/>
    </row>
    <row r="168" spans="1:14" ht="15.75" customHeight="1">
      <c r="A168" s="53"/>
      <c r="B168" s="30"/>
      <c r="C168" s="30"/>
      <c r="D168" s="88"/>
      <c r="E168" s="44"/>
      <c r="F168" s="44"/>
      <c r="G168" s="44"/>
      <c r="H168" s="44"/>
      <c r="I168" s="89"/>
      <c r="J168" s="44"/>
      <c r="K168" s="44"/>
      <c r="L168" s="44"/>
      <c r="M168" s="44"/>
      <c r="N168" s="50"/>
    </row>
    <row r="169" spans="1:14" ht="15.75" customHeight="1">
      <c r="A169" s="53"/>
      <c r="B169" s="30"/>
      <c r="C169" s="30"/>
      <c r="D169" s="88"/>
      <c r="E169" s="44"/>
      <c r="F169" s="44"/>
      <c r="G169" s="44"/>
      <c r="H169" s="44"/>
      <c r="I169" s="89"/>
      <c r="J169" s="44"/>
      <c r="K169" s="44"/>
      <c r="L169" s="44"/>
      <c r="M169" s="44"/>
      <c r="N169" s="50"/>
    </row>
    <row r="170" spans="1:14" ht="15.75" customHeight="1">
      <c r="A170" s="53"/>
      <c r="B170" s="30"/>
      <c r="C170" s="30"/>
      <c r="D170" s="88"/>
      <c r="E170" s="44"/>
      <c r="F170" s="44"/>
      <c r="G170" s="44"/>
      <c r="H170" s="44"/>
      <c r="I170" s="89"/>
      <c r="J170" s="44"/>
      <c r="K170" s="44"/>
      <c r="L170" s="44"/>
      <c r="M170" s="44"/>
      <c r="N170" s="50"/>
    </row>
    <row r="171" spans="1:14" ht="15.75" customHeight="1">
      <c r="A171" s="53"/>
      <c r="B171" s="30"/>
      <c r="C171" s="30"/>
      <c r="D171" s="88"/>
      <c r="E171" s="44"/>
      <c r="F171" s="44"/>
      <c r="G171" s="44"/>
      <c r="H171" s="44"/>
      <c r="I171" s="89"/>
      <c r="J171" s="44"/>
      <c r="K171" s="44"/>
      <c r="L171" s="44"/>
      <c r="M171" s="44"/>
      <c r="N171" s="50"/>
    </row>
    <row r="172" spans="1:14" ht="15.75" customHeight="1">
      <c r="A172" s="53"/>
      <c r="B172" s="30"/>
      <c r="C172" s="30"/>
      <c r="D172" s="88"/>
      <c r="E172" s="44"/>
      <c r="F172" s="44"/>
      <c r="G172" s="44"/>
      <c r="H172" s="44"/>
      <c r="I172" s="89"/>
      <c r="J172" s="44"/>
      <c r="K172" s="44"/>
      <c r="L172" s="44"/>
      <c r="M172" s="44"/>
      <c r="N172" s="50"/>
    </row>
    <row r="173" spans="1:14" ht="15.75" customHeight="1">
      <c r="A173" s="53"/>
      <c r="B173" s="30"/>
      <c r="C173" s="30"/>
      <c r="D173" s="88"/>
      <c r="E173" s="44"/>
      <c r="F173" s="44"/>
      <c r="G173" s="44"/>
      <c r="H173" s="44"/>
      <c r="I173" s="89"/>
      <c r="J173" s="44"/>
      <c r="K173" s="44"/>
      <c r="L173" s="44"/>
      <c r="M173" s="44"/>
      <c r="N173" s="50"/>
    </row>
    <row r="174" spans="1:14" ht="15.75" customHeight="1">
      <c r="A174" s="53"/>
      <c r="B174" s="30"/>
      <c r="C174" s="30"/>
      <c r="D174" s="88"/>
      <c r="E174" s="44"/>
      <c r="F174" s="44"/>
      <c r="G174" s="44"/>
      <c r="H174" s="44"/>
      <c r="I174" s="89"/>
      <c r="J174" s="44"/>
      <c r="K174" s="44"/>
      <c r="L174" s="44"/>
      <c r="M174" s="44"/>
      <c r="N174" s="50"/>
    </row>
    <row r="175" spans="1:14" ht="15.75" customHeight="1">
      <c r="A175" s="53"/>
      <c r="B175" s="30"/>
      <c r="C175" s="30"/>
      <c r="D175" s="88"/>
      <c r="E175" s="44"/>
      <c r="F175" s="44"/>
      <c r="G175" s="44"/>
      <c r="H175" s="44"/>
      <c r="I175" s="89"/>
      <c r="J175" s="44"/>
      <c r="K175" s="44"/>
      <c r="L175" s="44"/>
      <c r="M175" s="44"/>
      <c r="N175" s="50"/>
    </row>
    <row r="176" spans="1:14" ht="15.75" customHeight="1">
      <c r="A176" s="53"/>
      <c r="B176" s="30"/>
      <c r="C176" s="30"/>
      <c r="D176" s="88"/>
      <c r="E176" s="44"/>
      <c r="F176" s="44"/>
      <c r="G176" s="44"/>
      <c r="H176" s="44"/>
      <c r="I176" s="89"/>
      <c r="J176" s="44"/>
      <c r="K176" s="44"/>
      <c r="L176" s="44"/>
      <c r="M176" s="44"/>
      <c r="N176" s="50"/>
    </row>
    <row r="177" spans="1:14" ht="15.75" customHeight="1">
      <c r="A177" s="53"/>
      <c r="B177" s="30"/>
      <c r="C177" s="30"/>
      <c r="D177" s="88"/>
      <c r="E177" s="44"/>
      <c r="F177" s="44"/>
      <c r="G177" s="44"/>
      <c r="H177" s="44"/>
      <c r="I177" s="89"/>
      <c r="J177" s="44"/>
      <c r="K177" s="44"/>
      <c r="L177" s="44"/>
      <c r="M177" s="44"/>
      <c r="N177" s="50"/>
    </row>
    <row r="178" spans="1:14" ht="15.75" customHeight="1">
      <c r="A178" s="53"/>
      <c r="B178" s="30"/>
      <c r="C178" s="30"/>
      <c r="D178" s="88"/>
      <c r="E178" s="44"/>
      <c r="F178" s="44"/>
      <c r="G178" s="44"/>
      <c r="H178" s="44"/>
      <c r="I178" s="89"/>
      <c r="J178" s="44"/>
      <c r="K178" s="44"/>
      <c r="L178" s="44"/>
      <c r="M178" s="44"/>
      <c r="N178" s="50"/>
    </row>
    <row r="179" spans="1:14" ht="15.75" customHeight="1">
      <c r="A179" s="53"/>
      <c r="B179" s="30"/>
      <c r="C179" s="30"/>
      <c r="D179" s="88"/>
      <c r="E179" s="44"/>
      <c r="F179" s="44"/>
      <c r="G179" s="44"/>
      <c r="H179" s="44"/>
      <c r="I179" s="89"/>
      <c r="J179" s="44"/>
      <c r="K179" s="44"/>
      <c r="L179" s="44"/>
      <c r="M179" s="44"/>
      <c r="N179" s="50"/>
    </row>
    <row r="180" spans="1:14" ht="15.75" customHeight="1">
      <c r="A180" s="53"/>
      <c r="B180" s="30"/>
      <c r="C180" s="30"/>
      <c r="D180" s="88"/>
      <c r="E180" s="44"/>
      <c r="F180" s="44"/>
      <c r="G180" s="44"/>
      <c r="H180" s="44"/>
      <c r="I180" s="89"/>
      <c r="J180" s="44"/>
      <c r="K180" s="44"/>
      <c r="L180" s="44"/>
      <c r="M180" s="44"/>
      <c r="N180" s="50"/>
    </row>
    <row r="181" spans="1:14" ht="15.75" customHeight="1">
      <c r="A181" s="53"/>
      <c r="B181" s="30"/>
      <c r="C181" s="30"/>
      <c r="D181" s="88"/>
      <c r="E181" s="44"/>
      <c r="F181" s="44"/>
      <c r="G181" s="44"/>
      <c r="H181" s="44"/>
      <c r="I181" s="89"/>
      <c r="J181" s="44"/>
      <c r="K181" s="44"/>
      <c r="L181" s="44"/>
      <c r="M181" s="44"/>
      <c r="N181" s="50"/>
    </row>
    <row r="182" spans="1:14" ht="15.75" customHeight="1">
      <c r="A182" s="53"/>
      <c r="B182" s="30"/>
      <c r="C182" s="30"/>
      <c r="D182" s="88"/>
      <c r="E182" s="44"/>
      <c r="F182" s="44"/>
      <c r="G182" s="44"/>
      <c r="H182" s="44"/>
      <c r="I182" s="89"/>
      <c r="J182" s="44"/>
      <c r="K182" s="44"/>
      <c r="L182" s="44"/>
      <c r="M182" s="44"/>
      <c r="N182" s="50"/>
    </row>
    <row r="183" spans="1:14" ht="15.75" customHeight="1">
      <c r="A183" s="53"/>
      <c r="B183" s="30"/>
      <c r="C183" s="30"/>
      <c r="D183" s="88"/>
      <c r="E183" s="44"/>
      <c r="F183" s="44"/>
      <c r="G183" s="44"/>
      <c r="H183" s="44"/>
      <c r="I183" s="89"/>
      <c r="J183" s="44"/>
      <c r="K183" s="44"/>
      <c r="L183" s="44"/>
      <c r="M183" s="44"/>
      <c r="N183" s="50"/>
    </row>
    <row r="184" spans="1:14" ht="15.75" customHeight="1">
      <c r="A184" s="53"/>
      <c r="B184" s="30"/>
      <c r="C184" s="30"/>
      <c r="D184" s="88"/>
      <c r="E184" s="44"/>
      <c r="F184" s="44"/>
      <c r="G184" s="44"/>
      <c r="H184" s="44"/>
      <c r="I184" s="89"/>
      <c r="J184" s="44"/>
      <c r="K184" s="44"/>
      <c r="L184" s="44"/>
      <c r="M184" s="44"/>
      <c r="N184" s="50"/>
    </row>
    <row r="185" spans="1:14" ht="15.75" customHeight="1">
      <c r="A185" s="53"/>
      <c r="B185" s="30"/>
      <c r="C185" s="30"/>
      <c r="D185" s="88"/>
      <c r="E185" s="44"/>
      <c r="F185" s="44"/>
      <c r="G185" s="44"/>
      <c r="H185" s="44"/>
      <c r="I185" s="89"/>
      <c r="J185" s="44"/>
      <c r="K185" s="44"/>
      <c r="L185" s="44"/>
      <c r="M185" s="44"/>
      <c r="N185" s="50"/>
    </row>
    <row r="186" spans="1:14" ht="15.75" customHeight="1">
      <c r="A186" s="53"/>
      <c r="B186" s="30"/>
      <c r="C186" s="30"/>
      <c r="D186" s="88"/>
      <c r="E186" s="44"/>
      <c r="F186" s="44"/>
      <c r="G186" s="44"/>
      <c r="H186" s="44"/>
      <c r="I186" s="89"/>
      <c r="J186" s="44"/>
      <c r="K186" s="44"/>
      <c r="L186" s="44"/>
      <c r="M186" s="44"/>
      <c r="N186" s="50"/>
    </row>
    <row r="187" spans="1:14" ht="15.75" customHeight="1">
      <c r="A187" s="53"/>
      <c r="B187" s="30"/>
      <c r="C187" s="30"/>
      <c r="D187" s="88"/>
      <c r="E187" s="44"/>
      <c r="F187" s="44"/>
      <c r="G187" s="44"/>
      <c r="H187" s="44"/>
      <c r="I187" s="89"/>
      <c r="J187" s="44"/>
      <c r="K187" s="44"/>
      <c r="L187" s="44"/>
      <c r="M187" s="44"/>
      <c r="N187" s="50"/>
    </row>
    <row r="188" spans="1:14" ht="15.75" customHeight="1">
      <c r="A188" s="53"/>
      <c r="B188" s="30"/>
      <c r="C188" s="30"/>
      <c r="D188" s="88"/>
      <c r="E188" s="44"/>
      <c r="F188" s="44"/>
      <c r="G188" s="44"/>
      <c r="H188" s="44"/>
      <c r="I188" s="89"/>
      <c r="J188" s="44"/>
      <c r="K188" s="44"/>
      <c r="L188" s="44"/>
      <c r="M188" s="44"/>
      <c r="N188" s="50"/>
    </row>
    <row r="189" spans="1:14" ht="15.75" customHeight="1">
      <c r="A189" s="53"/>
      <c r="B189" s="30"/>
      <c r="C189" s="30"/>
      <c r="D189" s="88"/>
      <c r="E189" s="44"/>
      <c r="F189" s="44"/>
      <c r="G189" s="44"/>
      <c r="H189" s="44"/>
      <c r="I189" s="89"/>
      <c r="J189" s="44"/>
      <c r="K189" s="44"/>
      <c r="L189" s="44"/>
      <c r="M189" s="44"/>
      <c r="N189" s="50"/>
    </row>
    <row r="190" spans="1:14" ht="15.75" customHeight="1">
      <c r="A190" s="53"/>
      <c r="B190" s="30"/>
      <c r="C190" s="30"/>
      <c r="D190" s="88"/>
      <c r="E190" s="44"/>
      <c r="F190" s="44"/>
      <c r="G190" s="44"/>
      <c r="H190" s="44"/>
      <c r="I190" s="89"/>
      <c r="J190" s="44"/>
      <c r="K190" s="44"/>
      <c r="L190" s="44"/>
      <c r="M190" s="44"/>
      <c r="N190" s="50"/>
    </row>
    <row r="191" spans="1:14" ht="15.75" customHeight="1">
      <c r="A191" s="53"/>
      <c r="B191" s="30"/>
      <c r="C191" s="30"/>
      <c r="D191" s="88"/>
      <c r="E191" s="44"/>
      <c r="F191" s="44"/>
      <c r="G191" s="44"/>
      <c r="H191" s="44"/>
      <c r="I191" s="89"/>
      <c r="J191" s="44"/>
      <c r="K191" s="44"/>
      <c r="L191" s="44"/>
      <c r="M191" s="44"/>
      <c r="N191" s="50"/>
    </row>
    <row r="192" spans="1:14" ht="15.75" customHeight="1">
      <c r="A192" s="53"/>
      <c r="B192" s="30"/>
      <c r="C192" s="30"/>
      <c r="D192" s="88"/>
      <c r="E192" s="44"/>
      <c r="F192" s="44"/>
      <c r="G192" s="44"/>
      <c r="H192" s="44"/>
      <c r="I192" s="89"/>
      <c r="J192" s="44"/>
      <c r="K192" s="44"/>
      <c r="L192" s="44"/>
      <c r="M192" s="44"/>
      <c r="N192" s="50"/>
    </row>
    <row r="193" spans="1:14" ht="15.75" customHeight="1">
      <c r="A193" s="53"/>
      <c r="B193" s="30"/>
      <c r="C193" s="30"/>
      <c r="D193" s="88"/>
      <c r="E193" s="44"/>
      <c r="F193" s="44"/>
      <c r="G193" s="44"/>
      <c r="H193" s="44"/>
      <c r="I193" s="89"/>
      <c r="J193" s="44"/>
      <c r="K193" s="44"/>
      <c r="L193" s="44"/>
      <c r="M193" s="44"/>
      <c r="N193" s="50"/>
    </row>
    <row r="194" spans="1:14" ht="15.75" customHeight="1">
      <c r="A194" s="53"/>
      <c r="B194" s="30"/>
      <c r="C194" s="30"/>
      <c r="D194" s="88"/>
      <c r="E194" s="44"/>
      <c r="F194" s="44"/>
      <c r="G194" s="44"/>
      <c r="H194" s="44"/>
      <c r="I194" s="89"/>
      <c r="J194" s="44"/>
      <c r="K194" s="44"/>
      <c r="L194" s="44"/>
      <c r="M194" s="44"/>
      <c r="N194" s="50"/>
    </row>
    <row r="195" spans="1:14" ht="15.75" customHeight="1">
      <c r="A195" s="53"/>
      <c r="B195" s="30"/>
      <c r="C195" s="30"/>
      <c r="D195" s="88"/>
      <c r="E195" s="44"/>
      <c r="F195" s="44"/>
      <c r="G195" s="44"/>
      <c r="H195" s="44"/>
      <c r="I195" s="89"/>
      <c r="J195" s="44"/>
      <c r="K195" s="44"/>
      <c r="L195" s="44"/>
      <c r="M195" s="44"/>
      <c r="N195" s="50"/>
    </row>
    <row r="196" spans="1:14" ht="15.75" customHeight="1">
      <c r="A196" s="53"/>
      <c r="B196" s="30"/>
      <c r="C196" s="30"/>
      <c r="D196" s="88"/>
      <c r="E196" s="44"/>
      <c r="F196" s="44"/>
      <c r="G196" s="44"/>
      <c r="H196" s="44"/>
      <c r="I196" s="89"/>
      <c r="J196" s="44"/>
      <c r="K196" s="44"/>
      <c r="L196" s="44"/>
      <c r="M196" s="44"/>
      <c r="N196" s="50"/>
    </row>
    <row r="197" spans="1:14" ht="15.75" customHeight="1">
      <c r="A197" s="53"/>
      <c r="B197" s="30"/>
      <c r="C197" s="30"/>
      <c r="D197" s="88"/>
      <c r="E197" s="44"/>
      <c r="F197" s="44"/>
      <c r="G197" s="44"/>
      <c r="H197" s="44"/>
      <c r="I197" s="89"/>
      <c r="J197" s="44"/>
      <c r="K197" s="44"/>
      <c r="L197" s="44"/>
      <c r="M197" s="44"/>
      <c r="N197" s="50"/>
    </row>
    <row r="198" spans="1:14" ht="15.75" customHeight="1">
      <c r="A198" s="53"/>
      <c r="B198" s="30"/>
      <c r="C198" s="30"/>
      <c r="D198" s="88"/>
      <c r="E198" s="44"/>
      <c r="F198" s="44"/>
      <c r="G198" s="44"/>
      <c r="H198" s="44"/>
      <c r="I198" s="89"/>
      <c r="J198" s="44"/>
      <c r="K198" s="44"/>
      <c r="L198" s="44"/>
      <c r="M198" s="44"/>
      <c r="N198" s="50"/>
    </row>
    <row r="199" spans="1:14" ht="15.75" customHeight="1">
      <c r="A199" s="53"/>
      <c r="B199" s="30"/>
      <c r="C199" s="30"/>
      <c r="D199" s="88"/>
      <c r="E199" s="44"/>
      <c r="F199" s="44"/>
      <c r="G199" s="44"/>
      <c r="H199" s="44"/>
      <c r="I199" s="89"/>
      <c r="J199" s="44"/>
      <c r="K199" s="44"/>
      <c r="L199" s="44"/>
      <c r="M199" s="44"/>
      <c r="N199" s="50"/>
    </row>
    <row r="200" spans="1:14" ht="15.75" customHeight="1">
      <c r="A200" s="53"/>
      <c r="B200" s="30"/>
      <c r="C200" s="30"/>
      <c r="D200" s="88"/>
      <c r="E200" s="44"/>
      <c r="F200" s="44"/>
      <c r="G200" s="44"/>
      <c r="H200" s="44"/>
      <c r="I200" s="89"/>
      <c r="J200" s="44"/>
      <c r="K200" s="44"/>
      <c r="L200" s="44"/>
      <c r="M200" s="44"/>
      <c r="N200" s="50"/>
    </row>
    <row r="201" spans="1:14" ht="15.75" customHeight="1">
      <c r="A201" s="53"/>
      <c r="B201" s="30"/>
      <c r="C201" s="30"/>
      <c r="D201" s="88"/>
      <c r="E201" s="44"/>
      <c r="F201" s="44"/>
      <c r="G201" s="44"/>
      <c r="H201" s="44"/>
      <c r="I201" s="89"/>
      <c r="J201" s="44"/>
      <c r="K201" s="44"/>
      <c r="L201" s="44"/>
      <c r="M201" s="44"/>
      <c r="N201" s="50"/>
    </row>
    <row r="202" spans="1:14" ht="15.75" customHeight="1">
      <c r="A202" s="53"/>
      <c r="B202" s="30"/>
      <c r="C202" s="30"/>
      <c r="D202" s="88"/>
      <c r="E202" s="44"/>
      <c r="F202" s="44"/>
      <c r="G202" s="44"/>
      <c r="H202" s="44"/>
      <c r="I202" s="89"/>
      <c r="J202" s="44"/>
      <c r="K202" s="44"/>
      <c r="L202" s="44"/>
      <c r="M202" s="44"/>
      <c r="N202" s="50"/>
    </row>
    <row r="203" spans="1:14" ht="15.75" customHeight="1">
      <c r="A203" s="53"/>
      <c r="B203" s="30"/>
      <c r="C203" s="30"/>
      <c r="D203" s="88"/>
      <c r="E203" s="44"/>
      <c r="F203" s="44"/>
      <c r="G203" s="44"/>
      <c r="H203" s="44"/>
      <c r="I203" s="89"/>
      <c r="J203" s="44"/>
      <c r="K203" s="44"/>
      <c r="L203" s="44"/>
      <c r="M203" s="44"/>
      <c r="N203" s="50"/>
    </row>
    <row r="204" spans="1:14" ht="15.75" customHeight="1">
      <c r="A204" s="53"/>
      <c r="B204" s="30"/>
      <c r="C204" s="30"/>
      <c r="D204" s="88"/>
      <c r="E204" s="44"/>
      <c r="F204" s="44"/>
      <c r="G204" s="44"/>
      <c r="H204" s="44"/>
      <c r="I204" s="89"/>
      <c r="J204" s="44"/>
      <c r="K204" s="44"/>
      <c r="L204" s="44"/>
      <c r="M204" s="44"/>
      <c r="N204" s="50"/>
    </row>
    <row r="205" spans="1:14" ht="15.75" customHeight="1">
      <c r="A205" s="53"/>
      <c r="B205" s="30"/>
      <c r="C205" s="30"/>
      <c r="D205" s="88"/>
      <c r="E205" s="44"/>
      <c r="F205" s="44"/>
      <c r="G205" s="44"/>
      <c r="H205" s="44"/>
      <c r="I205" s="89"/>
      <c r="J205" s="44"/>
      <c r="K205" s="44"/>
      <c r="L205" s="44"/>
      <c r="M205" s="44"/>
      <c r="N205" s="50"/>
    </row>
    <row r="206" spans="1:14" ht="15.75" customHeight="1">
      <c r="A206" s="53"/>
      <c r="B206" s="30"/>
      <c r="C206" s="30"/>
      <c r="D206" s="88"/>
      <c r="E206" s="44"/>
      <c r="F206" s="44"/>
      <c r="G206" s="44"/>
      <c r="H206" s="44"/>
      <c r="I206" s="89"/>
      <c r="J206" s="44"/>
      <c r="K206" s="44"/>
      <c r="L206" s="44"/>
      <c r="M206" s="44"/>
      <c r="N206" s="50"/>
    </row>
    <row r="207" spans="1:14" ht="15.75" customHeight="1">
      <c r="A207" s="53"/>
      <c r="B207" s="30"/>
      <c r="C207" s="30"/>
      <c r="D207" s="88"/>
      <c r="E207" s="44"/>
      <c r="F207" s="44"/>
      <c r="G207" s="44"/>
      <c r="H207" s="44"/>
      <c r="I207" s="89"/>
      <c r="J207" s="44"/>
      <c r="K207" s="44"/>
      <c r="L207" s="44"/>
      <c r="M207" s="44"/>
      <c r="N207" s="50"/>
    </row>
    <row r="208" spans="1:14" ht="15.75" customHeight="1">
      <c r="A208" s="53"/>
      <c r="B208" s="30"/>
      <c r="C208" s="30"/>
      <c r="D208" s="88"/>
      <c r="E208" s="44"/>
      <c r="F208" s="44"/>
      <c r="G208" s="44"/>
      <c r="H208" s="44"/>
      <c r="I208" s="89"/>
      <c r="J208" s="44"/>
      <c r="K208" s="44"/>
      <c r="L208" s="44"/>
      <c r="M208" s="44"/>
      <c r="N208" s="50"/>
    </row>
    <row r="209" spans="1:14" ht="15.75" customHeight="1">
      <c r="A209" s="53"/>
      <c r="B209" s="30"/>
      <c r="C209" s="30"/>
      <c r="D209" s="88"/>
      <c r="E209" s="44"/>
      <c r="F209" s="44"/>
      <c r="G209" s="44"/>
      <c r="H209" s="44"/>
      <c r="I209" s="89"/>
      <c r="J209" s="44"/>
      <c r="K209" s="44"/>
      <c r="L209" s="44"/>
      <c r="M209" s="44"/>
      <c r="N209" s="50"/>
    </row>
    <row r="210" spans="1:14" ht="15.75" customHeight="1">
      <c r="A210" s="53"/>
      <c r="B210" s="30"/>
      <c r="C210" s="30"/>
      <c r="D210" s="88"/>
      <c r="E210" s="44"/>
      <c r="F210" s="44"/>
      <c r="G210" s="44"/>
      <c r="H210" s="44"/>
      <c r="I210" s="89"/>
      <c r="J210" s="44"/>
      <c r="K210" s="44"/>
      <c r="L210" s="44"/>
      <c r="M210" s="44"/>
      <c r="N210" s="50"/>
    </row>
    <row r="211" spans="1:14" ht="15.75" customHeight="1">
      <c r="A211" s="53"/>
      <c r="B211" s="30"/>
      <c r="C211" s="30"/>
      <c r="D211" s="88"/>
      <c r="E211" s="44"/>
      <c r="F211" s="44"/>
      <c r="G211" s="44"/>
      <c r="H211" s="44"/>
      <c r="I211" s="89"/>
      <c r="J211" s="44"/>
      <c r="K211" s="44"/>
      <c r="L211" s="44"/>
      <c r="M211" s="44"/>
      <c r="N211" s="50"/>
    </row>
    <row r="212" spans="1:14" ht="15.75" customHeight="1">
      <c r="A212" s="53"/>
      <c r="B212" s="30"/>
      <c r="C212" s="30"/>
      <c r="D212" s="88"/>
      <c r="E212" s="44"/>
      <c r="F212" s="44"/>
      <c r="G212" s="44"/>
      <c r="H212" s="44"/>
      <c r="I212" s="89"/>
      <c r="J212" s="44"/>
      <c r="K212" s="44"/>
      <c r="L212" s="44"/>
      <c r="M212" s="44"/>
      <c r="N212" s="50"/>
    </row>
    <row r="213" spans="1:14" ht="15.75" customHeight="1">
      <c r="A213" s="53"/>
      <c r="B213" s="30"/>
      <c r="C213" s="30"/>
      <c r="D213" s="88"/>
      <c r="E213" s="44"/>
      <c r="F213" s="44"/>
      <c r="G213" s="44"/>
      <c r="H213" s="44"/>
      <c r="I213" s="89"/>
      <c r="J213" s="44"/>
      <c r="K213" s="44"/>
      <c r="L213" s="44"/>
      <c r="M213" s="44"/>
      <c r="N213" s="50"/>
    </row>
    <row r="214" spans="1:14" ht="15.75" customHeight="1">
      <c r="A214" s="53"/>
      <c r="B214" s="30"/>
      <c r="C214" s="30"/>
      <c r="D214" s="88"/>
      <c r="E214" s="44"/>
      <c r="F214" s="44"/>
      <c r="G214" s="44"/>
      <c r="H214" s="44"/>
      <c r="I214" s="89"/>
      <c r="J214" s="44"/>
      <c r="K214" s="44"/>
      <c r="L214" s="44"/>
      <c r="M214" s="44"/>
      <c r="N214" s="50"/>
    </row>
    <row r="215" spans="1:14" ht="15.75" customHeight="1">
      <c r="A215" s="53"/>
      <c r="B215" s="30"/>
      <c r="C215" s="30"/>
      <c r="D215" s="88"/>
      <c r="E215" s="44"/>
      <c r="F215" s="44"/>
      <c r="G215" s="44"/>
      <c r="H215" s="44"/>
      <c r="I215" s="89"/>
      <c r="J215" s="44"/>
      <c r="K215" s="44"/>
      <c r="L215" s="44"/>
      <c r="M215" s="44"/>
      <c r="N215" s="50"/>
    </row>
    <row r="216" spans="1:14" ht="15.75" customHeight="1">
      <c r="A216" s="53"/>
      <c r="B216" s="30"/>
      <c r="C216" s="30"/>
      <c r="D216" s="88"/>
      <c r="E216" s="44"/>
      <c r="F216" s="44"/>
      <c r="G216" s="44"/>
      <c r="H216" s="44"/>
      <c r="I216" s="89"/>
      <c r="J216" s="44"/>
      <c r="K216" s="44"/>
      <c r="L216" s="44"/>
      <c r="M216" s="44"/>
      <c r="N216" s="50"/>
    </row>
    <row r="217" spans="1:14" ht="15.75" customHeight="1">
      <c r="A217" s="53"/>
      <c r="B217" s="30"/>
      <c r="C217" s="30"/>
      <c r="D217" s="88"/>
      <c r="E217" s="44"/>
      <c r="F217" s="44"/>
      <c r="G217" s="44"/>
      <c r="H217" s="44"/>
      <c r="I217" s="89"/>
      <c r="J217" s="44"/>
      <c r="K217" s="44"/>
      <c r="L217" s="44"/>
      <c r="M217" s="44"/>
      <c r="N217" s="50"/>
    </row>
    <row r="218" spans="1:14" ht="15.75" customHeight="1">
      <c r="A218" s="53"/>
      <c r="B218" s="30"/>
      <c r="C218" s="30"/>
      <c r="D218" s="88"/>
      <c r="E218" s="44"/>
      <c r="F218" s="44"/>
      <c r="G218" s="44"/>
      <c r="H218" s="44"/>
      <c r="I218" s="89"/>
      <c r="J218" s="44"/>
      <c r="K218" s="44"/>
      <c r="L218" s="44"/>
      <c r="M218" s="44"/>
      <c r="N218" s="50"/>
    </row>
    <row r="219" spans="1:14" ht="15.75" customHeight="1">
      <c r="A219" s="53"/>
      <c r="B219" s="30"/>
      <c r="C219" s="30"/>
      <c r="D219" s="88"/>
      <c r="E219" s="44"/>
      <c r="F219" s="44"/>
      <c r="G219" s="44"/>
      <c r="H219" s="44"/>
      <c r="I219" s="89"/>
      <c r="J219" s="44"/>
      <c r="K219" s="44"/>
      <c r="L219" s="44"/>
      <c r="M219" s="44"/>
      <c r="N219" s="50"/>
    </row>
    <row r="220" spans="1:14" ht="15.75" customHeight="1">
      <c r="A220" s="53"/>
      <c r="B220" s="30"/>
      <c r="C220" s="30"/>
      <c r="D220" s="88"/>
      <c r="E220" s="44"/>
      <c r="F220" s="44"/>
      <c r="G220" s="44"/>
      <c r="H220" s="44"/>
      <c r="I220" s="89"/>
      <c r="J220" s="44"/>
      <c r="K220" s="44"/>
      <c r="L220" s="44"/>
      <c r="M220" s="44"/>
      <c r="N220" s="50"/>
    </row>
    <row r="221" spans="1:14" ht="15.75" customHeight="1">
      <c r="A221" s="53"/>
      <c r="B221" s="30"/>
      <c r="C221" s="30"/>
      <c r="D221" s="88"/>
      <c r="E221" s="44"/>
      <c r="F221" s="44"/>
      <c r="G221" s="44"/>
      <c r="H221" s="44"/>
      <c r="I221" s="89"/>
      <c r="J221" s="44"/>
      <c r="K221" s="44"/>
      <c r="L221" s="44"/>
      <c r="M221" s="44"/>
      <c r="N221" s="50"/>
    </row>
    <row r="222" spans="1:14" ht="15.75" customHeight="1">
      <c r="A222" s="53"/>
      <c r="B222" s="30"/>
      <c r="C222" s="30"/>
      <c r="D222" s="88"/>
      <c r="E222" s="44"/>
      <c r="F222" s="44"/>
      <c r="G222" s="44"/>
      <c r="H222" s="44"/>
      <c r="I222" s="89"/>
      <c r="J222" s="44"/>
      <c r="K222" s="44"/>
      <c r="L222" s="44"/>
      <c r="M222" s="44"/>
      <c r="N222" s="50"/>
    </row>
    <row r="223" spans="1:14" ht="15.75" customHeight="1">
      <c r="A223" s="53"/>
      <c r="B223" s="30"/>
      <c r="C223" s="30"/>
      <c r="D223" s="88"/>
      <c r="E223" s="44"/>
      <c r="F223" s="44"/>
      <c r="G223" s="44"/>
      <c r="H223" s="44"/>
      <c r="I223" s="89"/>
      <c r="J223" s="44"/>
      <c r="K223" s="44"/>
      <c r="L223" s="44"/>
      <c r="M223" s="44"/>
      <c r="N223" s="50"/>
    </row>
    <row r="224" spans="1:14" ht="15.75" customHeight="1">
      <c r="A224" s="53"/>
      <c r="B224" s="30"/>
      <c r="C224" s="30"/>
      <c r="D224" s="88"/>
      <c r="E224" s="44"/>
      <c r="F224" s="44"/>
      <c r="G224" s="44"/>
      <c r="H224" s="44"/>
      <c r="I224" s="89"/>
      <c r="J224" s="44"/>
      <c r="K224" s="44"/>
      <c r="L224" s="44"/>
      <c r="M224" s="44"/>
      <c r="N224" s="50"/>
    </row>
    <row r="225" spans="1:14" ht="15.75" customHeight="1">
      <c r="A225" s="53"/>
      <c r="B225" s="30"/>
      <c r="C225" s="30"/>
      <c r="D225" s="88"/>
      <c r="E225" s="44"/>
      <c r="F225" s="44"/>
      <c r="G225" s="44"/>
      <c r="H225" s="44"/>
      <c r="I225" s="89"/>
      <c r="J225" s="44"/>
      <c r="K225" s="44"/>
      <c r="L225" s="44"/>
      <c r="M225" s="44"/>
      <c r="N225" s="50"/>
    </row>
    <row r="226" spans="1:14" ht="15.75" customHeight="1">
      <c r="A226" s="53"/>
      <c r="B226" s="30"/>
      <c r="C226" s="30"/>
      <c r="D226" s="88"/>
      <c r="E226" s="44"/>
      <c r="F226" s="44"/>
      <c r="G226" s="44"/>
      <c r="H226" s="44"/>
      <c r="I226" s="89"/>
      <c r="J226" s="44"/>
      <c r="K226" s="44"/>
      <c r="L226" s="44"/>
      <c r="M226" s="44"/>
      <c r="N226" s="50"/>
    </row>
    <row r="227" spans="1:14" ht="15.75" customHeight="1">
      <c r="A227" s="53"/>
      <c r="B227" s="30"/>
      <c r="C227" s="30"/>
      <c r="D227" s="88"/>
      <c r="E227" s="44"/>
      <c r="F227" s="44"/>
      <c r="G227" s="44"/>
      <c r="H227" s="44"/>
      <c r="I227" s="89"/>
      <c r="J227" s="44"/>
      <c r="K227" s="44"/>
      <c r="L227" s="44"/>
      <c r="M227" s="44"/>
      <c r="N227" s="50"/>
    </row>
    <row r="228" spans="1:14" ht="15.75" customHeight="1">
      <c r="A228" s="53"/>
      <c r="B228" s="30"/>
      <c r="C228" s="30"/>
      <c r="D228" s="88"/>
      <c r="E228" s="44"/>
      <c r="F228" s="44"/>
      <c r="G228" s="44"/>
      <c r="H228" s="44"/>
      <c r="I228" s="89"/>
      <c r="J228" s="44"/>
      <c r="K228" s="44"/>
      <c r="L228" s="44"/>
      <c r="M228" s="44"/>
      <c r="N228" s="50"/>
    </row>
    <row r="229" spans="1:14" ht="15.75" customHeight="1">
      <c r="A229" s="53"/>
      <c r="B229" s="30"/>
      <c r="C229" s="30"/>
      <c r="D229" s="88"/>
      <c r="E229" s="44"/>
      <c r="F229" s="44"/>
      <c r="G229" s="44"/>
      <c r="H229" s="44"/>
      <c r="I229" s="89"/>
      <c r="J229" s="44"/>
      <c r="K229" s="44"/>
      <c r="L229" s="44"/>
      <c r="M229" s="44"/>
      <c r="N229" s="50"/>
    </row>
    <row r="230" spans="1:14" ht="15.75" customHeight="1">
      <c r="A230" s="53"/>
      <c r="B230" s="30"/>
      <c r="C230" s="30"/>
      <c r="D230" s="88"/>
      <c r="E230" s="44"/>
      <c r="F230" s="44"/>
      <c r="G230" s="44"/>
      <c r="H230" s="44"/>
      <c r="I230" s="89"/>
      <c r="J230" s="44"/>
      <c r="K230" s="44"/>
      <c r="L230" s="44"/>
      <c r="M230" s="44"/>
      <c r="N230" s="50"/>
    </row>
    <row r="231" spans="1:14" ht="15.75" customHeight="1">
      <c r="A231" s="53"/>
      <c r="B231" s="30"/>
      <c r="C231" s="30"/>
      <c r="D231" s="88"/>
      <c r="E231" s="44"/>
      <c r="F231" s="44"/>
      <c r="G231" s="44"/>
      <c r="H231" s="44"/>
      <c r="I231" s="89"/>
      <c r="J231" s="44"/>
      <c r="K231" s="44"/>
      <c r="L231" s="44"/>
      <c r="M231" s="44"/>
      <c r="N231" s="50"/>
    </row>
    <row r="232" spans="1:14" ht="15.75" customHeight="1">
      <c r="A232" s="53"/>
      <c r="B232" s="30"/>
      <c r="C232" s="30"/>
      <c r="D232" s="88"/>
      <c r="E232" s="44"/>
      <c r="F232" s="44"/>
      <c r="G232" s="44"/>
      <c r="H232" s="44"/>
      <c r="I232" s="89"/>
      <c r="J232" s="44"/>
      <c r="K232" s="44"/>
      <c r="L232" s="44"/>
      <c r="M232" s="44"/>
      <c r="N232" s="50"/>
    </row>
    <row r="233" spans="1:14" ht="15.75" customHeight="1">
      <c r="A233" s="53"/>
      <c r="B233" s="30"/>
      <c r="C233" s="30"/>
      <c r="D233" s="88"/>
      <c r="E233" s="44"/>
      <c r="F233" s="44"/>
      <c r="G233" s="44"/>
      <c r="H233" s="44"/>
      <c r="I233" s="89"/>
      <c r="J233" s="44"/>
      <c r="K233" s="44"/>
      <c r="L233" s="44"/>
      <c r="M233" s="44"/>
      <c r="N233" s="50"/>
    </row>
    <row r="234" spans="1:14" ht="15.75" customHeight="1">
      <c r="A234" s="53"/>
      <c r="B234" s="30"/>
      <c r="C234" s="30"/>
      <c r="D234" s="88"/>
      <c r="E234" s="44"/>
      <c r="F234" s="44"/>
      <c r="G234" s="44"/>
      <c r="H234" s="44"/>
      <c r="I234" s="89"/>
      <c r="J234" s="44"/>
      <c r="K234" s="44"/>
      <c r="L234" s="44"/>
      <c r="M234" s="44"/>
      <c r="N234" s="50"/>
    </row>
    <row r="235" spans="1:14" ht="15.75" customHeight="1">
      <c r="A235" s="53"/>
      <c r="B235" s="30"/>
      <c r="C235" s="30"/>
      <c r="D235" s="88"/>
      <c r="E235" s="44"/>
      <c r="F235" s="44"/>
      <c r="G235" s="44"/>
      <c r="H235" s="44"/>
      <c r="I235" s="89"/>
      <c r="J235" s="44"/>
      <c r="K235" s="44"/>
      <c r="L235" s="44"/>
      <c r="M235" s="44"/>
      <c r="N235" s="50"/>
    </row>
    <row r="236" spans="1:14" ht="15.75" customHeight="1">
      <c r="A236" s="53"/>
      <c r="B236" s="30"/>
      <c r="C236" s="30"/>
      <c r="D236" s="88"/>
      <c r="E236" s="44"/>
      <c r="F236" s="44"/>
      <c r="G236" s="44"/>
      <c r="H236" s="44"/>
      <c r="I236" s="89"/>
      <c r="J236" s="44"/>
      <c r="K236" s="44"/>
      <c r="L236" s="44"/>
      <c r="M236" s="44"/>
      <c r="N236" s="50"/>
    </row>
    <row r="237" spans="1:14" ht="15.75" customHeight="1">
      <c r="A237" s="53"/>
      <c r="B237" s="30"/>
      <c r="C237" s="30"/>
      <c r="D237" s="88"/>
      <c r="E237" s="44"/>
      <c r="F237" s="44"/>
      <c r="G237" s="44"/>
      <c r="H237" s="44"/>
      <c r="I237" s="89"/>
      <c r="J237" s="44"/>
      <c r="K237" s="44"/>
      <c r="L237" s="44"/>
      <c r="M237" s="44"/>
      <c r="N237" s="50"/>
    </row>
    <row r="238" spans="1:14" ht="15.75" customHeight="1">
      <c r="A238" s="53"/>
      <c r="B238" s="30"/>
      <c r="C238" s="30"/>
      <c r="D238" s="88"/>
      <c r="E238" s="44"/>
      <c r="F238" s="44"/>
      <c r="G238" s="44"/>
      <c r="H238" s="44"/>
      <c r="I238" s="89"/>
      <c r="J238" s="44"/>
      <c r="K238" s="44"/>
      <c r="L238" s="44"/>
      <c r="M238" s="44"/>
      <c r="N238" s="50"/>
    </row>
    <row r="239" spans="1:14" ht="15.75" customHeight="1">
      <c r="A239" s="53"/>
      <c r="B239" s="30"/>
      <c r="C239" s="30"/>
      <c r="D239" s="88"/>
      <c r="E239" s="44"/>
      <c r="F239" s="44"/>
      <c r="G239" s="44"/>
      <c r="H239" s="44"/>
      <c r="I239" s="89"/>
      <c r="J239" s="44"/>
      <c r="K239" s="44"/>
      <c r="L239" s="44"/>
      <c r="M239" s="44"/>
      <c r="N239" s="50"/>
    </row>
    <row r="240" spans="1:14" ht="15.75" customHeight="1">
      <c r="A240" s="53"/>
      <c r="B240" s="30"/>
      <c r="C240" s="30"/>
      <c r="D240" s="88"/>
      <c r="E240" s="44"/>
      <c r="F240" s="44"/>
      <c r="G240" s="44"/>
      <c r="H240" s="44"/>
      <c r="I240" s="89"/>
      <c r="J240" s="44"/>
      <c r="K240" s="44"/>
      <c r="L240" s="44"/>
      <c r="M240" s="44"/>
      <c r="N240" s="50"/>
    </row>
    <row r="241" spans="1:14" ht="15.75" customHeight="1">
      <c r="A241" s="53"/>
      <c r="B241" s="30"/>
      <c r="C241" s="30"/>
      <c r="D241" s="88"/>
      <c r="E241" s="44"/>
      <c r="F241" s="44"/>
      <c r="G241" s="44"/>
      <c r="H241" s="44"/>
      <c r="I241" s="89"/>
      <c r="J241" s="44"/>
      <c r="K241" s="44"/>
      <c r="L241" s="44"/>
      <c r="M241" s="44"/>
      <c r="N241" s="50"/>
    </row>
    <row r="242" spans="1:14" ht="15.75" customHeight="1">
      <c r="A242" s="53"/>
      <c r="B242" s="30"/>
      <c r="C242" s="30"/>
      <c r="D242" s="88"/>
      <c r="E242" s="44"/>
      <c r="F242" s="44"/>
      <c r="G242" s="44"/>
      <c r="H242" s="44"/>
      <c r="I242" s="89"/>
      <c r="J242" s="44"/>
      <c r="K242" s="44"/>
      <c r="L242" s="44"/>
      <c r="M242" s="44"/>
      <c r="N242" s="50"/>
    </row>
    <row r="243" spans="1:14" ht="15.75" customHeight="1">
      <c r="A243" s="53"/>
      <c r="B243" s="30"/>
      <c r="C243" s="30"/>
      <c r="D243" s="88"/>
      <c r="E243" s="44"/>
      <c r="F243" s="44"/>
      <c r="G243" s="44"/>
      <c r="H243" s="44"/>
      <c r="I243" s="89"/>
      <c r="J243" s="44"/>
      <c r="K243" s="44"/>
      <c r="L243" s="44"/>
      <c r="M243" s="44"/>
      <c r="N243" s="50"/>
    </row>
    <row r="244" spans="1:14" ht="15.75" customHeight="1">
      <c r="A244" s="53"/>
      <c r="B244" s="30"/>
      <c r="C244" s="30"/>
      <c r="D244" s="88"/>
      <c r="E244" s="44"/>
      <c r="F244" s="44"/>
      <c r="G244" s="44"/>
      <c r="H244" s="44"/>
      <c r="I244" s="89"/>
      <c r="J244" s="44"/>
      <c r="K244" s="44"/>
      <c r="L244" s="44"/>
      <c r="M244" s="44"/>
      <c r="N244" s="50"/>
    </row>
    <row r="245" spans="1:14" ht="15.75" customHeight="1">
      <c r="A245" s="53"/>
      <c r="B245" s="30"/>
      <c r="C245" s="30"/>
      <c r="D245" s="88"/>
      <c r="E245" s="44"/>
      <c r="F245" s="44"/>
      <c r="G245" s="44"/>
      <c r="H245" s="44"/>
      <c r="I245" s="89"/>
      <c r="J245" s="44"/>
      <c r="K245" s="44"/>
      <c r="L245" s="44"/>
      <c r="M245" s="44"/>
      <c r="N245" s="50"/>
    </row>
    <row r="246" spans="1:14" ht="15.75" customHeight="1">
      <c r="A246" s="53"/>
      <c r="B246" s="30"/>
      <c r="C246" s="30"/>
      <c r="D246" s="88"/>
      <c r="E246" s="44"/>
      <c r="F246" s="44"/>
      <c r="G246" s="44"/>
      <c r="H246" s="44"/>
      <c r="I246" s="89"/>
      <c r="J246" s="44"/>
      <c r="K246" s="44"/>
      <c r="L246" s="44"/>
      <c r="M246" s="44"/>
      <c r="N246" s="50"/>
    </row>
    <row r="247" spans="1:14" ht="15.75" customHeight="1">
      <c r="A247" s="53"/>
      <c r="B247" s="30"/>
      <c r="C247" s="30"/>
      <c r="D247" s="88"/>
      <c r="E247" s="44"/>
      <c r="F247" s="44"/>
      <c r="G247" s="44"/>
      <c r="H247" s="44"/>
      <c r="I247" s="89"/>
      <c r="J247" s="44"/>
      <c r="K247" s="44"/>
      <c r="L247" s="44"/>
      <c r="M247" s="44"/>
      <c r="N247" s="50"/>
    </row>
    <row r="248" spans="1:14" ht="15.75" customHeight="1">
      <c r="A248" s="53"/>
      <c r="B248" s="30"/>
      <c r="C248" s="30"/>
      <c r="D248" s="88"/>
      <c r="E248" s="44"/>
      <c r="F248" s="44"/>
      <c r="G248" s="44"/>
      <c r="H248" s="44"/>
      <c r="I248" s="89"/>
      <c r="J248" s="44"/>
      <c r="K248" s="44"/>
      <c r="L248" s="44"/>
      <c r="M248" s="44"/>
      <c r="N248" s="50"/>
    </row>
    <row r="249" spans="1:14" ht="15.75" customHeight="1">
      <c r="A249" s="53"/>
      <c r="B249" s="30"/>
      <c r="C249" s="30"/>
      <c r="D249" s="88"/>
      <c r="E249" s="44"/>
      <c r="F249" s="44"/>
      <c r="G249" s="44"/>
      <c r="H249" s="44"/>
      <c r="I249" s="89"/>
      <c r="J249" s="44"/>
      <c r="K249" s="44"/>
      <c r="L249" s="44"/>
      <c r="M249" s="44"/>
      <c r="N249" s="50"/>
    </row>
    <row r="250" spans="1:14" ht="15.75" customHeight="1">
      <c r="A250" s="53"/>
      <c r="B250" s="30"/>
      <c r="C250" s="30"/>
      <c r="D250" s="88"/>
      <c r="E250" s="44"/>
      <c r="F250" s="44"/>
      <c r="G250" s="44"/>
      <c r="H250" s="44"/>
      <c r="I250" s="89"/>
      <c r="J250" s="44"/>
      <c r="K250" s="44"/>
      <c r="L250" s="44"/>
      <c r="M250" s="44"/>
      <c r="N250" s="50"/>
    </row>
    <row r="251" spans="1:14" ht="15.75" customHeight="1">
      <c r="A251" s="53"/>
      <c r="B251" s="30"/>
      <c r="C251" s="30"/>
      <c r="D251" s="88"/>
      <c r="E251" s="44"/>
      <c r="F251" s="44"/>
      <c r="G251" s="44"/>
      <c r="H251" s="44"/>
      <c r="I251" s="89"/>
      <c r="J251" s="44"/>
      <c r="K251" s="44"/>
      <c r="L251" s="44"/>
      <c r="M251" s="44"/>
      <c r="N251" s="50"/>
    </row>
    <row r="252" spans="1:14" ht="15.75" customHeight="1">
      <c r="A252" s="53"/>
      <c r="B252" s="30"/>
      <c r="C252" s="30"/>
      <c r="D252" s="88"/>
      <c r="E252" s="44"/>
      <c r="F252" s="44"/>
      <c r="G252" s="44"/>
      <c r="H252" s="44"/>
      <c r="I252" s="89"/>
      <c r="J252" s="44"/>
      <c r="K252" s="44"/>
      <c r="L252" s="44"/>
      <c r="M252" s="44"/>
      <c r="N252" s="50"/>
    </row>
    <row r="253" spans="1:14" ht="15.75" customHeight="1">
      <c r="A253" s="53"/>
      <c r="B253" s="30"/>
      <c r="C253" s="30"/>
      <c r="D253" s="88"/>
      <c r="E253" s="44"/>
      <c r="F253" s="44"/>
      <c r="G253" s="44"/>
      <c r="H253" s="44"/>
      <c r="I253" s="89"/>
      <c r="J253" s="44"/>
      <c r="K253" s="44"/>
      <c r="L253" s="44"/>
      <c r="M253" s="44"/>
      <c r="N253" s="50"/>
    </row>
    <row r="254" spans="1:14" ht="15.75" customHeight="1">
      <c r="A254" s="53"/>
      <c r="B254" s="30"/>
      <c r="C254" s="30"/>
      <c r="D254" s="88"/>
      <c r="E254" s="44"/>
      <c r="F254" s="44"/>
      <c r="G254" s="44"/>
      <c r="H254" s="44"/>
      <c r="I254" s="89"/>
      <c r="J254" s="44"/>
      <c r="K254" s="44"/>
      <c r="L254" s="44"/>
      <c r="M254" s="44"/>
      <c r="N254" s="50"/>
    </row>
    <row r="255" spans="1:14" ht="15.75" customHeight="1">
      <c r="A255" s="53"/>
      <c r="B255" s="30"/>
      <c r="C255" s="30"/>
      <c r="D255" s="88"/>
      <c r="E255" s="44"/>
      <c r="F255" s="44"/>
      <c r="G255" s="44"/>
      <c r="H255" s="44"/>
      <c r="I255" s="89"/>
      <c r="J255" s="44"/>
      <c r="K255" s="44"/>
      <c r="L255" s="44"/>
      <c r="M255" s="44"/>
      <c r="N255" s="50"/>
    </row>
    <row r="256" spans="1:14" ht="15.75" customHeight="1">
      <c r="A256" s="53"/>
      <c r="B256" s="30"/>
      <c r="C256" s="30"/>
      <c r="D256" s="88"/>
      <c r="E256" s="44"/>
      <c r="F256" s="44"/>
      <c r="G256" s="44"/>
      <c r="H256" s="44"/>
      <c r="I256" s="89"/>
      <c r="J256" s="44"/>
      <c r="K256" s="44"/>
      <c r="L256" s="44"/>
      <c r="M256" s="44"/>
      <c r="N256" s="50"/>
    </row>
    <row r="257" spans="1:14" ht="15.75" customHeight="1">
      <c r="A257" s="53"/>
      <c r="B257" s="30"/>
      <c r="C257" s="30"/>
      <c r="D257" s="88"/>
      <c r="E257" s="44"/>
      <c r="F257" s="44"/>
      <c r="G257" s="44"/>
      <c r="H257" s="44"/>
      <c r="I257" s="89"/>
      <c r="J257" s="44"/>
      <c r="K257" s="44"/>
      <c r="L257" s="44"/>
      <c r="M257" s="44"/>
      <c r="N257" s="50"/>
    </row>
    <row r="258" spans="1:14" ht="15.75" customHeight="1">
      <c r="A258" s="53"/>
      <c r="B258" s="30"/>
      <c r="C258" s="30"/>
      <c r="D258" s="88"/>
      <c r="E258" s="44"/>
      <c r="F258" s="44"/>
      <c r="G258" s="44"/>
      <c r="H258" s="44"/>
      <c r="I258" s="89"/>
      <c r="J258" s="44"/>
      <c r="K258" s="44"/>
      <c r="L258" s="44"/>
      <c r="M258" s="44"/>
      <c r="N258" s="50"/>
    </row>
    <row r="259" spans="1:14" ht="15.75" customHeight="1">
      <c r="A259" s="53"/>
      <c r="B259" s="30"/>
      <c r="C259" s="30"/>
      <c r="D259" s="88"/>
      <c r="E259" s="44"/>
      <c r="F259" s="44"/>
      <c r="G259" s="44"/>
      <c r="H259" s="44"/>
      <c r="I259" s="89"/>
      <c r="J259" s="44"/>
      <c r="K259" s="44"/>
      <c r="L259" s="44"/>
      <c r="M259" s="44"/>
      <c r="N259" s="50"/>
    </row>
    <row r="260" spans="1:14" ht="15.75" customHeight="1">
      <c r="A260" s="53"/>
      <c r="B260" s="30"/>
      <c r="C260" s="30"/>
      <c r="D260" s="88"/>
      <c r="E260" s="44"/>
      <c r="F260" s="44"/>
      <c r="G260" s="44"/>
      <c r="H260" s="44"/>
      <c r="I260" s="89"/>
      <c r="J260" s="44"/>
      <c r="K260" s="44"/>
      <c r="L260" s="44"/>
      <c r="M260" s="44"/>
      <c r="N260" s="50"/>
    </row>
    <row r="261" spans="1:14" ht="15.75" customHeight="1">
      <c r="A261" s="53"/>
      <c r="B261" s="30"/>
      <c r="C261" s="30"/>
      <c r="D261" s="88"/>
      <c r="E261" s="44"/>
      <c r="F261" s="44"/>
      <c r="G261" s="44"/>
      <c r="H261" s="44"/>
      <c r="I261" s="89"/>
      <c r="J261" s="44"/>
      <c r="K261" s="44"/>
      <c r="L261" s="44"/>
      <c r="M261" s="44"/>
      <c r="N261" s="50"/>
    </row>
    <row r="262" spans="1:14" ht="15.75" customHeight="1">
      <c r="A262" s="53"/>
      <c r="B262" s="30"/>
      <c r="C262" s="30"/>
      <c r="D262" s="88"/>
      <c r="E262" s="44"/>
      <c r="F262" s="44"/>
      <c r="G262" s="44"/>
      <c r="H262" s="44"/>
      <c r="I262" s="89"/>
      <c r="J262" s="44"/>
      <c r="K262" s="44"/>
      <c r="L262" s="44"/>
      <c r="M262" s="44"/>
      <c r="N262" s="50"/>
    </row>
    <row r="263" spans="1:14" ht="15.75" customHeight="1">
      <c r="A263" s="53"/>
      <c r="B263" s="30"/>
      <c r="C263" s="30"/>
      <c r="D263" s="88"/>
      <c r="E263" s="44"/>
      <c r="F263" s="44"/>
      <c r="G263" s="44"/>
      <c r="H263" s="44"/>
      <c r="I263" s="89"/>
      <c r="J263" s="44"/>
      <c r="K263" s="44"/>
      <c r="L263" s="44"/>
      <c r="M263" s="44"/>
      <c r="N263" s="50"/>
    </row>
    <row r="264" spans="1:14" ht="15.75" customHeight="1">
      <c r="A264" s="53"/>
      <c r="B264" s="30"/>
      <c r="C264" s="30"/>
      <c r="D264" s="88"/>
      <c r="E264" s="44"/>
      <c r="F264" s="44"/>
      <c r="G264" s="44"/>
      <c r="H264" s="44"/>
      <c r="I264" s="89"/>
      <c r="J264" s="44"/>
      <c r="K264" s="44"/>
      <c r="L264" s="44"/>
      <c r="M264" s="44"/>
      <c r="N264" s="50"/>
    </row>
    <row r="265" spans="1:14" ht="15.75" customHeight="1">
      <c r="A265" s="53"/>
      <c r="B265" s="30"/>
      <c r="C265" s="30"/>
      <c r="D265" s="88"/>
      <c r="E265" s="44"/>
      <c r="F265" s="44"/>
      <c r="G265" s="44"/>
      <c r="H265" s="44"/>
      <c r="I265" s="89"/>
      <c r="J265" s="44"/>
      <c r="K265" s="44"/>
      <c r="L265" s="44"/>
      <c r="M265" s="44"/>
      <c r="N265" s="50"/>
    </row>
    <row r="266" spans="1:14" ht="15.75" customHeight="1">
      <c r="A266" s="53"/>
      <c r="B266" s="30"/>
      <c r="C266" s="30"/>
      <c r="D266" s="88"/>
      <c r="E266" s="44"/>
      <c r="F266" s="44"/>
      <c r="G266" s="44"/>
      <c r="H266" s="44"/>
      <c r="I266" s="89"/>
      <c r="J266" s="44"/>
      <c r="K266" s="44"/>
      <c r="L266" s="44"/>
      <c r="M266" s="44"/>
      <c r="N266" s="50"/>
    </row>
    <row r="267" spans="1:14" ht="15.75" customHeight="1">
      <c r="A267" s="53"/>
      <c r="B267" s="30"/>
      <c r="C267" s="30"/>
      <c r="D267" s="88"/>
      <c r="E267" s="44"/>
      <c r="F267" s="44"/>
      <c r="G267" s="44"/>
      <c r="H267" s="44"/>
      <c r="I267" s="89"/>
      <c r="J267" s="44"/>
      <c r="K267" s="44"/>
      <c r="L267" s="44"/>
      <c r="M267" s="44"/>
      <c r="N267" s="50"/>
    </row>
    <row r="268" spans="1:14" ht="15.75" customHeight="1">
      <c r="A268" s="53"/>
      <c r="B268" s="30"/>
      <c r="C268" s="30"/>
      <c r="D268" s="88"/>
      <c r="E268" s="44"/>
      <c r="F268" s="44"/>
      <c r="G268" s="44"/>
      <c r="H268" s="44"/>
      <c r="I268" s="89"/>
      <c r="J268" s="44"/>
      <c r="K268" s="44"/>
      <c r="L268" s="44"/>
      <c r="M268" s="44"/>
      <c r="N268" s="50"/>
    </row>
    <row r="269" spans="1:14" ht="15.75" customHeight="1">
      <c r="A269" s="53"/>
      <c r="B269" s="30"/>
      <c r="C269" s="30"/>
      <c r="D269" s="88"/>
      <c r="E269" s="44"/>
      <c r="F269" s="44"/>
      <c r="G269" s="44"/>
      <c r="H269" s="44"/>
      <c r="I269" s="89"/>
      <c r="J269" s="44"/>
      <c r="K269" s="44"/>
      <c r="L269" s="44"/>
      <c r="M269" s="44"/>
      <c r="N269" s="50"/>
    </row>
    <row r="270" spans="1:14" ht="15.75" customHeight="1">
      <c r="A270" s="53"/>
      <c r="B270" s="30"/>
      <c r="C270" s="30"/>
      <c r="D270" s="88"/>
      <c r="E270" s="44"/>
      <c r="F270" s="44"/>
      <c r="G270" s="44"/>
      <c r="H270" s="44"/>
      <c r="I270" s="89"/>
      <c r="J270" s="44"/>
      <c r="K270" s="44"/>
      <c r="L270" s="44"/>
      <c r="M270" s="44"/>
      <c r="N270" s="50"/>
    </row>
    <row r="271" spans="1:14" ht="15.75" customHeight="1">
      <c r="A271" s="53"/>
      <c r="B271" s="30"/>
      <c r="C271" s="30"/>
      <c r="D271" s="88"/>
      <c r="E271" s="44"/>
      <c r="F271" s="44"/>
      <c r="G271" s="44"/>
      <c r="H271" s="44"/>
      <c r="I271" s="89"/>
      <c r="J271" s="44"/>
      <c r="K271" s="44"/>
      <c r="L271" s="44"/>
      <c r="M271" s="44"/>
      <c r="N271" s="50"/>
    </row>
    <row r="272" spans="1:14" ht="15.75" customHeight="1">
      <c r="A272" s="53"/>
      <c r="B272" s="30"/>
      <c r="C272" s="30"/>
      <c r="D272" s="88"/>
      <c r="E272" s="44"/>
      <c r="F272" s="44"/>
      <c r="G272" s="44"/>
      <c r="H272" s="44"/>
      <c r="I272" s="89"/>
      <c r="J272" s="44"/>
      <c r="K272" s="44"/>
      <c r="L272" s="44"/>
      <c r="M272" s="44"/>
      <c r="N272" s="50"/>
    </row>
    <row r="273" spans="1:14" ht="15.75" customHeight="1">
      <c r="A273" s="53"/>
      <c r="B273" s="30"/>
      <c r="C273" s="30"/>
      <c r="D273" s="88"/>
      <c r="E273" s="44"/>
      <c r="F273" s="44"/>
      <c r="G273" s="44"/>
      <c r="H273" s="44"/>
      <c r="I273" s="89"/>
      <c r="J273" s="44"/>
      <c r="K273" s="44"/>
      <c r="L273" s="44"/>
      <c r="M273" s="44"/>
      <c r="N273" s="50"/>
    </row>
    <row r="274" spans="1:14" ht="15.75" customHeight="1">
      <c r="F274" s="32"/>
    </row>
    <row r="275" spans="1:14" ht="15.75" customHeight="1">
      <c r="F275" s="32"/>
    </row>
    <row r="276" spans="1:14" ht="15.75" customHeight="1">
      <c r="F276" s="32"/>
    </row>
    <row r="277" spans="1:14" ht="15.75" customHeight="1">
      <c r="F277" s="32"/>
    </row>
    <row r="278" spans="1:14" ht="15.75" customHeight="1">
      <c r="F278" s="32"/>
    </row>
    <row r="279" spans="1:14" ht="15.75" customHeight="1">
      <c r="F279" s="32"/>
    </row>
    <row r="280" spans="1:14" ht="15.75" customHeight="1">
      <c r="F280" s="32"/>
    </row>
    <row r="281" spans="1:14" ht="15.75" customHeight="1">
      <c r="F281" s="32"/>
    </row>
    <row r="282" spans="1:14" ht="15.75" customHeight="1">
      <c r="F282" s="32"/>
    </row>
    <row r="283" spans="1:14" ht="15.75" customHeight="1">
      <c r="F283" s="32"/>
    </row>
    <row r="284" spans="1:14" ht="15.75" customHeight="1">
      <c r="F284" s="32"/>
    </row>
    <row r="285" spans="1:14" ht="15.75" customHeight="1">
      <c r="F285" s="32"/>
    </row>
    <row r="286" spans="1:14" ht="15.75" customHeight="1">
      <c r="F286" s="32"/>
    </row>
    <row r="287" spans="1:14" ht="15.75" customHeight="1">
      <c r="F287" s="32"/>
    </row>
    <row r="288" spans="1:14" ht="15.75" customHeight="1">
      <c r="F288" s="32"/>
    </row>
    <row r="289" spans="6:6" ht="15.75" customHeight="1">
      <c r="F289" s="32"/>
    </row>
    <row r="290" spans="6:6" ht="15.75" customHeight="1">
      <c r="F290" s="32"/>
    </row>
    <row r="291" spans="6:6" ht="15.75" customHeight="1">
      <c r="F291" s="32"/>
    </row>
    <row r="292" spans="6:6" ht="15.75" customHeight="1">
      <c r="F292" s="32"/>
    </row>
    <row r="293" spans="6:6" ht="15.75" customHeight="1">
      <c r="F293" s="32"/>
    </row>
    <row r="294" spans="6:6" ht="15.75" customHeight="1">
      <c r="F294" s="32"/>
    </row>
    <row r="295" spans="6:6" ht="15.75" customHeight="1">
      <c r="F295" s="32"/>
    </row>
    <row r="296" spans="6:6" ht="15.75" customHeight="1">
      <c r="F296" s="32"/>
    </row>
    <row r="297" spans="6:6" ht="15.75" customHeight="1">
      <c r="F297" s="32"/>
    </row>
    <row r="298" spans="6:6" ht="15.75" customHeight="1">
      <c r="F298" s="32"/>
    </row>
    <row r="299" spans="6:6" ht="15.75" customHeight="1">
      <c r="F299" s="32"/>
    </row>
    <row r="300" spans="6:6" ht="15.75" customHeight="1">
      <c r="F300" s="32"/>
    </row>
    <row r="301" spans="6:6" ht="15.75" customHeight="1">
      <c r="F301" s="32"/>
    </row>
    <row r="302" spans="6:6" ht="15.75" customHeight="1">
      <c r="F302" s="32"/>
    </row>
    <row r="303" spans="6:6" ht="15.75" customHeight="1">
      <c r="F303" s="32"/>
    </row>
    <row r="304" spans="6:6" ht="15.75" customHeight="1">
      <c r="F304" s="32"/>
    </row>
    <row r="305" spans="6:6" ht="15.75" customHeight="1">
      <c r="F305" s="32"/>
    </row>
    <row r="306" spans="6:6" ht="15.75" customHeight="1">
      <c r="F306" s="32"/>
    </row>
    <row r="307" spans="6:6" ht="15.75" customHeight="1">
      <c r="F307" s="32"/>
    </row>
    <row r="308" spans="6:6" ht="15.75" customHeight="1">
      <c r="F308" s="32"/>
    </row>
    <row r="309" spans="6:6" ht="15.75" customHeight="1">
      <c r="F309" s="32"/>
    </row>
    <row r="310" spans="6:6" ht="15.75" customHeight="1">
      <c r="F310" s="32"/>
    </row>
    <row r="311" spans="6:6" ht="15.75" customHeight="1">
      <c r="F311" s="32"/>
    </row>
    <row r="312" spans="6:6" ht="15.75" customHeight="1">
      <c r="F312" s="32"/>
    </row>
    <row r="313" spans="6:6" ht="15.75" customHeight="1">
      <c r="F313" s="32"/>
    </row>
    <row r="314" spans="6:6" ht="15.75" customHeight="1">
      <c r="F314" s="32"/>
    </row>
    <row r="315" spans="6:6" ht="15.75" customHeight="1">
      <c r="F315" s="32"/>
    </row>
    <row r="316" spans="6:6" ht="15.75" customHeight="1">
      <c r="F316" s="32"/>
    </row>
    <row r="317" spans="6:6" ht="15.75" customHeight="1">
      <c r="F317" s="32"/>
    </row>
    <row r="318" spans="6:6" ht="15.75" customHeight="1">
      <c r="F318" s="32"/>
    </row>
    <row r="319" spans="6:6" ht="15.75" customHeight="1">
      <c r="F319" s="32"/>
    </row>
    <row r="320" spans="6:6" ht="15.75" customHeight="1">
      <c r="F320" s="32"/>
    </row>
    <row r="321" spans="6:6" ht="15.75" customHeight="1">
      <c r="F321" s="32"/>
    </row>
    <row r="322" spans="6:6" ht="15.75" customHeight="1">
      <c r="F322" s="32"/>
    </row>
    <row r="323" spans="6:6" ht="15.75" customHeight="1">
      <c r="F323" s="32"/>
    </row>
    <row r="324" spans="6:6" ht="15.75" customHeight="1">
      <c r="F324" s="32"/>
    </row>
    <row r="325" spans="6:6" ht="15.75" customHeight="1">
      <c r="F325" s="32"/>
    </row>
    <row r="326" spans="6:6" ht="15.75" customHeight="1">
      <c r="F326" s="32"/>
    </row>
    <row r="327" spans="6:6" ht="15.75" customHeight="1">
      <c r="F327" s="32"/>
    </row>
    <row r="328" spans="6:6" ht="15.75" customHeight="1">
      <c r="F328" s="32"/>
    </row>
    <row r="329" spans="6:6" ht="15.75" customHeight="1">
      <c r="F329" s="32"/>
    </row>
    <row r="330" spans="6:6" ht="15.75" customHeight="1">
      <c r="F330" s="32"/>
    </row>
    <row r="331" spans="6:6" ht="15.75" customHeight="1">
      <c r="F331" s="32"/>
    </row>
    <row r="332" spans="6:6" ht="15.75" customHeight="1">
      <c r="F332" s="32"/>
    </row>
    <row r="333" spans="6:6" ht="15.75" customHeight="1">
      <c r="F333" s="32"/>
    </row>
    <row r="334" spans="6:6" ht="15.75" customHeight="1">
      <c r="F334" s="32"/>
    </row>
    <row r="335" spans="6:6" ht="15.75" customHeight="1">
      <c r="F335" s="32"/>
    </row>
    <row r="336" spans="6:6" ht="15.75" customHeight="1">
      <c r="F336" s="32"/>
    </row>
    <row r="337" spans="6:6" ht="15.75" customHeight="1">
      <c r="F337" s="32"/>
    </row>
    <row r="338" spans="6:6" ht="15.75" customHeight="1">
      <c r="F338" s="32"/>
    </row>
    <row r="339" spans="6:6" ht="15.75" customHeight="1">
      <c r="F339" s="32"/>
    </row>
    <row r="340" spans="6:6" ht="15.75" customHeight="1">
      <c r="F340" s="32"/>
    </row>
    <row r="341" spans="6:6" ht="15.75" customHeight="1">
      <c r="F341" s="32"/>
    </row>
    <row r="342" spans="6:6" ht="15.75" customHeight="1">
      <c r="F342" s="32"/>
    </row>
    <row r="343" spans="6:6" ht="15.75" customHeight="1">
      <c r="F343" s="32"/>
    </row>
    <row r="344" spans="6:6" ht="15.75" customHeight="1">
      <c r="F344" s="32"/>
    </row>
    <row r="345" spans="6:6" ht="15.75" customHeight="1">
      <c r="F345" s="32"/>
    </row>
    <row r="346" spans="6:6" ht="15.75" customHeight="1">
      <c r="F346" s="32"/>
    </row>
    <row r="347" spans="6:6" ht="15.75" customHeight="1">
      <c r="F347" s="32"/>
    </row>
    <row r="348" spans="6:6" ht="15.75" customHeight="1">
      <c r="F348" s="32"/>
    </row>
    <row r="349" spans="6:6" ht="15.75" customHeight="1">
      <c r="F349" s="32"/>
    </row>
    <row r="350" spans="6:6" ht="15.75" customHeight="1">
      <c r="F350" s="32"/>
    </row>
    <row r="351" spans="6:6" ht="15.75" customHeight="1">
      <c r="F351" s="32"/>
    </row>
    <row r="352" spans="6:6" ht="15.75" customHeight="1">
      <c r="F352" s="32"/>
    </row>
    <row r="353" spans="6:6" ht="15.75" customHeight="1">
      <c r="F353" s="32"/>
    </row>
    <row r="354" spans="6:6" ht="15.75" customHeight="1">
      <c r="F354" s="32"/>
    </row>
    <row r="355" spans="6:6" ht="15.75" customHeight="1">
      <c r="F355" s="32"/>
    </row>
    <row r="356" spans="6:6" ht="15.75" customHeight="1">
      <c r="F356" s="32"/>
    </row>
    <row r="357" spans="6:6" ht="15.75" customHeight="1">
      <c r="F357" s="32"/>
    </row>
    <row r="358" spans="6:6" ht="15.75" customHeight="1">
      <c r="F358" s="32"/>
    </row>
    <row r="359" spans="6:6" ht="15.75" customHeight="1">
      <c r="F359" s="32"/>
    </row>
    <row r="360" spans="6:6" ht="15.75" customHeight="1">
      <c r="F360" s="32"/>
    </row>
    <row r="361" spans="6:6" ht="15.75" customHeight="1">
      <c r="F361" s="32"/>
    </row>
    <row r="362" spans="6:6" ht="15.75" customHeight="1">
      <c r="F362" s="32"/>
    </row>
    <row r="363" spans="6:6" ht="15.75" customHeight="1">
      <c r="F363" s="32"/>
    </row>
    <row r="364" spans="6:6" ht="15.75" customHeight="1">
      <c r="F364" s="32"/>
    </row>
    <row r="365" spans="6:6" ht="15.75" customHeight="1">
      <c r="F365" s="32"/>
    </row>
    <row r="366" spans="6:6" ht="15.75" customHeight="1">
      <c r="F366" s="32"/>
    </row>
    <row r="367" spans="6:6" ht="15.75" customHeight="1">
      <c r="F367" s="32"/>
    </row>
    <row r="368" spans="6:6" ht="15.75" customHeight="1">
      <c r="F368" s="32"/>
    </row>
    <row r="369" spans="6:6" ht="15.75" customHeight="1">
      <c r="F369" s="32"/>
    </row>
    <row r="370" spans="6:6" ht="15.75" customHeight="1">
      <c r="F370" s="32"/>
    </row>
    <row r="371" spans="6:6" ht="15.75" customHeight="1">
      <c r="F371" s="32"/>
    </row>
    <row r="372" spans="6:6" ht="15.75" customHeight="1">
      <c r="F372" s="32"/>
    </row>
    <row r="373" spans="6:6" ht="15.75" customHeight="1">
      <c r="F373" s="32"/>
    </row>
    <row r="374" spans="6:6" ht="15.75" customHeight="1">
      <c r="F374" s="32"/>
    </row>
    <row r="375" spans="6:6" ht="15.75" customHeight="1">
      <c r="F375" s="32"/>
    </row>
    <row r="376" spans="6:6" ht="15.75" customHeight="1">
      <c r="F376" s="32"/>
    </row>
    <row r="377" spans="6:6" ht="15.75" customHeight="1">
      <c r="F377" s="32"/>
    </row>
    <row r="378" spans="6:6" ht="15.75" customHeight="1">
      <c r="F378" s="32"/>
    </row>
    <row r="379" spans="6:6" ht="15.75" customHeight="1">
      <c r="F379" s="32"/>
    </row>
    <row r="380" spans="6:6" ht="15.75" customHeight="1">
      <c r="F380" s="32"/>
    </row>
    <row r="381" spans="6:6" ht="15.75" customHeight="1">
      <c r="F381" s="32"/>
    </row>
    <row r="382" spans="6:6" ht="15.75" customHeight="1">
      <c r="F382" s="32"/>
    </row>
    <row r="383" spans="6:6" ht="15.75" customHeight="1">
      <c r="F383" s="32"/>
    </row>
    <row r="384" spans="6:6" ht="15.75" customHeight="1">
      <c r="F384" s="32"/>
    </row>
    <row r="385" spans="6:6" ht="15.75" customHeight="1">
      <c r="F385" s="32"/>
    </row>
    <row r="386" spans="6:6" ht="15.75" customHeight="1">
      <c r="F386" s="32"/>
    </row>
    <row r="387" spans="6:6" ht="15.75" customHeight="1">
      <c r="F387" s="32"/>
    </row>
    <row r="388" spans="6:6" ht="15.75" customHeight="1">
      <c r="F388" s="32"/>
    </row>
    <row r="389" spans="6:6" ht="15.75" customHeight="1">
      <c r="F389" s="32"/>
    </row>
    <row r="390" spans="6:6" ht="15.75" customHeight="1">
      <c r="F390" s="32"/>
    </row>
    <row r="391" spans="6:6" ht="15.75" customHeight="1">
      <c r="F391" s="32"/>
    </row>
    <row r="392" spans="6:6" ht="15.75" customHeight="1">
      <c r="F392" s="32"/>
    </row>
    <row r="393" spans="6:6" ht="15.75" customHeight="1">
      <c r="F393" s="32"/>
    </row>
    <row r="394" spans="6:6" ht="15.75" customHeight="1">
      <c r="F394" s="32"/>
    </row>
    <row r="395" spans="6:6" ht="15.75" customHeight="1">
      <c r="F395" s="32"/>
    </row>
    <row r="396" spans="6:6" ht="15.75" customHeight="1">
      <c r="F396" s="32"/>
    </row>
    <row r="397" spans="6:6" ht="15.75" customHeight="1">
      <c r="F397" s="32"/>
    </row>
    <row r="398" spans="6:6" ht="15.75" customHeight="1">
      <c r="F398" s="32"/>
    </row>
    <row r="399" spans="6:6" ht="15.75" customHeight="1">
      <c r="F399" s="32"/>
    </row>
    <row r="400" spans="6:6" ht="15.75" customHeight="1">
      <c r="F400" s="32"/>
    </row>
    <row r="401" spans="6:6" ht="15.75" customHeight="1">
      <c r="F401" s="32"/>
    </row>
    <row r="402" spans="6:6" ht="15.75" customHeight="1">
      <c r="F402" s="32"/>
    </row>
    <row r="403" spans="6:6" ht="15.75" customHeight="1">
      <c r="F403" s="32"/>
    </row>
    <row r="404" spans="6:6" ht="15.75" customHeight="1">
      <c r="F404" s="32"/>
    </row>
    <row r="405" spans="6:6" ht="15.75" customHeight="1">
      <c r="F405" s="32"/>
    </row>
    <row r="406" spans="6:6" ht="15.75" customHeight="1">
      <c r="F406" s="32"/>
    </row>
    <row r="407" spans="6:6" ht="15.75" customHeight="1">
      <c r="F407" s="32"/>
    </row>
    <row r="408" spans="6:6" ht="15.75" customHeight="1">
      <c r="F408" s="32"/>
    </row>
    <row r="409" spans="6:6" ht="15.75" customHeight="1">
      <c r="F409" s="32"/>
    </row>
    <row r="410" spans="6:6" ht="15.75" customHeight="1">
      <c r="F410" s="32"/>
    </row>
    <row r="411" spans="6:6" ht="15.75" customHeight="1">
      <c r="F411" s="32"/>
    </row>
    <row r="412" spans="6:6" ht="15.75" customHeight="1">
      <c r="F412" s="32"/>
    </row>
    <row r="413" spans="6:6" ht="15.75" customHeight="1">
      <c r="F413" s="32"/>
    </row>
    <row r="414" spans="6:6" ht="15.75" customHeight="1">
      <c r="F414" s="32"/>
    </row>
    <row r="415" spans="6:6" ht="15.75" customHeight="1">
      <c r="F415" s="32"/>
    </row>
    <row r="416" spans="6:6" ht="15.75" customHeight="1">
      <c r="F416" s="32"/>
    </row>
    <row r="417" spans="6:6" ht="15.75" customHeight="1">
      <c r="F417" s="32"/>
    </row>
    <row r="418" spans="6:6" ht="15.75" customHeight="1">
      <c r="F418" s="32"/>
    </row>
    <row r="419" spans="6:6" ht="15.75" customHeight="1">
      <c r="F419" s="32"/>
    </row>
    <row r="420" spans="6:6" ht="15.75" customHeight="1">
      <c r="F420" s="32"/>
    </row>
    <row r="421" spans="6:6" ht="15.75" customHeight="1">
      <c r="F421" s="32"/>
    </row>
    <row r="422" spans="6:6" ht="15.75" customHeight="1">
      <c r="F422" s="32"/>
    </row>
    <row r="423" spans="6:6" ht="15.75" customHeight="1">
      <c r="F423" s="32"/>
    </row>
    <row r="424" spans="6:6" ht="15.75" customHeight="1">
      <c r="F424" s="32"/>
    </row>
    <row r="425" spans="6:6" ht="15.75" customHeight="1">
      <c r="F425" s="32"/>
    </row>
    <row r="426" spans="6:6" ht="15.75" customHeight="1">
      <c r="F426" s="32"/>
    </row>
    <row r="427" spans="6:6" ht="15.75" customHeight="1">
      <c r="F427" s="32"/>
    </row>
    <row r="428" spans="6:6" ht="15.75" customHeight="1">
      <c r="F428" s="32"/>
    </row>
    <row r="429" spans="6:6" ht="15.75" customHeight="1">
      <c r="F429" s="32"/>
    </row>
    <row r="430" spans="6:6" ht="15.75" customHeight="1">
      <c r="F430" s="32"/>
    </row>
    <row r="431" spans="6:6" ht="15.75" customHeight="1">
      <c r="F431" s="32"/>
    </row>
    <row r="432" spans="6:6" ht="15.75" customHeight="1">
      <c r="F432" s="32"/>
    </row>
    <row r="433" spans="6:6" ht="15.75" customHeight="1">
      <c r="F433" s="32"/>
    </row>
    <row r="434" spans="6:6" ht="15.75" customHeight="1">
      <c r="F434" s="32"/>
    </row>
    <row r="435" spans="6:6" ht="15.75" customHeight="1">
      <c r="F435" s="32"/>
    </row>
    <row r="436" spans="6:6" ht="15.75" customHeight="1">
      <c r="F436" s="32"/>
    </row>
    <row r="437" spans="6:6" ht="15.75" customHeight="1">
      <c r="F437" s="32"/>
    </row>
    <row r="438" spans="6:6" ht="15.75" customHeight="1">
      <c r="F438" s="32"/>
    </row>
    <row r="439" spans="6:6" ht="15.75" customHeight="1">
      <c r="F439" s="32"/>
    </row>
    <row r="440" spans="6:6" ht="15.75" customHeight="1">
      <c r="F440" s="32"/>
    </row>
    <row r="441" spans="6:6" ht="15.75" customHeight="1">
      <c r="F441" s="32"/>
    </row>
    <row r="442" spans="6:6" ht="15.75" customHeight="1">
      <c r="F442" s="32"/>
    </row>
    <row r="443" spans="6:6" ht="15.75" customHeight="1">
      <c r="F443" s="32"/>
    </row>
    <row r="444" spans="6:6" ht="15.75" customHeight="1">
      <c r="F444" s="32"/>
    </row>
    <row r="445" spans="6:6" ht="15.75" customHeight="1">
      <c r="F445" s="32"/>
    </row>
    <row r="446" spans="6:6" ht="15.75" customHeight="1">
      <c r="F446" s="32"/>
    </row>
    <row r="447" spans="6:6" ht="15.75" customHeight="1">
      <c r="F447" s="32"/>
    </row>
    <row r="448" spans="6:6" ht="15.75" customHeight="1">
      <c r="F448" s="32"/>
    </row>
    <row r="449" spans="6:6" ht="15.75" customHeight="1">
      <c r="F449" s="32"/>
    </row>
    <row r="450" spans="6:6" ht="15.75" customHeight="1">
      <c r="F450" s="32"/>
    </row>
    <row r="451" spans="6:6" ht="15.75" customHeight="1">
      <c r="F451" s="32"/>
    </row>
    <row r="452" spans="6:6" ht="15.75" customHeight="1">
      <c r="F452" s="32"/>
    </row>
    <row r="453" spans="6:6" ht="15.75" customHeight="1">
      <c r="F453" s="32"/>
    </row>
    <row r="454" spans="6:6" ht="15.75" customHeight="1">
      <c r="F454" s="32"/>
    </row>
    <row r="455" spans="6:6" ht="15.75" customHeight="1">
      <c r="F455" s="32"/>
    </row>
    <row r="456" spans="6:6" ht="15.75" customHeight="1">
      <c r="F456" s="32"/>
    </row>
    <row r="457" spans="6:6" ht="15.75" customHeight="1">
      <c r="F457" s="32"/>
    </row>
    <row r="458" spans="6:6" ht="15.75" customHeight="1">
      <c r="F458" s="32"/>
    </row>
    <row r="459" spans="6:6" ht="15.75" customHeight="1">
      <c r="F459" s="32"/>
    </row>
    <row r="460" spans="6:6" ht="15.75" customHeight="1">
      <c r="F460" s="32"/>
    </row>
    <row r="461" spans="6:6" ht="15.75" customHeight="1">
      <c r="F461" s="32"/>
    </row>
    <row r="462" spans="6:6" ht="15.75" customHeight="1">
      <c r="F462" s="32"/>
    </row>
    <row r="463" spans="6:6" ht="15.75" customHeight="1">
      <c r="F463" s="32"/>
    </row>
    <row r="464" spans="6:6" ht="15.75" customHeight="1">
      <c r="F464" s="32"/>
    </row>
    <row r="465" spans="6:6" ht="15.75" customHeight="1">
      <c r="F465" s="32"/>
    </row>
    <row r="466" spans="6:6" ht="15.75" customHeight="1">
      <c r="F466" s="32"/>
    </row>
    <row r="467" spans="6:6" ht="15.75" customHeight="1">
      <c r="F467" s="32"/>
    </row>
    <row r="468" spans="6:6" ht="15.75" customHeight="1">
      <c r="F468" s="32"/>
    </row>
    <row r="469" spans="6:6" ht="15.75" customHeight="1">
      <c r="F469" s="32"/>
    </row>
    <row r="470" spans="6:6" ht="15.75" customHeight="1">
      <c r="F470" s="32"/>
    </row>
    <row r="471" spans="6:6" ht="15.75" customHeight="1">
      <c r="F471" s="32"/>
    </row>
    <row r="472" spans="6:6" ht="15.75" customHeight="1">
      <c r="F472" s="32"/>
    </row>
    <row r="473" spans="6:6" ht="15.75" customHeight="1">
      <c r="F473" s="32"/>
    </row>
    <row r="474" spans="6:6" ht="15.75" customHeight="1">
      <c r="F474" s="32"/>
    </row>
    <row r="475" spans="6:6" ht="15.75" customHeight="1">
      <c r="F475" s="32"/>
    </row>
    <row r="476" spans="6:6" ht="15.75" customHeight="1">
      <c r="F476" s="32"/>
    </row>
    <row r="477" spans="6:6" ht="15.75" customHeight="1">
      <c r="F477" s="32"/>
    </row>
    <row r="478" spans="6:6" ht="15.75" customHeight="1">
      <c r="F478" s="32"/>
    </row>
    <row r="479" spans="6:6" ht="15.75" customHeight="1">
      <c r="F479" s="32"/>
    </row>
    <row r="480" spans="6:6" ht="15.75" customHeight="1">
      <c r="F480" s="32"/>
    </row>
    <row r="481" spans="6:6" ht="15.75" customHeight="1">
      <c r="F481" s="32"/>
    </row>
    <row r="482" spans="6:6" ht="15.75" customHeight="1">
      <c r="F482" s="32"/>
    </row>
    <row r="483" spans="6:6" ht="15.75" customHeight="1">
      <c r="F483" s="32"/>
    </row>
    <row r="484" spans="6:6" ht="15.75" customHeight="1">
      <c r="F484" s="32"/>
    </row>
    <row r="485" spans="6:6" ht="15.75" customHeight="1">
      <c r="F485" s="32"/>
    </row>
    <row r="486" spans="6:6" ht="15.75" customHeight="1">
      <c r="F486" s="32"/>
    </row>
    <row r="487" spans="6:6" ht="15.75" customHeight="1">
      <c r="F487" s="32"/>
    </row>
    <row r="488" spans="6:6" ht="15.75" customHeight="1">
      <c r="F488" s="32"/>
    </row>
    <row r="489" spans="6:6" ht="15.75" customHeight="1">
      <c r="F489" s="32"/>
    </row>
    <row r="490" spans="6:6" ht="15.75" customHeight="1">
      <c r="F490" s="32"/>
    </row>
    <row r="491" spans="6:6" ht="15.75" customHeight="1">
      <c r="F491" s="32"/>
    </row>
    <row r="492" spans="6:6" ht="15.75" customHeight="1">
      <c r="F492" s="32"/>
    </row>
    <row r="493" spans="6:6" ht="15.75" customHeight="1">
      <c r="F493" s="32"/>
    </row>
    <row r="494" spans="6:6" ht="15.75" customHeight="1">
      <c r="F494" s="32"/>
    </row>
    <row r="495" spans="6:6" ht="15.75" customHeight="1">
      <c r="F495" s="32"/>
    </row>
    <row r="496" spans="6:6" ht="15.75" customHeight="1">
      <c r="F496" s="32"/>
    </row>
    <row r="497" spans="6:6" ht="15.75" customHeight="1">
      <c r="F497" s="32"/>
    </row>
    <row r="498" spans="6:6" ht="15.75" customHeight="1">
      <c r="F498" s="32"/>
    </row>
    <row r="499" spans="6:6" ht="15.75" customHeight="1">
      <c r="F499" s="32"/>
    </row>
    <row r="500" spans="6:6" ht="15.75" customHeight="1">
      <c r="F500" s="32"/>
    </row>
    <row r="501" spans="6:6" ht="15.75" customHeight="1">
      <c r="F501" s="32"/>
    </row>
    <row r="502" spans="6:6" ht="15.75" customHeight="1">
      <c r="F502" s="32"/>
    </row>
    <row r="503" spans="6:6" ht="15.75" customHeight="1">
      <c r="F503" s="32"/>
    </row>
    <row r="504" spans="6:6" ht="15.75" customHeight="1">
      <c r="F504" s="32"/>
    </row>
    <row r="505" spans="6:6" ht="15.75" customHeight="1">
      <c r="F505" s="32"/>
    </row>
    <row r="506" spans="6:6" ht="15.75" customHeight="1">
      <c r="F506" s="32"/>
    </row>
    <row r="507" spans="6:6" ht="15.75" customHeight="1">
      <c r="F507" s="32"/>
    </row>
    <row r="508" spans="6:6" ht="15.75" customHeight="1">
      <c r="F508" s="32"/>
    </row>
    <row r="509" spans="6:6" ht="15.75" customHeight="1">
      <c r="F509" s="32"/>
    </row>
    <row r="510" spans="6:6" ht="15.75" customHeight="1">
      <c r="F510" s="32"/>
    </row>
    <row r="511" spans="6:6" ht="15.75" customHeight="1">
      <c r="F511" s="32"/>
    </row>
    <row r="512" spans="6:6" ht="15.75" customHeight="1">
      <c r="F512" s="32"/>
    </row>
    <row r="513" spans="6:6" ht="15.75" customHeight="1">
      <c r="F513" s="32"/>
    </row>
    <row r="514" spans="6:6" ht="15.75" customHeight="1">
      <c r="F514" s="32"/>
    </row>
    <row r="515" spans="6:6" ht="15.75" customHeight="1">
      <c r="F515" s="32"/>
    </row>
    <row r="516" spans="6:6" ht="15.75" customHeight="1">
      <c r="F516" s="32"/>
    </row>
    <row r="517" spans="6:6" ht="15.75" customHeight="1">
      <c r="F517" s="32"/>
    </row>
    <row r="518" spans="6:6" ht="15.75" customHeight="1">
      <c r="F518" s="32"/>
    </row>
    <row r="519" spans="6:6" ht="15.75" customHeight="1">
      <c r="F519" s="32"/>
    </row>
    <row r="520" spans="6:6" ht="15.75" customHeight="1">
      <c r="F520" s="32"/>
    </row>
    <row r="521" spans="6:6" ht="15.75" customHeight="1">
      <c r="F521" s="32"/>
    </row>
    <row r="522" spans="6:6" ht="15.75" customHeight="1">
      <c r="F522" s="32"/>
    </row>
    <row r="523" spans="6:6" ht="15.75" customHeight="1">
      <c r="F523" s="32"/>
    </row>
    <row r="524" spans="6:6" ht="15.75" customHeight="1">
      <c r="F524" s="32"/>
    </row>
    <row r="525" spans="6:6" ht="15.75" customHeight="1">
      <c r="F525" s="32"/>
    </row>
    <row r="526" spans="6:6" ht="15.75" customHeight="1">
      <c r="F526" s="32"/>
    </row>
    <row r="527" spans="6:6" ht="15.75" customHeight="1">
      <c r="F527" s="32"/>
    </row>
    <row r="528" spans="6:6" ht="15.75" customHeight="1">
      <c r="F528" s="32"/>
    </row>
    <row r="529" spans="6:6" ht="15.75" customHeight="1">
      <c r="F529" s="32"/>
    </row>
    <row r="530" spans="6:6" ht="15.75" customHeight="1">
      <c r="F530" s="32"/>
    </row>
    <row r="531" spans="6:6" ht="15.75" customHeight="1">
      <c r="F531" s="32"/>
    </row>
    <row r="532" spans="6:6" ht="15.75" customHeight="1">
      <c r="F532" s="32"/>
    </row>
    <row r="533" spans="6:6" ht="15.75" customHeight="1">
      <c r="F533" s="32"/>
    </row>
    <row r="534" spans="6:6" ht="15.75" customHeight="1">
      <c r="F534" s="32"/>
    </row>
    <row r="535" spans="6:6" ht="15.75" customHeight="1">
      <c r="F535" s="32"/>
    </row>
    <row r="536" spans="6:6" ht="15.75" customHeight="1">
      <c r="F536" s="32"/>
    </row>
    <row r="537" spans="6:6" ht="15.75" customHeight="1">
      <c r="F537" s="32"/>
    </row>
    <row r="538" spans="6:6" ht="15.75" customHeight="1">
      <c r="F538" s="32"/>
    </row>
    <row r="539" spans="6:6" ht="15.75" customHeight="1">
      <c r="F539" s="32"/>
    </row>
    <row r="540" spans="6:6" ht="15.75" customHeight="1">
      <c r="F540" s="32"/>
    </row>
    <row r="541" spans="6:6" ht="15.75" customHeight="1">
      <c r="F541" s="32"/>
    </row>
    <row r="542" spans="6:6" ht="15.75" customHeight="1">
      <c r="F542" s="32"/>
    </row>
    <row r="543" spans="6:6" ht="15.75" customHeight="1">
      <c r="F543" s="32"/>
    </row>
    <row r="544" spans="6:6" ht="15.75" customHeight="1">
      <c r="F544" s="32"/>
    </row>
    <row r="545" spans="6:6" ht="15.75" customHeight="1">
      <c r="F545" s="32"/>
    </row>
    <row r="546" spans="6:6" ht="15.75" customHeight="1">
      <c r="F546" s="32"/>
    </row>
    <row r="547" spans="6:6" ht="15.75" customHeight="1">
      <c r="F547" s="32"/>
    </row>
    <row r="548" spans="6:6" ht="15.75" customHeight="1">
      <c r="F548" s="32"/>
    </row>
    <row r="549" spans="6:6" ht="15.75" customHeight="1">
      <c r="F549" s="32"/>
    </row>
    <row r="550" spans="6:6" ht="15.75" customHeight="1">
      <c r="F550" s="32"/>
    </row>
    <row r="551" spans="6:6" ht="15.75" customHeight="1">
      <c r="F551" s="32"/>
    </row>
    <row r="552" spans="6:6" ht="15.75" customHeight="1">
      <c r="F552" s="32"/>
    </row>
    <row r="553" spans="6:6" ht="15.75" customHeight="1">
      <c r="F553" s="32"/>
    </row>
    <row r="554" spans="6:6" ht="15.75" customHeight="1">
      <c r="F554" s="32"/>
    </row>
    <row r="555" spans="6:6" ht="15.75" customHeight="1">
      <c r="F555" s="32"/>
    </row>
    <row r="556" spans="6:6" ht="15.75" customHeight="1">
      <c r="F556" s="32"/>
    </row>
    <row r="557" spans="6:6" ht="15.75" customHeight="1">
      <c r="F557" s="32"/>
    </row>
    <row r="558" spans="6:6" ht="15.75" customHeight="1">
      <c r="F558" s="32"/>
    </row>
    <row r="559" spans="6:6" ht="15.75" customHeight="1">
      <c r="F559" s="32"/>
    </row>
    <row r="560" spans="6:6" ht="15.75" customHeight="1">
      <c r="F560" s="32"/>
    </row>
    <row r="561" spans="6:6" ht="15.75" customHeight="1">
      <c r="F561" s="32"/>
    </row>
    <row r="562" spans="6:6" ht="15.75" customHeight="1">
      <c r="F562" s="32"/>
    </row>
    <row r="563" spans="6:6" ht="15.75" customHeight="1">
      <c r="F563" s="32"/>
    </row>
    <row r="564" spans="6:6" ht="15.75" customHeight="1">
      <c r="F564" s="32"/>
    </row>
    <row r="565" spans="6:6" ht="15.75" customHeight="1">
      <c r="F565" s="32"/>
    </row>
    <row r="566" spans="6:6" ht="15.75" customHeight="1">
      <c r="F566" s="32"/>
    </row>
    <row r="567" spans="6:6" ht="15.75" customHeight="1">
      <c r="F567" s="32"/>
    </row>
    <row r="568" spans="6:6" ht="15.75" customHeight="1">
      <c r="F568" s="32"/>
    </row>
    <row r="569" spans="6:6" ht="15.75" customHeight="1">
      <c r="F569" s="32"/>
    </row>
    <row r="570" spans="6:6" ht="15.75" customHeight="1">
      <c r="F570" s="32"/>
    </row>
    <row r="571" spans="6:6" ht="15.75" customHeight="1">
      <c r="F571" s="32"/>
    </row>
    <row r="572" spans="6:6" ht="15.75" customHeight="1">
      <c r="F572" s="32"/>
    </row>
    <row r="573" spans="6:6" ht="15.75" customHeight="1">
      <c r="F573" s="32"/>
    </row>
    <row r="574" spans="6:6" ht="15.75" customHeight="1">
      <c r="F574" s="32"/>
    </row>
    <row r="575" spans="6:6" ht="15.75" customHeight="1">
      <c r="F575" s="32"/>
    </row>
    <row r="576" spans="6:6" ht="15.75" customHeight="1">
      <c r="F576" s="32"/>
    </row>
    <row r="577" spans="6:6" ht="15.75" customHeight="1">
      <c r="F577" s="32"/>
    </row>
    <row r="578" spans="6:6" ht="15.75" customHeight="1">
      <c r="F578" s="32"/>
    </row>
    <row r="579" spans="6:6" ht="15.75" customHeight="1">
      <c r="F579" s="32"/>
    </row>
    <row r="580" spans="6:6" ht="15.75" customHeight="1">
      <c r="F580" s="32"/>
    </row>
    <row r="581" spans="6:6" ht="15.75" customHeight="1">
      <c r="F581" s="32"/>
    </row>
    <row r="582" spans="6:6" ht="15.75" customHeight="1">
      <c r="F582" s="32"/>
    </row>
    <row r="583" spans="6:6" ht="15.75" customHeight="1">
      <c r="F583" s="32"/>
    </row>
    <row r="584" spans="6:6" ht="15.75" customHeight="1">
      <c r="F584" s="32"/>
    </row>
    <row r="585" spans="6:6" ht="15.75" customHeight="1">
      <c r="F585" s="32"/>
    </row>
    <row r="586" spans="6:6" ht="15.75" customHeight="1">
      <c r="F586" s="32"/>
    </row>
    <row r="587" spans="6:6" ht="15.75" customHeight="1">
      <c r="F587" s="32"/>
    </row>
    <row r="588" spans="6:6" ht="15.75" customHeight="1">
      <c r="F588" s="32"/>
    </row>
    <row r="589" spans="6:6" ht="15.75" customHeight="1">
      <c r="F589" s="32"/>
    </row>
    <row r="590" spans="6:6" ht="15.75" customHeight="1">
      <c r="F590" s="32"/>
    </row>
    <row r="591" spans="6:6" ht="15.75" customHeight="1">
      <c r="F591" s="32"/>
    </row>
    <row r="592" spans="6:6" ht="15.75" customHeight="1">
      <c r="F592" s="32"/>
    </row>
    <row r="593" spans="6:6" ht="15.75" customHeight="1">
      <c r="F593" s="32"/>
    </row>
    <row r="594" spans="6:6" ht="15.75" customHeight="1">
      <c r="F594" s="32"/>
    </row>
    <row r="595" spans="6:6" ht="15.75" customHeight="1">
      <c r="F595" s="32"/>
    </row>
    <row r="596" spans="6:6" ht="15.75" customHeight="1">
      <c r="F596" s="32"/>
    </row>
    <row r="597" spans="6:6" ht="15.75" customHeight="1">
      <c r="F597" s="32"/>
    </row>
    <row r="598" spans="6:6" ht="15.75" customHeight="1">
      <c r="F598" s="32"/>
    </row>
    <row r="599" spans="6:6" ht="15.75" customHeight="1">
      <c r="F599" s="32"/>
    </row>
    <row r="600" spans="6:6" ht="15.75" customHeight="1">
      <c r="F600" s="32"/>
    </row>
    <row r="601" spans="6:6" ht="15.75" customHeight="1">
      <c r="F601" s="32"/>
    </row>
    <row r="602" spans="6:6" ht="15.75" customHeight="1">
      <c r="F602" s="32"/>
    </row>
    <row r="603" spans="6:6" ht="15.75" customHeight="1">
      <c r="F603" s="32"/>
    </row>
    <row r="604" spans="6:6" ht="15.75" customHeight="1">
      <c r="F604" s="32"/>
    </row>
    <row r="605" spans="6:6" ht="15.75" customHeight="1">
      <c r="F605" s="32"/>
    </row>
    <row r="606" spans="6:6" ht="15.75" customHeight="1">
      <c r="F606" s="32"/>
    </row>
    <row r="607" spans="6:6" ht="15.75" customHeight="1">
      <c r="F607" s="32"/>
    </row>
    <row r="608" spans="6:6" ht="15.75" customHeight="1">
      <c r="F608" s="32"/>
    </row>
    <row r="609" spans="6:6" ht="15.75" customHeight="1">
      <c r="F609" s="32"/>
    </row>
    <row r="610" spans="6:6" ht="15.75" customHeight="1">
      <c r="F610" s="32"/>
    </row>
    <row r="611" spans="6:6" ht="15.75" customHeight="1">
      <c r="F611" s="32"/>
    </row>
    <row r="612" spans="6:6" ht="15.75" customHeight="1">
      <c r="F612" s="32"/>
    </row>
    <row r="613" spans="6:6" ht="15.75" customHeight="1">
      <c r="F613" s="32"/>
    </row>
    <row r="614" spans="6:6" ht="15.75" customHeight="1">
      <c r="F614" s="32"/>
    </row>
    <row r="615" spans="6:6" ht="15.75" customHeight="1">
      <c r="F615" s="32"/>
    </row>
    <row r="616" spans="6:6" ht="15.75" customHeight="1">
      <c r="F616" s="32"/>
    </row>
    <row r="617" spans="6:6" ht="15.75" customHeight="1">
      <c r="F617" s="32"/>
    </row>
    <row r="618" spans="6:6" ht="15.75" customHeight="1">
      <c r="F618" s="32"/>
    </row>
    <row r="619" spans="6:6" ht="15.75" customHeight="1">
      <c r="F619" s="32"/>
    </row>
    <row r="620" spans="6:6" ht="15.75" customHeight="1">
      <c r="F620" s="32"/>
    </row>
    <row r="621" spans="6:6" ht="15.75" customHeight="1">
      <c r="F621" s="32"/>
    </row>
    <row r="622" spans="6:6" ht="15.75" customHeight="1">
      <c r="F622" s="32"/>
    </row>
    <row r="623" spans="6:6" ht="15.75" customHeight="1">
      <c r="F623" s="32"/>
    </row>
    <row r="624" spans="6:6" ht="15.75" customHeight="1">
      <c r="F624" s="32"/>
    </row>
    <row r="625" spans="6:6" ht="15.75" customHeight="1">
      <c r="F625" s="32"/>
    </row>
    <row r="626" spans="6:6" ht="15.75" customHeight="1">
      <c r="F626" s="32"/>
    </row>
    <row r="627" spans="6:6" ht="15.75" customHeight="1">
      <c r="F627" s="32"/>
    </row>
    <row r="628" spans="6:6" ht="15.75" customHeight="1">
      <c r="F628" s="32"/>
    </row>
    <row r="629" spans="6:6" ht="15.75" customHeight="1">
      <c r="F629" s="32"/>
    </row>
    <row r="630" spans="6:6" ht="15.75" customHeight="1">
      <c r="F630" s="32"/>
    </row>
    <row r="631" spans="6:6" ht="15.75" customHeight="1">
      <c r="F631" s="32"/>
    </row>
    <row r="632" spans="6:6" ht="15.75" customHeight="1">
      <c r="F632" s="32"/>
    </row>
    <row r="633" spans="6:6" ht="15.75" customHeight="1">
      <c r="F633" s="32"/>
    </row>
    <row r="634" spans="6:6" ht="15.75" customHeight="1">
      <c r="F634" s="32"/>
    </row>
    <row r="635" spans="6:6" ht="15.75" customHeight="1">
      <c r="F635" s="32"/>
    </row>
    <row r="636" spans="6:6" ht="15.75" customHeight="1">
      <c r="F636" s="32"/>
    </row>
    <row r="637" spans="6:6" ht="15.75" customHeight="1">
      <c r="F637" s="32"/>
    </row>
    <row r="638" spans="6:6" ht="15.75" customHeight="1">
      <c r="F638" s="32"/>
    </row>
    <row r="639" spans="6:6" ht="15.75" customHeight="1">
      <c r="F639" s="32"/>
    </row>
    <row r="640" spans="6:6" ht="15.75" customHeight="1">
      <c r="F640" s="32"/>
    </row>
    <row r="641" spans="6:6" ht="15.75" customHeight="1">
      <c r="F641" s="32"/>
    </row>
    <row r="642" spans="6:6" ht="15.75" customHeight="1">
      <c r="F642" s="32"/>
    </row>
    <row r="643" spans="6:6" ht="15.75" customHeight="1">
      <c r="F643" s="32"/>
    </row>
    <row r="644" spans="6:6" ht="15.75" customHeight="1">
      <c r="F644" s="32"/>
    </row>
    <row r="645" spans="6:6" ht="15.75" customHeight="1">
      <c r="F645" s="32"/>
    </row>
    <row r="646" spans="6:6" ht="15.75" customHeight="1">
      <c r="F646" s="32"/>
    </row>
    <row r="647" spans="6:6" ht="15.75" customHeight="1">
      <c r="F647" s="32"/>
    </row>
    <row r="648" spans="6:6" ht="15.75" customHeight="1">
      <c r="F648" s="32"/>
    </row>
    <row r="649" spans="6:6" ht="15.75" customHeight="1">
      <c r="F649" s="32"/>
    </row>
    <row r="650" spans="6:6" ht="15.75" customHeight="1">
      <c r="F650" s="32"/>
    </row>
    <row r="651" spans="6:6" ht="15.75" customHeight="1">
      <c r="F651" s="32"/>
    </row>
    <row r="652" spans="6:6" ht="15.75" customHeight="1">
      <c r="F652" s="32"/>
    </row>
    <row r="653" spans="6:6" ht="15.75" customHeight="1">
      <c r="F653" s="32"/>
    </row>
    <row r="654" spans="6:6" ht="15.75" customHeight="1">
      <c r="F654" s="32"/>
    </row>
    <row r="655" spans="6:6" ht="15.75" customHeight="1">
      <c r="F655" s="32"/>
    </row>
    <row r="656" spans="6:6" ht="15.75" customHeight="1">
      <c r="F656" s="32"/>
    </row>
    <row r="657" spans="6:6" ht="15.75" customHeight="1">
      <c r="F657" s="32"/>
    </row>
    <row r="658" spans="6:6" ht="15.75" customHeight="1">
      <c r="F658" s="32"/>
    </row>
    <row r="659" spans="6:6" ht="15.75" customHeight="1">
      <c r="F659" s="32"/>
    </row>
    <row r="660" spans="6:6" ht="15.75" customHeight="1">
      <c r="F660" s="32"/>
    </row>
    <row r="661" spans="6:6" ht="15.75" customHeight="1">
      <c r="F661" s="32"/>
    </row>
    <row r="662" spans="6:6" ht="15.75" customHeight="1">
      <c r="F662" s="32"/>
    </row>
    <row r="663" spans="6:6" ht="15.75" customHeight="1">
      <c r="F663" s="32"/>
    </row>
    <row r="664" spans="6:6" ht="15.75" customHeight="1">
      <c r="F664" s="32"/>
    </row>
    <row r="665" spans="6:6" ht="15.75" customHeight="1">
      <c r="F665" s="32"/>
    </row>
    <row r="666" spans="6:6" ht="15.75" customHeight="1">
      <c r="F666" s="32"/>
    </row>
    <row r="667" spans="6:6" ht="15.75" customHeight="1">
      <c r="F667" s="32"/>
    </row>
    <row r="668" spans="6:6" ht="15.75" customHeight="1">
      <c r="F668" s="32"/>
    </row>
    <row r="669" spans="6:6" ht="15.75" customHeight="1">
      <c r="F669" s="32"/>
    </row>
    <row r="670" spans="6:6" ht="15.75" customHeight="1">
      <c r="F670" s="32"/>
    </row>
    <row r="671" spans="6:6" ht="15.75" customHeight="1">
      <c r="F671" s="32"/>
    </row>
    <row r="672" spans="6:6" ht="15.75" customHeight="1">
      <c r="F672" s="32"/>
    </row>
    <row r="673" spans="6:6" ht="15.75" customHeight="1">
      <c r="F673" s="32"/>
    </row>
    <row r="674" spans="6:6" ht="15.75" customHeight="1">
      <c r="F674" s="32"/>
    </row>
    <row r="675" spans="6:6" ht="15.75" customHeight="1">
      <c r="F675" s="32"/>
    </row>
    <row r="676" spans="6:6" ht="15.75" customHeight="1">
      <c r="F676" s="32"/>
    </row>
    <row r="677" spans="6:6" ht="15.75" customHeight="1">
      <c r="F677" s="32"/>
    </row>
    <row r="678" spans="6:6" ht="15.75" customHeight="1">
      <c r="F678" s="32"/>
    </row>
    <row r="679" spans="6:6" ht="15.75" customHeight="1">
      <c r="F679" s="32"/>
    </row>
    <row r="680" spans="6:6" ht="15.75" customHeight="1">
      <c r="F680" s="32"/>
    </row>
    <row r="681" spans="6:6" ht="15.75" customHeight="1">
      <c r="F681" s="32"/>
    </row>
    <row r="682" spans="6:6" ht="15.75" customHeight="1">
      <c r="F682" s="32"/>
    </row>
    <row r="683" spans="6:6" ht="15.75" customHeight="1">
      <c r="F683" s="32"/>
    </row>
    <row r="684" spans="6:6" ht="15.75" customHeight="1">
      <c r="F684" s="32"/>
    </row>
    <row r="685" spans="6:6" ht="15.75" customHeight="1">
      <c r="F685" s="32"/>
    </row>
    <row r="686" spans="6:6" ht="15.75" customHeight="1">
      <c r="F686" s="32"/>
    </row>
    <row r="687" spans="6:6" ht="15.75" customHeight="1">
      <c r="F687" s="32"/>
    </row>
    <row r="688" spans="6:6" ht="15.75" customHeight="1">
      <c r="F688" s="32"/>
    </row>
    <row r="689" spans="6:6" ht="15.75" customHeight="1">
      <c r="F689" s="32"/>
    </row>
    <row r="690" spans="6:6" ht="15.75" customHeight="1">
      <c r="F690" s="32"/>
    </row>
    <row r="691" spans="6:6" ht="15.75" customHeight="1">
      <c r="F691" s="32"/>
    </row>
    <row r="692" spans="6:6" ht="15.75" customHeight="1">
      <c r="F692" s="32"/>
    </row>
    <row r="693" spans="6:6" ht="15.75" customHeight="1">
      <c r="F693" s="32"/>
    </row>
    <row r="694" spans="6:6" ht="15.75" customHeight="1">
      <c r="F694" s="32"/>
    </row>
    <row r="695" spans="6:6" ht="15.75" customHeight="1">
      <c r="F695" s="32"/>
    </row>
    <row r="696" spans="6:6" ht="15.75" customHeight="1">
      <c r="F696" s="32"/>
    </row>
    <row r="697" spans="6:6" ht="15.75" customHeight="1">
      <c r="F697" s="32"/>
    </row>
    <row r="698" spans="6:6" ht="15.75" customHeight="1">
      <c r="F698" s="32"/>
    </row>
    <row r="699" spans="6:6" ht="15.75" customHeight="1">
      <c r="F699" s="32"/>
    </row>
    <row r="700" spans="6:6" ht="15.75" customHeight="1">
      <c r="F700" s="32"/>
    </row>
    <row r="701" spans="6:6" ht="15.75" customHeight="1">
      <c r="F701" s="32"/>
    </row>
    <row r="702" spans="6:6" ht="15.75" customHeight="1">
      <c r="F702" s="32"/>
    </row>
    <row r="703" spans="6:6" ht="15.75" customHeight="1">
      <c r="F703" s="32"/>
    </row>
    <row r="704" spans="6:6" ht="15.75" customHeight="1">
      <c r="F704" s="32"/>
    </row>
    <row r="705" spans="6:6" ht="15.75" customHeight="1">
      <c r="F705" s="32"/>
    </row>
    <row r="706" spans="6:6" ht="15.75" customHeight="1">
      <c r="F706" s="32"/>
    </row>
    <row r="707" spans="6:6" ht="15.75" customHeight="1">
      <c r="F707" s="32"/>
    </row>
    <row r="708" spans="6:6" ht="15.75" customHeight="1">
      <c r="F708" s="32"/>
    </row>
    <row r="709" spans="6:6" ht="15.75" customHeight="1">
      <c r="F709" s="32"/>
    </row>
    <row r="710" spans="6:6" ht="15.75" customHeight="1">
      <c r="F710" s="32"/>
    </row>
    <row r="711" spans="6:6" ht="15.75" customHeight="1">
      <c r="F711" s="32"/>
    </row>
    <row r="712" spans="6:6" ht="15.75" customHeight="1">
      <c r="F712" s="32"/>
    </row>
    <row r="713" spans="6:6" ht="15.75" customHeight="1">
      <c r="F713" s="32"/>
    </row>
    <row r="714" spans="6:6" ht="15.75" customHeight="1">
      <c r="F714" s="32"/>
    </row>
    <row r="715" spans="6:6" ht="15.75" customHeight="1">
      <c r="F715" s="32"/>
    </row>
    <row r="716" spans="6:6" ht="15.75" customHeight="1">
      <c r="F716" s="32"/>
    </row>
    <row r="717" spans="6:6" ht="15.75" customHeight="1">
      <c r="F717" s="32"/>
    </row>
    <row r="718" spans="6:6" ht="15.75" customHeight="1">
      <c r="F718" s="32"/>
    </row>
    <row r="719" spans="6:6" ht="15.75" customHeight="1">
      <c r="F719" s="32"/>
    </row>
    <row r="720" spans="6:6" ht="15.75" customHeight="1">
      <c r="F720" s="32"/>
    </row>
    <row r="721" spans="6:6" ht="15.75" customHeight="1">
      <c r="F721" s="32"/>
    </row>
    <row r="722" spans="6:6" ht="15.75" customHeight="1">
      <c r="F722" s="32"/>
    </row>
    <row r="723" spans="6:6" ht="15.75" customHeight="1">
      <c r="F723" s="32"/>
    </row>
    <row r="724" spans="6:6" ht="15.75" customHeight="1">
      <c r="F724" s="32"/>
    </row>
    <row r="725" spans="6:6" ht="15.75" customHeight="1">
      <c r="F725" s="32"/>
    </row>
    <row r="726" spans="6:6" ht="15.75" customHeight="1">
      <c r="F726" s="32"/>
    </row>
    <row r="727" spans="6:6" ht="15.75" customHeight="1">
      <c r="F727" s="32"/>
    </row>
    <row r="728" spans="6:6" ht="15.75" customHeight="1">
      <c r="F728" s="32"/>
    </row>
    <row r="729" spans="6:6" ht="15.75" customHeight="1">
      <c r="F729" s="32"/>
    </row>
    <row r="730" spans="6:6" ht="15.75" customHeight="1">
      <c r="F730" s="32"/>
    </row>
    <row r="731" spans="6:6" ht="15.75" customHeight="1">
      <c r="F731" s="32"/>
    </row>
    <row r="732" spans="6:6" ht="15.75" customHeight="1">
      <c r="F732" s="32"/>
    </row>
    <row r="733" spans="6:6" ht="15.75" customHeight="1">
      <c r="F733" s="32"/>
    </row>
    <row r="734" spans="6:6" ht="15.75" customHeight="1">
      <c r="F734" s="32"/>
    </row>
    <row r="735" spans="6:6" ht="15.75" customHeight="1">
      <c r="F735" s="32"/>
    </row>
    <row r="736" spans="6:6" ht="15.75" customHeight="1">
      <c r="F736" s="32"/>
    </row>
    <row r="737" spans="6:6" ht="15.75" customHeight="1">
      <c r="F737" s="32"/>
    </row>
    <row r="738" spans="6:6" ht="15.75" customHeight="1">
      <c r="F738" s="32"/>
    </row>
    <row r="739" spans="6:6" ht="15.75" customHeight="1">
      <c r="F739" s="32"/>
    </row>
    <row r="740" spans="6:6" ht="15.75" customHeight="1">
      <c r="F740" s="32"/>
    </row>
    <row r="741" spans="6:6" ht="15.75" customHeight="1">
      <c r="F741" s="32"/>
    </row>
    <row r="742" spans="6:6" ht="15.75" customHeight="1">
      <c r="F742" s="32"/>
    </row>
    <row r="743" spans="6:6" ht="15.75" customHeight="1">
      <c r="F743" s="32"/>
    </row>
    <row r="744" spans="6:6" ht="15.75" customHeight="1">
      <c r="F744" s="32"/>
    </row>
    <row r="745" spans="6:6" ht="15.75" customHeight="1">
      <c r="F745" s="32"/>
    </row>
    <row r="746" spans="6:6" ht="15.75" customHeight="1">
      <c r="F746" s="32"/>
    </row>
    <row r="747" spans="6:6" ht="15.75" customHeight="1">
      <c r="F747" s="32"/>
    </row>
    <row r="748" spans="6:6" ht="15.75" customHeight="1">
      <c r="F748" s="32"/>
    </row>
    <row r="749" spans="6:6" ht="15.75" customHeight="1">
      <c r="F749" s="32"/>
    </row>
    <row r="750" spans="6:6" ht="15.75" customHeight="1">
      <c r="F750" s="32"/>
    </row>
    <row r="751" spans="6:6" ht="15.75" customHeight="1">
      <c r="F751" s="32"/>
    </row>
    <row r="752" spans="6:6" ht="15.75" customHeight="1">
      <c r="F752" s="32"/>
    </row>
    <row r="753" spans="6:6" ht="15.75" customHeight="1">
      <c r="F753" s="32"/>
    </row>
    <row r="754" spans="6:6" ht="15.75" customHeight="1">
      <c r="F754" s="32"/>
    </row>
    <row r="755" spans="6:6" ht="15.75" customHeight="1">
      <c r="F755" s="32"/>
    </row>
    <row r="756" spans="6:6" ht="15.75" customHeight="1">
      <c r="F756" s="32"/>
    </row>
    <row r="757" spans="6:6" ht="15.75" customHeight="1">
      <c r="F757" s="32"/>
    </row>
    <row r="758" spans="6:6" ht="15.75" customHeight="1">
      <c r="F758" s="32"/>
    </row>
    <row r="759" spans="6:6" ht="15.75" customHeight="1">
      <c r="F759" s="32"/>
    </row>
    <row r="760" spans="6:6" ht="15.75" customHeight="1">
      <c r="F760" s="32"/>
    </row>
    <row r="761" spans="6:6" ht="15.75" customHeight="1">
      <c r="F761" s="32"/>
    </row>
    <row r="762" spans="6:6" ht="15.75" customHeight="1">
      <c r="F762" s="32"/>
    </row>
    <row r="763" spans="6:6" ht="15.75" customHeight="1">
      <c r="F763" s="32"/>
    </row>
    <row r="764" spans="6:6" ht="15.75" customHeight="1">
      <c r="F764" s="32"/>
    </row>
    <row r="765" spans="6:6" ht="15.75" customHeight="1">
      <c r="F765" s="32"/>
    </row>
    <row r="766" spans="6:6" ht="15.75" customHeight="1">
      <c r="F766" s="32"/>
    </row>
    <row r="767" spans="6:6" ht="15.75" customHeight="1">
      <c r="F767" s="32"/>
    </row>
    <row r="768" spans="6:6" ht="15.75" customHeight="1">
      <c r="F768" s="32"/>
    </row>
    <row r="769" spans="6:6" ht="15.75" customHeight="1">
      <c r="F769" s="32"/>
    </row>
    <row r="770" spans="6:6" ht="15.75" customHeight="1">
      <c r="F770" s="32"/>
    </row>
    <row r="771" spans="6:6" ht="15.75" customHeight="1">
      <c r="F771" s="32"/>
    </row>
    <row r="772" spans="6:6" ht="15.75" customHeight="1">
      <c r="F772" s="32"/>
    </row>
    <row r="773" spans="6:6" ht="15.75" customHeight="1">
      <c r="F773" s="32"/>
    </row>
    <row r="774" spans="6:6" ht="15.75" customHeight="1">
      <c r="F774" s="32"/>
    </row>
    <row r="775" spans="6:6" ht="15.75" customHeight="1">
      <c r="F775" s="32"/>
    </row>
    <row r="776" spans="6:6" ht="15.75" customHeight="1">
      <c r="F776" s="32"/>
    </row>
    <row r="777" spans="6:6" ht="15.75" customHeight="1">
      <c r="F777" s="32"/>
    </row>
    <row r="778" spans="6:6" ht="15.75" customHeight="1">
      <c r="F778" s="32"/>
    </row>
    <row r="779" spans="6:6" ht="15.75" customHeight="1">
      <c r="F779" s="32"/>
    </row>
    <row r="780" spans="6:6" ht="15.75" customHeight="1">
      <c r="F780" s="32"/>
    </row>
    <row r="781" spans="6:6" ht="15.75" customHeight="1">
      <c r="F781" s="32"/>
    </row>
    <row r="782" spans="6:6" ht="15.75" customHeight="1">
      <c r="F782" s="32"/>
    </row>
    <row r="783" spans="6:6" ht="15.75" customHeight="1">
      <c r="F783" s="32"/>
    </row>
    <row r="784" spans="6:6" ht="15.75" customHeight="1">
      <c r="F784" s="32"/>
    </row>
    <row r="785" spans="6:6" ht="15.75" customHeight="1">
      <c r="F785" s="32"/>
    </row>
    <row r="786" spans="6:6" ht="15.75" customHeight="1">
      <c r="F786" s="32"/>
    </row>
    <row r="787" spans="6:6" ht="15.75" customHeight="1">
      <c r="F787" s="32"/>
    </row>
    <row r="788" spans="6:6" ht="15.75" customHeight="1">
      <c r="F788" s="32"/>
    </row>
    <row r="789" spans="6:6" ht="15.75" customHeight="1">
      <c r="F789" s="32"/>
    </row>
    <row r="790" spans="6:6" ht="15.75" customHeight="1">
      <c r="F790" s="32"/>
    </row>
    <row r="791" spans="6:6" ht="15.75" customHeight="1">
      <c r="F791" s="32"/>
    </row>
    <row r="792" spans="6:6" ht="15.75" customHeight="1">
      <c r="F792" s="32"/>
    </row>
    <row r="793" spans="6:6" ht="15.75" customHeight="1">
      <c r="F793" s="32"/>
    </row>
    <row r="794" spans="6:6" ht="15.75" customHeight="1">
      <c r="F794" s="32"/>
    </row>
    <row r="795" spans="6:6" ht="15.75" customHeight="1">
      <c r="F795" s="32"/>
    </row>
    <row r="796" spans="6:6" ht="15.75" customHeight="1">
      <c r="F796" s="32"/>
    </row>
    <row r="797" spans="6:6" ht="15.75" customHeight="1">
      <c r="F797" s="32"/>
    </row>
    <row r="798" spans="6:6" ht="15.75" customHeight="1">
      <c r="F798" s="32"/>
    </row>
    <row r="799" spans="6:6" ht="15.75" customHeight="1">
      <c r="F799" s="32"/>
    </row>
    <row r="800" spans="6:6" ht="15.75" customHeight="1">
      <c r="F800" s="32"/>
    </row>
    <row r="801" spans="6:6" ht="15.75" customHeight="1">
      <c r="F801" s="32"/>
    </row>
    <row r="802" spans="6:6" ht="15.75" customHeight="1">
      <c r="F802" s="32"/>
    </row>
    <row r="803" spans="6:6" ht="15.75" customHeight="1">
      <c r="F803" s="32"/>
    </row>
    <row r="804" spans="6:6" ht="15.75" customHeight="1">
      <c r="F804" s="32"/>
    </row>
    <row r="805" spans="6:6" ht="15.75" customHeight="1">
      <c r="F805" s="32"/>
    </row>
    <row r="806" spans="6:6" ht="15.75" customHeight="1">
      <c r="F806" s="32"/>
    </row>
    <row r="807" spans="6:6" ht="15.75" customHeight="1">
      <c r="F807" s="32"/>
    </row>
    <row r="808" spans="6:6" ht="15.75" customHeight="1">
      <c r="F808" s="32"/>
    </row>
    <row r="809" spans="6:6" ht="15.75" customHeight="1">
      <c r="F809" s="32"/>
    </row>
    <row r="810" spans="6:6" ht="15.75" customHeight="1">
      <c r="F810" s="32"/>
    </row>
    <row r="811" spans="6:6" ht="15.75" customHeight="1">
      <c r="F811" s="32"/>
    </row>
    <row r="812" spans="6:6" ht="15.75" customHeight="1">
      <c r="F812" s="32"/>
    </row>
    <row r="813" spans="6:6" ht="15.75" customHeight="1">
      <c r="F813" s="32"/>
    </row>
    <row r="814" spans="6:6" ht="15.75" customHeight="1">
      <c r="F814" s="32"/>
    </row>
    <row r="815" spans="6:6" ht="15.75" customHeight="1">
      <c r="F815" s="32"/>
    </row>
    <row r="816" spans="6:6" ht="15.75" customHeight="1">
      <c r="F816" s="32"/>
    </row>
    <row r="817" spans="6:6" ht="15.75" customHeight="1">
      <c r="F817" s="32"/>
    </row>
    <row r="818" spans="6:6" ht="15.75" customHeight="1">
      <c r="F818" s="32"/>
    </row>
    <row r="819" spans="6:6" ht="15.75" customHeight="1">
      <c r="F819" s="32"/>
    </row>
    <row r="820" spans="6:6" ht="15.75" customHeight="1">
      <c r="F820" s="32"/>
    </row>
    <row r="821" spans="6:6" ht="15.75" customHeight="1">
      <c r="F821" s="32"/>
    </row>
    <row r="822" spans="6:6" ht="15.75" customHeight="1">
      <c r="F822" s="32"/>
    </row>
    <row r="823" spans="6:6" ht="15.75" customHeight="1">
      <c r="F823" s="32"/>
    </row>
    <row r="824" spans="6:6" ht="15.75" customHeight="1">
      <c r="F824" s="32"/>
    </row>
    <row r="825" spans="6:6" ht="15.75" customHeight="1">
      <c r="F825" s="32"/>
    </row>
    <row r="826" spans="6:6" ht="15.75" customHeight="1">
      <c r="F826" s="32"/>
    </row>
    <row r="827" spans="6:6" ht="15.75" customHeight="1">
      <c r="F827" s="32"/>
    </row>
    <row r="828" spans="6:6" ht="15.75" customHeight="1">
      <c r="F828" s="32"/>
    </row>
    <row r="829" spans="6:6" ht="15.75" customHeight="1">
      <c r="F829" s="32"/>
    </row>
    <row r="830" spans="6:6" ht="15.75" customHeight="1">
      <c r="F830" s="32"/>
    </row>
    <row r="831" spans="6:6" ht="15.75" customHeight="1">
      <c r="F831" s="32"/>
    </row>
    <row r="832" spans="6:6" ht="15.75" customHeight="1">
      <c r="F832" s="32"/>
    </row>
    <row r="833" spans="6:6" ht="15.75" customHeight="1">
      <c r="F833" s="32"/>
    </row>
    <row r="834" spans="6:6" ht="15.75" customHeight="1">
      <c r="F834" s="32"/>
    </row>
    <row r="835" spans="6:6" ht="15.75" customHeight="1">
      <c r="F835" s="32"/>
    </row>
    <row r="836" spans="6:6" ht="15.75" customHeight="1">
      <c r="F836" s="32"/>
    </row>
    <row r="837" spans="6:6" ht="15.75" customHeight="1">
      <c r="F837" s="32"/>
    </row>
    <row r="838" spans="6:6" ht="15.75" customHeight="1">
      <c r="F838" s="32"/>
    </row>
    <row r="839" spans="6:6" ht="15.75" customHeight="1">
      <c r="F839" s="32"/>
    </row>
    <row r="840" spans="6:6" ht="15.75" customHeight="1">
      <c r="F840" s="32"/>
    </row>
    <row r="841" spans="6:6" ht="15.75" customHeight="1">
      <c r="F841" s="32"/>
    </row>
    <row r="842" spans="6:6" ht="15.75" customHeight="1">
      <c r="F842" s="32"/>
    </row>
    <row r="843" spans="6:6" ht="15.75" customHeight="1">
      <c r="F843" s="32"/>
    </row>
    <row r="844" spans="6:6" ht="15.75" customHeight="1">
      <c r="F844" s="32"/>
    </row>
    <row r="845" spans="6:6" ht="15.75" customHeight="1">
      <c r="F845" s="32"/>
    </row>
    <row r="846" spans="6:6" ht="15.75" customHeight="1">
      <c r="F846" s="32"/>
    </row>
    <row r="847" spans="6:6" ht="15.75" customHeight="1">
      <c r="F847" s="32"/>
    </row>
    <row r="848" spans="6:6" ht="15.75" customHeight="1">
      <c r="F848" s="32"/>
    </row>
    <row r="849" spans="6:6" ht="15.75" customHeight="1">
      <c r="F849" s="32"/>
    </row>
    <row r="850" spans="6:6" ht="15.75" customHeight="1">
      <c r="F850" s="32"/>
    </row>
    <row r="851" spans="6:6" ht="15.75" customHeight="1">
      <c r="F851" s="32"/>
    </row>
    <row r="852" spans="6:6" ht="15.75" customHeight="1">
      <c r="F852" s="32"/>
    </row>
    <row r="853" spans="6:6" ht="15.75" customHeight="1">
      <c r="F853" s="32"/>
    </row>
    <row r="854" spans="6:6" ht="15.75" customHeight="1">
      <c r="F854" s="32"/>
    </row>
    <row r="855" spans="6:6" ht="15.75" customHeight="1">
      <c r="F855" s="32"/>
    </row>
    <row r="856" spans="6:6" ht="15.75" customHeight="1">
      <c r="F856" s="32"/>
    </row>
    <row r="857" spans="6:6" ht="15.75" customHeight="1">
      <c r="F857" s="32"/>
    </row>
    <row r="858" spans="6:6" ht="15.75" customHeight="1">
      <c r="F858" s="32"/>
    </row>
    <row r="859" spans="6:6" ht="15.75" customHeight="1">
      <c r="F859" s="32"/>
    </row>
    <row r="860" spans="6:6" ht="15.75" customHeight="1">
      <c r="F860" s="32"/>
    </row>
    <row r="861" spans="6:6" ht="15.75" customHeight="1">
      <c r="F861" s="32"/>
    </row>
    <row r="862" spans="6:6" ht="15.75" customHeight="1">
      <c r="F862" s="32"/>
    </row>
    <row r="863" spans="6:6" ht="15.75" customHeight="1">
      <c r="F863" s="32"/>
    </row>
    <row r="864" spans="6:6" ht="15.75" customHeight="1">
      <c r="F864" s="32"/>
    </row>
    <row r="865" spans="6:6" ht="15.75" customHeight="1">
      <c r="F865" s="32"/>
    </row>
    <row r="866" spans="6:6" ht="15.75" customHeight="1">
      <c r="F866" s="32"/>
    </row>
    <row r="867" spans="6:6" ht="15.75" customHeight="1">
      <c r="F867" s="32"/>
    </row>
    <row r="868" spans="6:6" ht="15.75" customHeight="1">
      <c r="F868" s="32"/>
    </row>
    <row r="869" spans="6:6" ht="15.75" customHeight="1">
      <c r="F869" s="32"/>
    </row>
    <row r="870" spans="6:6" ht="15.75" customHeight="1">
      <c r="F870" s="32"/>
    </row>
    <row r="871" spans="6:6" ht="15.75" customHeight="1">
      <c r="F871" s="32"/>
    </row>
    <row r="872" spans="6:6" ht="15.75" customHeight="1">
      <c r="F872" s="32"/>
    </row>
    <row r="873" spans="6:6" ht="15.75" customHeight="1">
      <c r="F873" s="32"/>
    </row>
    <row r="874" spans="6:6" ht="15.75" customHeight="1">
      <c r="F874" s="32"/>
    </row>
    <row r="875" spans="6:6" ht="15.75" customHeight="1">
      <c r="F875" s="32"/>
    </row>
    <row r="876" spans="6:6" ht="15.75" customHeight="1">
      <c r="F876" s="32"/>
    </row>
    <row r="877" spans="6:6" ht="15.75" customHeight="1">
      <c r="F877" s="32"/>
    </row>
    <row r="878" spans="6:6" ht="15.75" customHeight="1">
      <c r="F878" s="32"/>
    </row>
    <row r="879" spans="6:6" ht="15.75" customHeight="1">
      <c r="F879" s="32"/>
    </row>
    <row r="880" spans="6:6" ht="15.75" customHeight="1">
      <c r="F880" s="32"/>
    </row>
    <row r="881" spans="6:6" ht="15.75" customHeight="1">
      <c r="F881" s="32"/>
    </row>
    <row r="882" spans="6:6" ht="15.75" customHeight="1">
      <c r="F882" s="32"/>
    </row>
    <row r="883" spans="6:6" ht="15.75" customHeight="1">
      <c r="F883" s="32"/>
    </row>
    <row r="884" spans="6:6" ht="15.75" customHeight="1">
      <c r="F884" s="32"/>
    </row>
    <row r="885" spans="6:6" ht="15.75" customHeight="1">
      <c r="F885" s="32"/>
    </row>
    <row r="886" spans="6:6" ht="15.75" customHeight="1">
      <c r="F886" s="32"/>
    </row>
    <row r="887" spans="6:6" ht="15.75" customHeight="1">
      <c r="F887" s="32"/>
    </row>
    <row r="888" spans="6:6" ht="15.75" customHeight="1">
      <c r="F888" s="32"/>
    </row>
    <row r="889" spans="6:6" ht="15.75" customHeight="1">
      <c r="F889" s="32"/>
    </row>
    <row r="890" spans="6:6" ht="15.75" customHeight="1">
      <c r="F890" s="32"/>
    </row>
    <row r="891" spans="6:6" ht="15.75" customHeight="1">
      <c r="F891" s="32"/>
    </row>
    <row r="892" spans="6:6" ht="15.75" customHeight="1">
      <c r="F892" s="32"/>
    </row>
    <row r="893" spans="6:6" ht="15.75" customHeight="1">
      <c r="F893" s="32"/>
    </row>
    <row r="894" spans="6:6" ht="15.75" customHeight="1">
      <c r="F894" s="32"/>
    </row>
    <row r="895" spans="6:6" ht="15.75" customHeight="1">
      <c r="F895" s="32"/>
    </row>
    <row r="896" spans="6:6" ht="15.75" customHeight="1">
      <c r="F896" s="32"/>
    </row>
    <row r="897" spans="6:6" ht="15.75" customHeight="1">
      <c r="F897" s="32"/>
    </row>
    <row r="898" spans="6:6" ht="15.75" customHeight="1">
      <c r="F898" s="32"/>
    </row>
    <row r="899" spans="6:6" ht="15.75" customHeight="1">
      <c r="F899" s="32"/>
    </row>
    <row r="900" spans="6:6" ht="15.75" customHeight="1">
      <c r="F900" s="32"/>
    </row>
    <row r="901" spans="6:6" ht="15.75" customHeight="1">
      <c r="F901" s="32"/>
    </row>
    <row r="902" spans="6:6" ht="15.75" customHeight="1">
      <c r="F902" s="32"/>
    </row>
    <row r="903" spans="6:6" ht="15.75" customHeight="1">
      <c r="F903" s="32"/>
    </row>
    <row r="904" spans="6:6" ht="15.75" customHeight="1">
      <c r="F904" s="32"/>
    </row>
    <row r="905" spans="6:6" ht="15.75" customHeight="1">
      <c r="F905" s="32"/>
    </row>
    <row r="906" spans="6:6" ht="15.75" customHeight="1">
      <c r="F906" s="32"/>
    </row>
    <row r="907" spans="6:6" ht="15.75" customHeight="1">
      <c r="F907" s="32"/>
    </row>
    <row r="908" spans="6:6" ht="15.75" customHeight="1">
      <c r="F908" s="32"/>
    </row>
    <row r="909" spans="6:6" ht="15.75" customHeight="1">
      <c r="F909" s="32"/>
    </row>
    <row r="910" spans="6:6" ht="15.75" customHeight="1">
      <c r="F910" s="32"/>
    </row>
    <row r="911" spans="6:6" ht="15.75" customHeight="1">
      <c r="F911" s="32"/>
    </row>
    <row r="912" spans="6:6" ht="15.75" customHeight="1">
      <c r="F912" s="32"/>
    </row>
    <row r="913" spans="6:6" ht="15.75" customHeight="1">
      <c r="F913" s="32"/>
    </row>
    <row r="914" spans="6:6" ht="15.75" customHeight="1">
      <c r="F914" s="32"/>
    </row>
    <row r="915" spans="6:6" ht="15.75" customHeight="1">
      <c r="F915" s="32"/>
    </row>
    <row r="916" spans="6:6" ht="15.75" customHeight="1">
      <c r="F916" s="32"/>
    </row>
    <row r="917" spans="6:6" ht="15.75" customHeight="1">
      <c r="F917" s="32"/>
    </row>
    <row r="918" spans="6:6" ht="15.75" customHeight="1">
      <c r="F918" s="32"/>
    </row>
    <row r="919" spans="6:6" ht="15.75" customHeight="1">
      <c r="F919" s="32"/>
    </row>
    <row r="920" spans="6:6" ht="15.75" customHeight="1">
      <c r="F920" s="32"/>
    </row>
    <row r="921" spans="6:6" ht="15.75" customHeight="1">
      <c r="F921" s="32"/>
    </row>
    <row r="922" spans="6:6" ht="15.75" customHeight="1">
      <c r="F922" s="32"/>
    </row>
    <row r="923" spans="6:6" ht="15.75" customHeight="1">
      <c r="F923" s="32"/>
    </row>
    <row r="924" spans="6:6" ht="15.75" customHeight="1">
      <c r="F924" s="32"/>
    </row>
    <row r="925" spans="6:6" ht="15.75" customHeight="1">
      <c r="F925" s="32"/>
    </row>
    <row r="926" spans="6:6" ht="15.75" customHeight="1">
      <c r="F926" s="32"/>
    </row>
    <row r="927" spans="6:6" ht="15.75" customHeight="1">
      <c r="F927" s="32"/>
    </row>
    <row r="928" spans="6:6" ht="15.75" customHeight="1">
      <c r="F928" s="32"/>
    </row>
    <row r="929" spans="6:6" ht="15.75" customHeight="1">
      <c r="F929" s="32"/>
    </row>
    <row r="930" spans="6:6" ht="15.75" customHeight="1">
      <c r="F930" s="32"/>
    </row>
    <row r="931" spans="6:6" ht="15.75" customHeight="1">
      <c r="F931" s="32"/>
    </row>
    <row r="932" spans="6:6" ht="15.75" customHeight="1">
      <c r="F932" s="32"/>
    </row>
    <row r="933" spans="6:6" ht="15.75" customHeight="1">
      <c r="F933" s="32"/>
    </row>
    <row r="934" spans="6:6" ht="15.75" customHeight="1">
      <c r="F934" s="32"/>
    </row>
    <row r="935" spans="6:6" ht="15.75" customHeight="1">
      <c r="F935" s="32"/>
    </row>
    <row r="936" spans="6:6" ht="15.75" customHeight="1">
      <c r="F936" s="32"/>
    </row>
    <row r="937" spans="6:6" ht="15.75" customHeight="1">
      <c r="F937" s="32"/>
    </row>
    <row r="938" spans="6:6" ht="15.75" customHeight="1">
      <c r="F938" s="32"/>
    </row>
    <row r="939" spans="6:6" ht="15.75" customHeight="1">
      <c r="F939" s="32"/>
    </row>
    <row r="940" spans="6:6" ht="15.75" customHeight="1">
      <c r="F940" s="32"/>
    </row>
    <row r="941" spans="6:6" ht="15.75" customHeight="1">
      <c r="F941" s="32"/>
    </row>
    <row r="942" spans="6:6" ht="15.75" customHeight="1">
      <c r="F942" s="32"/>
    </row>
    <row r="943" spans="6:6" ht="15.75" customHeight="1">
      <c r="F943" s="32"/>
    </row>
    <row r="944" spans="6:6" ht="15.75" customHeight="1">
      <c r="F944" s="32"/>
    </row>
    <row r="945" spans="6:6" ht="15.75" customHeight="1">
      <c r="F945" s="32"/>
    </row>
    <row r="946" spans="6:6" ht="15.75" customHeight="1">
      <c r="F946" s="32"/>
    </row>
    <row r="947" spans="6:6" ht="15.75" customHeight="1">
      <c r="F947" s="32"/>
    </row>
    <row r="948" spans="6:6" ht="15.75" customHeight="1">
      <c r="F948" s="32"/>
    </row>
    <row r="949" spans="6:6" ht="15.75" customHeight="1">
      <c r="F949" s="32"/>
    </row>
    <row r="950" spans="6:6" ht="15.75" customHeight="1">
      <c r="F950" s="32"/>
    </row>
    <row r="951" spans="6:6" ht="15.75" customHeight="1">
      <c r="F951" s="32"/>
    </row>
    <row r="952" spans="6:6" ht="15.75" customHeight="1">
      <c r="F952" s="32"/>
    </row>
    <row r="953" spans="6:6" ht="15.75" customHeight="1">
      <c r="F953" s="32"/>
    </row>
    <row r="954" spans="6:6" ht="15.75" customHeight="1">
      <c r="F954" s="32"/>
    </row>
    <row r="955" spans="6:6" ht="15.75" customHeight="1">
      <c r="F955" s="32"/>
    </row>
    <row r="956" spans="6:6" ht="15.75" customHeight="1">
      <c r="F956" s="32"/>
    </row>
    <row r="957" spans="6:6" ht="15.75" customHeight="1">
      <c r="F957" s="32"/>
    </row>
    <row r="958" spans="6:6" ht="15.75" customHeight="1">
      <c r="F958" s="32"/>
    </row>
    <row r="959" spans="6:6" ht="15.75" customHeight="1">
      <c r="F959" s="32"/>
    </row>
    <row r="960" spans="6:6" ht="15.75" customHeight="1">
      <c r="F960" s="32"/>
    </row>
    <row r="961" spans="6:6" ht="15.75" customHeight="1">
      <c r="F961" s="32"/>
    </row>
    <row r="962" spans="6:6" ht="15.75" customHeight="1">
      <c r="F962" s="32"/>
    </row>
    <row r="963" spans="6:6" ht="15.75" customHeight="1">
      <c r="F963" s="32"/>
    </row>
    <row r="964" spans="6:6" ht="15.75" customHeight="1">
      <c r="F964" s="32"/>
    </row>
    <row r="965" spans="6:6" ht="15.75" customHeight="1">
      <c r="F965" s="32"/>
    </row>
    <row r="966" spans="6:6" ht="15.75" customHeight="1">
      <c r="F966" s="32"/>
    </row>
    <row r="967" spans="6:6" ht="15.75" customHeight="1">
      <c r="F967" s="32"/>
    </row>
    <row r="968" spans="6:6" ht="15.75" customHeight="1">
      <c r="F968" s="32"/>
    </row>
    <row r="969" spans="6:6" ht="15.75" customHeight="1">
      <c r="F969" s="32"/>
    </row>
    <row r="970" spans="6:6" ht="15.75" customHeight="1">
      <c r="F970" s="32"/>
    </row>
    <row r="971" spans="6:6" ht="15.75" customHeight="1">
      <c r="F971" s="32"/>
    </row>
    <row r="972" spans="6:6" ht="15.75" customHeight="1">
      <c r="F972" s="32"/>
    </row>
    <row r="973" spans="6:6" ht="15.75" customHeight="1">
      <c r="F973" s="32"/>
    </row>
    <row r="974" spans="6:6" ht="15.75" customHeight="1">
      <c r="F974" s="32"/>
    </row>
    <row r="975" spans="6:6" ht="15.75" customHeight="1">
      <c r="F975" s="32"/>
    </row>
    <row r="976" spans="6:6" ht="15.75" customHeight="1">
      <c r="F976" s="32"/>
    </row>
    <row r="977" spans="6:6" ht="15.75" customHeight="1">
      <c r="F977" s="32"/>
    </row>
    <row r="978" spans="6:6" ht="15.75" customHeight="1">
      <c r="F978" s="32"/>
    </row>
    <row r="979" spans="6:6" ht="15.75" customHeight="1">
      <c r="F979" s="32"/>
    </row>
    <row r="980" spans="6:6" ht="15.75" customHeight="1">
      <c r="F980" s="32"/>
    </row>
    <row r="981" spans="6:6" ht="15.75" customHeight="1">
      <c r="F981" s="32"/>
    </row>
    <row r="982" spans="6:6" ht="15.75" customHeight="1">
      <c r="F982" s="32"/>
    </row>
    <row r="983" spans="6:6" ht="15.75" customHeight="1">
      <c r="F983" s="32"/>
    </row>
    <row r="984" spans="6:6" ht="15.75" customHeight="1">
      <c r="F984" s="32"/>
    </row>
    <row r="985" spans="6:6" ht="15.75" customHeight="1">
      <c r="F985" s="32"/>
    </row>
    <row r="986" spans="6:6" ht="15.75" customHeight="1">
      <c r="F986" s="32"/>
    </row>
    <row r="987" spans="6:6" ht="15.75" customHeight="1">
      <c r="F987" s="32"/>
    </row>
    <row r="988" spans="6:6" ht="15.75" customHeight="1">
      <c r="F988" s="32"/>
    </row>
    <row r="989" spans="6:6" ht="15.75" customHeight="1">
      <c r="F989" s="32"/>
    </row>
    <row r="990" spans="6:6" ht="15.75" customHeight="1">
      <c r="F990" s="32"/>
    </row>
    <row r="991" spans="6:6" ht="15.75" customHeight="1">
      <c r="F991" s="32"/>
    </row>
    <row r="992" spans="6:6" ht="15.75" customHeight="1">
      <c r="F992" s="32"/>
    </row>
    <row r="993" spans="6:6" ht="15.75" customHeight="1">
      <c r="F993" s="32"/>
    </row>
    <row r="994" spans="6:6" ht="15.75" customHeight="1">
      <c r="F994" s="32"/>
    </row>
    <row r="995" spans="6:6" ht="15.75" customHeight="1">
      <c r="F995" s="32"/>
    </row>
    <row r="996" spans="6:6" ht="15.75" customHeight="1">
      <c r="F996" s="32"/>
    </row>
    <row r="997" spans="6:6" ht="15.75" customHeight="1">
      <c r="F997" s="32"/>
    </row>
    <row r="998" spans="6:6" ht="15.75" customHeight="1">
      <c r="F998" s="32"/>
    </row>
    <row r="999" spans="6:6" ht="15.75" customHeight="1">
      <c r="F999" s="32"/>
    </row>
  </sheetData>
  <phoneticPr fontId="22" type="noConversion"/>
  <pageMargins left="0.7" right="0.7" top="0.75" bottom="0.75" header="0" footer="0"/>
  <pageSetup paperSize="9"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999"/>
  <sheetViews>
    <sheetView workbookViewId="0">
      <pane ySplit="1" topLeftCell="A50" activePane="bottomLeft" state="frozen"/>
      <selection pane="bottomLeft"/>
    </sheetView>
  </sheetViews>
  <sheetFormatPr defaultColWidth="14.42578125" defaultRowHeight="15" customHeight="1"/>
  <cols>
    <col min="1" max="1" width="67.28515625" customWidth="1"/>
    <col min="2" max="2" width="20.7109375" customWidth="1"/>
    <col min="3" max="3" width="16.42578125" customWidth="1"/>
    <col min="4" max="4" width="12.85546875" customWidth="1"/>
    <col min="5" max="5" width="15.5703125" customWidth="1"/>
    <col min="6" max="6" width="12.7109375" customWidth="1"/>
    <col min="7" max="7" width="19.28515625" customWidth="1"/>
    <col min="8" max="8" width="35.7109375" customWidth="1"/>
    <col min="9" max="9" width="18.85546875" customWidth="1"/>
    <col min="10" max="10" width="21.7109375" customWidth="1"/>
    <col min="11" max="11" width="18.7109375" customWidth="1"/>
    <col min="12" max="12" width="24.42578125" customWidth="1"/>
    <col min="13" max="13" width="37.42578125" customWidth="1"/>
    <col min="14" max="14" width="9.140625" customWidth="1"/>
    <col min="15" max="32" width="8.7109375" customWidth="1"/>
  </cols>
  <sheetData>
    <row r="1" spans="1:14" ht="15.75" customHeight="1">
      <c r="A1" s="90" t="s">
        <v>691</v>
      </c>
      <c r="B1" s="2" t="s">
        <v>5</v>
      </c>
      <c r="C1" s="3" t="s">
        <v>6</v>
      </c>
      <c r="D1" s="91" t="s">
        <v>0</v>
      </c>
      <c r="E1" s="92" t="s">
        <v>1</v>
      </c>
      <c r="F1" s="92" t="s">
        <v>2</v>
      </c>
      <c r="G1" s="4" t="s">
        <v>7</v>
      </c>
      <c r="H1" s="4" t="s">
        <v>3</v>
      </c>
      <c r="I1" s="5" t="s">
        <v>8</v>
      </c>
      <c r="J1" s="5" t="s">
        <v>9</v>
      </c>
      <c r="K1" s="5" t="s">
        <v>10</v>
      </c>
      <c r="L1" s="48" t="s">
        <v>11</v>
      </c>
      <c r="M1" s="48" t="s">
        <v>12</v>
      </c>
      <c r="N1" s="6"/>
    </row>
    <row r="2" spans="1:14" ht="15.75" customHeight="1">
      <c r="A2" s="29" t="s">
        <v>692</v>
      </c>
      <c r="B2" s="30" t="s">
        <v>16</v>
      </c>
      <c r="C2" s="30" t="s">
        <v>53</v>
      </c>
      <c r="D2" s="93" t="s">
        <v>693</v>
      </c>
      <c r="E2" s="93" t="s">
        <v>57</v>
      </c>
      <c r="F2" s="93" t="s">
        <v>53</v>
      </c>
      <c r="G2" s="94" t="s">
        <v>53</v>
      </c>
      <c r="H2" s="94" t="s">
        <v>53</v>
      </c>
      <c r="I2" s="122">
        <f t="shared" ref="I2:I10" si="0">_xlfn.LET(
_xlpm.full,2,
_xlpm.ans0,$C2&amp;"",
_xlpm.resp0,D2&amp;"",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2" s="122">
        <f t="shared" ref="J2:M10" si="1">_xlfn.LET(
_xlpm.full,2,
_xlpm.ans0,$C2&amp;"",
_xlpm.resp0,E2&amp;"",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K2" s="122">
        <f t="shared" si="1"/>
        <v>2</v>
      </c>
      <c r="L2" s="122">
        <f t="shared" si="1"/>
        <v>2</v>
      </c>
      <c r="M2" s="122">
        <f t="shared" si="1"/>
        <v>2</v>
      </c>
      <c r="N2" s="6"/>
    </row>
    <row r="3" spans="1:14" ht="15.75" customHeight="1">
      <c r="A3" s="29" t="s">
        <v>694</v>
      </c>
      <c r="B3" s="30" t="s">
        <v>16</v>
      </c>
      <c r="C3" s="30" t="s">
        <v>21</v>
      </c>
      <c r="D3" s="95" t="s">
        <v>14</v>
      </c>
      <c r="E3" s="95" t="s">
        <v>22</v>
      </c>
      <c r="F3" s="95" t="s">
        <v>21</v>
      </c>
      <c r="G3" s="94" t="s">
        <v>695</v>
      </c>
      <c r="H3" s="94" t="s">
        <v>695</v>
      </c>
      <c r="I3" s="122">
        <f t="shared" si="0"/>
        <v>0</v>
      </c>
      <c r="J3" s="122">
        <f t="shared" si="1"/>
        <v>0</v>
      </c>
      <c r="K3" s="122">
        <f t="shared" si="1"/>
        <v>2</v>
      </c>
      <c r="L3" s="122">
        <f t="shared" si="1"/>
        <v>0</v>
      </c>
      <c r="M3" s="122">
        <f t="shared" si="1"/>
        <v>0</v>
      </c>
      <c r="N3" s="50"/>
    </row>
    <row r="4" spans="1:14" ht="15.75" customHeight="1">
      <c r="A4" s="29" t="s">
        <v>696</v>
      </c>
      <c r="B4" s="30"/>
      <c r="C4" s="30" t="s">
        <v>14</v>
      </c>
      <c r="D4" s="95" t="s">
        <v>14</v>
      </c>
      <c r="E4" s="95" t="s">
        <v>14</v>
      </c>
      <c r="F4" s="95" t="s">
        <v>14</v>
      </c>
      <c r="G4" s="94" t="s">
        <v>14</v>
      </c>
      <c r="H4" s="94" t="s">
        <v>14</v>
      </c>
      <c r="I4" s="122">
        <f t="shared" si="0"/>
        <v>2</v>
      </c>
      <c r="J4" s="122">
        <f t="shared" si="1"/>
        <v>2</v>
      </c>
      <c r="K4" s="122">
        <f t="shared" si="1"/>
        <v>2</v>
      </c>
      <c r="L4" s="122">
        <f t="shared" si="1"/>
        <v>2</v>
      </c>
      <c r="M4" s="122">
        <f t="shared" si="1"/>
        <v>2</v>
      </c>
      <c r="N4" s="50"/>
    </row>
    <row r="5" spans="1:14" ht="15.75" customHeight="1">
      <c r="A5" s="29" t="s">
        <v>697</v>
      </c>
      <c r="B5" s="30"/>
      <c r="C5" s="30" t="s">
        <v>22</v>
      </c>
      <c r="D5" s="95" t="s">
        <v>22</v>
      </c>
      <c r="E5" s="95" t="s">
        <v>22</v>
      </c>
      <c r="F5" s="95" t="s">
        <v>22</v>
      </c>
      <c r="G5" s="94" t="s">
        <v>22</v>
      </c>
      <c r="H5" s="94" t="s">
        <v>695</v>
      </c>
      <c r="I5" s="122">
        <f t="shared" si="0"/>
        <v>2</v>
      </c>
      <c r="J5" s="122">
        <f t="shared" si="1"/>
        <v>2</v>
      </c>
      <c r="K5" s="122">
        <f t="shared" si="1"/>
        <v>2</v>
      </c>
      <c r="L5" s="122">
        <f t="shared" si="1"/>
        <v>2</v>
      </c>
      <c r="M5" s="122">
        <f t="shared" si="1"/>
        <v>0</v>
      </c>
      <c r="N5" s="6"/>
    </row>
    <row r="6" spans="1:14" ht="15.75" customHeight="1">
      <c r="A6" s="29" t="s">
        <v>698</v>
      </c>
      <c r="B6" s="30" t="s">
        <v>16</v>
      </c>
      <c r="C6" s="30" t="s">
        <v>54</v>
      </c>
      <c r="D6" s="95" t="s">
        <v>52</v>
      </c>
      <c r="E6" s="95" t="s">
        <v>54</v>
      </c>
      <c r="F6" s="95" t="s">
        <v>53</v>
      </c>
      <c r="G6" s="94" t="s">
        <v>54</v>
      </c>
      <c r="H6" s="94" t="s">
        <v>54</v>
      </c>
      <c r="I6" s="122">
        <f t="shared" si="0"/>
        <v>0.4</v>
      </c>
      <c r="J6" s="122">
        <f t="shared" si="1"/>
        <v>2</v>
      </c>
      <c r="K6" s="122">
        <f t="shared" si="1"/>
        <v>0.4</v>
      </c>
      <c r="L6" s="122">
        <f t="shared" si="1"/>
        <v>2</v>
      </c>
      <c r="M6" s="122">
        <f t="shared" si="1"/>
        <v>2</v>
      </c>
      <c r="N6" s="6"/>
    </row>
    <row r="7" spans="1:14" ht="15.75" customHeight="1">
      <c r="A7" s="29" t="s">
        <v>699</v>
      </c>
      <c r="B7" s="30"/>
      <c r="C7" s="30" t="s">
        <v>52</v>
      </c>
      <c r="D7" s="95" t="s">
        <v>102</v>
      </c>
      <c r="E7" s="95" t="s">
        <v>52</v>
      </c>
      <c r="F7" s="95" t="s">
        <v>52</v>
      </c>
      <c r="G7" s="94" t="s">
        <v>52</v>
      </c>
      <c r="H7" s="94" t="s">
        <v>52</v>
      </c>
      <c r="I7" s="122">
        <f t="shared" si="0"/>
        <v>0.4</v>
      </c>
      <c r="J7" s="122">
        <f t="shared" si="1"/>
        <v>2</v>
      </c>
      <c r="K7" s="122">
        <f t="shared" si="1"/>
        <v>2</v>
      </c>
      <c r="L7" s="122">
        <f t="shared" si="1"/>
        <v>2</v>
      </c>
      <c r="M7" s="122">
        <f t="shared" si="1"/>
        <v>2</v>
      </c>
      <c r="N7" s="6"/>
    </row>
    <row r="8" spans="1:14" ht="15.75" customHeight="1">
      <c r="A8" s="29" t="s">
        <v>700</v>
      </c>
      <c r="B8" s="30" t="s">
        <v>34</v>
      </c>
      <c r="C8" s="30" t="s">
        <v>19</v>
      </c>
      <c r="D8" s="95" t="s">
        <v>48</v>
      </c>
      <c r="E8" s="95" t="s">
        <v>19</v>
      </c>
      <c r="F8" s="95" t="s">
        <v>19</v>
      </c>
      <c r="G8" s="94" t="s">
        <v>19</v>
      </c>
      <c r="H8" s="94" t="s">
        <v>19</v>
      </c>
      <c r="I8" s="122">
        <f t="shared" si="0"/>
        <v>0</v>
      </c>
      <c r="J8" s="122">
        <f t="shared" si="1"/>
        <v>2</v>
      </c>
      <c r="K8" s="122">
        <f t="shared" si="1"/>
        <v>2</v>
      </c>
      <c r="L8" s="122">
        <f t="shared" si="1"/>
        <v>2</v>
      </c>
      <c r="M8" s="122">
        <f t="shared" si="1"/>
        <v>2</v>
      </c>
      <c r="N8" s="6"/>
    </row>
    <row r="9" spans="1:14" ht="15.75" customHeight="1">
      <c r="A9" s="29" t="s">
        <v>701</v>
      </c>
      <c r="B9" s="30"/>
      <c r="C9" s="30" t="s">
        <v>702</v>
      </c>
      <c r="D9" s="95" t="s">
        <v>702</v>
      </c>
      <c r="E9" s="95" t="s">
        <v>702</v>
      </c>
      <c r="F9" s="95" t="s">
        <v>702</v>
      </c>
      <c r="G9" s="94" t="s">
        <v>702</v>
      </c>
      <c r="H9" s="94" t="s">
        <v>702</v>
      </c>
      <c r="I9" s="122">
        <f t="shared" si="0"/>
        <v>2</v>
      </c>
      <c r="J9" s="122">
        <f t="shared" si="1"/>
        <v>2</v>
      </c>
      <c r="K9" s="122">
        <f t="shared" si="1"/>
        <v>2</v>
      </c>
      <c r="L9" s="122">
        <f t="shared" si="1"/>
        <v>2</v>
      </c>
      <c r="M9" s="122">
        <f t="shared" si="1"/>
        <v>2</v>
      </c>
      <c r="N9" s="6"/>
    </row>
    <row r="10" spans="1:14" ht="15.75" customHeight="1">
      <c r="A10" s="29" t="s">
        <v>703</v>
      </c>
      <c r="B10" s="30"/>
      <c r="C10" s="30" t="s">
        <v>14</v>
      </c>
      <c r="D10" s="95" t="s">
        <v>55</v>
      </c>
      <c r="E10" s="95" t="s">
        <v>14</v>
      </c>
      <c r="F10" s="95" t="s">
        <v>14</v>
      </c>
      <c r="G10" s="94" t="s">
        <v>14</v>
      </c>
      <c r="H10" s="94" t="s">
        <v>14</v>
      </c>
      <c r="I10" s="122">
        <f t="shared" si="0"/>
        <v>0</v>
      </c>
      <c r="J10" s="122">
        <f t="shared" si="1"/>
        <v>2</v>
      </c>
      <c r="K10" s="122">
        <f t="shared" si="1"/>
        <v>2</v>
      </c>
      <c r="L10" s="122">
        <f t="shared" si="1"/>
        <v>2</v>
      </c>
      <c r="M10" s="122">
        <f t="shared" si="1"/>
        <v>2</v>
      </c>
      <c r="N10" s="6"/>
    </row>
    <row r="11" spans="1:14" ht="15.75" customHeight="1">
      <c r="A11" s="96" t="s">
        <v>704</v>
      </c>
      <c r="B11" s="97"/>
      <c r="C11" s="97" t="s">
        <v>294</v>
      </c>
      <c r="D11" s="98"/>
      <c r="E11" s="98"/>
      <c r="F11" s="98"/>
      <c r="G11" s="98"/>
      <c r="H11" s="98"/>
      <c r="I11" s="99"/>
      <c r="J11" s="99"/>
      <c r="K11" s="99"/>
      <c r="L11" s="99"/>
      <c r="M11" s="99"/>
      <c r="N11" s="6"/>
    </row>
    <row r="12" spans="1:14" ht="15.75" customHeight="1">
      <c r="A12" s="29" t="s">
        <v>705</v>
      </c>
      <c r="B12" s="30" t="s">
        <v>16</v>
      </c>
      <c r="C12" s="30" t="s">
        <v>19</v>
      </c>
      <c r="D12" s="95" t="s">
        <v>19</v>
      </c>
      <c r="E12" s="95" t="s">
        <v>19</v>
      </c>
      <c r="F12" s="95" t="s">
        <v>19</v>
      </c>
      <c r="G12" s="94" t="s">
        <v>19</v>
      </c>
      <c r="H12" s="94" t="s">
        <v>19</v>
      </c>
      <c r="I12" s="122">
        <f t="shared" ref="I12:I26" si="2">_xlfn.LET(
_xlpm.full,2,
_xlpm.ans0,$C12&amp;"",
_xlpm.resp0,D12&amp;"",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12" s="122">
        <f t="shared" ref="J12:M26" si="3">_xlfn.LET(
_xlpm.full,2,
_xlpm.ans0,$C12&amp;"",
_xlpm.resp0,E12&amp;"",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12" s="122">
        <f t="shared" si="3"/>
        <v>2</v>
      </c>
      <c r="L12" s="122">
        <f t="shared" si="3"/>
        <v>2</v>
      </c>
      <c r="M12" s="122">
        <f t="shared" si="3"/>
        <v>2</v>
      </c>
      <c r="N12" s="6"/>
    </row>
    <row r="13" spans="1:14" ht="15.75" customHeight="1">
      <c r="A13" s="29" t="s">
        <v>706</v>
      </c>
      <c r="B13" s="30"/>
      <c r="C13" s="30" t="s">
        <v>55</v>
      </c>
      <c r="D13" s="95" t="s">
        <v>55</v>
      </c>
      <c r="E13" s="95" t="s">
        <v>55</v>
      </c>
      <c r="F13" s="95" t="s">
        <v>55</v>
      </c>
      <c r="G13" s="30" t="s">
        <v>55</v>
      </c>
      <c r="H13" s="30" t="s">
        <v>55</v>
      </c>
      <c r="I13" s="122">
        <f t="shared" si="2"/>
        <v>2</v>
      </c>
      <c r="J13" s="122">
        <f t="shared" si="3"/>
        <v>2</v>
      </c>
      <c r="K13" s="122">
        <f t="shared" si="3"/>
        <v>2</v>
      </c>
      <c r="L13" s="122">
        <f t="shared" si="3"/>
        <v>2</v>
      </c>
      <c r="M13" s="122">
        <f t="shared" si="3"/>
        <v>2</v>
      </c>
      <c r="N13" s="6"/>
    </row>
    <row r="14" spans="1:14" ht="15.75" customHeight="1">
      <c r="A14" s="29" t="s">
        <v>707</v>
      </c>
      <c r="B14" s="30"/>
      <c r="C14" s="30" t="s">
        <v>50</v>
      </c>
      <c r="D14" s="95" t="s">
        <v>104</v>
      </c>
      <c r="E14" s="95" t="s">
        <v>50</v>
      </c>
      <c r="F14" s="95" t="s">
        <v>50</v>
      </c>
      <c r="G14" s="30" t="s">
        <v>50</v>
      </c>
      <c r="H14" s="30" t="s">
        <v>50</v>
      </c>
      <c r="I14" s="122">
        <f t="shared" si="2"/>
        <v>0.4</v>
      </c>
      <c r="J14" s="122">
        <f t="shared" si="3"/>
        <v>2</v>
      </c>
      <c r="K14" s="122">
        <f t="shared" si="3"/>
        <v>2</v>
      </c>
      <c r="L14" s="122">
        <f t="shared" si="3"/>
        <v>2</v>
      </c>
      <c r="M14" s="122">
        <f t="shared" si="3"/>
        <v>2</v>
      </c>
      <c r="N14" s="6"/>
    </row>
    <row r="15" spans="1:14" ht="15.75" customHeight="1">
      <c r="A15" s="29" t="s">
        <v>708</v>
      </c>
      <c r="B15" s="30"/>
      <c r="C15" s="30" t="s">
        <v>22</v>
      </c>
      <c r="D15" s="95" t="s">
        <v>22</v>
      </c>
      <c r="E15" s="95" t="s">
        <v>22</v>
      </c>
      <c r="F15" s="95" t="s">
        <v>21</v>
      </c>
      <c r="G15" s="30" t="s">
        <v>22</v>
      </c>
      <c r="H15" s="30" t="s">
        <v>22</v>
      </c>
      <c r="I15" s="122">
        <f t="shared" si="2"/>
        <v>2</v>
      </c>
      <c r="J15" s="122">
        <f t="shared" si="3"/>
        <v>2</v>
      </c>
      <c r="K15" s="122">
        <f t="shared" si="3"/>
        <v>0</v>
      </c>
      <c r="L15" s="122">
        <f t="shared" si="3"/>
        <v>2</v>
      </c>
      <c r="M15" s="122">
        <f t="shared" si="3"/>
        <v>2</v>
      </c>
      <c r="N15" s="6"/>
    </row>
    <row r="16" spans="1:14" ht="15.75" customHeight="1">
      <c r="A16" s="29" t="s">
        <v>709</v>
      </c>
      <c r="B16" s="30"/>
      <c r="C16" s="30" t="s">
        <v>19</v>
      </c>
      <c r="D16" s="95" t="s">
        <v>19</v>
      </c>
      <c r="E16" s="95" t="s">
        <v>19</v>
      </c>
      <c r="F16" s="95" t="s">
        <v>19</v>
      </c>
      <c r="G16" s="30" t="s">
        <v>19</v>
      </c>
      <c r="H16" s="30" t="s">
        <v>19</v>
      </c>
      <c r="I16" s="122">
        <f t="shared" si="2"/>
        <v>2</v>
      </c>
      <c r="J16" s="122">
        <f t="shared" si="3"/>
        <v>2</v>
      </c>
      <c r="K16" s="122">
        <f t="shared" si="3"/>
        <v>2</v>
      </c>
      <c r="L16" s="122">
        <f t="shared" si="3"/>
        <v>2</v>
      </c>
      <c r="M16" s="122">
        <f t="shared" si="3"/>
        <v>2</v>
      </c>
      <c r="N16" s="6"/>
    </row>
    <row r="17" spans="1:14" ht="15.75" customHeight="1">
      <c r="A17" s="29" t="s">
        <v>710</v>
      </c>
      <c r="B17" s="30"/>
      <c r="C17" s="30" t="s">
        <v>19</v>
      </c>
      <c r="D17" s="100" t="s">
        <v>19</v>
      </c>
      <c r="E17" s="100" t="s">
        <v>19</v>
      </c>
      <c r="F17" s="100" t="s">
        <v>19</v>
      </c>
      <c r="G17" s="30" t="s">
        <v>19</v>
      </c>
      <c r="H17" s="30" t="s">
        <v>19</v>
      </c>
      <c r="I17" s="122">
        <f t="shared" si="2"/>
        <v>2</v>
      </c>
      <c r="J17" s="122">
        <f t="shared" si="3"/>
        <v>2</v>
      </c>
      <c r="K17" s="122">
        <f t="shared" si="3"/>
        <v>2</v>
      </c>
      <c r="L17" s="122">
        <f t="shared" si="3"/>
        <v>2</v>
      </c>
      <c r="M17" s="122">
        <f t="shared" si="3"/>
        <v>2</v>
      </c>
      <c r="N17" s="6"/>
    </row>
    <row r="18" spans="1:14" ht="15.75" customHeight="1">
      <c r="A18" s="29" t="s">
        <v>711</v>
      </c>
      <c r="B18" s="30"/>
      <c r="C18" s="30" t="s">
        <v>55</v>
      </c>
      <c r="D18" s="100" t="s">
        <v>55</v>
      </c>
      <c r="E18" s="100" t="s">
        <v>55</v>
      </c>
      <c r="F18" s="100" t="s">
        <v>55</v>
      </c>
      <c r="G18" s="30" t="s">
        <v>55</v>
      </c>
      <c r="H18" s="30" t="s">
        <v>55</v>
      </c>
      <c r="I18" s="122">
        <f t="shared" si="2"/>
        <v>2</v>
      </c>
      <c r="J18" s="122">
        <f t="shared" si="3"/>
        <v>2</v>
      </c>
      <c r="K18" s="122">
        <f t="shared" si="3"/>
        <v>2</v>
      </c>
      <c r="L18" s="122">
        <f t="shared" si="3"/>
        <v>2</v>
      </c>
      <c r="M18" s="122">
        <f t="shared" si="3"/>
        <v>2</v>
      </c>
      <c r="N18" s="6"/>
    </row>
    <row r="19" spans="1:14" ht="15.75" customHeight="1">
      <c r="A19" s="29" t="s">
        <v>712</v>
      </c>
      <c r="B19" s="30"/>
      <c r="C19" s="30" t="s">
        <v>53</v>
      </c>
      <c r="D19" s="100" t="s">
        <v>53</v>
      </c>
      <c r="E19" s="100" t="s">
        <v>53</v>
      </c>
      <c r="F19" s="100" t="s">
        <v>53</v>
      </c>
      <c r="G19" s="30" t="s">
        <v>53</v>
      </c>
      <c r="H19" s="30" t="s">
        <v>53</v>
      </c>
      <c r="I19" s="122">
        <f t="shared" si="2"/>
        <v>2</v>
      </c>
      <c r="J19" s="122">
        <f t="shared" si="3"/>
        <v>2</v>
      </c>
      <c r="K19" s="122">
        <f t="shared" si="3"/>
        <v>2</v>
      </c>
      <c r="L19" s="122">
        <f t="shared" si="3"/>
        <v>2</v>
      </c>
      <c r="M19" s="122">
        <f t="shared" si="3"/>
        <v>2</v>
      </c>
      <c r="N19" s="6"/>
    </row>
    <row r="20" spans="1:14" ht="15.75" customHeight="1">
      <c r="A20" s="29" t="s">
        <v>713</v>
      </c>
      <c r="B20" s="30"/>
      <c r="C20" s="30" t="s">
        <v>21</v>
      </c>
      <c r="D20" s="100" t="s">
        <v>21</v>
      </c>
      <c r="E20" s="100" t="s">
        <v>21</v>
      </c>
      <c r="F20" s="100" t="s">
        <v>19</v>
      </c>
      <c r="G20" s="30" t="s">
        <v>21</v>
      </c>
      <c r="H20" s="30" t="s">
        <v>21</v>
      </c>
      <c r="I20" s="122">
        <f t="shared" si="2"/>
        <v>2</v>
      </c>
      <c r="J20" s="122">
        <f t="shared" si="3"/>
        <v>2</v>
      </c>
      <c r="K20" s="122">
        <f t="shared" si="3"/>
        <v>0</v>
      </c>
      <c r="L20" s="122">
        <f t="shared" si="3"/>
        <v>2</v>
      </c>
      <c r="M20" s="122">
        <f t="shared" si="3"/>
        <v>2</v>
      </c>
      <c r="N20" s="6"/>
    </row>
    <row r="21" spans="1:14" ht="15.75" customHeight="1">
      <c r="A21" s="29" t="s">
        <v>714</v>
      </c>
      <c r="B21" s="30" t="s">
        <v>34</v>
      </c>
      <c r="C21" s="30" t="s">
        <v>21</v>
      </c>
      <c r="D21" s="100" t="s">
        <v>57</v>
      </c>
      <c r="E21" s="100" t="s">
        <v>21</v>
      </c>
      <c r="F21" s="100" t="s">
        <v>57</v>
      </c>
      <c r="G21" s="30" t="s">
        <v>21</v>
      </c>
      <c r="H21" s="30" t="s">
        <v>21</v>
      </c>
      <c r="I21" s="122">
        <f t="shared" si="2"/>
        <v>0</v>
      </c>
      <c r="J21" s="122">
        <f t="shared" si="3"/>
        <v>2</v>
      </c>
      <c r="K21" s="122">
        <f t="shared" si="3"/>
        <v>0</v>
      </c>
      <c r="L21" s="122">
        <f t="shared" si="3"/>
        <v>2</v>
      </c>
      <c r="M21" s="122">
        <f t="shared" si="3"/>
        <v>2</v>
      </c>
      <c r="N21" s="6"/>
    </row>
    <row r="22" spans="1:14" ht="15.75" customHeight="1">
      <c r="A22" s="29" t="s">
        <v>715</v>
      </c>
      <c r="B22" s="30" t="s">
        <v>78</v>
      </c>
      <c r="C22" s="30" t="s">
        <v>19</v>
      </c>
      <c r="D22" s="100" t="s">
        <v>54</v>
      </c>
      <c r="E22" s="100" t="s">
        <v>69</v>
      </c>
      <c r="F22" s="100" t="s">
        <v>102</v>
      </c>
      <c r="G22" s="101" t="s">
        <v>17</v>
      </c>
      <c r="H22" s="101" t="s">
        <v>48</v>
      </c>
      <c r="I22" s="122">
        <f t="shared" si="2"/>
        <v>0</v>
      </c>
      <c r="J22" s="122">
        <f t="shared" si="3"/>
        <v>0</v>
      </c>
      <c r="K22" s="122">
        <f t="shared" si="3"/>
        <v>0</v>
      </c>
      <c r="L22" s="122">
        <f t="shared" si="3"/>
        <v>0</v>
      </c>
      <c r="M22" s="122">
        <f t="shared" si="3"/>
        <v>0</v>
      </c>
      <c r="N22" s="6"/>
    </row>
    <row r="23" spans="1:14" ht="15.75" customHeight="1">
      <c r="A23" s="29" t="s">
        <v>716</v>
      </c>
      <c r="B23" s="30" t="s">
        <v>16</v>
      </c>
      <c r="C23" s="30" t="s">
        <v>96</v>
      </c>
      <c r="D23" s="100" t="s">
        <v>104</v>
      </c>
      <c r="E23" s="100" t="s">
        <v>96</v>
      </c>
      <c r="F23" s="100" t="s">
        <v>96</v>
      </c>
      <c r="G23" s="102" t="s">
        <v>104</v>
      </c>
      <c r="H23" s="100" t="s">
        <v>96</v>
      </c>
      <c r="I23" s="122">
        <f t="shared" si="2"/>
        <v>0.4</v>
      </c>
      <c r="J23" s="122">
        <f t="shared" si="3"/>
        <v>2</v>
      </c>
      <c r="K23" s="122">
        <f t="shared" si="3"/>
        <v>2</v>
      </c>
      <c r="L23" s="122">
        <f t="shared" si="3"/>
        <v>0.4</v>
      </c>
      <c r="M23" s="122">
        <f t="shared" si="3"/>
        <v>2</v>
      </c>
      <c r="N23" s="50"/>
    </row>
    <row r="24" spans="1:14" ht="15.75" customHeight="1">
      <c r="A24" s="29" t="s">
        <v>717</v>
      </c>
      <c r="B24" s="30" t="s">
        <v>16</v>
      </c>
      <c r="C24" s="30" t="s">
        <v>17</v>
      </c>
      <c r="D24" s="100" t="s">
        <v>17</v>
      </c>
      <c r="E24" s="100" t="s">
        <v>17</v>
      </c>
      <c r="F24" s="100" t="s">
        <v>17</v>
      </c>
      <c r="G24" s="102" t="s">
        <v>17</v>
      </c>
      <c r="H24" s="100" t="s">
        <v>17</v>
      </c>
      <c r="I24" s="122">
        <f t="shared" si="2"/>
        <v>2</v>
      </c>
      <c r="J24" s="122">
        <f t="shared" si="3"/>
        <v>2</v>
      </c>
      <c r="K24" s="122">
        <f t="shared" si="3"/>
        <v>2</v>
      </c>
      <c r="L24" s="122">
        <f t="shared" si="3"/>
        <v>2</v>
      </c>
      <c r="M24" s="122">
        <f t="shared" si="3"/>
        <v>2</v>
      </c>
      <c r="N24" s="50"/>
    </row>
    <row r="25" spans="1:14" ht="15.75" customHeight="1">
      <c r="A25" s="29" t="s">
        <v>718</v>
      </c>
      <c r="B25" s="30" t="s">
        <v>16</v>
      </c>
      <c r="C25" s="30" t="s">
        <v>72</v>
      </c>
      <c r="D25" s="100" t="s">
        <v>60</v>
      </c>
      <c r="E25" s="100" t="s">
        <v>72</v>
      </c>
      <c r="F25" s="100" t="s">
        <v>57</v>
      </c>
      <c r="G25" s="102" t="s">
        <v>72</v>
      </c>
      <c r="H25" s="102" t="s">
        <v>72</v>
      </c>
      <c r="I25" s="122">
        <f t="shared" si="2"/>
        <v>0</v>
      </c>
      <c r="J25" s="122">
        <f t="shared" si="3"/>
        <v>2</v>
      </c>
      <c r="K25" s="122">
        <f t="shared" si="3"/>
        <v>1.2</v>
      </c>
      <c r="L25" s="122">
        <f t="shared" si="3"/>
        <v>2</v>
      </c>
      <c r="M25" s="122">
        <f t="shared" si="3"/>
        <v>2</v>
      </c>
      <c r="N25" s="50"/>
    </row>
    <row r="26" spans="1:14" ht="15.75" customHeight="1">
      <c r="A26" s="29" t="s">
        <v>719</v>
      </c>
      <c r="B26" s="30"/>
      <c r="C26" s="30" t="s">
        <v>46</v>
      </c>
      <c r="D26" s="100" t="s">
        <v>104</v>
      </c>
      <c r="E26" s="100" t="s">
        <v>46</v>
      </c>
      <c r="F26" s="100" t="s">
        <v>50</v>
      </c>
      <c r="G26" s="102" t="s">
        <v>46</v>
      </c>
      <c r="H26" s="102" t="s">
        <v>46</v>
      </c>
      <c r="I26" s="122">
        <f t="shared" si="2"/>
        <v>0.4</v>
      </c>
      <c r="J26" s="122">
        <f t="shared" si="3"/>
        <v>2</v>
      </c>
      <c r="K26" s="122">
        <f t="shared" si="3"/>
        <v>0.4</v>
      </c>
      <c r="L26" s="122">
        <f t="shared" si="3"/>
        <v>2</v>
      </c>
      <c r="M26" s="122">
        <f t="shared" si="3"/>
        <v>2</v>
      </c>
      <c r="N26" s="50"/>
    </row>
    <row r="27" spans="1:14" ht="15.75" customHeight="1">
      <c r="A27" s="103" t="s">
        <v>720</v>
      </c>
      <c r="B27" s="97"/>
      <c r="C27" s="97" t="s">
        <v>294</v>
      </c>
      <c r="D27" s="104"/>
      <c r="E27" s="104"/>
      <c r="F27" s="104"/>
      <c r="G27" s="104"/>
      <c r="H27" s="104"/>
      <c r="I27" s="105"/>
      <c r="J27" s="106"/>
      <c r="K27" s="106"/>
      <c r="L27" s="106"/>
      <c r="M27" s="106"/>
      <c r="N27" s="50"/>
    </row>
    <row r="28" spans="1:14" ht="15.75" customHeight="1">
      <c r="A28" s="29" t="s">
        <v>721</v>
      </c>
      <c r="B28" s="30" t="s">
        <v>34</v>
      </c>
      <c r="C28" s="30" t="s">
        <v>102</v>
      </c>
      <c r="D28" s="100" t="s">
        <v>54</v>
      </c>
      <c r="E28" s="100" t="s">
        <v>102</v>
      </c>
      <c r="F28" s="100" t="s">
        <v>52</v>
      </c>
      <c r="G28" s="102" t="s">
        <v>54</v>
      </c>
      <c r="H28" s="102" t="s">
        <v>102</v>
      </c>
      <c r="I28" s="122">
        <f>_xlfn.LET(
_xlpm.full,2,
_xlpm.ans0,$C28&amp;"",
_xlpm.resp0,D28&amp;"",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28" s="122">
        <f t="shared" ref="J28:M32" si="4">_xlfn.LET(
_xlpm.full,2,
_xlpm.ans0,$C28&amp;"",
_xlpm.resp0,E28&amp;"",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28" s="122">
        <f t="shared" si="4"/>
        <v>0.4</v>
      </c>
      <c r="L28" s="122">
        <f t="shared" si="4"/>
        <v>0.4</v>
      </c>
      <c r="M28" s="122">
        <f t="shared" si="4"/>
        <v>2</v>
      </c>
      <c r="N28" s="50"/>
    </row>
    <row r="29" spans="1:14" ht="15.75" customHeight="1">
      <c r="A29" s="29" t="s">
        <v>722</v>
      </c>
      <c r="B29" s="30" t="s">
        <v>34</v>
      </c>
      <c r="C29" s="30" t="s">
        <v>22</v>
      </c>
      <c r="D29" s="100" t="s">
        <v>14</v>
      </c>
      <c r="E29" s="100" t="s">
        <v>22</v>
      </c>
      <c r="F29" s="100" t="s">
        <v>14</v>
      </c>
      <c r="G29" s="102" t="s">
        <v>21</v>
      </c>
      <c r="H29" s="102" t="s">
        <v>21</v>
      </c>
      <c r="I29" s="122">
        <f>_xlfn.LET(
_xlpm.full,2,
_xlpm.ans0,$C29&amp;"",
_xlpm.resp0,D29&amp;"",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29" s="122">
        <f t="shared" si="4"/>
        <v>2</v>
      </c>
      <c r="K29" s="122">
        <f t="shared" si="4"/>
        <v>0</v>
      </c>
      <c r="L29" s="122">
        <f t="shared" si="4"/>
        <v>0</v>
      </c>
      <c r="M29" s="122">
        <f t="shared" si="4"/>
        <v>0</v>
      </c>
      <c r="N29" s="50"/>
    </row>
    <row r="30" spans="1:14" ht="15.75" customHeight="1">
      <c r="A30" s="29" t="s">
        <v>723</v>
      </c>
      <c r="B30" s="30" t="s">
        <v>16</v>
      </c>
      <c r="C30" s="30" t="s">
        <v>174</v>
      </c>
      <c r="D30" s="100" t="s">
        <v>69</v>
      </c>
      <c r="E30" s="100" t="s">
        <v>174</v>
      </c>
      <c r="F30" s="100" t="s">
        <v>104</v>
      </c>
      <c r="G30" s="102" t="s">
        <v>174</v>
      </c>
      <c r="H30" s="102" t="s">
        <v>174</v>
      </c>
      <c r="I30" s="122">
        <f>_xlfn.LET(
_xlpm.full,2,
_xlpm.ans0,$C30&amp;"",
_xlpm.resp0,D30&amp;"",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30" s="122">
        <f t="shared" si="4"/>
        <v>2</v>
      </c>
      <c r="K30" s="122">
        <f t="shared" si="4"/>
        <v>0</v>
      </c>
      <c r="L30" s="122">
        <f t="shared" si="4"/>
        <v>2</v>
      </c>
      <c r="M30" s="122">
        <f t="shared" si="4"/>
        <v>2</v>
      </c>
      <c r="N30" s="50"/>
    </row>
    <row r="31" spans="1:14" ht="15.75" customHeight="1">
      <c r="A31" s="29" t="s">
        <v>724</v>
      </c>
      <c r="B31" s="30"/>
      <c r="C31" s="30" t="s">
        <v>19</v>
      </c>
      <c r="D31" s="100" t="s">
        <v>19</v>
      </c>
      <c r="E31" s="100" t="s">
        <v>19</v>
      </c>
      <c r="F31" s="100" t="s">
        <v>19</v>
      </c>
      <c r="G31" s="102" t="s">
        <v>19</v>
      </c>
      <c r="H31" s="102" t="s">
        <v>19</v>
      </c>
      <c r="I31" s="122">
        <f>_xlfn.LET(
_xlpm.full,2,
_xlpm.ans0,$C31&amp;"",
_xlpm.resp0,D31&amp;"",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31" s="122">
        <f t="shared" si="4"/>
        <v>2</v>
      </c>
      <c r="K31" s="122">
        <f t="shared" si="4"/>
        <v>2</v>
      </c>
      <c r="L31" s="122">
        <f t="shared" si="4"/>
        <v>2</v>
      </c>
      <c r="M31" s="122">
        <f t="shared" si="4"/>
        <v>2</v>
      </c>
      <c r="N31" s="50"/>
    </row>
    <row r="32" spans="1:14" ht="15.75" customHeight="1">
      <c r="A32" s="29" t="s">
        <v>725</v>
      </c>
      <c r="B32" s="30"/>
      <c r="C32" s="30" t="s">
        <v>72</v>
      </c>
      <c r="D32" s="100" t="s">
        <v>72</v>
      </c>
      <c r="E32" s="100" t="s">
        <v>72</v>
      </c>
      <c r="F32" s="100" t="s">
        <v>72</v>
      </c>
      <c r="G32" s="102" t="s">
        <v>72</v>
      </c>
      <c r="H32" s="102" t="s">
        <v>72</v>
      </c>
      <c r="I32" s="122">
        <f>_xlfn.LET(
_xlpm.full,2,
_xlpm.ans0,$C32&amp;"",
_xlpm.resp0,D32&amp;"",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32" s="122">
        <f t="shared" si="4"/>
        <v>2</v>
      </c>
      <c r="K32" s="122">
        <f t="shared" si="4"/>
        <v>2</v>
      </c>
      <c r="L32" s="122">
        <f t="shared" si="4"/>
        <v>2</v>
      </c>
      <c r="M32" s="122">
        <f t="shared" si="4"/>
        <v>2</v>
      </c>
      <c r="N32" s="50"/>
    </row>
    <row r="33" spans="1:32" ht="15.75" customHeight="1">
      <c r="A33" s="103" t="s">
        <v>726</v>
      </c>
      <c r="B33" s="97"/>
      <c r="C33" s="97" t="s">
        <v>294</v>
      </c>
      <c r="D33" s="104"/>
      <c r="E33" s="104"/>
      <c r="F33" s="104"/>
      <c r="G33" s="104"/>
      <c r="H33" s="104"/>
      <c r="I33" s="105"/>
      <c r="J33" s="106"/>
      <c r="K33" s="106"/>
      <c r="L33" s="106"/>
      <c r="M33" s="106"/>
      <c r="N33" s="50"/>
    </row>
    <row r="34" spans="1:32" ht="15.75" customHeight="1">
      <c r="A34" s="107" t="s">
        <v>727</v>
      </c>
      <c r="B34" s="30" t="s">
        <v>16</v>
      </c>
      <c r="C34" s="30" t="s">
        <v>14</v>
      </c>
      <c r="D34" s="100" t="s">
        <v>14</v>
      </c>
      <c r="E34" s="100" t="s">
        <v>14</v>
      </c>
      <c r="F34" s="100" t="s">
        <v>14</v>
      </c>
      <c r="G34" s="102" t="s">
        <v>14</v>
      </c>
      <c r="H34" s="102" t="s">
        <v>14</v>
      </c>
      <c r="I34" s="122">
        <f t="shared" ref="I34:I40" si="5">_xlfn.LET(
_xlpm.full,2,
_xlpm.ans0,$C34&amp;"",
_xlpm.resp0,D34&amp;"",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34" s="122">
        <f t="shared" ref="J34:M40" si="6">_xlfn.LET(
_xlpm.full,2,
_xlpm.ans0,$C34&amp;"",
_xlpm.resp0,E34&amp;"",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34" s="122">
        <f t="shared" si="6"/>
        <v>2</v>
      </c>
      <c r="L34" s="122">
        <f t="shared" si="6"/>
        <v>2</v>
      </c>
      <c r="M34" s="122">
        <f t="shared" si="6"/>
        <v>2</v>
      </c>
      <c r="N34" s="50"/>
    </row>
    <row r="35" spans="1:32" ht="15.75" customHeight="1">
      <c r="A35" s="29" t="s">
        <v>728</v>
      </c>
      <c r="B35" s="30"/>
      <c r="C35" s="30" t="s">
        <v>88</v>
      </c>
      <c r="D35" s="100" t="s">
        <v>58</v>
      </c>
      <c r="E35" s="100" t="s">
        <v>88</v>
      </c>
      <c r="F35" s="100" t="s">
        <v>88</v>
      </c>
      <c r="G35" s="102" t="s">
        <v>88</v>
      </c>
      <c r="H35" s="102" t="s">
        <v>88</v>
      </c>
      <c r="I35" s="122">
        <f t="shared" si="5"/>
        <v>0.4</v>
      </c>
      <c r="J35" s="122">
        <f t="shared" si="6"/>
        <v>2</v>
      </c>
      <c r="K35" s="122">
        <f t="shared" si="6"/>
        <v>2</v>
      </c>
      <c r="L35" s="122">
        <f t="shared" si="6"/>
        <v>2</v>
      </c>
      <c r="M35" s="122">
        <f t="shared" si="6"/>
        <v>2</v>
      </c>
      <c r="N35" s="50"/>
      <c r="O35" s="50"/>
      <c r="P35" s="50"/>
      <c r="Q35" s="50"/>
      <c r="R35" s="50"/>
      <c r="S35" s="50"/>
      <c r="T35" s="50"/>
      <c r="U35" s="50"/>
      <c r="V35" s="50"/>
      <c r="W35" s="50"/>
      <c r="X35" s="50"/>
      <c r="Y35" s="50"/>
      <c r="Z35" s="50"/>
      <c r="AA35" s="50"/>
      <c r="AB35" s="50"/>
      <c r="AC35" s="50"/>
      <c r="AD35" s="50"/>
      <c r="AE35" s="50"/>
      <c r="AF35" s="50"/>
    </row>
    <row r="36" spans="1:32" ht="15.75" customHeight="1">
      <c r="A36" s="29" t="s">
        <v>729</v>
      </c>
      <c r="B36" s="30" t="s">
        <v>16</v>
      </c>
      <c r="C36" s="30" t="s">
        <v>22</v>
      </c>
      <c r="D36" s="100" t="s">
        <v>22</v>
      </c>
      <c r="E36" s="100" t="s">
        <v>19</v>
      </c>
      <c r="F36" s="100" t="s">
        <v>22</v>
      </c>
      <c r="G36" s="102" t="s">
        <v>22</v>
      </c>
      <c r="H36" s="102" t="s">
        <v>19</v>
      </c>
      <c r="I36" s="122">
        <f t="shared" si="5"/>
        <v>2</v>
      </c>
      <c r="J36" s="122">
        <f t="shared" si="6"/>
        <v>0</v>
      </c>
      <c r="K36" s="122">
        <f t="shared" si="6"/>
        <v>2</v>
      </c>
      <c r="L36" s="122">
        <f t="shared" si="6"/>
        <v>2</v>
      </c>
      <c r="M36" s="122">
        <f t="shared" si="6"/>
        <v>0</v>
      </c>
      <c r="N36" s="50"/>
      <c r="O36" s="50"/>
      <c r="P36" s="50"/>
      <c r="Q36" s="50"/>
      <c r="R36" s="50"/>
      <c r="S36" s="50"/>
      <c r="T36" s="50"/>
      <c r="U36" s="50"/>
      <c r="V36" s="50"/>
      <c r="W36" s="50"/>
      <c r="X36" s="50"/>
      <c r="Y36" s="50"/>
      <c r="Z36" s="50"/>
      <c r="AA36" s="50"/>
      <c r="AB36" s="50"/>
      <c r="AC36" s="50"/>
      <c r="AD36" s="50"/>
      <c r="AE36" s="50"/>
      <c r="AF36" s="50"/>
    </row>
    <row r="37" spans="1:32" ht="15.75" customHeight="1">
      <c r="A37" s="29" t="s">
        <v>730</v>
      </c>
      <c r="B37" s="30" t="s">
        <v>16</v>
      </c>
      <c r="C37" s="30" t="s">
        <v>17</v>
      </c>
      <c r="D37" s="100" t="s">
        <v>19</v>
      </c>
      <c r="E37" s="100" t="s">
        <v>17</v>
      </c>
      <c r="F37" s="100" t="s">
        <v>17</v>
      </c>
      <c r="G37" s="102" t="s">
        <v>17</v>
      </c>
      <c r="H37" s="102" t="s">
        <v>17</v>
      </c>
      <c r="I37" s="122">
        <f t="shared" si="5"/>
        <v>0</v>
      </c>
      <c r="J37" s="122">
        <f t="shared" si="6"/>
        <v>2</v>
      </c>
      <c r="K37" s="122">
        <f t="shared" si="6"/>
        <v>2</v>
      </c>
      <c r="L37" s="122">
        <f t="shared" si="6"/>
        <v>2</v>
      </c>
      <c r="M37" s="122">
        <f t="shared" si="6"/>
        <v>2</v>
      </c>
      <c r="N37" s="50"/>
      <c r="O37" s="50"/>
      <c r="P37" s="50"/>
      <c r="Q37" s="50"/>
      <c r="R37" s="50"/>
      <c r="S37" s="50"/>
      <c r="T37" s="50"/>
      <c r="U37" s="50"/>
      <c r="V37" s="50"/>
      <c r="W37" s="50"/>
      <c r="X37" s="50"/>
      <c r="Y37" s="50"/>
      <c r="Z37" s="50"/>
      <c r="AA37" s="50"/>
      <c r="AB37" s="50"/>
      <c r="AC37" s="50"/>
      <c r="AD37" s="50"/>
      <c r="AE37" s="50"/>
      <c r="AF37" s="50"/>
    </row>
    <row r="38" spans="1:32" ht="15.75" customHeight="1">
      <c r="A38" s="53" t="s">
        <v>731</v>
      </c>
      <c r="B38" s="30"/>
      <c r="C38" s="30" t="s">
        <v>17</v>
      </c>
      <c r="D38" s="100" t="s">
        <v>17</v>
      </c>
      <c r="E38" s="100" t="s">
        <v>17</v>
      </c>
      <c r="F38" s="100" t="s">
        <v>17</v>
      </c>
      <c r="G38" s="102" t="s">
        <v>17</v>
      </c>
      <c r="H38" s="102" t="s">
        <v>17</v>
      </c>
      <c r="I38" s="122">
        <f t="shared" si="5"/>
        <v>2</v>
      </c>
      <c r="J38" s="122">
        <f t="shared" si="6"/>
        <v>2</v>
      </c>
      <c r="K38" s="122">
        <f t="shared" si="6"/>
        <v>2</v>
      </c>
      <c r="L38" s="122">
        <f t="shared" si="6"/>
        <v>2</v>
      </c>
      <c r="M38" s="122">
        <f t="shared" si="6"/>
        <v>2</v>
      </c>
      <c r="N38" s="50"/>
      <c r="O38" s="50"/>
      <c r="P38" s="50"/>
      <c r="Q38" s="50"/>
      <c r="R38" s="50"/>
      <c r="S38" s="50"/>
      <c r="T38" s="50"/>
      <c r="U38" s="50"/>
      <c r="V38" s="50"/>
      <c r="W38" s="50"/>
      <c r="X38" s="50"/>
      <c r="Y38" s="50"/>
      <c r="Z38" s="50"/>
      <c r="AA38" s="50"/>
      <c r="AB38" s="50"/>
      <c r="AC38" s="50"/>
      <c r="AD38" s="50"/>
      <c r="AE38" s="50"/>
      <c r="AF38" s="50"/>
    </row>
    <row r="39" spans="1:32" ht="15.75" customHeight="1">
      <c r="A39" s="43" t="s">
        <v>732</v>
      </c>
      <c r="B39" s="30" t="s">
        <v>16</v>
      </c>
      <c r="C39" s="30" t="s">
        <v>102</v>
      </c>
      <c r="D39" s="100" t="s">
        <v>102</v>
      </c>
      <c r="E39" s="100" t="s">
        <v>102</v>
      </c>
      <c r="F39" s="100" t="s">
        <v>17</v>
      </c>
      <c r="G39" s="102" t="s">
        <v>102</v>
      </c>
      <c r="H39" s="102" t="s">
        <v>102</v>
      </c>
      <c r="I39" s="122">
        <f t="shared" si="5"/>
        <v>2</v>
      </c>
      <c r="J39" s="122">
        <f t="shared" si="6"/>
        <v>2</v>
      </c>
      <c r="K39" s="122">
        <f t="shared" si="6"/>
        <v>1.2</v>
      </c>
      <c r="L39" s="122">
        <f t="shared" si="6"/>
        <v>2</v>
      </c>
      <c r="M39" s="122">
        <f t="shared" si="6"/>
        <v>2</v>
      </c>
      <c r="N39" s="50"/>
      <c r="O39" s="50"/>
      <c r="P39" s="50"/>
      <c r="Q39" s="50"/>
      <c r="R39" s="50"/>
      <c r="S39" s="50"/>
      <c r="T39" s="50"/>
      <c r="U39" s="50"/>
      <c r="V39" s="50"/>
      <c r="W39" s="50"/>
      <c r="X39" s="50"/>
      <c r="Y39" s="50"/>
      <c r="Z39" s="50"/>
      <c r="AA39" s="50"/>
      <c r="AB39" s="50"/>
      <c r="AC39" s="50"/>
      <c r="AD39" s="50"/>
      <c r="AE39" s="50"/>
      <c r="AF39" s="50"/>
    </row>
    <row r="40" spans="1:32" ht="15.75" customHeight="1">
      <c r="A40" s="29" t="s">
        <v>733</v>
      </c>
      <c r="B40" s="30" t="s">
        <v>16</v>
      </c>
      <c r="C40" s="30" t="s">
        <v>22</v>
      </c>
      <c r="D40" s="100" t="s">
        <v>48</v>
      </c>
      <c r="E40" s="100" t="s">
        <v>102</v>
      </c>
      <c r="F40" s="100" t="s">
        <v>60</v>
      </c>
      <c r="G40" s="102" t="s">
        <v>19</v>
      </c>
      <c r="H40" s="102" t="s">
        <v>22</v>
      </c>
      <c r="I40" s="122">
        <f t="shared" si="5"/>
        <v>0</v>
      </c>
      <c r="J40" s="122">
        <f t="shared" si="6"/>
        <v>0</v>
      </c>
      <c r="K40" s="122">
        <f t="shared" si="6"/>
        <v>0</v>
      </c>
      <c r="L40" s="122">
        <f t="shared" si="6"/>
        <v>0</v>
      </c>
      <c r="M40" s="122">
        <f t="shared" si="6"/>
        <v>2</v>
      </c>
      <c r="N40" s="50"/>
      <c r="O40" s="50"/>
      <c r="P40" s="50"/>
      <c r="Q40" s="50"/>
      <c r="R40" s="50"/>
      <c r="S40" s="50"/>
      <c r="T40" s="50"/>
      <c r="U40" s="50"/>
      <c r="V40" s="50"/>
      <c r="W40" s="50"/>
      <c r="X40" s="50"/>
      <c r="Y40" s="50"/>
      <c r="Z40" s="50"/>
      <c r="AA40" s="50"/>
      <c r="AB40" s="50"/>
      <c r="AC40" s="50"/>
      <c r="AD40" s="50"/>
      <c r="AE40" s="50"/>
      <c r="AF40" s="50"/>
    </row>
    <row r="41" spans="1:32" ht="15.75" customHeight="1">
      <c r="A41" s="96" t="s">
        <v>734</v>
      </c>
      <c r="B41" s="97"/>
      <c r="C41" s="97" t="s">
        <v>294</v>
      </c>
      <c r="D41" s="104"/>
      <c r="E41" s="104"/>
      <c r="F41" s="104"/>
      <c r="G41" s="104"/>
      <c r="H41" s="104"/>
      <c r="I41" s="105"/>
      <c r="J41" s="106"/>
      <c r="K41" s="106"/>
      <c r="L41" s="106"/>
      <c r="M41" s="106"/>
      <c r="N41" s="50"/>
      <c r="O41" s="50"/>
      <c r="P41" s="50"/>
      <c r="Q41" s="50"/>
      <c r="R41" s="50"/>
      <c r="S41" s="50"/>
      <c r="T41" s="50"/>
      <c r="U41" s="50"/>
      <c r="V41" s="50"/>
      <c r="W41" s="50"/>
      <c r="X41" s="50"/>
      <c r="Y41" s="50"/>
      <c r="Z41" s="50"/>
      <c r="AA41" s="50"/>
      <c r="AB41" s="50"/>
      <c r="AC41" s="50"/>
      <c r="AD41" s="50"/>
      <c r="AE41" s="50"/>
      <c r="AF41" s="50"/>
    </row>
    <row r="42" spans="1:32" ht="15.75" customHeight="1">
      <c r="A42" s="29" t="s">
        <v>735</v>
      </c>
      <c r="B42" s="30" t="s">
        <v>34</v>
      </c>
      <c r="C42" s="30" t="s">
        <v>19</v>
      </c>
      <c r="D42" s="100" t="s">
        <v>14</v>
      </c>
      <c r="E42" s="100" t="s">
        <v>14</v>
      </c>
      <c r="F42" s="100" t="s">
        <v>14</v>
      </c>
      <c r="G42" s="102" t="s">
        <v>14</v>
      </c>
      <c r="H42" s="102" t="s">
        <v>14</v>
      </c>
      <c r="I42" s="123">
        <f>_xlfn.LET(
_xlpm.full,2,
_xlpm.ans0,$C42&amp;"",
_xlpm.resp0,D42&amp;"",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42" s="123">
        <f t="shared" ref="J42:M44" si="7">_xlfn.LET(
_xlpm.full,2,
_xlpm.ans0,$C42&amp;"",
_xlpm.resp0,E42&amp;"",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K42" s="123">
        <f t="shared" si="7"/>
        <v>0</v>
      </c>
      <c r="L42" s="123">
        <f t="shared" si="7"/>
        <v>0</v>
      </c>
      <c r="M42" s="123">
        <f t="shared" si="7"/>
        <v>0</v>
      </c>
      <c r="N42" s="50"/>
      <c r="O42" s="50"/>
      <c r="P42" s="50"/>
      <c r="Q42" s="50"/>
      <c r="R42" s="50"/>
      <c r="S42" s="50"/>
      <c r="T42" s="50"/>
      <c r="U42" s="50"/>
      <c r="V42" s="50"/>
      <c r="W42" s="50"/>
      <c r="X42" s="50"/>
      <c r="Y42" s="50"/>
      <c r="Z42" s="50"/>
      <c r="AA42" s="50"/>
      <c r="AB42" s="50"/>
      <c r="AC42" s="50"/>
      <c r="AD42" s="50"/>
      <c r="AE42" s="50"/>
      <c r="AF42" s="50"/>
    </row>
    <row r="43" spans="1:32" ht="15.75" customHeight="1">
      <c r="A43" s="29" t="s">
        <v>736</v>
      </c>
      <c r="B43" s="30" t="s">
        <v>34</v>
      </c>
      <c r="C43" s="30" t="s">
        <v>22</v>
      </c>
      <c r="D43" s="100" t="s">
        <v>22</v>
      </c>
      <c r="E43" s="100" t="s">
        <v>22</v>
      </c>
      <c r="F43" s="100" t="s">
        <v>22</v>
      </c>
      <c r="G43" s="102" t="s">
        <v>22</v>
      </c>
      <c r="H43" s="102" t="s">
        <v>22</v>
      </c>
      <c r="I43" s="123">
        <f>_xlfn.LET(
_xlpm.full,2,
_xlpm.ans0,$C43&amp;"",
_xlpm.resp0,D43&amp;"",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3" s="123">
        <f t="shared" si="7"/>
        <v>2</v>
      </c>
      <c r="K43" s="123">
        <f t="shared" si="7"/>
        <v>2</v>
      </c>
      <c r="L43" s="123">
        <f t="shared" si="7"/>
        <v>2</v>
      </c>
      <c r="M43" s="123">
        <f t="shared" si="7"/>
        <v>2</v>
      </c>
      <c r="N43" s="50"/>
      <c r="O43" s="50"/>
      <c r="P43" s="50"/>
      <c r="Q43" s="50"/>
      <c r="R43" s="50"/>
      <c r="S43" s="50"/>
      <c r="T43" s="50"/>
      <c r="U43" s="50"/>
      <c r="V43" s="50"/>
      <c r="W43" s="50"/>
      <c r="X43" s="50"/>
      <c r="Y43" s="50"/>
      <c r="Z43" s="50"/>
      <c r="AA43" s="50"/>
      <c r="AB43" s="50"/>
      <c r="AC43" s="50"/>
      <c r="AD43" s="50"/>
      <c r="AE43" s="50"/>
      <c r="AF43" s="50"/>
    </row>
    <row r="44" spans="1:32" ht="15.75" customHeight="1">
      <c r="A44" s="108" t="s">
        <v>737</v>
      </c>
      <c r="B44" s="30" t="s">
        <v>34</v>
      </c>
      <c r="C44" s="30" t="s">
        <v>21</v>
      </c>
      <c r="D44" s="100" t="s">
        <v>21</v>
      </c>
      <c r="E44" s="100" t="s">
        <v>21</v>
      </c>
      <c r="F44" s="100" t="s">
        <v>14</v>
      </c>
      <c r="G44" s="102" t="s">
        <v>21</v>
      </c>
      <c r="H44" s="102" t="s">
        <v>21</v>
      </c>
      <c r="I44" s="123">
        <f>_xlfn.LET(
_xlpm.full,2,
_xlpm.ans0,$C44&amp;"",
_xlpm.resp0,D44&amp;"",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4" s="123">
        <f t="shared" si="7"/>
        <v>2</v>
      </c>
      <c r="K44" s="123">
        <f t="shared" si="7"/>
        <v>0</v>
      </c>
      <c r="L44" s="123">
        <f t="shared" si="7"/>
        <v>2</v>
      </c>
      <c r="M44" s="123">
        <f t="shared" si="7"/>
        <v>2</v>
      </c>
      <c r="N44" s="50"/>
      <c r="O44" s="50"/>
      <c r="P44" s="50"/>
      <c r="Q44" s="50"/>
      <c r="R44" s="50"/>
      <c r="S44" s="50"/>
      <c r="T44" s="50"/>
      <c r="U44" s="50"/>
      <c r="V44" s="50"/>
      <c r="W44" s="50"/>
      <c r="X44" s="50"/>
      <c r="Y44" s="50"/>
      <c r="Z44" s="50"/>
      <c r="AA44" s="50"/>
      <c r="AB44" s="50"/>
      <c r="AC44" s="50"/>
      <c r="AD44" s="50"/>
      <c r="AE44" s="50"/>
      <c r="AF44" s="50"/>
    </row>
    <row r="45" spans="1:32" ht="15.75" customHeight="1">
      <c r="A45" s="29" t="s">
        <v>738</v>
      </c>
      <c r="B45" s="30" t="s">
        <v>34</v>
      </c>
      <c r="C45" s="30" t="s">
        <v>739</v>
      </c>
      <c r="D45" s="30" t="s">
        <v>739</v>
      </c>
      <c r="E45" s="7" t="s">
        <v>740</v>
      </c>
      <c r="F45" s="100" t="s">
        <v>741</v>
      </c>
      <c r="G45" s="102" t="s">
        <v>742</v>
      </c>
      <c r="H45" s="102" t="s">
        <v>743</v>
      </c>
      <c r="I45" s="120">
        <v>4</v>
      </c>
      <c r="J45" s="121">
        <v>4</v>
      </c>
      <c r="K45" s="121">
        <v>2</v>
      </c>
      <c r="L45" s="121">
        <v>4</v>
      </c>
      <c r="M45" s="121">
        <v>0</v>
      </c>
      <c r="N45" s="50"/>
      <c r="O45" s="50"/>
      <c r="P45" s="50"/>
      <c r="Q45" s="50"/>
      <c r="R45" s="50"/>
      <c r="S45" s="50"/>
      <c r="T45" s="50"/>
      <c r="U45" s="50"/>
      <c r="V45" s="50"/>
      <c r="W45" s="50"/>
      <c r="X45" s="50"/>
      <c r="Y45" s="50"/>
      <c r="Z45" s="50"/>
      <c r="AA45" s="50"/>
      <c r="AB45" s="50"/>
      <c r="AC45" s="50"/>
      <c r="AD45" s="50"/>
      <c r="AE45" s="50"/>
      <c r="AF45" s="50"/>
    </row>
    <row r="46" spans="1:32" ht="15.75" customHeight="1">
      <c r="A46" s="96" t="s">
        <v>744</v>
      </c>
      <c r="B46" s="97"/>
      <c r="C46" s="97" t="s">
        <v>294</v>
      </c>
      <c r="D46" s="104"/>
      <c r="E46" s="7"/>
      <c r="F46" s="104"/>
      <c r="G46" s="104"/>
      <c r="H46" s="104"/>
      <c r="I46" s="105"/>
      <c r="J46" s="106"/>
      <c r="K46" s="106"/>
      <c r="L46" s="106"/>
      <c r="M46" s="106"/>
      <c r="N46" s="50"/>
      <c r="O46" s="50"/>
      <c r="P46" s="50"/>
      <c r="Q46" s="50"/>
      <c r="R46" s="50"/>
      <c r="S46" s="50"/>
      <c r="T46" s="50"/>
      <c r="U46" s="50"/>
      <c r="V46" s="50"/>
      <c r="W46" s="50"/>
      <c r="X46" s="50"/>
      <c r="Y46" s="50"/>
      <c r="Z46" s="50"/>
      <c r="AA46" s="50"/>
      <c r="AB46" s="50"/>
      <c r="AC46" s="50"/>
      <c r="AD46" s="50"/>
      <c r="AE46" s="50"/>
      <c r="AF46" s="50"/>
    </row>
    <row r="47" spans="1:32" ht="15.75" customHeight="1">
      <c r="A47" s="29" t="s">
        <v>745</v>
      </c>
      <c r="B47" s="30" t="s">
        <v>34</v>
      </c>
      <c r="C47" s="30" t="s">
        <v>17</v>
      </c>
      <c r="D47" s="100" t="s">
        <v>17</v>
      </c>
      <c r="E47" s="7" t="s">
        <v>17</v>
      </c>
      <c r="F47" s="100" t="s">
        <v>17</v>
      </c>
      <c r="G47" s="102" t="s">
        <v>17</v>
      </c>
      <c r="H47" s="102" t="s">
        <v>17</v>
      </c>
      <c r="I47" s="123">
        <f>_xlfn.LET(
_xlpm.full,2,
_xlpm.ans0,$C47&amp;"",
_xlpm.resp0,D47&amp;"",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7" s="123">
        <f t="shared" ref="J47:M49" si="8">_xlfn.LET(
_xlpm.full,2,
_xlpm.ans0,$C47&amp;"",
_xlpm.resp0,E47&amp;"",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47" s="123">
        <f t="shared" si="8"/>
        <v>2</v>
      </c>
      <c r="L47" s="123">
        <f t="shared" si="8"/>
        <v>2</v>
      </c>
      <c r="M47" s="123">
        <f t="shared" si="8"/>
        <v>2</v>
      </c>
      <c r="N47" s="50"/>
      <c r="O47" s="50"/>
      <c r="P47" s="50"/>
      <c r="Q47" s="50"/>
      <c r="R47" s="50"/>
      <c r="S47" s="50"/>
      <c r="T47" s="50"/>
      <c r="U47" s="50"/>
      <c r="V47" s="50"/>
      <c r="W47" s="50"/>
      <c r="X47" s="50"/>
      <c r="Y47" s="50"/>
      <c r="Z47" s="50"/>
      <c r="AA47" s="50"/>
      <c r="AB47" s="50"/>
      <c r="AC47" s="50"/>
      <c r="AD47" s="50"/>
      <c r="AE47" s="50"/>
      <c r="AF47" s="50"/>
    </row>
    <row r="48" spans="1:32" ht="15.75" customHeight="1">
      <c r="A48" s="29" t="s">
        <v>746</v>
      </c>
      <c r="B48" s="30" t="s">
        <v>34</v>
      </c>
      <c r="C48" s="30" t="s">
        <v>19</v>
      </c>
      <c r="D48" s="100" t="s">
        <v>19</v>
      </c>
      <c r="E48" s="100" t="s">
        <v>19</v>
      </c>
      <c r="F48" s="100" t="s">
        <v>19</v>
      </c>
      <c r="G48" s="102" t="s">
        <v>19</v>
      </c>
      <c r="H48" s="102" t="s">
        <v>19</v>
      </c>
      <c r="I48" s="123">
        <f>_xlfn.LET(
_xlpm.full,2,
_xlpm.ans0,$C48&amp;"",
_xlpm.resp0,D48&amp;"",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8" s="123">
        <f t="shared" si="8"/>
        <v>2</v>
      </c>
      <c r="K48" s="123">
        <f t="shared" si="8"/>
        <v>2</v>
      </c>
      <c r="L48" s="123">
        <f t="shared" si="8"/>
        <v>2</v>
      </c>
      <c r="M48" s="123">
        <f t="shared" si="8"/>
        <v>2</v>
      </c>
      <c r="N48" s="50"/>
      <c r="O48" s="50"/>
      <c r="P48" s="50"/>
      <c r="Q48" s="50"/>
      <c r="R48" s="50"/>
      <c r="S48" s="50"/>
      <c r="T48" s="50"/>
      <c r="U48" s="50"/>
      <c r="V48" s="50"/>
      <c r="W48" s="50"/>
      <c r="X48" s="50"/>
      <c r="Y48" s="50"/>
      <c r="Z48" s="50"/>
      <c r="AA48" s="50"/>
      <c r="AB48" s="50"/>
      <c r="AC48" s="50"/>
      <c r="AD48" s="50"/>
      <c r="AE48" s="50"/>
      <c r="AF48" s="50"/>
    </row>
    <row r="49" spans="1:32" ht="15.75" customHeight="1">
      <c r="A49" s="29" t="s">
        <v>747</v>
      </c>
      <c r="B49" s="30" t="s">
        <v>34</v>
      </c>
      <c r="C49" s="30" t="s">
        <v>21</v>
      </c>
      <c r="D49" s="100" t="s">
        <v>21</v>
      </c>
      <c r="E49" s="100" t="s">
        <v>21</v>
      </c>
      <c r="F49" s="100" t="s">
        <v>21</v>
      </c>
      <c r="G49" s="102" t="s">
        <v>21</v>
      </c>
      <c r="H49" s="102" t="s">
        <v>21</v>
      </c>
      <c r="I49" s="123">
        <f>_xlfn.LET(
_xlpm.full,2,
_xlpm.ans0,$C49&amp;"",
_xlpm.resp0,D49&amp;"",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9" s="123">
        <f t="shared" si="8"/>
        <v>2</v>
      </c>
      <c r="K49" s="123">
        <f t="shared" si="8"/>
        <v>2</v>
      </c>
      <c r="L49" s="123">
        <f t="shared" si="8"/>
        <v>2</v>
      </c>
      <c r="M49" s="123">
        <f t="shared" si="8"/>
        <v>2</v>
      </c>
      <c r="N49" s="50"/>
      <c r="O49" s="50"/>
      <c r="P49" s="50"/>
      <c r="Q49" s="50"/>
      <c r="R49" s="50"/>
      <c r="S49" s="50"/>
      <c r="T49" s="50"/>
      <c r="U49" s="50"/>
      <c r="V49" s="50"/>
      <c r="W49" s="50"/>
      <c r="X49" s="50"/>
      <c r="Y49" s="50"/>
      <c r="Z49" s="50"/>
      <c r="AA49" s="50"/>
      <c r="AB49" s="50"/>
      <c r="AC49" s="50"/>
      <c r="AD49" s="50"/>
      <c r="AE49" s="50"/>
      <c r="AF49" s="50"/>
    </row>
    <row r="50" spans="1:32" ht="15.75" customHeight="1">
      <c r="A50" s="29" t="s">
        <v>748</v>
      </c>
      <c r="B50" s="30" t="s">
        <v>34</v>
      </c>
      <c r="C50" s="30" t="s">
        <v>749</v>
      </c>
      <c r="D50" s="100" t="s">
        <v>750</v>
      </c>
      <c r="E50" s="100" t="s">
        <v>751</v>
      </c>
      <c r="F50" s="100" t="s">
        <v>752</v>
      </c>
      <c r="G50" s="102" t="s">
        <v>753</v>
      </c>
      <c r="H50" s="102" t="s">
        <v>754</v>
      </c>
      <c r="I50" s="28">
        <v>2</v>
      </c>
      <c r="J50" s="82">
        <v>2</v>
      </c>
      <c r="K50" s="82">
        <v>2</v>
      </c>
      <c r="L50" s="83">
        <v>2</v>
      </c>
      <c r="M50" s="83">
        <v>2</v>
      </c>
      <c r="N50" s="50"/>
      <c r="O50" s="50"/>
      <c r="P50" s="50"/>
      <c r="Q50" s="50"/>
      <c r="R50" s="50"/>
      <c r="S50" s="50"/>
      <c r="T50" s="50"/>
      <c r="U50" s="50"/>
      <c r="V50" s="50"/>
      <c r="W50" s="50"/>
      <c r="X50" s="50"/>
      <c r="Y50" s="50"/>
      <c r="Z50" s="50"/>
      <c r="AA50" s="50"/>
      <c r="AB50" s="50"/>
      <c r="AC50" s="50"/>
      <c r="AD50" s="50"/>
      <c r="AE50" s="50"/>
      <c r="AF50" s="50"/>
    </row>
    <row r="51" spans="1:32" ht="15.75" customHeight="1">
      <c r="A51" s="96" t="s">
        <v>755</v>
      </c>
      <c r="B51" s="97"/>
      <c r="C51" s="97" t="s">
        <v>294</v>
      </c>
      <c r="D51" s="104"/>
      <c r="E51" s="104"/>
      <c r="F51" s="104"/>
      <c r="G51" s="104"/>
      <c r="H51" s="104"/>
      <c r="I51" s="105"/>
      <c r="J51" s="106"/>
      <c r="K51" s="106"/>
      <c r="L51" s="106"/>
      <c r="M51" s="106"/>
      <c r="N51" s="50"/>
      <c r="O51" s="50"/>
      <c r="P51" s="50"/>
      <c r="Q51" s="50"/>
      <c r="R51" s="50"/>
      <c r="S51" s="50"/>
      <c r="T51" s="50"/>
      <c r="U51" s="50"/>
      <c r="V51" s="50"/>
      <c r="W51" s="50"/>
      <c r="X51" s="50"/>
      <c r="Y51" s="50"/>
      <c r="Z51" s="50"/>
      <c r="AA51" s="50"/>
      <c r="AB51" s="50"/>
      <c r="AC51" s="50"/>
      <c r="AD51" s="50"/>
      <c r="AE51" s="50"/>
      <c r="AF51" s="50"/>
    </row>
    <row r="52" spans="1:32" ht="15.75" customHeight="1">
      <c r="A52" s="29" t="s">
        <v>756</v>
      </c>
      <c r="B52" s="30"/>
      <c r="C52" s="30" t="s">
        <v>14</v>
      </c>
      <c r="D52" s="100" t="s">
        <v>14</v>
      </c>
      <c r="E52" s="100" t="s">
        <v>14</v>
      </c>
      <c r="F52" s="100" t="s">
        <v>14</v>
      </c>
      <c r="G52" s="102" t="s">
        <v>14</v>
      </c>
      <c r="H52" s="102" t="s">
        <v>14</v>
      </c>
      <c r="I52" s="123">
        <f>_xlfn.LET(
_xlpm.full,2,
_xlpm.ans0,$C52&amp;"",
_xlpm.resp0,D52&amp;"",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52" s="123">
        <f t="shared" ref="J52:M53" si="9">_xlfn.LET(
_xlpm.full,2,
_xlpm.ans0,$C52&amp;"",
_xlpm.resp0,E52&amp;"",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52" s="123">
        <f t="shared" si="9"/>
        <v>2</v>
      </c>
      <c r="L52" s="123">
        <f t="shared" si="9"/>
        <v>2</v>
      </c>
      <c r="M52" s="123">
        <f t="shared" si="9"/>
        <v>2</v>
      </c>
      <c r="N52" s="50"/>
      <c r="O52" s="50"/>
      <c r="P52" s="50"/>
      <c r="Q52" s="50"/>
      <c r="R52" s="50"/>
      <c r="S52" s="50"/>
      <c r="T52" s="50"/>
      <c r="U52" s="50"/>
      <c r="V52" s="50"/>
      <c r="W52" s="50"/>
      <c r="X52" s="50"/>
      <c r="Y52" s="50"/>
      <c r="Z52" s="50"/>
      <c r="AA52" s="50"/>
      <c r="AB52" s="50"/>
      <c r="AC52" s="50"/>
      <c r="AD52" s="50"/>
      <c r="AE52" s="50"/>
      <c r="AF52" s="50"/>
    </row>
    <row r="53" spans="1:32" ht="15.75" customHeight="1">
      <c r="A53" s="29" t="s">
        <v>757</v>
      </c>
      <c r="B53" s="30"/>
      <c r="C53" s="30" t="s">
        <v>48</v>
      </c>
      <c r="D53" s="100" t="s">
        <v>48</v>
      </c>
      <c r="E53" s="100" t="s">
        <v>48</v>
      </c>
      <c r="F53" s="100" t="s">
        <v>48</v>
      </c>
      <c r="G53" s="102" t="s">
        <v>48</v>
      </c>
      <c r="H53" s="102" t="s">
        <v>48</v>
      </c>
      <c r="I53" s="123">
        <f>_xlfn.LET(
_xlpm.full,2,
_xlpm.ans0,$C53&amp;"",
_xlpm.resp0,D53&amp;"",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53" s="123">
        <f t="shared" si="9"/>
        <v>2</v>
      </c>
      <c r="K53" s="123">
        <f t="shared" si="9"/>
        <v>2</v>
      </c>
      <c r="L53" s="123">
        <f t="shared" si="9"/>
        <v>2</v>
      </c>
      <c r="M53" s="123">
        <f t="shared" si="9"/>
        <v>2</v>
      </c>
      <c r="N53" s="50"/>
      <c r="O53" s="50"/>
      <c r="P53" s="50"/>
      <c r="Q53" s="50"/>
      <c r="R53" s="50"/>
      <c r="S53" s="50"/>
      <c r="T53" s="50"/>
      <c r="U53" s="50"/>
      <c r="V53" s="50"/>
      <c r="W53" s="50"/>
      <c r="X53" s="50"/>
      <c r="Y53" s="50"/>
      <c r="Z53" s="50"/>
      <c r="AA53" s="50"/>
      <c r="AB53" s="50"/>
      <c r="AC53" s="50"/>
      <c r="AD53" s="50"/>
      <c r="AE53" s="50"/>
      <c r="AF53" s="50"/>
    </row>
    <row r="54" spans="1:32" ht="15.75" customHeight="1">
      <c r="A54" s="29" t="s">
        <v>758</v>
      </c>
      <c r="B54" s="30" t="s">
        <v>78</v>
      </c>
      <c r="C54" s="30" t="s">
        <v>759</v>
      </c>
      <c r="D54" s="100" t="s">
        <v>760</v>
      </c>
      <c r="E54" s="100" t="s">
        <v>761</v>
      </c>
      <c r="F54" s="100" t="s">
        <v>762</v>
      </c>
      <c r="G54" s="102" t="s">
        <v>763</v>
      </c>
      <c r="H54" s="102" t="s">
        <v>764</v>
      </c>
      <c r="I54" s="28">
        <v>2</v>
      </c>
      <c r="J54" s="82">
        <v>4</v>
      </c>
      <c r="K54" s="82">
        <v>4</v>
      </c>
      <c r="L54" s="83">
        <v>4</v>
      </c>
      <c r="M54" s="83">
        <v>4</v>
      </c>
      <c r="N54" s="50"/>
      <c r="O54" s="50"/>
      <c r="P54" s="50"/>
      <c r="Q54" s="50"/>
      <c r="R54" s="50"/>
      <c r="S54" s="50"/>
      <c r="T54" s="50"/>
      <c r="U54" s="50"/>
      <c r="V54" s="50"/>
      <c r="W54" s="50"/>
      <c r="X54" s="50"/>
      <c r="Y54" s="50"/>
      <c r="Z54" s="50"/>
      <c r="AA54" s="50"/>
      <c r="AB54" s="50"/>
      <c r="AC54" s="50"/>
      <c r="AD54" s="50"/>
      <c r="AE54" s="50"/>
      <c r="AF54" s="50"/>
    </row>
    <row r="55" spans="1:32" ht="15.75" customHeight="1">
      <c r="A55" s="29" t="s">
        <v>765</v>
      </c>
      <c r="B55" s="30"/>
      <c r="C55" s="30" t="s">
        <v>104</v>
      </c>
      <c r="D55" s="100" t="s">
        <v>104</v>
      </c>
      <c r="E55" s="100" t="s">
        <v>64</v>
      </c>
      <c r="F55" s="100" t="s">
        <v>50</v>
      </c>
      <c r="G55" s="102" t="s">
        <v>104</v>
      </c>
      <c r="H55" s="102" t="s">
        <v>104</v>
      </c>
      <c r="I55" s="123">
        <f>_xlfn.LET(
_xlpm.full,2,
_xlpm.ans0,$C55&amp;"",
_xlpm.resp0,D55&amp;"",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55" s="123">
        <f t="shared" ref="J55:M56" si="10">_xlfn.LET(
_xlpm.full,2,
_xlpm.ans0,$C55&amp;"",
_xlpm.resp0,E55&amp;"",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K55" s="123">
        <f t="shared" si="10"/>
        <v>0.4</v>
      </c>
      <c r="L55" s="123">
        <f t="shared" si="10"/>
        <v>2</v>
      </c>
      <c r="M55" s="123">
        <f t="shared" si="10"/>
        <v>2</v>
      </c>
      <c r="N55" s="50"/>
      <c r="O55" s="50"/>
      <c r="P55" s="50"/>
      <c r="Q55" s="50"/>
      <c r="R55" s="50"/>
      <c r="S55" s="50"/>
      <c r="T55" s="50"/>
      <c r="U55" s="50"/>
      <c r="V55" s="50"/>
      <c r="W55" s="50"/>
      <c r="X55" s="50"/>
      <c r="Y55" s="50"/>
      <c r="Z55" s="50"/>
      <c r="AA55" s="50"/>
      <c r="AB55" s="50"/>
      <c r="AC55" s="50"/>
      <c r="AD55" s="50"/>
      <c r="AE55" s="50"/>
      <c r="AF55" s="50"/>
    </row>
    <row r="56" spans="1:32" ht="15.75" customHeight="1">
      <c r="A56" s="29" t="s">
        <v>766</v>
      </c>
      <c r="B56" s="30"/>
      <c r="C56" s="30" t="s">
        <v>95</v>
      </c>
      <c r="D56" s="100" t="s">
        <v>95</v>
      </c>
      <c r="E56" s="100" t="s">
        <v>95</v>
      </c>
      <c r="F56" s="100" t="s">
        <v>95</v>
      </c>
      <c r="G56" s="102" t="s">
        <v>95</v>
      </c>
      <c r="H56" s="102" t="s">
        <v>95</v>
      </c>
      <c r="I56" s="123">
        <f>_xlfn.LET(
_xlpm.full,2,
_xlpm.ans0,$C56&amp;"",
_xlpm.resp0,D56&amp;"",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56" s="123">
        <f t="shared" si="10"/>
        <v>2</v>
      </c>
      <c r="K56" s="123">
        <f t="shared" si="10"/>
        <v>2</v>
      </c>
      <c r="L56" s="123">
        <f t="shared" si="10"/>
        <v>2</v>
      </c>
      <c r="M56" s="123">
        <f t="shared" si="10"/>
        <v>2</v>
      </c>
      <c r="N56" s="50"/>
      <c r="O56" s="50"/>
      <c r="P56" s="50"/>
      <c r="Q56" s="50"/>
      <c r="R56" s="50"/>
      <c r="S56" s="50"/>
      <c r="T56" s="50"/>
      <c r="U56" s="50"/>
      <c r="V56" s="50"/>
      <c r="W56" s="50"/>
      <c r="X56" s="50"/>
      <c r="Y56" s="50"/>
      <c r="Z56" s="50"/>
      <c r="AA56" s="50"/>
      <c r="AB56" s="50"/>
      <c r="AC56" s="50"/>
      <c r="AD56" s="50"/>
      <c r="AE56" s="50"/>
      <c r="AF56" s="50"/>
    </row>
    <row r="57" spans="1:32" ht="15.75" customHeight="1">
      <c r="A57" s="29" t="s">
        <v>767</v>
      </c>
      <c r="B57" s="30" t="s">
        <v>16</v>
      </c>
      <c r="C57" s="101" t="s">
        <v>768</v>
      </c>
      <c r="D57" s="100" t="s">
        <v>769</v>
      </c>
      <c r="E57" s="100" t="s">
        <v>770</v>
      </c>
      <c r="F57" s="100" t="s">
        <v>771</v>
      </c>
      <c r="G57" s="102" t="s">
        <v>772</v>
      </c>
      <c r="H57" s="102" t="s">
        <v>773</v>
      </c>
      <c r="I57" s="28">
        <v>0</v>
      </c>
      <c r="J57" s="82">
        <v>0</v>
      </c>
      <c r="K57" s="82">
        <v>2</v>
      </c>
      <c r="L57" s="83">
        <v>2</v>
      </c>
      <c r="M57" s="83">
        <v>2</v>
      </c>
      <c r="N57" s="50"/>
      <c r="O57" s="50"/>
      <c r="P57" s="50"/>
      <c r="Q57" s="50"/>
      <c r="R57" s="50"/>
      <c r="S57" s="50"/>
      <c r="T57" s="50"/>
      <c r="U57" s="50"/>
      <c r="V57" s="50"/>
      <c r="W57" s="50"/>
      <c r="X57" s="50"/>
      <c r="Y57" s="50"/>
      <c r="Z57" s="50"/>
      <c r="AA57" s="50"/>
      <c r="AB57" s="50"/>
      <c r="AC57" s="50"/>
      <c r="AD57" s="50"/>
      <c r="AE57" s="50"/>
      <c r="AF57" s="50"/>
    </row>
    <row r="58" spans="1:32" ht="15.75" customHeight="1">
      <c r="A58" s="96" t="s">
        <v>774</v>
      </c>
      <c r="B58" s="106"/>
      <c r="C58" s="97" t="s">
        <v>294</v>
      </c>
      <c r="D58" s="104"/>
      <c r="E58" s="104"/>
      <c r="F58" s="104"/>
      <c r="G58" s="104"/>
      <c r="H58" s="104"/>
      <c r="I58" s="105"/>
      <c r="J58" s="106"/>
      <c r="K58" s="106"/>
      <c r="L58" s="106"/>
      <c r="M58" s="106"/>
      <c r="N58" s="50"/>
      <c r="O58" s="50"/>
      <c r="P58" s="50"/>
      <c r="Q58" s="50"/>
      <c r="R58" s="50"/>
      <c r="S58" s="50"/>
      <c r="T58" s="50"/>
      <c r="U58" s="50"/>
      <c r="V58" s="50"/>
      <c r="W58" s="50"/>
      <c r="X58" s="50"/>
      <c r="Y58" s="50"/>
      <c r="Z58" s="50"/>
      <c r="AA58" s="50"/>
      <c r="AB58" s="50"/>
      <c r="AC58" s="50"/>
      <c r="AD58" s="50"/>
      <c r="AE58" s="50"/>
      <c r="AF58" s="50"/>
    </row>
    <row r="59" spans="1:32" ht="15.75" customHeight="1">
      <c r="A59" s="29" t="s">
        <v>775</v>
      </c>
      <c r="B59" s="30" t="s">
        <v>16</v>
      </c>
      <c r="C59" s="30" t="s">
        <v>52</v>
      </c>
      <c r="D59" s="100" t="s">
        <v>52</v>
      </c>
      <c r="E59" s="100" t="s">
        <v>52</v>
      </c>
      <c r="F59" s="100" t="s">
        <v>21</v>
      </c>
      <c r="G59" s="30" t="s">
        <v>52</v>
      </c>
      <c r="H59" s="30" t="s">
        <v>52</v>
      </c>
      <c r="I59" s="123">
        <f>_xlfn.LET(
_xlpm.full,2,
_xlpm.ans0,$C59&amp;"",
_xlpm.resp0,D59&amp;"",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59" s="123">
        <f t="shared" ref="J59" si="11">_xlfn.LET(
_xlpm.full,2,
_xlpm.ans0,$C59&amp;"",
_xlpm.resp0,E59&amp;"",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59" s="123">
        <f t="shared" ref="K59" si="12">_xlfn.LET(
_xlpm.full,2,
_xlpm.ans0,$C59&amp;"",
_xlpm.resp0,F59&amp;"",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1.2</v>
      </c>
      <c r="L59" s="123">
        <f t="shared" ref="L59" si="13">_xlfn.LET(
_xlpm.full,2,
_xlpm.ans0,$C59&amp;"",
_xlpm.resp0,G59&amp;"",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59" s="123">
        <f t="shared" ref="M59" si="14">_xlfn.LET(
_xlpm.full,2,
_xlpm.ans0,$C59&amp;"",
_xlpm.resp0,H59&amp;"",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59" s="50"/>
      <c r="O59" s="50"/>
      <c r="P59" s="50"/>
      <c r="Q59" s="50"/>
      <c r="R59" s="50"/>
      <c r="S59" s="50"/>
      <c r="T59" s="50"/>
      <c r="U59" s="50"/>
      <c r="V59" s="50"/>
      <c r="W59" s="50"/>
      <c r="X59" s="50"/>
      <c r="Y59" s="50"/>
      <c r="Z59" s="50"/>
      <c r="AA59" s="50"/>
      <c r="AB59" s="50"/>
      <c r="AC59" s="50"/>
      <c r="AD59" s="50"/>
      <c r="AE59" s="50"/>
      <c r="AF59" s="50"/>
    </row>
    <row r="60" spans="1:32" ht="15.75" customHeight="1">
      <c r="A60" s="29" t="s">
        <v>776</v>
      </c>
      <c r="B60" s="30" t="s">
        <v>16</v>
      </c>
      <c r="C60" s="101" t="s">
        <v>777</v>
      </c>
      <c r="D60" s="100" t="s">
        <v>778</v>
      </c>
      <c r="E60" s="100" t="s">
        <v>779</v>
      </c>
      <c r="F60" s="100" t="s">
        <v>780</v>
      </c>
      <c r="G60" s="102" t="s">
        <v>781</v>
      </c>
      <c r="H60" s="102" t="s">
        <v>782</v>
      </c>
      <c r="I60" s="28">
        <v>2</v>
      </c>
      <c r="J60" s="82">
        <v>2</v>
      </c>
      <c r="K60" s="82">
        <v>2</v>
      </c>
      <c r="L60" s="83">
        <v>2</v>
      </c>
      <c r="M60" s="83">
        <v>2</v>
      </c>
      <c r="N60" s="50"/>
      <c r="O60" s="50"/>
      <c r="P60" s="50"/>
      <c r="Q60" s="50"/>
      <c r="R60" s="50"/>
      <c r="S60" s="50"/>
      <c r="T60" s="50"/>
      <c r="U60" s="50"/>
      <c r="V60" s="50"/>
      <c r="W60" s="50"/>
      <c r="X60" s="50"/>
      <c r="Y60" s="50"/>
      <c r="Z60" s="50"/>
      <c r="AA60" s="50"/>
      <c r="AB60" s="50"/>
      <c r="AC60" s="50"/>
      <c r="AD60" s="50"/>
      <c r="AE60" s="50"/>
      <c r="AF60" s="50"/>
    </row>
    <row r="61" spans="1:32" ht="15.75" customHeight="1">
      <c r="A61" s="29" t="s">
        <v>783</v>
      </c>
      <c r="B61" s="30" t="s">
        <v>16</v>
      </c>
      <c r="C61" s="30" t="s">
        <v>19</v>
      </c>
      <c r="D61" s="100" t="s">
        <v>19</v>
      </c>
      <c r="E61" s="100" t="s">
        <v>48</v>
      </c>
      <c r="F61" s="100" t="s">
        <v>19</v>
      </c>
      <c r="G61" s="102" t="s">
        <v>19</v>
      </c>
      <c r="H61" s="102" t="s">
        <v>19</v>
      </c>
      <c r="I61" s="123">
        <f>_xlfn.LET(
_xlpm.full,2,
_xlpm.ans0,$C61&amp;"",
_xlpm.resp0,D61&amp;"",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61" s="123">
        <f t="shared" ref="J61" si="15">_xlfn.LET(
_xlpm.full,2,
_xlpm.ans0,$C61&amp;"",
_xlpm.resp0,E61&amp;"",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K61" s="123">
        <f t="shared" ref="K61" si="16">_xlfn.LET(
_xlpm.full,2,
_xlpm.ans0,$C61&amp;"",
_xlpm.resp0,F61&amp;"",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61" s="123">
        <f t="shared" ref="L61" si="17">_xlfn.LET(
_xlpm.full,2,
_xlpm.ans0,$C61&amp;"",
_xlpm.resp0,G61&amp;"",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61" s="123">
        <f t="shared" ref="M61" si="18">_xlfn.LET(
_xlpm.full,2,
_xlpm.ans0,$C61&amp;"",
_xlpm.resp0,H61&amp;"",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61" s="50"/>
      <c r="O61" s="50"/>
      <c r="P61" s="50"/>
      <c r="Q61" s="50"/>
      <c r="R61" s="50"/>
      <c r="S61" s="50"/>
      <c r="T61" s="50"/>
      <c r="U61" s="50"/>
      <c r="V61" s="50"/>
      <c r="W61" s="50"/>
      <c r="X61" s="50"/>
      <c r="Y61" s="50"/>
      <c r="Z61" s="50"/>
      <c r="AA61" s="50"/>
      <c r="AB61" s="50"/>
      <c r="AC61" s="50"/>
      <c r="AD61" s="50"/>
      <c r="AE61" s="50"/>
      <c r="AF61" s="50"/>
    </row>
    <row r="62" spans="1:32" ht="15.75" customHeight="1">
      <c r="A62" s="29" t="s">
        <v>784</v>
      </c>
      <c r="B62" s="30" t="s">
        <v>16</v>
      </c>
      <c r="C62" s="101" t="s">
        <v>785</v>
      </c>
      <c r="D62" s="100" t="s">
        <v>786</v>
      </c>
      <c r="E62" s="100" t="s">
        <v>787</v>
      </c>
      <c r="F62" s="100" t="s">
        <v>788</v>
      </c>
      <c r="G62" s="102" t="s">
        <v>789</v>
      </c>
      <c r="H62" s="102" t="s">
        <v>790</v>
      </c>
      <c r="I62" s="28">
        <v>2</v>
      </c>
      <c r="J62" s="82">
        <v>4</v>
      </c>
      <c r="K62" s="82">
        <v>2</v>
      </c>
      <c r="L62" s="83">
        <v>4</v>
      </c>
      <c r="M62" s="83">
        <v>4</v>
      </c>
      <c r="N62" s="50"/>
      <c r="O62" s="50"/>
      <c r="P62" s="50"/>
      <c r="Q62" s="50"/>
      <c r="R62" s="50"/>
      <c r="S62" s="50"/>
      <c r="T62" s="50"/>
      <c r="U62" s="50"/>
      <c r="V62" s="50"/>
      <c r="W62" s="50"/>
      <c r="X62" s="50"/>
      <c r="Y62" s="50"/>
      <c r="Z62" s="50"/>
      <c r="AA62" s="50"/>
      <c r="AB62" s="50"/>
      <c r="AC62" s="50"/>
      <c r="AD62" s="50"/>
      <c r="AE62" s="50"/>
      <c r="AF62" s="50"/>
    </row>
    <row r="63" spans="1:32" ht="15.75" customHeight="1">
      <c r="A63" s="96" t="s">
        <v>791</v>
      </c>
      <c r="B63" s="97"/>
      <c r="C63" s="97" t="s">
        <v>294</v>
      </c>
      <c r="D63" s="104"/>
      <c r="E63" s="104"/>
      <c r="F63" s="104"/>
      <c r="G63" s="104"/>
      <c r="H63" s="104"/>
      <c r="I63" s="105"/>
      <c r="J63" s="106"/>
      <c r="K63" s="106"/>
      <c r="L63" s="106"/>
      <c r="M63" s="106"/>
      <c r="N63" s="50"/>
      <c r="O63" s="50"/>
      <c r="P63" s="50"/>
      <c r="Q63" s="50"/>
      <c r="R63" s="50"/>
      <c r="S63" s="50"/>
      <c r="T63" s="50"/>
      <c r="U63" s="50"/>
      <c r="V63" s="50"/>
      <c r="W63" s="50"/>
      <c r="X63" s="50"/>
      <c r="Y63" s="50"/>
      <c r="Z63" s="50"/>
      <c r="AA63" s="50"/>
      <c r="AB63" s="50"/>
      <c r="AC63" s="50"/>
      <c r="AD63" s="50"/>
      <c r="AE63" s="50"/>
      <c r="AF63" s="50"/>
    </row>
    <row r="64" spans="1:32" ht="15.75" customHeight="1">
      <c r="A64" s="29" t="s">
        <v>792</v>
      </c>
      <c r="B64" s="30" t="s">
        <v>16</v>
      </c>
      <c r="C64" s="30" t="s">
        <v>21</v>
      </c>
      <c r="D64" s="100" t="s">
        <v>22</v>
      </c>
      <c r="E64" s="100" t="s">
        <v>14</v>
      </c>
      <c r="F64" s="100" t="s">
        <v>21</v>
      </c>
      <c r="G64" s="102" t="s">
        <v>22</v>
      </c>
      <c r="H64" s="102" t="s">
        <v>22</v>
      </c>
      <c r="I64" s="123">
        <f>_xlfn.LET(
_xlpm.full,2,
_xlpm.ans0,$C64&amp;"",
_xlpm.resp0,D64&amp;"",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64" s="123">
        <f t="shared" ref="J64:J65" si="19">_xlfn.LET(
_xlpm.full,2,
_xlpm.ans0,$C64&amp;"",
_xlpm.resp0,E64&amp;"",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K64" s="123">
        <f t="shared" ref="K64:K65" si="20">_xlfn.LET(
_xlpm.full,2,
_xlpm.ans0,$C64&amp;"",
_xlpm.resp0,F64&amp;"",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64" s="123">
        <f t="shared" ref="L64:L65" si="21">_xlfn.LET(
_xlpm.full,2,
_xlpm.ans0,$C64&amp;"",
_xlpm.resp0,G64&amp;"",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M64" s="123">
        <f t="shared" ref="M64:M65" si="22">_xlfn.LET(
_xlpm.full,2,
_xlpm.ans0,$C64&amp;"",
_xlpm.resp0,H64&amp;"",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N64" s="50"/>
      <c r="O64" s="50"/>
      <c r="P64" s="50"/>
      <c r="Q64" s="50"/>
      <c r="R64" s="50"/>
      <c r="S64" s="50"/>
      <c r="T64" s="50"/>
      <c r="U64" s="50"/>
      <c r="V64" s="50"/>
      <c r="W64" s="50"/>
      <c r="X64" s="50"/>
      <c r="Y64" s="50"/>
      <c r="Z64" s="50"/>
      <c r="AA64" s="50"/>
      <c r="AB64" s="50"/>
      <c r="AC64" s="50"/>
      <c r="AD64" s="50"/>
      <c r="AE64" s="50"/>
      <c r="AF64" s="50"/>
    </row>
    <row r="65" spans="1:32" ht="15.75" customHeight="1">
      <c r="A65" s="29" t="s">
        <v>793</v>
      </c>
      <c r="B65" s="30" t="s">
        <v>34</v>
      </c>
      <c r="C65" s="30" t="s">
        <v>21</v>
      </c>
      <c r="D65" s="30" t="s">
        <v>21</v>
      </c>
      <c r="E65" s="30" t="s">
        <v>14</v>
      </c>
      <c r="F65" s="30" t="s">
        <v>21</v>
      </c>
      <c r="G65" s="101" t="s">
        <v>21</v>
      </c>
      <c r="H65" s="101" t="s">
        <v>21</v>
      </c>
      <c r="I65" s="123">
        <f>_xlfn.LET(
_xlpm.full,2,
_xlpm.ans0,$C65&amp;"",
_xlpm.resp0,D65&amp;"",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65" s="123">
        <f t="shared" si="19"/>
        <v>0</v>
      </c>
      <c r="K65" s="123">
        <f t="shared" si="20"/>
        <v>2</v>
      </c>
      <c r="L65" s="123">
        <f t="shared" si="21"/>
        <v>2</v>
      </c>
      <c r="M65" s="123">
        <f t="shared" si="22"/>
        <v>2</v>
      </c>
      <c r="N65" s="29"/>
      <c r="O65" s="29"/>
      <c r="P65" s="29"/>
      <c r="Q65" s="29"/>
      <c r="R65" s="29"/>
      <c r="S65" s="29"/>
      <c r="T65" s="29"/>
      <c r="U65" s="29"/>
      <c r="V65" s="29"/>
      <c r="W65" s="29"/>
      <c r="X65" s="29"/>
      <c r="Y65" s="29"/>
      <c r="Z65" s="29"/>
      <c r="AA65" s="29"/>
      <c r="AB65" s="29"/>
      <c r="AC65" s="29"/>
      <c r="AD65" s="29"/>
      <c r="AE65" s="29"/>
      <c r="AF65" s="29"/>
    </row>
    <row r="66" spans="1:32" ht="15.75" customHeight="1">
      <c r="A66" s="29" t="s">
        <v>794</v>
      </c>
      <c r="B66" s="30"/>
      <c r="C66" s="30" t="s">
        <v>795</v>
      </c>
      <c r="D66" s="30" t="s">
        <v>796</v>
      </c>
      <c r="E66" s="7" t="s">
        <v>797</v>
      </c>
      <c r="F66" s="7" t="s">
        <v>798</v>
      </c>
      <c r="G66" s="109" t="s">
        <v>799</v>
      </c>
      <c r="H66" s="14" t="s">
        <v>799</v>
      </c>
      <c r="I66" s="28">
        <v>0</v>
      </c>
      <c r="J66" s="82">
        <v>2</v>
      </c>
      <c r="K66" s="82">
        <v>2</v>
      </c>
      <c r="L66" s="83">
        <v>2</v>
      </c>
      <c r="M66" s="82"/>
      <c r="N66" s="29"/>
      <c r="O66" s="29"/>
      <c r="P66" s="29"/>
      <c r="Q66" s="29"/>
      <c r="R66" s="29"/>
      <c r="S66" s="29"/>
      <c r="T66" s="29"/>
      <c r="U66" s="29"/>
      <c r="V66" s="29"/>
      <c r="W66" s="29"/>
      <c r="X66" s="29"/>
      <c r="Y66" s="29"/>
      <c r="Z66" s="29"/>
      <c r="AA66" s="29"/>
      <c r="AB66" s="29"/>
      <c r="AC66" s="29"/>
      <c r="AD66" s="29"/>
      <c r="AE66" s="29"/>
      <c r="AF66" s="29"/>
    </row>
    <row r="67" spans="1:32" ht="15.75" customHeight="1">
      <c r="A67" s="29" t="s">
        <v>800</v>
      </c>
      <c r="B67" s="30" t="s">
        <v>16</v>
      </c>
      <c r="C67" s="30" t="s">
        <v>14</v>
      </c>
      <c r="D67" s="100" t="s">
        <v>14</v>
      </c>
      <c r="E67" s="100" t="s">
        <v>14</v>
      </c>
      <c r="F67" s="100" t="s">
        <v>14</v>
      </c>
      <c r="G67" s="102" t="s">
        <v>14</v>
      </c>
      <c r="H67" s="102" t="s">
        <v>14</v>
      </c>
      <c r="I67" s="123">
        <f>_xlfn.LET(
_xlpm.full,2,
_xlpm.ans0,$C67&amp;"",
_xlpm.resp0,D67&amp;"",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67" s="123">
        <f t="shared" ref="J67:J68" si="23">_xlfn.LET(
_xlpm.full,2,
_xlpm.ans0,$C67&amp;"",
_xlpm.resp0,E67&amp;"",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67" s="123">
        <f t="shared" ref="K67:K68" si="24">_xlfn.LET(
_xlpm.full,2,
_xlpm.ans0,$C67&amp;"",
_xlpm.resp0,F67&amp;"",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L67" s="123">
        <f t="shared" ref="L67:L68" si="25">_xlfn.LET(
_xlpm.full,2,
_xlpm.ans0,$C67&amp;"",
_xlpm.resp0,G67&amp;"",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M67" s="123">
        <f t="shared" ref="M67:M68" si="26">_xlfn.LET(
_xlpm.full,2,
_xlpm.ans0,$C67&amp;"",
_xlpm.resp0,H67&amp;"",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N67" s="50"/>
      <c r="O67" s="50"/>
      <c r="P67" s="50"/>
      <c r="Q67" s="50"/>
      <c r="R67" s="50"/>
      <c r="S67" s="50"/>
      <c r="T67" s="50"/>
      <c r="U67" s="50"/>
      <c r="V67" s="50"/>
      <c r="W67" s="50"/>
      <c r="X67" s="50"/>
      <c r="Y67" s="50"/>
      <c r="Z67" s="50"/>
      <c r="AA67" s="50"/>
      <c r="AB67" s="50"/>
      <c r="AC67" s="50"/>
      <c r="AD67" s="50"/>
      <c r="AE67" s="50"/>
      <c r="AF67" s="50"/>
    </row>
    <row r="68" spans="1:32" ht="15.75" customHeight="1">
      <c r="A68" s="29" t="s">
        <v>801</v>
      </c>
      <c r="B68" s="30"/>
      <c r="C68" s="30" t="s">
        <v>104</v>
      </c>
      <c r="D68" s="100" t="s">
        <v>104</v>
      </c>
      <c r="E68" s="100" t="s">
        <v>104</v>
      </c>
      <c r="F68" s="100" t="s">
        <v>104</v>
      </c>
      <c r="G68" s="102" t="s">
        <v>104</v>
      </c>
      <c r="H68" s="102" t="s">
        <v>104</v>
      </c>
      <c r="I68" s="123">
        <f>_xlfn.LET(
_xlpm.full,2,
_xlpm.ans0,$C68&amp;"",
_xlpm.resp0,D68&amp;"",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68" s="123">
        <f t="shared" si="23"/>
        <v>2</v>
      </c>
      <c r="K68" s="123">
        <f t="shared" si="24"/>
        <v>2</v>
      </c>
      <c r="L68" s="123">
        <f t="shared" si="25"/>
        <v>2</v>
      </c>
      <c r="M68" s="123">
        <f t="shared" si="26"/>
        <v>2</v>
      </c>
      <c r="N68" s="50"/>
      <c r="O68" s="50"/>
      <c r="P68" s="50"/>
      <c r="Q68" s="50"/>
      <c r="R68" s="50"/>
      <c r="S68" s="50"/>
      <c r="T68" s="50"/>
      <c r="U68" s="50"/>
      <c r="V68" s="50"/>
      <c r="W68" s="50"/>
      <c r="X68" s="50"/>
      <c r="Y68" s="50"/>
      <c r="Z68" s="50"/>
      <c r="AA68" s="50"/>
      <c r="AB68" s="50"/>
      <c r="AC68" s="50"/>
      <c r="AD68" s="50"/>
      <c r="AE68" s="50"/>
      <c r="AF68" s="50"/>
    </row>
    <row r="69" spans="1:32" ht="15.75" customHeight="1">
      <c r="A69" s="29" t="s">
        <v>802</v>
      </c>
      <c r="B69" s="30"/>
      <c r="C69" s="30" t="s">
        <v>803</v>
      </c>
      <c r="D69" s="100" t="s">
        <v>804</v>
      </c>
      <c r="E69" s="100" t="s">
        <v>805</v>
      </c>
      <c r="F69" s="100" t="s">
        <v>806</v>
      </c>
      <c r="G69" s="102" t="s">
        <v>807</v>
      </c>
      <c r="H69" s="102" t="s">
        <v>808</v>
      </c>
      <c r="I69" s="28">
        <v>1</v>
      </c>
      <c r="J69" s="82">
        <v>2</v>
      </c>
      <c r="K69" s="82">
        <v>2</v>
      </c>
      <c r="L69" s="83">
        <v>2</v>
      </c>
      <c r="M69" s="83">
        <v>0</v>
      </c>
      <c r="N69" s="50"/>
      <c r="O69" s="50"/>
      <c r="P69" s="50"/>
      <c r="Q69" s="50"/>
      <c r="R69" s="50"/>
      <c r="S69" s="50"/>
      <c r="T69" s="50"/>
      <c r="U69" s="50"/>
      <c r="V69" s="50"/>
      <c r="W69" s="50"/>
      <c r="X69" s="50"/>
      <c r="Y69" s="50"/>
      <c r="Z69" s="50"/>
      <c r="AA69" s="50"/>
      <c r="AB69" s="50"/>
      <c r="AC69" s="50"/>
      <c r="AD69" s="50"/>
      <c r="AE69" s="50"/>
      <c r="AF69" s="50"/>
    </row>
    <row r="70" spans="1:32" ht="15.75" customHeight="1">
      <c r="A70" s="29"/>
      <c r="B70" s="30"/>
      <c r="C70" s="30"/>
      <c r="D70" s="88"/>
      <c r="E70" s="88"/>
      <c r="F70" s="88"/>
      <c r="G70" s="88"/>
      <c r="H70" s="88"/>
      <c r="I70" s="44"/>
      <c r="J70" s="50"/>
      <c r="K70" s="50"/>
      <c r="L70" s="50"/>
      <c r="M70" s="50"/>
      <c r="N70" s="50"/>
      <c r="O70" s="50"/>
      <c r="P70" s="50"/>
      <c r="Q70" s="50"/>
      <c r="R70" s="50"/>
      <c r="S70" s="50"/>
      <c r="T70" s="50"/>
      <c r="U70" s="50"/>
      <c r="V70" s="50"/>
      <c r="W70" s="50"/>
      <c r="X70" s="50"/>
      <c r="Y70" s="50"/>
      <c r="Z70" s="50"/>
      <c r="AA70" s="50"/>
      <c r="AB70" s="50"/>
      <c r="AC70" s="50"/>
      <c r="AD70" s="50"/>
      <c r="AE70" s="50"/>
      <c r="AF70" s="50"/>
    </row>
    <row r="71" spans="1:32" ht="15.75" customHeight="1">
      <c r="A71" s="29"/>
      <c r="B71" s="30"/>
      <c r="C71" s="30"/>
      <c r="D71" s="88"/>
      <c r="E71" s="88"/>
      <c r="F71" s="88"/>
      <c r="G71" s="88"/>
      <c r="H71" s="88"/>
      <c r="I71" s="44"/>
      <c r="J71" s="50"/>
      <c r="K71" s="50"/>
      <c r="L71" s="50"/>
      <c r="M71" s="50"/>
      <c r="N71" s="50"/>
      <c r="O71" s="50"/>
      <c r="P71" s="50"/>
      <c r="Q71" s="50"/>
      <c r="R71" s="50"/>
      <c r="S71" s="50"/>
      <c r="T71" s="50"/>
      <c r="U71" s="50"/>
      <c r="V71" s="50"/>
      <c r="W71" s="50"/>
      <c r="X71" s="50"/>
      <c r="Y71" s="50"/>
      <c r="Z71" s="50"/>
      <c r="AA71" s="50"/>
      <c r="AB71" s="50"/>
      <c r="AC71" s="50"/>
      <c r="AD71" s="50"/>
      <c r="AE71" s="50"/>
      <c r="AF71" s="50"/>
    </row>
    <row r="72" spans="1:32" ht="15.75" customHeight="1">
      <c r="A72" s="29"/>
      <c r="B72" s="30"/>
      <c r="C72" s="30"/>
      <c r="D72" s="88"/>
      <c r="E72" s="88"/>
      <c r="F72" s="88"/>
      <c r="G72" s="88"/>
      <c r="H72" s="88"/>
      <c r="I72" s="44"/>
      <c r="J72" s="50"/>
      <c r="K72" s="50"/>
      <c r="L72" s="50"/>
      <c r="M72" s="50"/>
      <c r="N72" s="50"/>
      <c r="O72" s="50"/>
      <c r="P72" s="50"/>
      <c r="Q72" s="50"/>
      <c r="R72" s="50"/>
      <c r="S72" s="50"/>
      <c r="T72" s="50"/>
      <c r="U72" s="50"/>
      <c r="V72" s="50"/>
      <c r="W72" s="50"/>
      <c r="X72" s="50"/>
      <c r="Y72" s="50"/>
      <c r="Z72" s="50"/>
      <c r="AA72" s="50"/>
      <c r="AB72" s="50"/>
      <c r="AC72" s="50"/>
      <c r="AD72" s="50"/>
      <c r="AE72" s="50"/>
      <c r="AF72" s="50"/>
    </row>
    <row r="73" spans="1:32" ht="15.75" customHeight="1">
      <c r="A73" s="29"/>
      <c r="B73" s="30"/>
      <c r="C73" s="30"/>
      <c r="D73" s="88"/>
      <c r="E73" s="88"/>
      <c r="F73" s="88"/>
      <c r="G73" s="88"/>
      <c r="H73" s="88"/>
      <c r="I73" s="44"/>
      <c r="J73" s="50"/>
      <c r="K73" s="50"/>
      <c r="L73" s="50"/>
      <c r="M73" s="50"/>
      <c r="N73" s="50"/>
      <c r="O73" s="50"/>
      <c r="P73" s="50"/>
      <c r="Q73" s="50"/>
      <c r="R73" s="50"/>
      <c r="S73" s="50"/>
      <c r="T73" s="50"/>
      <c r="U73" s="50"/>
      <c r="V73" s="50"/>
      <c r="W73" s="50"/>
      <c r="X73" s="50"/>
      <c r="Y73" s="50"/>
      <c r="Z73" s="50"/>
      <c r="AA73" s="50"/>
      <c r="AB73" s="50"/>
      <c r="AC73" s="50"/>
      <c r="AD73" s="50"/>
      <c r="AE73" s="50"/>
      <c r="AF73" s="50"/>
    </row>
    <row r="74" spans="1:32" ht="15.75" customHeight="1">
      <c r="A74" s="29"/>
      <c r="B74" s="30"/>
      <c r="C74" s="30"/>
      <c r="D74" s="88"/>
      <c r="E74" s="88"/>
      <c r="F74" s="88"/>
      <c r="G74" s="88"/>
      <c r="H74" s="88"/>
      <c r="I74" s="44"/>
      <c r="J74" s="50"/>
      <c r="K74" s="50"/>
      <c r="L74" s="50"/>
      <c r="M74" s="50"/>
      <c r="N74" s="50"/>
      <c r="O74" s="50"/>
      <c r="P74" s="50"/>
      <c r="Q74" s="50"/>
      <c r="R74" s="50"/>
      <c r="S74" s="50"/>
      <c r="T74" s="50"/>
      <c r="U74" s="50"/>
      <c r="V74" s="50"/>
      <c r="W74" s="50"/>
      <c r="X74" s="50"/>
      <c r="Y74" s="50"/>
      <c r="Z74" s="50"/>
      <c r="AA74" s="50"/>
      <c r="AB74" s="50"/>
      <c r="AC74" s="50"/>
      <c r="AD74" s="50"/>
      <c r="AE74" s="50"/>
      <c r="AF74" s="50"/>
    </row>
    <row r="75" spans="1:32" ht="15.75" customHeight="1">
      <c r="A75" s="29"/>
      <c r="B75" s="30"/>
      <c r="C75" s="30"/>
      <c r="D75" s="88"/>
      <c r="E75" s="88"/>
      <c r="F75" s="88"/>
      <c r="G75" s="88"/>
      <c r="H75" s="88"/>
      <c r="I75" s="44"/>
      <c r="J75" s="50"/>
      <c r="K75" s="50"/>
      <c r="L75" s="50"/>
      <c r="M75" s="50"/>
      <c r="N75" s="50"/>
      <c r="O75" s="50"/>
      <c r="P75" s="50"/>
      <c r="Q75" s="50"/>
      <c r="R75" s="50"/>
      <c r="S75" s="50"/>
      <c r="T75" s="50"/>
      <c r="U75" s="50"/>
      <c r="V75" s="50"/>
      <c r="W75" s="50"/>
      <c r="X75" s="50"/>
      <c r="Y75" s="50"/>
      <c r="Z75" s="50"/>
      <c r="AA75" s="50"/>
      <c r="AB75" s="50"/>
      <c r="AC75" s="50"/>
      <c r="AD75" s="50"/>
      <c r="AE75" s="50"/>
      <c r="AF75" s="50"/>
    </row>
    <row r="76" spans="1:32" ht="15.75" customHeight="1">
      <c r="A76" s="46"/>
      <c r="B76" s="30"/>
      <c r="C76" s="30"/>
      <c r="D76" s="88"/>
      <c r="E76" s="88"/>
      <c r="F76" s="88"/>
      <c r="G76" s="88"/>
      <c r="H76" s="88"/>
      <c r="I76" s="44"/>
      <c r="J76" s="50"/>
      <c r="K76" s="50"/>
      <c r="L76" s="50"/>
      <c r="M76" s="50"/>
      <c r="N76" s="50"/>
      <c r="O76" s="50"/>
      <c r="P76" s="50"/>
      <c r="Q76" s="50"/>
      <c r="R76" s="50"/>
      <c r="S76" s="50"/>
      <c r="T76" s="50"/>
      <c r="U76" s="50"/>
      <c r="V76" s="50"/>
      <c r="W76" s="50"/>
      <c r="X76" s="50"/>
      <c r="Y76" s="50"/>
      <c r="Z76" s="50"/>
      <c r="AA76" s="50"/>
      <c r="AB76" s="50"/>
      <c r="AC76" s="50"/>
      <c r="AD76" s="50"/>
      <c r="AE76" s="50"/>
      <c r="AF76" s="50"/>
    </row>
    <row r="77" spans="1:32" ht="15.75" customHeight="1">
      <c r="A77" s="29"/>
      <c r="B77" s="30"/>
      <c r="C77" s="30"/>
      <c r="D77" s="88"/>
      <c r="E77" s="88"/>
      <c r="F77" s="88"/>
      <c r="G77" s="88"/>
      <c r="H77" s="88"/>
      <c r="I77" s="44"/>
      <c r="J77" s="50"/>
      <c r="K77" s="50"/>
      <c r="L77" s="50"/>
      <c r="M77" s="50"/>
      <c r="N77" s="50"/>
      <c r="O77" s="50"/>
      <c r="P77" s="50"/>
      <c r="Q77" s="50"/>
      <c r="R77" s="50"/>
      <c r="S77" s="50"/>
      <c r="T77" s="50"/>
      <c r="U77" s="50"/>
      <c r="V77" s="50"/>
      <c r="W77" s="50"/>
      <c r="X77" s="50"/>
      <c r="Y77" s="50"/>
      <c r="Z77" s="50"/>
      <c r="AA77" s="50"/>
      <c r="AB77" s="50"/>
      <c r="AC77" s="50"/>
      <c r="AD77" s="50"/>
      <c r="AE77" s="50"/>
      <c r="AF77" s="50"/>
    </row>
    <row r="78" spans="1:32" ht="15.75" customHeight="1">
      <c r="A78" s="29"/>
      <c r="B78" s="30"/>
      <c r="C78" s="30"/>
      <c r="D78" s="88"/>
      <c r="E78" s="88"/>
      <c r="F78" s="88"/>
      <c r="G78" s="88"/>
      <c r="H78" s="88"/>
      <c r="I78" s="44"/>
      <c r="J78" s="50"/>
      <c r="K78" s="50"/>
      <c r="L78" s="50"/>
      <c r="M78" s="50"/>
      <c r="N78" s="50"/>
      <c r="O78" s="50"/>
      <c r="P78" s="50"/>
      <c r="Q78" s="50"/>
      <c r="R78" s="50"/>
      <c r="S78" s="50"/>
      <c r="T78" s="50"/>
      <c r="U78" s="50"/>
      <c r="V78" s="50"/>
      <c r="W78" s="50"/>
      <c r="X78" s="50"/>
      <c r="Y78" s="50"/>
      <c r="Z78" s="50"/>
      <c r="AA78" s="50"/>
      <c r="AB78" s="50"/>
      <c r="AC78" s="50"/>
      <c r="AD78" s="50"/>
      <c r="AE78" s="50"/>
      <c r="AF78" s="50"/>
    </row>
    <row r="79" spans="1:32" ht="15.75" customHeight="1">
      <c r="A79" s="29"/>
      <c r="B79" s="30"/>
      <c r="C79" s="30"/>
      <c r="D79" s="88"/>
      <c r="E79" s="88"/>
      <c r="F79" s="88"/>
      <c r="G79" s="88"/>
      <c r="H79" s="88"/>
      <c r="I79" s="44"/>
      <c r="J79" s="50"/>
      <c r="K79" s="50"/>
      <c r="L79" s="50"/>
      <c r="M79" s="50"/>
      <c r="N79" s="50"/>
      <c r="O79" s="50"/>
      <c r="P79" s="50"/>
      <c r="Q79" s="50"/>
      <c r="R79" s="50"/>
      <c r="S79" s="50"/>
      <c r="T79" s="50"/>
      <c r="U79" s="50"/>
      <c r="V79" s="50"/>
      <c r="W79" s="50"/>
      <c r="X79" s="50"/>
      <c r="Y79" s="50"/>
      <c r="Z79" s="50"/>
      <c r="AA79" s="50"/>
      <c r="AB79" s="50"/>
      <c r="AC79" s="50"/>
      <c r="AD79" s="50"/>
      <c r="AE79" s="50"/>
      <c r="AF79" s="50"/>
    </row>
    <row r="80" spans="1:32" ht="15.75" customHeight="1">
      <c r="A80" s="45"/>
      <c r="B80" s="30"/>
      <c r="C80" s="30"/>
      <c r="D80" s="88"/>
      <c r="E80" s="88"/>
      <c r="F80" s="88"/>
      <c r="G80" s="88"/>
      <c r="H80" s="88"/>
      <c r="I80" s="44"/>
      <c r="J80" s="50"/>
      <c r="K80" s="50"/>
      <c r="L80" s="50"/>
      <c r="M80" s="50"/>
      <c r="N80" s="50"/>
      <c r="O80" s="50"/>
      <c r="P80" s="50"/>
      <c r="Q80" s="50"/>
      <c r="R80" s="50"/>
      <c r="S80" s="50"/>
      <c r="T80" s="50"/>
      <c r="U80" s="50"/>
      <c r="V80" s="50"/>
      <c r="W80" s="50"/>
      <c r="X80" s="50"/>
      <c r="Y80" s="50"/>
      <c r="Z80" s="50"/>
      <c r="AA80" s="50"/>
      <c r="AB80" s="50"/>
      <c r="AC80" s="50"/>
      <c r="AD80" s="50"/>
      <c r="AE80" s="50"/>
      <c r="AF80" s="50"/>
    </row>
    <row r="81" spans="1:32" ht="15.75" customHeight="1">
      <c r="A81" s="45"/>
      <c r="B81" s="30"/>
      <c r="C81" s="30"/>
      <c r="D81" s="88"/>
      <c r="E81" s="88"/>
      <c r="F81" s="88"/>
      <c r="G81" s="88"/>
      <c r="H81" s="88"/>
      <c r="I81" s="44"/>
      <c r="J81" s="50"/>
      <c r="K81" s="50"/>
      <c r="L81" s="50"/>
      <c r="M81" s="50"/>
      <c r="N81" s="50"/>
      <c r="O81" s="50"/>
      <c r="P81" s="50"/>
      <c r="Q81" s="50"/>
      <c r="R81" s="50"/>
      <c r="S81" s="50"/>
      <c r="T81" s="50"/>
      <c r="U81" s="50"/>
      <c r="V81" s="50"/>
      <c r="W81" s="50"/>
      <c r="X81" s="50"/>
      <c r="Y81" s="50"/>
      <c r="Z81" s="50"/>
      <c r="AA81" s="50"/>
      <c r="AB81" s="50"/>
      <c r="AC81" s="50"/>
      <c r="AD81" s="50"/>
      <c r="AE81" s="50"/>
      <c r="AF81" s="50"/>
    </row>
    <row r="82" spans="1:32" ht="15.75" customHeight="1">
      <c r="A82" s="45"/>
      <c r="B82" s="30"/>
      <c r="C82" s="30"/>
      <c r="D82" s="88"/>
      <c r="E82" s="88"/>
      <c r="F82" s="88"/>
      <c r="G82" s="88"/>
      <c r="H82" s="88"/>
      <c r="I82" s="44"/>
      <c r="J82" s="50"/>
      <c r="K82" s="50"/>
      <c r="L82" s="50"/>
      <c r="M82" s="50"/>
      <c r="N82" s="50"/>
      <c r="O82" s="50"/>
      <c r="P82" s="50"/>
      <c r="Q82" s="50"/>
      <c r="R82" s="50"/>
      <c r="S82" s="50"/>
      <c r="T82" s="50"/>
      <c r="U82" s="50"/>
      <c r="V82" s="50"/>
      <c r="W82" s="50"/>
      <c r="X82" s="50"/>
      <c r="Y82" s="50"/>
      <c r="Z82" s="50"/>
      <c r="AA82" s="50"/>
      <c r="AB82" s="50"/>
      <c r="AC82" s="50"/>
      <c r="AD82" s="50"/>
      <c r="AE82" s="50"/>
      <c r="AF82" s="50"/>
    </row>
    <row r="83" spans="1:32" ht="15.75" customHeight="1">
      <c r="A83" s="45"/>
      <c r="B83" s="30"/>
      <c r="C83" s="30"/>
      <c r="D83" s="88"/>
      <c r="E83" s="88"/>
      <c r="F83" s="88"/>
      <c r="G83" s="88"/>
      <c r="H83" s="88"/>
      <c r="I83" s="44"/>
      <c r="J83" s="50"/>
      <c r="K83" s="50"/>
      <c r="L83" s="50"/>
      <c r="M83" s="50"/>
      <c r="N83" s="50"/>
      <c r="O83" s="50"/>
      <c r="P83" s="50"/>
      <c r="Q83" s="50"/>
      <c r="R83" s="50"/>
      <c r="S83" s="50"/>
      <c r="T83" s="50"/>
      <c r="U83" s="50"/>
      <c r="V83" s="50"/>
      <c r="W83" s="50"/>
      <c r="X83" s="50"/>
      <c r="Y83" s="50"/>
      <c r="Z83" s="50"/>
      <c r="AA83" s="50"/>
      <c r="AB83" s="50"/>
      <c r="AC83" s="50"/>
      <c r="AD83" s="50"/>
      <c r="AE83" s="50"/>
      <c r="AF83" s="50"/>
    </row>
    <row r="84" spans="1:32" ht="15.75" customHeight="1">
      <c r="A84" s="45"/>
      <c r="B84" s="30"/>
      <c r="C84" s="30"/>
      <c r="D84" s="88"/>
      <c r="E84" s="88"/>
      <c r="F84" s="88"/>
      <c r="G84" s="88"/>
      <c r="H84" s="88"/>
      <c r="I84" s="44"/>
      <c r="J84" s="50"/>
      <c r="K84" s="50"/>
      <c r="L84" s="50"/>
      <c r="M84" s="50"/>
      <c r="N84" s="50"/>
      <c r="O84" s="50"/>
      <c r="P84" s="50"/>
      <c r="Q84" s="50"/>
      <c r="R84" s="50"/>
      <c r="S84" s="50"/>
      <c r="T84" s="50"/>
      <c r="U84" s="50"/>
      <c r="V84" s="50"/>
      <c r="W84" s="50"/>
      <c r="X84" s="50"/>
      <c r="Y84" s="50"/>
      <c r="Z84" s="50"/>
      <c r="AA84" s="50"/>
      <c r="AB84" s="50"/>
      <c r="AC84" s="50"/>
      <c r="AD84" s="50"/>
      <c r="AE84" s="50"/>
      <c r="AF84" s="50"/>
    </row>
    <row r="85" spans="1:32" ht="15.75" customHeight="1">
      <c r="A85" s="45"/>
      <c r="B85" s="30"/>
      <c r="C85" s="30"/>
      <c r="D85" s="88"/>
      <c r="E85" s="88"/>
      <c r="F85" s="88"/>
      <c r="G85" s="88"/>
      <c r="H85" s="88"/>
      <c r="I85" s="44"/>
      <c r="J85" s="50"/>
      <c r="K85" s="50"/>
      <c r="L85" s="50"/>
      <c r="M85" s="50"/>
      <c r="N85" s="50"/>
      <c r="O85" s="50"/>
      <c r="P85" s="50"/>
      <c r="Q85" s="50"/>
      <c r="R85" s="50"/>
      <c r="S85" s="50"/>
      <c r="T85" s="50"/>
      <c r="U85" s="50"/>
      <c r="V85" s="50"/>
      <c r="W85" s="50"/>
      <c r="X85" s="50"/>
      <c r="Y85" s="50"/>
      <c r="Z85" s="50"/>
      <c r="AA85" s="50"/>
      <c r="AB85" s="50"/>
      <c r="AC85" s="50"/>
      <c r="AD85" s="50"/>
      <c r="AE85" s="50"/>
      <c r="AF85" s="50"/>
    </row>
    <row r="86" spans="1:32" ht="15.75" customHeight="1">
      <c r="A86" s="45"/>
      <c r="B86" s="30"/>
      <c r="C86" s="30"/>
      <c r="D86" s="88"/>
      <c r="E86" s="88"/>
      <c r="F86" s="88"/>
      <c r="G86" s="88"/>
      <c r="H86" s="88"/>
      <c r="I86" s="44"/>
      <c r="J86" s="50"/>
      <c r="K86" s="50"/>
      <c r="L86" s="50"/>
      <c r="M86" s="50"/>
      <c r="N86" s="50"/>
      <c r="O86" s="50"/>
      <c r="P86" s="50"/>
      <c r="Q86" s="50"/>
      <c r="R86" s="50"/>
      <c r="S86" s="50"/>
      <c r="T86" s="50"/>
      <c r="U86" s="50"/>
      <c r="V86" s="50"/>
      <c r="W86" s="50"/>
      <c r="X86" s="50"/>
      <c r="Y86" s="50"/>
      <c r="Z86" s="50"/>
      <c r="AA86" s="50"/>
      <c r="AB86" s="50"/>
      <c r="AC86" s="50"/>
      <c r="AD86" s="50"/>
      <c r="AE86" s="50"/>
      <c r="AF86" s="50"/>
    </row>
    <row r="87" spans="1:32" ht="15.75" customHeight="1">
      <c r="A87" s="45"/>
      <c r="B87" s="30"/>
      <c r="C87" s="30"/>
      <c r="D87" s="88"/>
      <c r="E87" s="88"/>
      <c r="F87" s="88"/>
      <c r="G87" s="88"/>
      <c r="H87" s="88"/>
      <c r="I87" s="44"/>
      <c r="J87" s="50"/>
      <c r="K87" s="50"/>
      <c r="L87" s="50"/>
      <c r="M87" s="50"/>
      <c r="N87" s="50"/>
      <c r="O87" s="50"/>
      <c r="P87" s="50"/>
      <c r="Q87" s="50"/>
      <c r="R87" s="50"/>
      <c r="S87" s="50"/>
      <c r="T87" s="50"/>
      <c r="U87" s="50"/>
      <c r="V87" s="50"/>
      <c r="W87" s="50"/>
      <c r="X87" s="50"/>
      <c r="Y87" s="50"/>
      <c r="Z87" s="50"/>
      <c r="AA87" s="50"/>
      <c r="AB87" s="50"/>
      <c r="AC87" s="50"/>
      <c r="AD87" s="50"/>
      <c r="AE87" s="50"/>
      <c r="AF87" s="50"/>
    </row>
    <row r="88" spans="1:32" ht="15.75" customHeight="1">
      <c r="A88" s="45"/>
      <c r="B88" s="30"/>
      <c r="C88" s="30"/>
      <c r="D88" s="88"/>
      <c r="E88" s="88"/>
      <c r="F88" s="88"/>
      <c r="G88" s="88"/>
      <c r="H88" s="88"/>
      <c r="I88" s="44"/>
      <c r="J88" s="50"/>
      <c r="K88" s="50"/>
      <c r="L88" s="50"/>
      <c r="M88" s="50"/>
      <c r="N88" s="50"/>
      <c r="O88" s="50"/>
      <c r="P88" s="50"/>
      <c r="Q88" s="50"/>
      <c r="R88" s="50"/>
      <c r="S88" s="50"/>
      <c r="T88" s="50"/>
      <c r="U88" s="50"/>
      <c r="V88" s="50"/>
      <c r="W88" s="50"/>
      <c r="X88" s="50"/>
      <c r="Y88" s="50"/>
      <c r="Z88" s="50"/>
      <c r="AA88" s="50"/>
      <c r="AB88" s="50"/>
      <c r="AC88" s="50"/>
      <c r="AD88" s="50"/>
      <c r="AE88" s="50"/>
      <c r="AF88" s="50"/>
    </row>
    <row r="89" spans="1:32" ht="15.75" customHeight="1">
      <c r="A89" s="45"/>
      <c r="B89" s="30"/>
      <c r="C89" s="30"/>
      <c r="D89" s="88"/>
      <c r="E89" s="88"/>
      <c r="F89" s="88"/>
      <c r="G89" s="88"/>
      <c r="H89" s="88"/>
      <c r="I89" s="44"/>
      <c r="J89" s="50"/>
      <c r="K89" s="50"/>
      <c r="L89" s="50"/>
      <c r="M89" s="50"/>
      <c r="N89" s="50"/>
      <c r="O89" s="50"/>
      <c r="P89" s="50"/>
      <c r="Q89" s="50"/>
      <c r="R89" s="50"/>
      <c r="S89" s="50"/>
      <c r="T89" s="50"/>
      <c r="U89" s="50"/>
      <c r="V89" s="50"/>
      <c r="W89" s="50"/>
      <c r="X89" s="50"/>
      <c r="Y89" s="50"/>
      <c r="Z89" s="50"/>
      <c r="AA89" s="50"/>
      <c r="AB89" s="50"/>
      <c r="AC89" s="50"/>
      <c r="AD89" s="50"/>
      <c r="AE89" s="50"/>
      <c r="AF89" s="50"/>
    </row>
    <row r="90" spans="1:32" ht="15.75" customHeight="1">
      <c r="A90" s="45"/>
      <c r="B90" s="30"/>
      <c r="C90" s="30"/>
      <c r="D90" s="88"/>
      <c r="E90" s="88"/>
      <c r="F90" s="88"/>
      <c r="G90" s="88"/>
      <c r="H90" s="88"/>
      <c r="I90" s="44"/>
      <c r="J90" s="50"/>
      <c r="K90" s="50"/>
      <c r="L90" s="50"/>
      <c r="M90" s="50"/>
      <c r="N90" s="50"/>
      <c r="O90" s="50"/>
      <c r="P90" s="50"/>
      <c r="Q90" s="50"/>
      <c r="R90" s="50"/>
      <c r="S90" s="50"/>
      <c r="T90" s="50"/>
      <c r="U90" s="50"/>
      <c r="V90" s="50"/>
      <c r="W90" s="50"/>
      <c r="X90" s="50"/>
      <c r="Y90" s="50"/>
      <c r="Z90" s="50"/>
      <c r="AA90" s="50"/>
      <c r="AB90" s="50"/>
      <c r="AC90" s="50"/>
      <c r="AD90" s="50"/>
      <c r="AE90" s="50"/>
      <c r="AF90" s="50"/>
    </row>
    <row r="91" spans="1:32" ht="15.75" customHeight="1">
      <c r="A91" s="46"/>
      <c r="B91" s="30"/>
      <c r="C91" s="30"/>
      <c r="D91" s="88"/>
      <c r="E91" s="88"/>
      <c r="F91" s="88"/>
      <c r="G91" s="88"/>
      <c r="H91" s="88"/>
      <c r="I91" s="44"/>
      <c r="J91" s="50"/>
      <c r="K91" s="50"/>
      <c r="L91" s="50"/>
      <c r="M91" s="50"/>
      <c r="N91" s="50"/>
      <c r="O91" s="50"/>
      <c r="P91" s="50"/>
      <c r="Q91" s="50"/>
      <c r="R91" s="50"/>
      <c r="S91" s="50"/>
      <c r="T91" s="50"/>
      <c r="U91" s="50"/>
      <c r="V91" s="50"/>
      <c r="W91" s="50"/>
      <c r="X91" s="50"/>
      <c r="Y91" s="50"/>
      <c r="Z91" s="50"/>
      <c r="AA91" s="50"/>
      <c r="AB91" s="50"/>
      <c r="AC91" s="50"/>
      <c r="AD91" s="50"/>
      <c r="AE91" s="50"/>
      <c r="AF91" s="50"/>
    </row>
    <row r="92" spans="1:32" ht="15.75" customHeight="1">
      <c r="A92" s="43"/>
      <c r="B92" s="30"/>
      <c r="C92" s="30"/>
      <c r="D92" s="88"/>
      <c r="E92" s="88"/>
      <c r="F92" s="88"/>
      <c r="G92" s="88"/>
      <c r="H92" s="88"/>
      <c r="I92" s="44"/>
      <c r="J92" s="50"/>
      <c r="K92" s="50"/>
      <c r="L92" s="50"/>
      <c r="M92" s="50"/>
      <c r="N92" s="50"/>
      <c r="O92" s="50"/>
      <c r="P92" s="50"/>
      <c r="Q92" s="50"/>
      <c r="R92" s="50"/>
      <c r="S92" s="50"/>
      <c r="T92" s="50"/>
      <c r="U92" s="50"/>
      <c r="V92" s="50"/>
      <c r="W92" s="50"/>
      <c r="X92" s="50"/>
      <c r="Y92" s="50"/>
      <c r="Z92" s="50"/>
      <c r="AA92" s="50"/>
      <c r="AB92" s="50"/>
      <c r="AC92" s="50"/>
      <c r="AD92" s="50"/>
      <c r="AE92" s="50"/>
      <c r="AF92" s="50"/>
    </row>
    <row r="93" spans="1:32" ht="15.75" customHeight="1">
      <c r="A93" s="43"/>
      <c r="B93" s="30"/>
      <c r="C93" s="30"/>
      <c r="D93" s="88"/>
      <c r="E93" s="88"/>
      <c r="F93" s="88"/>
      <c r="G93" s="88"/>
      <c r="H93" s="88"/>
      <c r="I93" s="44"/>
      <c r="J93" s="50"/>
      <c r="K93" s="50"/>
      <c r="L93" s="50"/>
      <c r="M93" s="50"/>
      <c r="N93" s="50"/>
      <c r="O93" s="50"/>
      <c r="P93" s="50"/>
      <c r="Q93" s="50"/>
      <c r="R93" s="50"/>
      <c r="S93" s="50"/>
      <c r="T93" s="50"/>
      <c r="U93" s="50"/>
      <c r="V93" s="50"/>
      <c r="W93" s="50"/>
      <c r="X93" s="50"/>
      <c r="Y93" s="50"/>
      <c r="Z93" s="50"/>
      <c r="AA93" s="50"/>
      <c r="AB93" s="50"/>
      <c r="AC93" s="50"/>
      <c r="AD93" s="50"/>
      <c r="AE93" s="50"/>
      <c r="AF93" s="50"/>
    </row>
    <row r="94" spans="1:32" ht="15.75" customHeight="1">
      <c r="A94" s="43"/>
      <c r="B94" s="30"/>
      <c r="C94" s="30"/>
      <c r="D94" s="88"/>
      <c r="E94" s="88"/>
      <c r="F94" s="88"/>
      <c r="G94" s="88"/>
      <c r="H94" s="88"/>
      <c r="I94" s="44"/>
      <c r="J94" s="50"/>
      <c r="K94" s="50"/>
      <c r="L94" s="50"/>
      <c r="M94" s="50"/>
      <c r="N94" s="50"/>
      <c r="O94" s="50"/>
      <c r="P94" s="50"/>
      <c r="Q94" s="50"/>
      <c r="R94" s="50"/>
      <c r="S94" s="50"/>
      <c r="T94" s="50"/>
      <c r="U94" s="50"/>
      <c r="V94" s="50"/>
      <c r="W94" s="50"/>
      <c r="X94" s="50"/>
      <c r="Y94" s="50"/>
      <c r="Z94" s="50"/>
      <c r="AA94" s="50"/>
      <c r="AB94" s="50"/>
      <c r="AC94" s="50"/>
      <c r="AD94" s="50"/>
      <c r="AE94" s="50"/>
      <c r="AF94" s="50"/>
    </row>
    <row r="95" spans="1:32" ht="15.75" customHeight="1">
      <c r="A95" s="43"/>
      <c r="B95" s="30"/>
      <c r="C95" s="30"/>
      <c r="D95" s="88"/>
      <c r="E95" s="88"/>
      <c r="F95" s="88"/>
      <c r="G95" s="88"/>
      <c r="H95" s="88"/>
      <c r="I95" s="44"/>
      <c r="J95" s="50"/>
      <c r="K95" s="50"/>
      <c r="L95" s="50"/>
      <c r="M95" s="50"/>
      <c r="N95" s="50"/>
    </row>
    <row r="96" spans="1:32" ht="15.75" customHeight="1">
      <c r="A96" s="43"/>
      <c r="B96" s="30"/>
      <c r="C96" s="30"/>
      <c r="D96" s="88"/>
      <c r="E96" s="88"/>
      <c r="F96" s="88"/>
      <c r="G96" s="88"/>
      <c r="H96" s="88"/>
      <c r="I96" s="44"/>
      <c r="J96" s="50"/>
      <c r="K96" s="50"/>
      <c r="L96" s="50"/>
      <c r="M96" s="50"/>
      <c r="N96" s="50"/>
    </row>
    <row r="97" spans="1:14" ht="15.75" customHeight="1">
      <c r="A97" s="43"/>
      <c r="B97" s="30"/>
      <c r="C97" s="30"/>
      <c r="D97" s="88"/>
      <c r="E97" s="88"/>
      <c r="F97" s="88"/>
      <c r="G97" s="88"/>
      <c r="H97" s="88"/>
      <c r="I97" s="44"/>
      <c r="J97" s="50"/>
      <c r="K97" s="50"/>
      <c r="L97" s="50"/>
      <c r="M97" s="50"/>
      <c r="N97" s="50"/>
    </row>
    <row r="98" spans="1:14" ht="15.75" customHeight="1">
      <c r="A98" s="43"/>
      <c r="B98" s="30"/>
      <c r="C98" s="30"/>
      <c r="D98" s="88"/>
      <c r="E98" s="88"/>
      <c r="F98" s="88"/>
      <c r="G98" s="88"/>
      <c r="H98" s="88"/>
      <c r="I98" s="44"/>
      <c r="J98" s="50"/>
      <c r="K98" s="50"/>
      <c r="L98" s="50"/>
      <c r="M98" s="50"/>
      <c r="N98" s="50"/>
    </row>
    <row r="99" spans="1:14" ht="15.75" customHeight="1">
      <c r="A99" s="43"/>
      <c r="B99" s="30"/>
      <c r="C99" s="30"/>
      <c r="D99" s="88"/>
      <c r="E99" s="88"/>
      <c r="F99" s="88"/>
      <c r="G99" s="88"/>
      <c r="H99" s="88"/>
      <c r="I99" s="44"/>
      <c r="J99" s="50"/>
      <c r="K99" s="50"/>
      <c r="L99" s="50"/>
      <c r="M99" s="50"/>
      <c r="N99" s="50"/>
    </row>
    <row r="100" spans="1:14" ht="15.75" customHeight="1">
      <c r="A100" s="43"/>
      <c r="B100" s="30"/>
      <c r="C100" s="30"/>
      <c r="D100" s="88"/>
      <c r="E100" s="88"/>
      <c r="F100" s="88"/>
      <c r="G100" s="88"/>
      <c r="H100" s="88"/>
      <c r="I100" s="44"/>
      <c r="J100" s="50"/>
      <c r="K100" s="50"/>
      <c r="L100" s="50"/>
      <c r="M100" s="50"/>
      <c r="N100" s="50"/>
    </row>
    <row r="101" spans="1:14" ht="15.75" customHeight="1">
      <c r="A101" s="43"/>
      <c r="B101" s="30"/>
      <c r="C101" s="30"/>
      <c r="D101" s="88"/>
      <c r="E101" s="88"/>
      <c r="F101" s="88"/>
      <c r="G101" s="88"/>
      <c r="H101" s="88"/>
      <c r="I101" s="44"/>
      <c r="J101" s="50"/>
      <c r="K101" s="50"/>
      <c r="L101" s="50"/>
      <c r="M101" s="50"/>
      <c r="N101" s="50"/>
    </row>
    <row r="102" spans="1:14" ht="15.75" customHeight="1">
      <c r="A102" s="43"/>
      <c r="B102" s="30"/>
      <c r="C102" s="30"/>
      <c r="D102" s="88"/>
      <c r="E102" s="88"/>
      <c r="F102" s="88"/>
      <c r="G102" s="88"/>
      <c r="H102" s="88"/>
      <c r="I102" s="44"/>
      <c r="J102" s="50"/>
      <c r="K102" s="50"/>
      <c r="L102" s="50"/>
      <c r="M102" s="50"/>
      <c r="N102" s="50"/>
    </row>
    <row r="103" spans="1:14" ht="15.75" customHeight="1">
      <c r="A103" s="43"/>
      <c r="B103" s="30"/>
      <c r="C103" s="30"/>
      <c r="D103" s="88"/>
      <c r="E103" s="88"/>
      <c r="F103" s="88"/>
      <c r="G103" s="88"/>
      <c r="H103" s="88"/>
      <c r="I103" s="44"/>
      <c r="J103" s="50"/>
      <c r="K103" s="50"/>
      <c r="L103" s="50"/>
      <c r="M103" s="50"/>
      <c r="N103" s="50"/>
    </row>
    <row r="104" spans="1:14" ht="15.75" customHeight="1">
      <c r="A104" s="43"/>
      <c r="B104" s="30"/>
      <c r="C104" s="30"/>
      <c r="D104" s="88"/>
      <c r="E104" s="88"/>
      <c r="F104" s="88"/>
      <c r="G104" s="88"/>
      <c r="H104" s="88"/>
      <c r="I104" s="44"/>
      <c r="J104" s="50"/>
      <c r="K104" s="50"/>
      <c r="L104" s="50"/>
      <c r="M104" s="50"/>
      <c r="N104" s="50"/>
    </row>
    <row r="105" spans="1:14" ht="15.75" customHeight="1">
      <c r="A105" s="43"/>
      <c r="B105" s="30"/>
      <c r="C105" s="30"/>
      <c r="D105" s="88"/>
      <c r="E105" s="88"/>
      <c r="F105" s="88"/>
      <c r="G105" s="88"/>
      <c r="H105" s="88"/>
      <c r="I105" s="44"/>
      <c r="J105" s="50"/>
      <c r="K105" s="50"/>
      <c r="L105" s="50"/>
      <c r="M105" s="50"/>
      <c r="N105" s="50"/>
    </row>
    <row r="106" spans="1:14" ht="15.75" customHeight="1">
      <c r="A106" s="43"/>
      <c r="B106" s="30"/>
      <c r="C106" s="30"/>
      <c r="D106" s="88"/>
      <c r="E106" s="88"/>
      <c r="F106" s="88"/>
      <c r="G106" s="88"/>
      <c r="H106" s="88"/>
      <c r="I106" s="44"/>
      <c r="J106" s="50"/>
      <c r="K106" s="50"/>
      <c r="L106" s="50"/>
      <c r="M106" s="50"/>
      <c r="N106" s="50"/>
    </row>
    <row r="107" spans="1:14" ht="15.75" customHeight="1">
      <c r="A107" s="43"/>
      <c r="B107" s="30"/>
      <c r="C107" s="30"/>
      <c r="D107" s="88"/>
      <c r="E107" s="88"/>
      <c r="F107" s="88"/>
      <c r="G107" s="88"/>
      <c r="H107" s="88"/>
      <c r="I107" s="44"/>
      <c r="J107" s="50"/>
      <c r="K107" s="50"/>
      <c r="L107" s="50"/>
      <c r="M107" s="50"/>
      <c r="N107" s="50"/>
    </row>
    <row r="108" spans="1:14" ht="15.75" customHeight="1">
      <c r="A108" s="43"/>
      <c r="B108" s="30"/>
      <c r="C108" s="30"/>
      <c r="D108" s="88"/>
      <c r="E108" s="88"/>
      <c r="F108" s="88"/>
      <c r="G108" s="88"/>
      <c r="H108" s="88"/>
      <c r="I108" s="44"/>
      <c r="J108" s="50"/>
      <c r="K108" s="50"/>
      <c r="L108" s="50"/>
      <c r="M108" s="50"/>
      <c r="N108" s="50"/>
    </row>
    <row r="109" spans="1:14" ht="15.75" customHeight="1">
      <c r="A109" s="43"/>
      <c r="B109" s="30"/>
      <c r="C109" s="30"/>
      <c r="D109" s="88"/>
      <c r="E109" s="88"/>
      <c r="F109" s="88"/>
      <c r="G109" s="88"/>
      <c r="H109" s="88"/>
      <c r="I109" s="44"/>
      <c r="J109" s="50"/>
      <c r="K109" s="50"/>
      <c r="L109" s="50"/>
      <c r="M109" s="50"/>
      <c r="N109" s="50"/>
    </row>
    <row r="110" spans="1:14" ht="15.75" customHeight="1">
      <c r="A110" s="43"/>
      <c r="B110" s="30"/>
      <c r="C110" s="30"/>
      <c r="D110" s="88"/>
      <c r="E110" s="88"/>
      <c r="F110" s="88"/>
      <c r="G110" s="88"/>
      <c r="H110" s="88"/>
      <c r="I110" s="44"/>
      <c r="J110" s="50"/>
      <c r="K110" s="50"/>
      <c r="L110" s="50"/>
      <c r="M110" s="50"/>
      <c r="N110" s="50"/>
    </row>
    <row r="111" spans="1:14" ht="15.75" customHeight="1">
      <c r="A111" s="43"/>
      <c r="B111" s="30"/>
      <c r="C111" s="30"/>
      <c r="D111" s="88"/>
      <c r="E111" s="88"/>
      <c r="F111" s="88"/>
      <c r="G111" s="88"/>
      <c r="H111" s="88"/>
      <c r="I111" s="44"/>
      <c r="J111" s="50"/>
      <c r="K111" s="50"/>
      <c r="L111" s="50"/>
      <c r="M111" s="50"/>
      <c r="N111" s="50"/>
    </row>
    <row r="112" spans="1:14" ht="15.75" customHeight="1">
      <c r="A112" s="43"/>
      <c r="B112" s="30"/>
      <c r="C112" s="30"/>
      <c r="D112" s="88"/>
      <c r="E112" s="88"/>
      <c r="F112" s="88"/>
      <c r="G112" s="88"/>
      <c r="H112" s="88"/>
      <c r="I112" s="44"/>
      <c r="J112" s="50"/>
      <c r="K112" s="50"/>
      <c r="L112" s="50"/>
      <c r="M112" s="50"/>
      <c r="N112" s="50"/>
    </row>
    <row r="113" spans="1:14" ht="15.75" customHeight="1">
      <c r="A113" s="43"/>
      <c r="B113" s="30"/>
      <c r="C113" s="30"/>
      <c r="D113" s="88"/>
      <c r="E113" s="88"/>
      <c r="F113" s="88"/>
      <c r="G113" s="88"/>
      <c r="H113" s="88"/>
      <c r="I113" s="44"/>
      <c r="J113" s="50"/>
      <c r="K113" s="50"/>
      <c r="L113" s="50"/>
      <c r="M113" s="50"/>
      <c r="N113" s="50"/>
    </row>
    <row r="114" spans="1:14" ht="15.75" customHeight="1">
      <c r="A114" s="43"/>
      <c r="B114" s="30"/>
      <c r="C114" s="30"/>
      <c r="D114" s="88"/>
      <c r="E114" s="88"/>
      <c r="F114" s="88"/>
      <c r="G114" s="88"/>
      <c r="H114" s="88"/>
      <c r="I114" s="44"/>
      <c r="J114" s="50"/>
      <c r="K114" s="50"/>
      <c r="L114" s="50"/>
      <c r="M114" s="50"/>
      <c r="N114" s="50"/>
    </row>
    <row r="115" spans="1:14" ht="15.75" customHeight="1">
      <c r="A115" s="43"/>
      <c r="B115" s="30"/>
      <c r="C115" s="30"/>
      <c r="D115" s="88"/>
      <c r="E115" s="88"/>
      <c r="F115" s="88"/>
      <c r="G115" s="88"/>
      <c r="H115" s="88"/>
      <c r="I115" s="44"/>
      <c r="J115" s="50"/>
      <c r="K115" s="50"/>
      <c r="L115" s="50"/>
      <c r="M115" s="50"/>
      <c r="N115" s="50"/>
    </row>
    <row r="116" spans="1:14" ht="15.75" customHeight="1">
      <c r="A116" s="43"/>
      <c r="B116" s="30"/>
      <c r="C116" s="30"/>
      <c r="D116" s="88"/>
      <c r="E116" s="88"/>
      <c r="F116" s="88"/>
      <c r="G116" s="88"/>
      <c r="H116" s="88"/>
      <c r="I116" s="44"/>
      <c r="J116" s="50"/>
      <c r="K116" s="50"/>
      <c r="L116" s="50"/>
      <c r="M116" s="50"/>
      <c r="N116" s="50"/>
    </row>
    <row r="117" spans="1:14" ht="15.75" customHeight="1">
      <c r="A117" s="43"/>
      <c r="B117" s="30"/>
      <c r="C117" s="30"/>
      <c r="D117" s="88"/>
      <c r="E117" s="88"/>
      <c r="F117" s="88"/>
      <c r="G117" s="88"/>
      <c r="H117" s="88"/>
      <c r="I117" s="44"/>
      <c r="J117" s="50"/>
      <c r="K117" s="50"/>
      <c r="L117" s="50"/>
      <c r="M117" s="50"/>
      <c r="N117" s="50"/>
    </row>
    <row r="118" spans="1:14" ht="15.75" customHeight="1">
      <c r="A118" s="43"/>
      <c r="B118" s="30"/>
      <c r="C118" s="30"/>
      <c r="D118" s="88"/>
      <c r="E118" s="88"/>
      <c r="F118" s="88"/>
      <c r="G118" s="88"/>
      <c r="H118" s="88"/>
      <c r="I118" s="44"/>
      <c r="J118" s="50"/>
      <c r="K118" s="50"/>
      <c r="L118" s="50"/>
      <c r="M118" s="50"/>
      <c r="N118" s="50"/>
    </row>
    <row r="119" spans="1:14" ht="15.75" customHeight="1">
      <c r="A119" s="43"/>
      <c r="B119" s="30"/>
      <c r="C119" s="30"/>
      <c r="D119" s="88"/>
      <c r="E119" s="88"/>
      <c r="F119" s="88"/>
      <c r="G119" s="88"/>
      <c r="H119" s="88"/>
      <c r="I119" s="44"/>
      <c r="J119" s="50"/>
      <c r="K119" s="50"/>
      <c r="L119" s="50"/>
      <c r="M119" s="50"/>
      <c r="N119" s="50"/>
    </row>
    <row r="120" spans="1:14" ht="15.75" customHeight="1">
      <c r="A120" s="43"/>
      <c r="B120" s="30"/>
      <c r="C120" s="30"/>
      <c r="D120" s="88"/>
      <c r="E120" s="88"/>
      <c r="F120" s="88"/>
      <c r="G120" s="88"/>
      <c r="H120" s="88"/>
      <c r="I120" s="44"/>
      <c r="J120" s="50"/>
      <c r="K120" s="50"/>
      <c r="L120" s="50"/>
      <c r="M120" s="50"/>
      <c r="N120" s="50"/>
    </row>
    <row r="121" spans="1:14" ht="15.75" customHeight="1">
      <c r="A121" s="43"/>
      <c r="B121" s="30"/>
      <c r="C121" s="30"/>
      <c r="D121" s="88"/>
      <c r="E121" s="88"/>
      <c r="F121" s="88"/>
      <c r="G121" s="88"/>
      <c r="H121" s="88"/>
      <c r="I121" s="44"/>
      <c r="J121" s="50"/>
      <c r="K121" s="50"/>
      <c r="L121" s="50"/>
      <c r="M121" s="50"/>
      <c r="N121" s="50"/>
    </row>
    <row r="122" spans="1:14" ht="15.75" customHeight="1">
      <c r="A122" s="43"/>
      <c r="B122" s="30"/>
      <c r="C122" s="30"/>
      <c r="D122" s="88"/>
      <c r="E122" s="88"/>
      <c r="F122" s="88"/>
      <c r="G122" s="88"/>
      <c r="H122" s="88"/>
      <c r="I122" s="44"/>
      <c r="J122" s="50"/>
      <c r="K122" s="50"/>
      <c r="L122" s="50"/>
      <c r="M122" s="50"/>
      <c r="N122" s="50"/>
    </row>
    <row r="123" spans="1:14" ht="15.75" customHeight="1">
      <c r="A123" s="43"/>
      <c r="B123" s="30"/>
      <c r="C123" s="30"/>
      <c r="D123" s="88"/>
      <c r="E123" s="88"/>
      <c r="F123" s="88"/>
      <c r="G123" s="88"/>
      <c r="H123" s="88"/>
      <c r="I123" s="44"/>
      <c r="J123" s="50"/>
      <c r="K123" s="50"/>
      <c r="L123" s="50"/>
      <c r="M123" s="50"/>
      <c r="N123" s="50"/>
    </row>
    <row r="124" spans="1:14" ht="15.75" customHeight="1">
      <c r="A124" s="43"/>
      <c r="B124" s="30"/>
      <c r="C124" s="30"/>
      <c r="D124" s="88"/>
      <c r="E124" s="88"/>
      <c r="F124" s="88"/>
      <c r="G124" s="88"/>
      <c r="H124" s="88"/>
      <c r="I124" s="44"/>
      <c r="J124" s="50"/>
      <c r="K124" s="50"/>
      <c r="L124" s="50"/>
      <c r="M124" s="50"/>
      <c r="N124" s="50"/>
    </row>
    <row r="125" spans="1:14" ht="15.75" customHeight="1">
      <c r="A125" s="43"/>
      <c r="B125" s="30"/>
      <c r="C125" s="30"/>
      <c r="D125" s="88"/>
      <c r="E125" s="88"/>
      <c r="F125" s="88"/>
      <c r="G125" s="88"/>
      <c r="H125" s="88"/>
      <c r="I125" s="44"/>
      <c r="J125" s="50"/>
      <c r="K125" s="50"/>
      <c r="L125" s="50"/>
      <c r="M125" s="50"/>
      <c r="N125" s="50"/>
    </row>
    <row r="126" spans="1:14" ht="15.75" customHeight="1">
      <c r="A126" s="43"/>
      <c r="B126" s="30"/>
      <c r="C126" s="30"/>
      <c r="D126" s="88"/>
      <c r="E126" s="88"/>
      <c r="F126" s="88"/>
      <c r="G126" s="88"/>
      <c r="H126" s="88"/>
      <c r="I126" s="44"/>
      <c r="J126" s="50"/>
      <c r="K126" s="50"/>
      <c r="L126" s="50"/>
      <c r="M126" s="50"/>
      <c r="N126" s="50"/>
    </row>
    <row r="127" spans="1:14" ht="15.75" customHeight="1">
      <c r="A127" s="43"/>
      <c r="B127" s="30"/>
      <c r="C127" s="30"/>
      <c r="D127" s="88"/>
      <c r="E127" s="88"/>
      <c r="F127" s="88"/>
      <c r="G127" s="88"/>
      <c r="H127" s="88"/>
      <c r="I127" s="44"/>
      <c r="J127" s="50"/>
      <c r="K127" s="50"/>
      <c r="L127" s="50"/>
      <c r="M127" s="50"/>
      <c r="N127" s="50"/>
    </row>
    <row r="128" spans="1:14" ht="15.75" customHeight="1">
      <c r="A128" s="43"/>
      <c r="B128" s="30"/>
      <c r="C128" s="30"/>
      <c r="D128" s="88"/>
      <c r="E128" s="88"/>
      <c r="F128" s="88"/>
      <c r="G128" s="88"/>
      <c r="H128" s="88"/>
      <c r="I128" s="44"/>
      <c r="J128" s="50"/>
      <c r="K128" s="50"/>
      <c r="L128" s="50"/>
      <c r="M128" s="50"/>
      <c r="N128" s="50"/>
    </row>
    <row r="129" spans="1:14" ht="15.75" customHeight="1">
      <c r="A129" s="43"/>
      <c r="B129" s="30"/>
      <c r="C129" s="30"/>
      <c r="D129" s="88"/>
      <c r="E129" s="88"/>
      <c r="F129" s="88"/>
      <c r="G129" s="88"/>
      <c r="H129" s="88"/>
      <c r="I129" s="44"/>
      <c r="J129" s="50"/>
      <c r="K129" s="50"/>
      <c r="L129" s="50"/>
      <c r="M129" s="50"/>
      <c r="N129" s="50"/>
    </row>
    <row r="130" spans="1:14" ht="15.75" customHeight="1">
      <c r="A130" s="43"/>
      <c r="B130" s="30"/>
      <c r="C130" s="30"/>
      <c r="D130" s="88"/>
      <c r="E130" s="88"/>
      <c r="F130" s="88"/>
      <c r="G130" s="88"/>
      <c r="H130" s="88"/>
      <c r="I130" s="44"/>
      <c r="J130" s="50"/>
      <c r="K130" s="50"/>
      <c r="L130" s="50"/>
      <c r="M130" s="50"/>
      <c r="N130" s="50"/>
    </row>
    <row r="131" spans="1:14" ht="15.75" customHeight="1">
      <c r="A131" s="43"/>
      <c r="B131" s="30"/>
      <c r="C131" s="30"/>
      <c r="D131" s="88"/>
      <c r="E131" s="88"/>
      <c r="F131" s="88"/>
      <c r="G131" s="88"/>
      <c r="H131" s="88"/>
      <c r="I131" s="44"/>
      <c r="J131" s="50"/>
      <c r="K131" s="50"/>
      <c r="L131" s="50"/>
      <c r="M131" s="50"/>
      <c r="N131" s="50"/>
    </row>
    <row r="132" spans="1:14" ht="15.75" customHeight="1">
      <c r="A132" s="43"/>
      <c r="B132" s="30"/>
      <c r="C132" s="30"/>
      <c r="D132" s="88"/>
      <c r="E132" s="88"/>
      <c r="F132" s="88"/>
      <c r="G132" s="88"/>
      <c r="H132" s="88"/>
      <c r="I132" s="44"/>
      <c r="J132" s="50"/>
      <c r="K132" s="50"/>
      <c r="L132" s="50"/>
      <c r="M132" s="50"/>
      <c r="N132" s="50"/>
    </row>
    <row r="133" spans="1:14" ht="15.75" customHeight="1">
      <c r="A133" s="43"/>
      <c r="B133" s="30"/>
      <c r="C133" s="30"/>
      <c r="D133" s="88"/>
      <c r="E133" s="88"/>
      <c r="F133" s="88"/>
      <c r="G133" s="88"/>
      <c r="H133" s="88"/>
      <c r="I133" s="44"/>
      <c r="J133" s="50"/>
      <c r="K133" s="50"/>
      <c r="L133" s="50"/>
      <c r="M133" s="50"/>
      <c r="N133" s="50"/>
    </row>
    <row r="134" spans="1:14" ht="15.75" customHeight="1">
      <c r="A134" s="43"/>
      <c r="B134" s="30"/>
      <c r="C134" s="30"/>
      <c r="D134" s="88"/>
      <c r="E134" s="88"/>
      <c r="F134" s="88"/>
      <c r="G134" s="88"/>
      <c r="H134" s="88"/>
      <c r="I134" s="44"/>
      <c r="J134" s="50"/>
      <c r="K134" s="50"/>
      <c r="L134" s="50"/>
      <c r="M134" s="50"/>
      <c r="N134" s="50"/>
    </row>
    <row r="135" spans="1:14" ht="15.75" customHeight="1">
      <c r="A135" s="43"/>
      <c r="B135" s="30"/>
      <c r="C135" s="30"/>
      <c r="D135" s="88"/>
      <c r="E135" s="88"/>
      <c r="F135" s="88"/>
      <c r="G135" s="88"/>
      <c r="H135" s="88"/>
      <c r="I135" s="44"/>
      <c r="J135" s="50"/>
      <c r="K135" s="50"/>
      <c r="L135" s="50"/>
      <c r="M135" s="50"/>
      <c r="N135" s="50"/>
    </row>
    <row r="136" spans="1:14" ht="15.75" customHeight="1">
      <c r="A136" s="43"/>
      <c r="B136" s="30"/>
      <c r="C136" s="30"/>
      <c r="D136" s="88"/>
      <c r="E136" s="88"/>
      <c r="F136" s="88"/>
      <c r="G136" s="88"/>
      <c r="H136" s="88"/>
      <c r="I136" s="44"/>
      <c r="J136" s="50"/>
      <c r="K136" s="50"/>
      <c r="L136" s="50"/>
      <c r="M136" s="50"/>
      <c r="N136" s="50"/>
    </row>
    <row r="137" spans="1:14" ht="15.75" customHeight="1">
      <c r="A137" s="43"/>
      <c r="B137" s="30"/>
      <c r="C137" s="30"/>
      <c r="D137" s="88"/>
      <c r="E137" s="88"/>
      <c r="F137" s="88"/>
      <c r="G137" s="88"/>
      <c r="H137" s="88"/>
      <c r="I137" s="44"/>
      <c r="J137" s="50"/>
      <c r="K137" s="50"/>
      <c r="L137" s="50"/>
      <c r="M137" s="50"/>
      <c r="N137" s="50"/>
    </row>
    <row r="138" spans="1:14" ht="15.75" customHeight="1">
      <c r="A138" s="43"/>
      <c r="B138" s="30"/>
      <c r="C138" s="30"/>
      <c r="D138" s="88"/>
      <c r="E138" s="88"/>
      <c r="F138" s="88"/>
      <c r="G138" s="88"/>
      <c r="H138" s="88"/>
      <c r="I138" s="44"/>
      <c r="J138" s="50"/>
      <c r="K138" s="50"/>
      <c r="L138" s="50"/>
      <c r="M138" s="50"/>
      <c r="N138" s="50"/>
    </row>
    <row r="139" spans="1:14" ht="15.75" customHeight="1">
      <c r="A139" s="43"/>
      <c r="B139" s="30"/>
      <c r="C139" s="30"/>
      <c r="D139" s="88"/>
      <c r="E139" s="88"/>
      <c r="F139" s="88"/>
      <c r="G139" s="88"/>
      <c r="H139" s="88"/>
      <c r="I139" s="44"/>
      <c r="J139" s="50"/>
      <c r="K139" s="50"/>
      <c r="L139" s="50"/>
      <c r="M139" s="50"/>
      <c r="N139" s="50"/>
    </row>
    <row r="140" spans="1:14" ht="15.75" customHeight="1">
      <c r="A140" s="43"/>
      <c r="B140" s="30"/>
      <c r="C140" s="30"/>
      <c r="D140" s="88"/>
      <c r="E140" s="88"/>
      <c r="F140" s="88"/>
      <c r="G140" s="88"/>
      <c r="H140" s="88"/>
      <c r="I140" s="44"/>
      <c r="J140" s="50"/>
      <c r="K140" s="50"/>
      <c r="L140" s="50"/>
      <c r="M140" s="50"/>
      <c r="N140" s="50"/>
    </row>
    <row r="141" spans="1:14" ht="15.75" customHeight="1">
      <c r="A141" s="43"/>
      <c r="B141" s="30"/>
      <c r="C141" s="30"/>
      <c r="D141" s="88"/>
      <c r="E141" s="88"/>
      <c r="F141" s="88"/>
      <c r="G141" s="88"/>
      <c r="H141" s="88"/>
      <c r="I141" s="44"/>
      <c r="J141" s="50"/>
      <c r="K141" s="50"/>
      <c r="L141" s="50"/>
      <c r="M141" s="50"/>
      <c r="N141" s="50"/>
    </row>
    <row r="142" spans="1:14" ht="15.75" customHeight="1">
      <c r="A142" s="43"/>
      <c r="B142" s="30"/>
      <c r="C142" s="30"/>
      <c r="D142" s="88"/>
      <c r="E142" s="88"/>
      <c r="F142" s="88"/>
      <c r="G142" s="88"/>
      <c r="H142" s="88"/>
      <c r="I142" s="44"/>
      <c r="J142" s="50"/>
      <c r="K142" s="50"/>
      <c r="L142" s="50"/>
      <c r="M142" s="50"/>
      <c r="N142" s="50"/>
    </row>
    <row r="143" spans="1:14" ht="15.75" customHeight="1">
      <c r="A143" s="43"/>
      <c r="B143" s="30"/>
      <c r="C143" s="30"/>
      <c r="D143" s="88"/>
      <c r="E143" s="88"/>
      <c r="F143" s="88"/>
      <c r="G143" s="88"/>
      <c r="H143" s="88"/>
      <c r="I143" s="44"/>
      <c r="J143" s="50"/>
      <c r="K143" s="50"/>
      <c r="L143" s="50"/>
      <c r="M143" s="50"/>
      <c r="N143" s="50"/>
    </row>
    <row r="144" spans="1:14" ht="15.75" customHeight="1">
      <c r="A144" s="43"/>
      <c r="B144" s="30"/>
      <c r="C144" s="30"/>
      <c r="D144" s="88"/>
      <c r="E144" s="88"/>
      <c r="F144" s="88"/>
      <c r="G144" s="88"/>
      <c r="H144" s="88"/>
      <c r="I144" s="44"/>
      <c r="J144" s="50"/>
      <c r="K144" s="50"/>
      <c r="L144" s="50"/>
      <c r="M144" s="50"/>
      <c r="N144" s="50"/>
    </row>
    <row r="145" spans="1:14" ht="15.75" customHeight="1">
      <c r="A145" s="43"/>
      <c r="B145" s="30"/>
      <c r="C145" s="30"/>
      <c r="D145" s="88"/>
      <c r="E145" s="88"/>
      <c r="F145" s="88"/>
      <c r="G145" s="88"/>
      <c r="H145" s="88"/>
      <c r="I145" s="44"/>
      <c r="J145" s="50"/>
      <c r="K145" s="50"/>
      <c r="L145" s="50"/>
      <c r="M145" s="50"/>
      <c r="N145" s="50"/>
    </row>
    <row r="146" spans="1:14" ht="15.75" customHeight="1">
      <c r="A146" s="43"/>
      <c r="B146" s="30"/>
      <c r="C146" s="30"/>
      <c r="D146" s="88"/>
      <c r="E146" s="88"/>
      <c r="F146" s="88"/>
      <c r="G146" s="88"/>
      <c r="H146" s="88"/>
      <c r="I146" s="44"/>
      <c r="J146" s="50"/>
      <c r="K146" s="50"/>
      <c r="L146" s="50"/>
      <c r="M146" s="50"/>
      <c r="N146" s="50"/>
    </row>
    <row r="147" spans="1:14" ht="15.75" customHeight="1">
      <c r="A147" s="43"/>
      <c r="B147" s="30"/>
      <c r="C147" s="30"/>
      <c r="D147" s="88"/>
      <c r="E147" s="88"/>
      <c r="F147" s="88"/>
      <c r="G147" s="88"/>
      <c r="H147" s="88"/>
      <c r="I147" s="44"/>
      <c r="J147" s="50"/>
      <c r="K147" s="50"/>
      <c r="L147" s="50"/>
      <c r="M147" s="50"/>
      <c r="N147" s="50"/>
    </row>
    <row r="148" spans="1:14" ht="15.75" customHeight="1">
      <c r="A148" s="43"/>
      <c r="B148" s="30"/>
      <c r="C148" s="30"/>
      <c r="D148" s="88"/>
      <c r="E148" s="88"/>
      <c r="F148" s="88"/>
      <c r="G148" s="88"/>
      <c r="H148" s="88"/>
      <c r="I148" s="44"/>
      <c r="J148" s="50"/>
      <c r="K148" s="50"/>
      <c r="L148" s="50"/>
      <c r="M148" s="50"/>
      <c r="N148" s="50"/>
    </row>
    <row r="149" spans="1:14" ht="15.75" customHeight="1">
      <c r="A149" s="43"/>
      <c r="B149" s="30"/>
      <c r="C149" s="30"/>
      <c r="D149" s="88"/>
      <c r="E149" s="88"/>
      <c r="F149" s="88"/>
      <c r="G149" s="88"/>
      <c r="H149" s="88"/>
      <c r="I149" s="44"/>
      <c r="J149" s="50"/>
      <c r="K149" s="50"/>
      <c r="L149" s="50"/>
      <c r="M149" s="50"/>
      <c r="N149" s="50"/>
    </row>
    <row r="150" spans="1:14" ht="15.75" customHeight="1">
      <c r="A150" s="43"/>
      <c r="B150" s="30"/>
      <c r="C150" s="30"/>
      <c r="D150" s="88"/>
      <c r="E150" s="88"/>
      <c r="F150" s="88"/>
      <c r="G150" s="88"/>
      <c r="H150" s="88"/>
      <c r="I150" s="44"/>
      <c r="J150" s="50"/>
      <c r="K150" s="50"/>
      <c r="L150" s="50"/>
      <c r="M150" s="50"/>
      <c r="N150" s="50"/>
    </row>
    <row r="151" spans="1:14" ht="15.75" customHeight="1">
      <c r="A151" s="43"/>
      <c r="B151" s="30"/>
      <c r="C151" s="30"/>
      <c r="D151" s="88"/>
      <c r="E151" s="88"/>
      <c r="F151" s="88"/>
      <c r="G151" s="88"/>
      <c r="H151" s="88"/>
      <c r="I151" s="44"/>
      <c r="J151" s="50"/>
      <c r="K151" s="50"/>
      <c r="L151" s="50"/>
      <c r="M151" s="50"/>
      <c r="N151" s="50"/>
    </row>
    <row r="152" spans="1:14" ht="15.75" customHeight="1">
      <c r="A152" s="43"/>
      <c r="B152" s="30"/>
      <c r="C152" s="30"/>
      <c r="D152" s="88"/>
      <c r="E152" s="88"/>
      <c r="F152" s="88"/>
      <c r="G152" s="88"/>
      <c r="H152" s="88"/>
      <c r="I152" s="44"/>
      <c r="J152" s="50"/>
      <c r="K152" s="50"/>
      <c r="L152" s="50"/>
      <c r="M152" s="50"/>
      <c r="N152" s="50"/>
    </row>
    <row r="153" spans="1:14" ht="15.75" customHeight="1">
      <c r="A153" s="43"/>
      <c r="B153" s="30"/>
      <c r="C153" s="30"/>
      <c r="D153" s="88"/>
      <c r="E153" s="88"/>
      <c r="F153" s="88"/>
      <c r="G153" s="88"/>
      <c r="H153" s="88"/>
      <c r="I153" s="44"/>
      <c r="J153" s="50"/>
      <c r="K153" s="50"/>
      <c r="L153" s="50"/>
      <c r="M153" s="50"/>
      <c r="N153" s="50"/>
    </row>
    <row r="154" spans="1:14" ht="15.75" customHeight="1">
      <c r="A154" s="43"/>
      <c r="B154" s="30"/>
      <c r="C154" s="30"/>
      <c r="D154" s="88"/>
      <c r="E154" s="88"/>
      <c r="F154" s="88"/>
      <c r="G154" s="88"/>
      <c r="H154" s="88"/>
      <c r="I154" s="44"/>
      <c r="J154" s="50"/>
      <c r="K154" s="50"/>
      <c r="L154" s="50"/>
      <c r="M154" s="50"/>
      <c r="N154" s="50"/>
    </row>
    <row r="155" spans="1:14" ht="15.75" customHeight="1">
      <c r="A155" s="43"/>
      <c r="B155" s="30"/>
      <c r="C155" s="30"/>
      <c r="D155" s="88"/>
      <c r="E155" s="88"/>
      <c r="F155" s="88"/>
      <c r="G155" s="88"/>
      <c r="H155" s="88"/>
      <c r="I155" s="44"/>
      <c r="J155" s="50"/>
      <c r="K155" s="50"/>
      <c r="L155" s="50"/>
      <c r="M155" s="50"/>
      <c r="N155" s="50"/>
    </row>
    <row r="156" spans="1:14" ht="15.75" customHeight="1">
      <c r="A156" s="43"/>
      <c r="B156" s="30"/>
      <c r="C156" s="30"/>
      <c r="D156" s="88"/>
      <c r="E156" s="88"/>
      <c r="F156" s="88"/>
      <c r="G156" s="88"/>
      <c r="H156" s="88"/>
      <c r="I156" s="44"/>
      <c r="J156" s="50"/>
      <c r="K156" s="50"/>
      <c r="L156" s="50"/>
      <c r="M156" s="50"/>
      <c r="N156" s="50"/>
    </row>
    <row r="157" spans="1:14" ht="15.75" customHeight="1">
      <c r="A157" s="43"/>
      <c r="B157" s="30"/>
      <c r="C157" s="30"/>
      <c r="D157" s="88"/>
      <c r="E157" s="88"/>
      <c r="F157" s="88"/>
      <c r="G157" s="88"/>
      <c r="H157" s="88"/>
      <c r="I157" s="44"/>
      <c r="J157" s="50"/>
      <c r="K157" s="50"/>
      <c r="L157" s="50"/>
      <c r="M157" s="50"/>
      <c r="N157" s="50"/>
    </row>
    <row r="158" spans="1:14" ht="15.75" customHeight="1">
      <c r="A158" s="43"/>
      <c r="B158" s="30"/>
      <c r="C158" s="30"/>
      <c r="D158" s="88"/>
      <c r="E158" s="88"/>
      <c r="F158" s="88"/>
      <c r="G158" s="88"/>
      <c r="H158" s="88"/>
      <c r="I158" s="44"/>
      <c r="J158" s="50"/>
      <c r="K158" s="50"/>
      <c r="L158" s="50"/>
      <c r="M158" s="50"/>
      <c r="N158" s="50"/>
    </row>
    <row r="159" spans="1:14" ht="15.75" customHeight="1">
      <c r="A159" s="43"/>
      <c r="B159" s="30"/>
      <c r="C159" s="30"/>
      <c r="D159" s="88"/>
      <c r="E159" s="88"/>
      <c r="F159" s="88"/>
      <c r="G159" s="88"/>
      <c r="H159" s="88"/>
      <c r="I159" s="44"/>
      <c r="J159" s="50"/>
      <c r="K159" s="50"/>
      <c r="L159" s="50"/>
      <c r="M159" s="50"/>
      <c r="N159" s="50"/>
    </row>
    <row r="160" spans="1:14" ht="15.75" customHeight="1">
      <c r="A160" s="43"/>
      <c r="B160" s="30"/>
      <c r="C160" s="30"/>
      <c r="D160" s="88"/>
      <c r="E160" s="88"/>
      <c r="F160" s="88"/>
      <c r="G160" s="88"/>
      <c r="H160" s="88"/>
      <c r="I160" s="44"/>
      <c r="J160" s="50"/>
      <c r="K160" s="50"/>
      <c r="L160" s="50"/>
      <c r="M160" s="50"/>
      <c r="N160" s="50"/>
    </row>
    <row r="161" spans="1:14" ht="15.75" customHeight="1">
      <c r="A161" s="43"/>
      <c r="B161" s="30"/>
      <c r="C161" s="30"/>
      <c r="D161" s="88"/>
      <c r="E161" s="88"/>
      <c r="F161" s="88"/>
      <c r="G161" s="88"/>
      <c r="H161" s="88"/>
      <c r="I161" s="44"/>
      <c r="J161" s="50"/>
      <c r="K161" s="50"/>
      <c r="L161" s="50"/>
      <c r="M161" s="50"/>
      <c r="N161" s="50"/>
    </row>
    <row r="162" spans="1:14" ht="15.75" customHeight="1">
      <c r="A162" s="43"/>
      <c r="B162" s="30"/>
      <c r="C162" s="30"/>
      <c r="D162" s="88"/>
      <c r="E162" s="88"/>
      <c r="F162" s="88"/>
      <c r="G162" s="88"/>
      <c r="H162" s="88"/>
      <c r="I162" s="44"/>
      <c r="J162" s="50"/>
      <c r="K162" s="50"/>
      <c r="L162" s="50"/>
      <c r="M162" s="50"/>
      <c r="N162" s="50"/>
    </row>
    <row r="163" spans="1:14" ht="15.75" customHeight="1">
      <c r="A163" s="43"/>
      <c r="B163" s="30"/>
      <c r="C163" s="30"/>
      <c r="D163" s="88"/>
      <c r="E163" s="88"/>
      <c r="F163" s="88"/>
      <c r="G163" s="88"/>
      <c r="H163" s="88"/>
      <c r="I163" s="44"/>
      <c r="J163" s="50"/>
      <c r="K163" s="50"/>
      <c r="L163" s="50"/>
      <c r="M163" s="50"/>
      <c r="N163" s="50"/>
    </row>
    <row r="164" spans="1:14" ht="15.75" customHeight="1">
      <c r="A164" s="43"/>
      <c r="B164" s="30"/>
      <c r="C164" s="30"/>
      <c r="D164" s="88"/>
      <c r="E164" s="88"/>
      <c r="F164" s="88"/>
      <c r="G164" s="88"/>
      <c r="H164" s="88"/>
      <c r="I164" s="44"/>
      <c r="J164" s="50"/>
      <c r="K164" s="50"/>
      <c r="L164" s="50"/>
      <c r="M164" s="50"/>
      <c r="N164" s="50"/>
    </row>
    <row r="165" spans="1:14" ht="15.75" customHeight="1">
      <c r="A165" s="43"/>
      <c r="B165" s="30"/>
      <c r="C165" s="30"/>
      <c r="D165" s="88"/>
      <c r="E165" s="88"/>
      <c r="F165" s="88"/>
      <c r="G165" s="88"/>
      <c r="H165" s="88"/>
      <c r="I165" s="44"/>
      <c r="J165" s="50"/>
      <c r="K165" s="50"/>
      <c r="L165" s="50"/>
      <c r="M165" s="50"/>
      <c r="N165" s="50"/>
    </row>
    <row r="166" spans="1:14" ht="15.75" customHeight="1">
      <c r="A166" s="43"/>
      <c r="B166" s="30"/>
      <c r="C166" s="30"/>
      <c r="D166" s="88"/>
      <c r="E166" s="88"/>
      <c r="F166" s="88"/>
      <c r="G166" s="88"/>
      <c r="H166" s="88"/>
      <c r="I166" s="44"/>
      <c r="J166" s="50"/>
      <c r="K166" s="50"/>
      <c r="L166" s="50"/>
      <c r="M166" s="50"/>
      <c r="N166" s="50"/>
    </row>
    <row r="167" spans="1:14" ht="15.75" customHeight="1">
      <c r="A167" s="43"/>
      <c r="B167" s="30"/>
      <c r="C167" s="30"/>
      <c r="D167" s="88"/>
      <c r="E167" s="88"/>
      <c r="F167" s="88"/>
      <c r="G167" s="88"/>
      <c r="H167" s="88"/>
      <c r="I167" s="44"/>
      <c r="J167" s="50"/>
      <c r="K167" s="50"/>
      <c r="L167" s="50"/>
      <c r="M167" s="50"/>
      <c r="N167" s="50"/>
    </row>
    <row r="168" spans="1:14" ht="15.75" customHeight="1">
      <c r="A168" s="43"/>
      <c r="B168" s="30"/>
      <c r="C168" s="30"/>
      <c r="D168" s="88"/>
      <c r="E168" s="88"/>
      <c r="F168" s="88"/>
      <c r="G168" s="88"/>
      <c r="H168" s="88"/>
      <c r="I168" s="44"/>
      <c r="J168" s="50"/>
      <c r="K168" s="50"/>
      <c r="L168" s="50"/>
      <c r="M168" s="50"/>
      <c r="N168" s="50"/>
    </row>
    <row r="169" spans="1:14" ht="15.75" customHeight="1">
      <c r="A169" s="43"/>
      <c r="B169" s="30"/>
      <c r="C169" s="30"/>
      <c r="D169" s="88"/>
      <c r="E169" s="88"/>
      <c r="F169" s="88"/>
      <c r="G169" s="88"/>
      <c r="H169" s="88"/>
      <c r="I169" s="44"/>
      <c r="J169" s="50"/>
      <c r="K169" s="50"/>
      <c r="L169" s="50"/>
      <c r="M169" s="50"/>
      <c r="N169" s="50"/>
    </row>
    <row r="170" spans="1:14" ht="15.75" customHeight="1">
      <c r="A170" s="43"/>
      <c r="B170" s="30"/>
      <c r="C170" s="30"/>
      <c r="D170" s="88"/>
      <c r="E170" s="88"/>
      <c r="F170" s="88"/>
      <c r="G170" s="88"/>
      <c r="H170" s="88"/>
      <c r="I170" s="44"/>
      <c r="J170" s="50"/>
      <c r="K170" s="50"/>
      <c r="L170" s="50"/>
      <c r="M170" s="50"/>
      <c r="N170" s="50"/>
    </row>
    <row r="171" spans="1:14" ht="15.75" customHeight="1">
      <c r="A171" s="43"/>
      <c r="B171" s="30"/>
      <c r="C171" s="30"/>
      <c r="D171" s="88"/>
      <c r="E171" s="88"/>
      <c r="F171" s="88"/>
      <c r="G171" s="88"/>
      <c r="H171" s="88"/>
      <c r="I171" s="44"/>
      <c r="J171" s="50"/>
      <c r="K171" s="50"/>
      <c r="L171" s="50"/>
      <c r="M171" s="50"/>
      <c r="N171" s="50"/>
    </row>
    <row r="172" spans="1:14" ht="15.75" customHeight="1">
      <c r="A172" s="43"/>
      <c r="B172" s="30"/>
      <c r="C172" s="30"/>
      <c r="D172" s="88"/>
      <c r="E172" s="88"/>
      <c r="F172" s="88"/>
      <c r="G172" s="88"/>
      <c r="H172" s="88"/>
      <c r="I172" s="44"/>
      <c r="J172" s="50"/>
      <c r="K172" s="50"/>
      <c r="L172" s="50"/>
      <c r="M172" s="50"/>
      <c r="N172" s="50"/>
    </row>
    <row r="173" spans="1:14" ht="15.75" customHeight="1">
      <c r="A173" s="43"/>
      <c r="B173" s="30"/>
      <c r="C173" s="30"/>
      <c r="D173" s="88"/>
      <c r="E173" s="88"/>
      <c r="F173" s="88"/>
      <c r="G173" s="88"/>
      <c r="H173" s="88"/>
      <c r="I173" s="44"/>
      <c r="J173" s="50"/>
      <c r="K173" s="50"/>
      <c r="L173" s="50"/>
      <c r="M173" s="50"/>
      <c r="N173" s="50"/>
    </row>
    <row r="174" spans="1:14" ht="15.75" customHeight="1">
      <c r="A174" s="43"/>
      <c r="B174" s="30"/>
      <c r="C174" s="30"/>
      <c r="D174" s="88"/>
      <c r="E174" s="88"/>
      <c r="F174" s="88"/>
      <c r="G174" s="88"/>
      <c r="H174" s="88"/>
      <c r="I174" s="44"/>
      <c r="J174" s="50"/>
      <c r="K174" s="50"/>
      <c r="L174" s="50"/>
      <c r="M174" s="50"/>
      <c r="N174" s="50"/>
    </row>
    <row r="175" spans="1:14" ht="15.75" customHeight="1">
      <c r="A175" s="43"/>
      <c r="B175" s="30"/>
      <c r="C175" s="30"/>
      <c r="D175" s="88"/>
      <c r="E175" s="88"/>
      <c r="F175" s="88"/>
      <c r="G175" s="88"/>
      <c r="H175" s="88"/>
      <c r="I175" s="44"/>
      <c r="J175" s="50"/>
      <c r="K175" s="50"/>
      <c r="L175" s="50"/>
      <c r="M175" s="50"/>
      <c r="N175" s="50"/>
    </row>
    <row r="176" spans="1:14" ht="15.75" customHeight="1">
      <c r="A176" s="43"/>
      <c r="B176" s="30"/>
      <c r="C176" s="30"/>
      <c r="D176" s="88"/>
      <c r="E176" s="88"/>
      <c r="F176" s="88"/>
      <c r="G176" s="88"/>
      <c r="H176" s="88"/>
      <c r="I176" s="44"/>
      <c r="J176" s="50"/>
      <c r="K176" s="50"/>
      <c r="L176" s="50"/>
      <c r="M176" s="50"/>
      <c r="N176" s="50"/>
    </row>
    <row r="177" spans="1:14" ht="15.75" customHeight="1">
      <c r="A177" s="43"/>
      <c r="B177" s="30"/>
      <c r="C177" s="30"/>
      <c r="D177" s="88"/>
      <c r="E177" s="88"/>
      <c r="F177" s="88"/>
      <c r="G177" s="88"/>
      <c r="H177" s="88"/>
      <c r="I177" s="44"/>
      <c r="J177" s="50"/>
      <c r="K177" s="50"/>
      <c r="L177" s="50"/>
      <c r="M177" s="50"/>
      <c r="N177" s="50"/>
    </row>
    <row r="178" spans="1:14" ht="15.75" customHeight="1">
      <c r="A178" s="43"/>
      <c r="B178" s="30"/>
      <c r="C178" s="30"/>
      <c r="D178" s="88"/>
      <c r="E178" s="88"/>
      <c r="F178" s="88"/>
      <c r="G178" s="88"/>
      <c r="H178" s="88"/>
      <c r="I178" s="44"/>
      <c r="J178" s="50"/>
      <c r="K178" s="50"/>
      <c r="L178" s="50"/>
      <c r="M178" s="50"/>
      <c r="N178" s="50"/>
    </row>
    <row r="179" spans="1:14" ht="15.75" customHeight="1">
      <c r="A179" s="43"/>
      <c r="B179" s="30"/>
      <c r="C179" s="30"/>
      <c r="D179" s="88"/>
      <c r="E179" s="88"/>
      <c r="F179" s="88"/>
      <c r="G179" s="88"/>
      <c r="H179" s="88"/>
      <c r="I179" s="44"/>
      <c r="J179" s="50"/>
      <c r="K179" s="50"/>
      <c r="L179" s="50"/>
      <c r="M179" s="50"/>
      <c r="N179" s="50"/>
    </row>
    <row r="180" spans="1:14" ht="15.75" customHeight="1">
      <c r="A180" s="43"/>
      <c r="B180" s="30"/>
      <c r="C180" s="30"/>
      <c r="D180" s="88"/>
      <c r="E180" s="88"/>
      <c r="F180" s="88"/>
      <c r="G180" s="88"/>
      <c r="H180" s="88"/>
      <c r="I180" s="44"/>
      <c r="J180" s="50"/>
      <c r="K180" s="50"/>
      <c r="L180" s="50"/>
      <c r="M180" s="50"/>
      <c r="N180" s="50"/>
    </row>
    <row r="181" spans="1:14" ht="15.75" customHeight="1">
      <c r="A181" s="43"/>
      <c r="B181" s="30"/>
      <c r="C181" s="30"/>
      <c r="D181" s="88"/>
      <c r="E181" s="88"/>
      <c r="F181" s="88"/>
      <c r="G181" s="88"/>
      <c r="H181" s="88"/>
      <c r="I181" s="44"/>
      <c r="J181" s="50"/>
      <c r="K181" s="50"/>
      <c r="L181" s="50"/>
      <c r="M181" s="50"/>
      <c r="N181" s="50"/>
    </row>
    <row r="182" spans="1:14" ht="15.75" customHeight="1">
      <c r="A182" s="43"/>
      <c r="B182" s="30"/>
      <c r="C182" s="30"/>
      <c r="D182" s="88"/>
      <c r="E182" s="88"/>
      <c r="F182" s="88"/>
      <c r="G182" s="88"/>
      <c r="H182" s="88"/>
      <c r="I182" s="44"/>
      <c r="J182" s="50"/>
      <c r="K182" s="50"/>
      <c r="L182" s="50"/>
      <c r="M182" s="50"/>
      <c r="N182" s="50"/>
    </row>
    <row r="183" spans="1:14" ht="15.75" customHeight="1">
      <c r="A183" s="43"/>
      <c r="B183" s="30"/>
      <c r="C183" s="30"/>
      <c r="D183" s="88"/>
      <c r="E183" s="88"/>
      <c r="F183" s="88"/>
      <c r="G183" s="88"/>
      <c r="H183" s="88"/>
      <c r="I183" s="44"/>
      <c r="J183" s="50"/>
      <c r="K183" s="50"/>
      <c r="L183" s="50"/>
      <c r="M183" s="50"/>
      <c r="N183" s="50"/>
    </row>
    <row r="184" spans="1:14" ht="15.75" customHeight="1">
      <c r="A184" s="43"/>
      <c r="B184" s="30"/>
      <c r="C184" s="30"/>
      <c r="D184" s="88"/>
      <c r="E184" s="88"/>
      <c r="F184" s="88"/>
      <c r="G184" s="88"/>
      <c r="H184" s="88"/>
      <c r="I184" s="44"/>
      <c r="J184" s="50"/>
      <c r="K184" s="50"/>
      <c r="L184" s="50"/>
      <c r="M184" s="50"/>
      <c r="N184" s="50"/>
    </row>
    <row r="185" spans="1:14" ht="15.75" customHeight="1">
      <c r="A185" s="43"/>
      <c r="B185" s="30"/>
      <c r="C185" s="30"/>
      <c r="D185" s="88"/>
      <c r="E185" s="88"/>
      <c r="F185" s="88"/>
      <c r="G185" s="88"/>
      <c r="H185" s="88"/>
      <c r="I185" s="44"/>
      <c r="J185" s="50"/>
      <c r="K185" s="50"/>
      <c r="L185" s="50"/>
      <c r="M185" s="50"/>
      <c r="N185" s="50"/>
    </row>
    <row r="186" spans="1:14" ht="15.75" customHeight="1">
      <c r="A186" s="43"/>
      <c r="B186" s="30"/>
      <c r="C186" s="30"/>
      <c r="D186" s="88"/>
      <c r="E186" s="88"/>
      <c r="F186" s="88"/>
      <c r="G186" s="88"/>
      <c r="H186" s="88"/>
      <c r="I186" s="44"/>
      <c r="J186" s="50"/>
      <c r="K186" s="50"/>
      <c r="L186" s="50"/>
      <c r="M186" s="50"/>
      <c r="N186" s="50"/>
    </row>
    <row r="187" spans="1:14" ht="15.75" customHeight="1">
      <c r="A187" s="43"/>
      <c r="B187" s="30"/>
      <c r="C187" s="30"/>
      <c r="D187" s="88"/>
      <c r="E187" s="88"/>
      <c r="F187" s="88"/>
      <c r="G187" s="88"/>
      <c r="H187" s="88"/>
      <c r="I187" s="44"/>
      <c r="J187" s="50"/>
      <c r="K187" s="50"/>
      <c r="L187" s="50"/>
      <c r="M187" s="50"/>
      <c r="N187" s="50"/>
    </row>
    <row r="188" spans="1:14" ht="15.75" customHeight="1">
      <c r="A188" s="43"/>
      <c r="B188" s="30"/>
      <c r="C188" s="30"/>
      <c r="D188" s="88"/>
      <c r="E188" s="88"/>
      <c r="F188" s="88"/>
      <c r="G188" s="88"/>
      <c r="H188" s="88"/>
      <c r="I188" s="44"/>
      <c r="J188" s="50"/>
      <c r="K188" s="50"/>
      <c r="L188" s="50"/>
      <c r="M188" s="50"/>
      <c r="N188" s="50"/>
    </row>
    <row r="189" spans="1:14" ht="15.75" customHeight="1">
      <c r="A189" s="43"/>
      <c r="B189" s="30"/>
      <c r="C189" s="30"/>
      <c r="D189" s="88"/>
      <c r="E189" s="88"/>
      <c r="F189" s="88"/>
      <c r="G189" s="88"/>
      <c r="H189" s="88"/>
      <c r="I189" s="44"/>
      <c r="J189" s="50"/>
      <c r="K189" s="50"/>
      <c r="L189" s="50"/>
      <c r="M189" s="50"/>
      <c r="N189" s="50"/>
    </row>
    <row r="190" spans="1:14" ht="15.75" customHeight="1">
      <c r="A190" s="43"/>
      <c r="B190" s="30"/>
      <c r="C190" s="30"/>
      <c r="D190" s="88"/>
      <c r="E190" s="88"/>
      <c r="F190" s="88"/>
      <c r="G190" s="88"/>
      <c r="H190" s="88"/>
      <c r="I190" s="44"/>
      <c r="J190" s="50"/>
      <c r="K190" s="50"/>
      <c r="L190" s="50"/>
      <c r="M190" s="50"/>
      <c r="N190" s="50"/>
    </row>
    <row r="191" spans="1:14" ht="15.75" customHeight="1">
      <c r="A191" s="43"/>
      <c r="B191" s="30"/>
      <c r="C191" s="30"/>
      <c r="D191" s="88"/>
      <c r="E191" s="88"/>
      <c r="F191" s="88"/>
      <c r="G191" s="88"/>
      <c r="H191" s="88"/>
      <c r="I191" s="44"/>
      <c r="J191" s="50"/>
      <c r="K191" s="50"/>
      <c r="L191" s="50"/>
      <c r="M191" s="50"/>
      <c r="N191" s="50"/>
    </row>
    <row r="192" spans="1:14" ht="15.75" customHeight="1">
      <c r="A192" s="43"/>
      <c r="B192" s="30"/>
      <c r="C192" s="30"/>
      <c r="D192" s="88"/>
      <c r="E192" s="88"/>
      <c r="F192" s="88"/>
      <c r="G192" s="88"/>
      <c r="H192" s="88"/>
      <c r="I192" s="44"/>
      <c r="J192" s="50"/>
      <c r="K192" s="50"/>
      <c r="L192" s="50"/>
      <c r="M192" s="50"/>
      <c r="N192" s="50"/>
    </row>
    <row r="193" spans="1:14" ht="15.75" customHeight="1">
      <c r="A193" s="43"/>
      <c r="B193" s="30"/>
      <c r="C193" s="30"/>
      <c r="D193" s="88"/>
      <c r="E193" s="88"/>
      <c r="F193" s="88"/>
      <c r="G193" s="88"/>
      <c r="H193" s="88"/>
      <c r="I193" s="44"/>
      <c r="J193" s="50"/>
      <c r="K193" s="50"/>
      <c r="L193" s="50"/>
      <c r="M193" s="50"/>
      <c r="N193" s="50"/>
    </row>
    <row r="194" spans="1:14" ht="15.75" customHeight="1">
      <c r="A194" s="43"/>
      <c r="B194" s="30"/>
      <c r="C194" s="30"/>
      <c r="D194" s="88"/>
      <c r="E194" s="88"/>
      <c r="F194" s="88"/>
      <c r="G194" s="88"/>
      <c r="H194" s="88"/>
      <c r="I194" s="44"/>
      <c r="J194" s="50"/>
      <c r="K194" s="50"/>
      <c r="L194" s="50"/>
      <c r="M194" s="50"/>
      <c r="N194" s="50"/>
    </row>
    <row r="195" spans="1:14" ht="15.75" customHeight="1">
      <c r="A195" s="43"/>
      <c r="B195" s="30"/>
      <c r="C195" s="30"/>
      <c r="D195" s="88"/>
      <c r="E195" s="88"/>
      <c r="F195" s="88"/>
      <c r="G195" s="88"/>
      <c r="H195" s="88"/>
      <c r="I195" s="44"/>
      <c r="J195" s="50"/>
      <c r="K195" s="50"/>
      <c r="L195" s="50"/>
      <c r="M195" s="50"/>
      <c r="N195" s="50"/>
    </row>
    <row r="196" spans="1:14" ht="15.75" customHeight="1">
      <c r="A196" s="43"/>
      <c r="B196" s="30"/>
      <c r="C196" s="30"/>
      <c r="D196" s="88"/>
      <c r="E196" s="88"/>
      <c r="F196" s="88"/>
      <c r="G196" s="88"/>
      <c r="H196" s="88"/>
      <c r="I196" s="44"/>
      <c r="J196" s="50"/>
      <c r="K196" s="50"/>
      <c r="L196" s="50"/>
      <c r="M196" s="50"/>
      <c r="N196" s="50"/>
    </row>
    <row r="197" spans="1:14" ht="15.75" customHeight="1">
      <c r="A197" s="43"/>
      <c r="B197" s="30"/>
      <c r="C197" s="30"/>
      <c r="D197" s="88"/>
      <c r="E197" s="88"/>
      <c r="F197" s="88"/>
      <c r="G197" s="88"/>
      <c r="H197" s="88"/>
      <c r="I197" s="44"/>
      <c r="J197" s="50"/>
      <c r="K197" s="50"/>
      <c r="L197" s="50"/>
      <c r="M197" s="50"/>
      <c r="N197" s="50"/>
    </row>
    <row r="198" spans="1:14" ht="15.75" customHeight="1">
      <c r="A198" s="43"/>
      <c r="B198" s="30"/>
      <c r="C198" s="30"/>
      <c r="D198" s="88"/>
      <c r="E198" s="88"/>
      <c r="F198" s="88"/>
      <c r="G198" s="88"/>
      <c r="H198" s="88"/>
      <c r="I198" s="44"/>
      <c r="J198" s="50"/>
      <c r="K198" s="50"/>
      <c r="L198" s="50"/>
      <c r="M198" s="50"/>
      <c r="N198" s="50"/>
    </row>
    <row r="199" spans="1:14" ht="15.75" customHeight="1">
      <c r="A199" s="43"/>
      <c r="B199" s="30"/>
      <c r="C199" s="30"/>
      <c r="D199" s="88"/>
      <c r="E199" s="88"/>
      <c r="F199" s="88"/>
      <c r="G199" s="88"/>
      <c r="H199" s="88"/>
      <c r="I199" s="44"/>
      <c r="J199" s="50"/>
      <c r="K199" s="50"/>
      <c r="L199" s="50"/>
      <c r="M199" s="50"/>
      <c r="N199" s="50"/>
    </row>
    <row r="200" spans="1:14" ht="15.75" customHeight="1">
      <c r="A200" s="43"/>
      <c r="B200" s="30"/>
      <c r="C200" s="30"/>
      <c r="D200" s="88"/>
      <c r="E200" s="88"/>
      <c r="F200" s="88"/>
      <c r="G200" s="88"/>
      <c r="H200" s="88"/>
      <c r="I200" s="44"/>
      <c r="J200" s="50"/>
      <c r="K200" s="50"/>
      <c r="L200" s="50"/>
      <c r="M200" s="50"/>
      <c r="N200" s="50"/>
    </row>
    <row r="201" spans="1:14" ht="15.75" customHeight="1">
      <c r="A201" s="43"/>
      <c r="B201" s="30"/>
      <c r="C201" s="30"/>
      <c r="D201" s="88"/>
      <c r="E201" s="88"/>
      <c r="F201" s="88"/>
      <c r="G201" s="88"/>
      <c r="H201" s="88"/>
      <c r="I201" s="44"/>
      <c r="J201" s="50"/>
      <c r="K201" s="50"/>
      <c r="L201" s="50"/>
      <c r="M201" s="50"/>
      <c r="N201" s="50"/>
    </row>
    <row r="202" spans="1:14" ht="15.75" customHeight="1">
      <c r="A202" s="43"/>
      <c r="B202" s="30"/>
      <c r="C202" s="30"/>
      <c r="D202" s="88"/>
      <c r="E202" s="88"/>
      <c r="F202" s="88"/>
      <c r="G202" s="88"/>
      <c r="H202" s="88"/>
      <c r="I202" s="44"/>
      <c r="J202" s="50"/>
      <c r="K202" s="50"/>
      <c r="L202" s="50"/>
      <c r="M202" s="50"/>
      <c r="N202" s="50"/>
    </row>
    <row r="203" spans="1:14" ht="15.75" customHeight="1">
      <c r="A203" s="43"/>
      <c r="B203" s="30"/>
      <c r="C203" s="30"/>
      <c r="D203" s="88"/>
      <c r="E203" s="88"/>
      <c r="F203" s="88"/>
      <c r="G203" s="88"/>
      <c r="H203" s="88"/>
      <c r="I203" s="44"/>
      <c r="J203" s="50"/>
      <c r="K203" s="50"/>
      <c r="L203" s="50"/>
      <c r="M203" s="50"/>
      <c r="N203" s="50"/>
    </row>
    <row r="204" spans="1:14" ht="15.75" customHeight="1">
      <c r="A204" s="43"/>
      <c r="B204" s="30"/>
      <c r="C204" s="30"/>
      <c r="D204" s="88"/>
      <c r="E204" s="88"/>
      <c r="F204" s="88"/>
      <c r="G204" s="88"/>
      <c r="H204" s="88"/>
      <c r="I204" s="44"/>
      <c r="J204" s="50"/>
      <c r="K204" s="50"/>
      <c r="L204" s="50"/>
      <c r="M204" s="50"/>
      <c r="N204" s="50"/>
    </row>
    <row r="205" spans="1:14" ht="15.75" customHeight="1">
      <c r="A205" s="43"/>
      <c r="B205" s="30"/>
      <c r="C205" s="30"/>
      <c r="D205" s="88"/>
      <c r="E205" s="88"/>
      <c r="F205" s="88"/>
      <c r="G205" s="88"/>
      <c r="H205" s="88"/>
      <c r="I205" s="44"/>
      <c r="J205" s="50"/>
      <c r="K205" s="50"/>
      <c r="L205" s="50"/>
      <c r="M205" s="50"/>
      <c r="N205" s="50"/>
    </row>
    <row r="206" spans="1:14" ht="15.75" customHeight="1">
      <c r="A206" s="43"/>
      <c r="B206" s="30"/>
      <c r="C206" s="30"/>
      <c r="D206" s="88"/>
      <c r="E206" s="88"/>
      <c r="F206" s="88"/>
      <c r="G206" s="88"/>
      <c r="H206" s="88"/>
      <c r="I206" s="44"/>
      <c r="J206" s="50"/>
      <c r="K206" s="50"/>
      <c r="L206" s="50"/>
      <c r="M206" s="50"/>
      <c r="N206" s="50"/>
    </row>
    <row r="207" spans="1:14" ht="15.75" customHeight="1">
      <c r="A207" s="43"/>
      <c r="B207" s="30"/>
      <c r="C207" s="30"/>
      <c r="D207" s="88"/>
      <c r="E207" s="88"/>
      <c r="F207" s="88"/>
      <c r="G207" s="88"/>
      <c r="H207" s="88"/>
      <c r="I207" s="44"/>
      <c r="J207" s="50"/>
      <c r="K207" s="50"/>
      <c r="L207" s="50"/>
      <c r="M207" s="50"/>
      <c r="N207" s="50"/>
    </row>
    <row r="208" spans="1:14" ht="15.75" customHeight="1">
      <c r="A208" s="43"/>
      <c r="B208" s="30"/>
      <c r="C208" s="30"/>
      <c r="D208" s="88"/>
      <c r="E208" s="88"/>
      <c r="F208" s="88"/>
      <c r="G208" s="88"/>
      <c r="H208" s="88"/>
      <c r="I208" s="44"/>
      <c r="J208" s="50"/>
      <c r="K208" s="50"/>
      <c r="L208" s="50"/>
      <c r="M208" s="50"/>
      <c r="N208" s="50"/>
    </row>
    <row r="209" spans="1:14" ht="15.75" customHeight="1">
      <c r="A209" s="43"/>
      <c r="B209" s="30"/>
      <c r="C209" s="30"/>
      <c r="D209" s="88"/>
      <c r="E209" s="88"/>
      <c r="F209" s="88"/>
      <c r="G209" s="88"/>
      <c r="H209" s="88"/>
      <c r="I209" s="44"/>
      <c r="J209" s="50"/>
      <c r="K209" s="50"/>
      <c r="L209" s="50"/>
      <c r="M209" s="50"/>
      <c r="N209" s="50"/>
    </row>
    <row r="210" spans="1:14" ht="15.75" customHeight="1">
      <c r="A210" s="43"/>
      <c r="B210" s="30"/>
      <c r="C210" s="30"/>
      <c r="D210" s="88"/>
      <c r="E210" s="88"/>
      <c r="F210" s="88"/>
      <c r="G210" s="88"/>
      <c r="H210" s="88"/>
      <c r="I210" s="44"/>
      <c r="J210" s="50"/>
      <c r="K210" s="50"/>
      <c r="L210" s="50"/>
      <c r="M210" s="50"/>
      <c r="N210" s="50"/>
    </row>
    <row r="211" spans="1:14" ht="15.75" customHeight="1">
      <c r="A211" s="43"/>
      <c r="B211" s="30"/>
      <c r="C211" s="30"/>
      <c r="D211" s="88"/>
      <c r="E211" s="88"/>
      <c r="F211" s="88"/>
      <c r="G211" s="88"/>
      <c r="H211" s="88"/>
      <c r="I211" s="44"/>
      <c r="J211" s="50"/>
      <c r="K211" s="50"/>
      <c r="L211" s="50"/>
      <c r="M211" s="50"/>
      <c r="N211" s="50"/>
    </row>
    <row r="212" spans="1:14" ht="15.75" customHeight="1">
      <c r="A212" s="43"/>
      <c r="B212" s="30"/>
      <c r="C212" s="30"/>
      <c r="D212" s="88"/>
      <c r="E212" s="88"/>
      <c r="F212" s="88"/>
      <c r="G212" s="88"/>
      <c r="H212" s="88"/>
      <c r="I212" s="44"/>
      <c r="J212" s="50"/>
      <c r="K212" s="50"/>
      <c r="L212" s="50"/>
      <c r="M212" s="50"/>
      <c r="N212" s="50"/>
    </row>
    <row r="213" spans="1:14" ht="15.75" customHeight="1">
      <c r="A213" s="43"/>
      <c r="B213" s="30"/>
      <c r="C213" s="30"/>
      <c r="D213" s="88"/>
      <c r="E213" s="88"/>
      <c r="F213" s="88"/>
      <c r="G213" s="88"/>
      <c r="H213" s="88"/>
      <c r="I213" s="44"/>
      <c r="J213" s="50"/>
      <c r="K213" s="50"/>
      <c r="L213" s="50"/>
      <c r="M213" s="50"/>
      <c r="N213" s="50"/>
    </row>
    <row r="214" spans="1:14" ht="15.75" customHeight="1">
      <c r="A214" s="43"/>
      <c r="B214" s="30"/>
      <c r="C214" s="30"/>
      <c r="D214" s="88"/>
      <c r="E214" s="88"/>
      <c r="F214" s="88"/>
      <c r="G214" s="88"/>
      <c r="H214" s="88"/>
      <c r="I214" s="44"/>
      <c r="J214" s="50"/>
      <c r="K214" s="50"/>
      <c r="L214" s="50"/>
      <c r="M214" s="50"/>
      <c r="N214" s="50"/>
    </row>
    <row r="215" spans="1:14" ht="15.75" customHeight="1">
      <c r="A215" s="43"/>
      <c r="B215" s="30"/>
      <c r="C215" s="30"/>
      <c r="D215" s="88"/>
      <c r="E215" s="88"/>
      <c r="F215" s="88"/>
      <c r="G215" s="88"/>
      <c r="H215" s="88"/>
      <c r="I215" s="44"/>
      <c r="J215" s="50"/>
      <c r="K215" s="50"/>
      <c r="L215" s="50"/>
      <c r="M215" s="50"/>
      <c r="N215" s="50"/>
    </row>
    <row r="216" spans="1:14" ht="15.75" customHeight="1">
      <c r="A216" s="43"/>
      <c r="B216" s="30"/>
      <c r="C216" s="30"/>
      <c r="D216" s="88"/>
      <c r="E216" s="88"/>
      <c r="F216" s="88"/>
      <c r="G216" s="88"/>
      <c r="H216" s="88"/>
      <c r="I216" s="44"/>
      <c r="J216" s="50"/>
      <c r="K216" s="50"/>
      <c r="L216" s="50"/>
      <c r="M216" s="50"/>
      <c r="N216" s="50"/>
    </row>
    <row r="217" spans="1:14" ht="15.75" customHeight="1">
      <c r="A217" s="43"/>
      <c r="B217" s="30"/>
      <c r="C217" s="30"/>
      <c r="D217" s="88"/>
      <c r="E217" s="88"/>
      <c r="F217" s="88"/>
      <c r="G217" s="88"/>
      <c r="H217" s="88"/>
      <c r="I217" s="44"/>
      <c r="J217" s="50"/>
      <c r="K217" s="50"/>
      <c r="L217" s="50"/>
      <c r="M217" s="50"/>
      <c r="N217" s="50"/>
    </row>
    <row r="218" spans="1:14" ht="15.75" customHeight="1">
      <c r="A218" s="43"/>
      <c r="B218" s="30"/>
      <c r="C218" s="30"/>
      <c r="D218" s="88"/>
      <c r="E218" s="88"/>
      <c r="F218" s="88"/>
      <c r="G218" s="88"/>
      <c r="H218" s="88"/>
      <c r="I218" s="44"/>
      <c r="J218" s="50"/>
      <c r="K218" s="50"/>
      <c r="L218" s="50"/>
      <c r="M218" s="50"/>
      <c r="N218" s="50"/>
    </row>
    <row r="219" spans="1:14" ht="15.75" customHeight="1">
      <c r="A219" s="43"/>
      <c r="B219" s="30"/>
      <c r="C219" s="30"/>
      <c r="D219" s="88"/>
      <c r="E219" s="88"/>
      <c r="F219" s="88"/>
      <c r="G219" s="88"/>
      <c r="H219" s="88"/>
      <c r="I219" s="44"/>
      <c r="J219" s="50"/>
      <c r="K219" s="50"/>
      <c r="L219" s="50"/>
      <c r="M219" s="50"/>
      <c r="N219" s="50"/>
    </row>
    <row r="220" spans="1:14" ht="15.75" customHeight="1">
      <c r="A220" s="43"/>
      <c r="B220" s="30"/>
      <c r="C220" s="30"/>
      <c r="D220" s="88"/>
      <c r="E220" s="88"/>
      <c r="F220" s="88"/>
      <c r="G220" s="88"/>
      <c r="H220" s="88"/>
      <c r="I220" s="44"/>
      <c r="J220" s="50"/>
      <c r="K220" s="50"/>
      <c r="L220" s="50"/>
      <c r="M220" s="50"/>
      <c r="N220" s="50"/>
    </row>
    <row r="221" spans="1:14" ht="15.75" customHeight="1">
      <c r="A221" s="43"/>
      <c r="B221" s="30"/>
      <c r="C221" s="30"/>
      <c r="D221" s="88"/>
      <c r="E221" s="88"/>
      <c r="F221" s="88"/>
      <c r="G221" s="88"/>
      <c r="H221" s="88"/>
      <c r="I221" s="44"/>
      <c r="J221" s="50"/>
      <c r="K221" s="50"/>
      <c r="L221" s="50"/>
      <c r="M221" s="50"/>
      <c r="N221" s="50"/>
    </row>
    <row r="222" spans="1:14" ht="15.75" customHeight="1">
      <c r="A222" s="43"/>
      <c r="B222" s="30"/>
      <c r="C222" s="30"/>
      <c r="D222" s="88"/>
      <c r="E222" s="88"/>
      <c r="F222" s="88"/>
      <c r="G222" s="88"/>
      <c r="H222" s="88"/>
      <c r="I222" s="44"/>
      <c r="J222" s="50"/>
      <c r="K222" s="50"/>
      <c r="L222" s="50"/>
      <c r="M222" s="50"/>
      <c r="N222" s="50"/>
    </row>
    <row r="223" spans="1:14" ht="15.75" customHeight="1">
      <c r="A223" s="43"/>
      <c r="B223" s="30"/>
      <c r="C223" s="30"/>
      <c r="D223" s="88"/>
      <c r="E223" s="88"/>
      <c r="F223" s="88"/>
      <c r="G223" s="88"/>
      <c r="H223" s="88"/>
      <c r="I223" s="44"/>
      <c r="J223" s="50"/>
      <c r="K223" s="50"/>
      <c r="L223" s="50"/>
      <c r="M223" s="50"/>
      <c r="N223" s="50"/>
    </row>
    <row r="224" spans="1:14" ht="15.75" customHeight="1">
      <c r="A224" s="43"/>
      <c r="B224" s="30"/>
      <c r="C224" s="30"/>
      <c r="D224" s="88"/>
      <c r="E224" s="88"/>
      <c r="F224" s="88"/>
      <c r="G224" s="88"/>
      <c r="H224" s="88"/>
      <c r="I224" s="44"/>
      <c r="J224" s="50"/>
      <c r="K224" s="50"/>
      <c r="L224" s="50"/>
      <c r="M224" s="50"/>
      <c r="N224" s="50"/>
    </row>
    <row r="225" spans="1:14" ht="15.75" customHeight="1">
      <c r="A225" s="43"/>
      <c r="B225" s="30"/>
      <c r="C225" s="30"/>
      <c r="D225" s="88"/>
      <c r="E225" s="88"/>
      <c r="F225" s="88"/>
      <c r="G225" s="88"/>
      <c r="H225" s="88"/>
      <c r="I225" s="44"/>
      <c r="J225" s="50"/>
      <c r="K225" s="50"/>
      <c r="L225" s="50"/>
      <c r="M225" s="50"/>
      <c r="N225" s="50"/>
    </row>
    <row r="226" spans="1:14" ht="15.75" customHeight="1">
      <c r="A226" s="43"/>
      <c r="B226" s="30"/>
      <c r="C226" s="30"/>
      <c r="D226" s="88"/>
      <c r="E226" s="88"/>
      <c r="F226" s="88"/>
      <c r="G226" s="88"/>
      <c r="H226" s="88"/>
      <c r="I226" s="44"/>
      <c r="J226" s="50"/>
      <c r="K226" s="50"/>
      <c r="L226" s="50"/>
      <c r="M226" s="50"/>
      <c r="N226" s="50"/>
    </row>
    <row r="227" spans="1:14" ht="15.75" customHeight="1">
      <c r="A227" s="43"/>
      <c r="B227" s="30"/>
      <c r="C227" s="30"/>
      <c r="D227" s="88"/>
      <c r="E227" s="88"/>
      <c r="F227" s="88"/>
      <c r="G227" s="88"/>
      <c r="H227" s="88"/>
      <c r="I227" s="44"/>
      <c r="J227" s="50"/>
      <c r="K227" s="50"/>
      <c r="L227" s="50"/>
      <c r="M227" s="50"/>
      <c r="N227" s="50"/>
    </row>
    <row r="228" spans="1:14" ht="15.75" customHeight="1">
      <c r="A228" s="43"/>
      <c r="B228" s="30"/>
      <c r="C228" s="30"/>
      <c r="D228" s="88"/>
      <c r="E228" s="88"/>
      <c r="F228" s="88"/>
      <c r="G228" s="88"/>
      <c r="H228" s="88"/>
      <c r="I228" s="44"/>
      <c r="J228" s="50"/>
      <c r="K228" s="50"/>
      <c r="L228" s="50"/>
      <c r="M228" s="50"/>
      <c r="N228" s="50"/>
    </row>
    <row r="229" spans="1:14" ht="15.75" customHeight="1">
      <c r="A229" s="43"/>
      <c r="B229" s="30"/>
      <c r="C229" s="30"/>
      <c r="D229" s="88"/>
      <c r="E229" s="88"/>
      <c r="F229" s="88"/>
      <c r="G229" s="88"/>
      <c r="H229" s="88"/>
      <c r="I229" s="44"/>
      <c r="J229" s="50"/>
      <c r="K229" s="50"/>
      <c r="L229" s="50"/>
      <c r="M229" s="50"/>
      <c r="N229" s="50"/>
    </row>
    <row r="230" spans="1:14" ht="15.75" customHeight="1">
      <c r="A230" s="43"/>
      <c r="B230" s="30"/>
      <c r="C230" s="30"/>
      <c r="D230" s="88"/>
      <c r="E230" s="88"/>
      <c r="F230" s="88"/>
      <c r="G230" s="88"/>
      <c r="H230" s="88"/>
      <c r="I230" s="44"/>
      <c r="J230" s="50"/>
      <c r="K230" s="50"/>
      <c r="L230" s="50"/>
      <c r="M230" s="50"/>
      <c r="N230" s="50"/>
    </row>
    <row r="231" spans="1:14" ht="15.75" customHeight="1">
      <c r="A231" s="43"/>
      <c r="B231" s="30"/>
      <c r="C231" s="30"/>
      <c r="D231" s="88"/>
      <c r="E231" s="88"/>
      <c r="F231" s="88"/>
      <c r="G231" s="88"/>
      <c r="H231" s="88"/>
      <c r="I231" s="44"/>
      <c r="J231" s="50"/>
      <c r="K231" s="50"/>
      <c r="L231" s="50"/>
      <c r="M231" s="50"/>
      <c r="N231" s="50"/>
    </row>
    <row r="232" spans="1:14" ht="15.75" customHeight="1">
      <c r="A232" s="43"/>
      <c r="B232" s="30"/>
      <c r="C232" s="30"/>
      <c r="D232" s="88"/>
      <c r="E232" s="88"/>
      <c r="F232" s="88"/>
      <c r="G232" s="88"/>
      <c r="H232" s="88"/>
      <c r="I232" s="44"/>
      <c r="J232" s="50"/>
      <c r="K232" s="50"/>
      <c r="L232" s="50"/>
      <c r="M232" s="50"/>
      <c r="N232" s="50"/>
    </row>
    <row r="233" spans="1:14" ht="15.75" customHeight="1">
      <c r="A233" s="43"/>
      <c r="B233" s="30"/>
      <c r="C233" s="30"/>
      <c r="D233" s="88"/>
      <c r="E233" s="88"/>
      <c r="F233" s="88"/>
      <c r="G233" s="88"/>
      <c r="H233" s="88"/>
      <c r="I233" s="44"/>
      <c r="J233" s="50"/>
      <c r="K233" s="50"/>
      <c r="L233" s="50"/>
      <c r="M233" s="50"/>
      <c r="N233" s="50"/>
    </row>
    <row r="234" spans="1:14" ht="15.75" customHeight="1">
      <c r="A234" s="43"/>
      <c r="B234" s="30"/>
      <c r="C234" s="30"/>
      <c r="D234" s="88"/>
      <c r="E234" s="88"/>
      <c r="F234" s="88"/>
      <c r="G234" s="88"/>
      <c r="H234" s="88"/>
      <c r="I234" s="44"/>
      <c r="J234" s="50"/>
      <c r="K234" s="50"/>
      <c r="L234" s="50"/>
      <c r="M234" s="50"/>
      <c r="N234" s="50"/>
    </row>
    <row r="235" spans="1:14" ht="15.75" customHeight="1">
      <c r="A235" s="43"/>
      <c r="B235" s="30"/>
      <c r="C235" s="30"/>
      <c r="D235" s="88"/>
      <c r="E235" s="88"/>
      <c r="F235" s="88"/>
      <c r="G235" s="88"/>
      <c r="H235" s="88"/>
      <c r="I235" s="44"/>
      <c r="J235" s="50"/>
      <c r="K235" s="50"/>
      <c r="L235" s="50"/>
      <c r="M235" s="50"/>
      <c r="N235" s="50"/>
    </row>
    <row r="236" spans="1:14" ht="15.75" customHeight="1">
      <c r="A236" s="43"/>
      <c r="B236" s="30"/>
      <c r="C236" s="30"/>
      <c r="D236" s="88"/>
      <c r="E236" s="88"/>
      <c r="F236" s="88"/>
      <c r="G236" s="88"/>
      <c r="H236" s="88"/>
      <c r="I236" s="44"/>
      <c r="J236" s="50"/>
      <c r="K236" s="50"/>
      <c r="L236" s="50"/>
      <c r="M236" s="50"/>
      <c r="N236" s="50"/>
    </row>
    <row r="237" spans="1:14" ht="15.75" customHeight="1">
      <c r="A237" s="43"/>
      <c r="B237" s="30"/>
      <c r="C237" s="30"/>
      <c r="D237" s="88"/>
      <c r="E237" s="88"/>
      <c r="F237" s="88"/>
      <c r="G237" s="88"/>
      <c r="H237" s="88"/>
      <c r="I237" s="44"/>
      <c r="J237" s="50"/>
      <c r="K237" s="50"/>
      <c r="L237" s="50"/>
      <c r="M237" s="50"/>
      <c r="N237" s="50"/>
    </row>
    <row r="238" spans="1:14" ht="15.75" customHeight="1">
      <c r="A238" s="43"/>
      <c r="B238" s="30"/>
      <c r="C238" s="30"/>
      <c r="D238" s="88"/>
      <c r="E238" s="88"/>
      <c r="F238" s="88"/>
      <c r="G238" s="88"/>
      <c r="H238" s="88"/>
      <c r="I238" s="44"/>
      <c r="J238" s="50"/>
      <c r="K238" s="50"/>
      <c r="L238" s="50"/>
      <c r="M238" s="50"/>
      <c r="N238" s="50"/>
    </row>
    <row r="239" spans="1:14" ht="15.75" customHeight="1">
      <c r="A239" s="43"/>
      <c r="B239" s="30"/>
      <c r="C239" s="30"/>
      <c r="D239" s="88"/>
      <c r="E239" s="88"/>
      <c r="F239" s="88"/>
      <c r="G239" s="88"/>
      <c r="H239" s="88"/>
      <c r="I239" s="44"/>
      <c r="J239" s="50"/>
      <c r="K239" s="50"/>
      <c r="L239" s="50"/>
      <c r="M239" s="50"/>
      <c r="N239" s="50"/>
    </row>
    <row r="240" spans="1:14" ht="15.75" customHeight="1">
      <c r="A240" s="43"/>
      <c r="B240" s="30"/>
      <c r="C240" s="30"/>
      <c r="D240" s="88"/>
      <c r="E240" s="88"/>
      <c r="F240" s="88"/>
      <c r="G240" s="88"/>
      <c r="H240" s="88"/>
      <c r="I240" s="44"/>
      <c r="J240" s="50"/>
      <c r="K240" s="50"/>
      <c r="L240" s="50"/>
      <c r="M240" s="50"/>
      <c r="N240" s="50"/>
    </row>
    <row r="241" spans="1:14" ht="15.75" customHeight="1">
      <c r="A241" s="43"/>
      <c r="B241" s="30"/>
      <c r="C241" s="30"/>
      <c r="D241" s="88"/>
      <c r="E241" s="88"/>
      <c r="F241" s="88"/>
      <c r="G241" s="88"/>
      <c r="H241" s="88"/>
      <c r="I241" s="44"/>
      <c r="J241" s="50"/>
      <c r="K241" s="50"/>
      <c r="L241" s="50"/>
      <c r="M241" s="50"/>
      <c r="N241" s="50"/>
    </row>
    <row r="242" spans="1:14" ht="15.75" customHeight="1">
      <c r="A242" s="43"/>
      <c r="B242" s="30"/>
      <c r="C242" s="30"/>
      <c r="D242" s="88"/>
      <c r="E242" s="88"/>
      <c r="F242" s="88"/>
      <c r="G242" s="88"/>
      <c r="H242" s="88"/>
      <c r="I242" s="44"/>
      <c r="J242" s="50"/>
      <c r="K242" s="50"/>
      <c r="L242" s="50"/>
      <c r="M242" s="50"/>
      <c r="N242" s="50"/>
    </row>
    <row r="243" spans="1:14" ht="15.75" customHeight="1">
      <c r="A243" s="43"/>
      <c r="B243" s="30"/>
      <c r="C243" s="30"/>
      <c r="D243" s="88"/>
      <c r="E243" s="88"/>
      <c r="F243" s="88"/>
      <c r="G243" s="88"/>
      <c r="H243" s="88"/>
      <c r="I243" s="44"/>
      <c r="J243" s="50"/>
      <c r="K243" s="50"/>
      <c r="L243" s="50"/>
      <c r="M243" s="50"/>
      <c r="N243" s="50"/>
    </row>
    <row r="244" spans="1:14" ht="15.75" customHeight="1">
      <c r="A244" s="43"/>
      <c r="B244" s="30"/>
      <c r="C244" s="30"/>
      <c r="D244" s="88"/>
      <c r="E244" s="88"/>
      <c r="F244" s="88"/>
      <c r="G244" s="88"/>
      <c r="H244" s="88"/>
      <c r="I244" s="44"/>
      <c r="J244" s="50"/>
      <c r="K244" s="50"/>
      <c r="L244" s="50"/>
      <c r="M244" s="50"/>
      <c r="N244" s="50"/>
    </row>
    <row r="245" spans="1:14" ht="15.75" customHeight="1">
      <c r="A245" s="43"/>
      <c r="B245" s="30"/>
      <c r="C245" s="30"/>
      <c r="D245" s="88"/>
      <c r="E245" s="88"/>
      <c r="F245" s="88"/>
      <c r="G245" s="88"/>
      <c r="H245" s="88"/>
      <c r="I245" s="44"/>
      <c r="J245" s="50"/>
      <c r="K245" s="50"/>
      <c r="L245" s="50"/>
      <c r="M245" s="50"/>
      <c r="N245" s="50"/>
    </row>
    <row r="246" spans="1:14" ht="15.75" customHeight="1">
      <c r="A246" s="43"/>
      <c r="B246" s="30"/>
      <c r="C246" s="30"/>
      <c r="D246" s="88"/>
      <c r="E246" s="88"/>
      <c r="F246" s="88"/>
      <c r="G246" s="88"/>
      <c r="H246" s="88"/>
      <c r="I246" s="44"/>
      <c r="J246" s="50"/>
      <c r="K246" s="50"/>
      <c r="L246" s="50"/>
      <c r="M246" s="50"/>
      <c r="N246" s="50"/>
    </row>
    <row r="247" spans="1:14" ht="15.75" customHeight="1">
      <c r="A247" s="43"/>
      <c r="B247" s="30"/>
      <c r="C247" s="30"/>
      <c r="D247" s="88"/>
      <c r="E247" s="88"/>
      <c r="F247" s="88"/>
      <c r="G247" s="88"/>
      <c r="H247" s="88"/>
      <c r="I247" s="44"/>
      <c r="J247" s="50"/>
      <c r="K247" s="50"/>
      <c r="L247" s="50"/>
      <c r="M247" s="50"/>
      <c r="N247" s="50"/>
    </row>
    <row r="248" spans="1:14" ht="15.75" customHeight="1">
      <c r="A248" s="43"/>
      <c r="B248" s="30"/>
      <c r="C248" s="30"/>
      <c r="D248" s="88"/>
      <c r="E248" s="88"/>
      <c r="F248" s="88"/>
      <c r="G248" s="88"/>
      <c r="H248" s="88"/>
      <c r="I248" s="44"/>
      <c r="J248" s="50"/>
      <c r="K248" s="50"/>
      <c r="L248" s="50"/>
      <c r="M248" s="50"/>
      <c r="N248" s="50"/>
    </row>
    <row r="249" spans="1:14" ht="15.75" customHeight="1">
      <c r="A249" s="43"/>
      <c r="B249" s="30"/>
      <c r="C249" s="30"/>
      <c r="D249" s="88"/>
      <c r="E249" s="88"/>
      <c r="F249" s="88"/>
      <c r="G249" s="88"/>
      <c r="H249" s="88"/>
      <c r="I249" s="44"/>
      <c r="J249" s="50"/>
      <c r="K249" s="50"/>
      <c r="L249" s="50"/>
      <c r="M249" s="50"/>
      <c r="N249" s="50"/>
    </row>
    <row r="250" spans="1:14" ht="15.75" customHeight="1">
      <c r="A250" s="43"/>
      <c r="B250" s="30"/>
      <c r="C250" s="30"/>
      <c r="D250" s="88"/>
      <c r="E250" s="88"/>
      <c r="F250" s="88"/>
      <c r="G250" s="88"/>
      <c r="H250" s="88"/>
      <c r="I250" s="44"/>
      <c r="J250" s="50"/>
      <c r="K250" s="50"/>
      <c r="L250" s="50"/>
      <c r="M250" s="50"/>
      <c r="N250" s="50"/>
    </row>
    <row r="251" spans="1:14" ht="15.75" customHeight="1">
      <c r="A251" s="43"/>
      <c r="B251" s="30"/>
      <c r="C251" s="30"/>
      <c r="D251" s="88"/>
      <c r="E251" s="88"/>
      <c r="F251" s="88"/>
      <c r="G251" s="88"/>
      <c r="H251" s="88"/>
      <c r="I251" s="44"/>
      <c r="J251" s="50"/>
      <c r="K251" s="50"/>
      <c r="L251" s="50"/>
      <c r="M251" s="50"/>
      <c r="N251" s="50"/>
    </row>
    <row r="252" spans="1:14" ht="15.75" customHeight="1">
      <c r="A252" s="43"/>
      <c r="B252" s="30"/>
      <c r="C252" s="30"/>
      <c r="D252" s="88"/>
      <c r="E252" s="88"/>
      <c r="F252" s="88"/>
      <c r="G252" s="88"/>
      <c r="H252" s="88"/>
      <c r="I252" s="44"/>
      <c r="J252" s="50"/>
      <c r="K252" s="50"/>
      <c r="L252" s="50"/>
      <c r="M252" s="50"/>
      <c r="N252" s="50"/>
    </row>
    <row r="253" spans="1:14" ht="15.75" customHeight="1">
      <c r="A253" s="43"/>
      <c r="B253" s="30"/>
      <c r="C253" s="30"/>
      <c r="D253" s="88"/>
      <c r="E253" s="88"/>
      <c r="F253" s="88"/>
      <c r="G253" s="88"/>
      <c r="H253" s="88"/>
      <c r="I253" s="44"/>
      <c r="J253" s="50"/>
      <c r="K253" s="50"/>
      <c r="L253" s="50"/>
      <c r="M253" s="50"/>
      <c r="N253" s="50"/>
    </row>
    <row r="254" spans="1:14" ht="15.75" customHeight="1">
      <c r="A254" s="43"/>
      <c r="B254" s="30"/>
      <c r="C254" s="30"/>
      <c r="D254" s="88"/>
      <c r="E254" s="88"/>
      <c r="F254" s="88"/>
      <c r="G254" s="88"/>
      <c r="H254" s="88"/>
      <c r="I254" s="44"/>
      <c r="J254" s="50"/>
      <c r="K254" s="50"/>
      <c r="L254" s="50"/>
      <c r="M254" s="50"/>
      <c r="N254" s="50"/>
    </row>
    <row r="255" spans="1:14" ht="15.75" customHeight="1">
      <c r="A255" s="43"/>
      <c r="B255" s="30"/>
      <c r="C255" s="30"/>
      <c r="D255" s="88"/>
      <c r="E255" s="88"/>
      <c r="F255" s="88"/>
      <c r="G255" s="88"/>
      <c r="H255" s="88"/>
      <c r="I255" s="44"/>
      <c r="J255" s="50"/>
      <c r="K255" s="50"/>
      <c r="L255" s="50"/>
      <c r="M255" s="50"/>
      <c r="N255" s="50"/>
    </row>
    <row r="256" spans="1:14" ht="15.75" customHeight="1">
      <c r="A256" s="43"/>
      <c r="B256" s="30"/>
      <c r="C256" s="30"/>
      <c r="D256" s="88"/>
      <c r="E256" s="88"/>
      <c r="F256" s="88"/>
      <c r="G256" s="88"/>
      <c r="H256" s="88"/>
      <c r="I256" s="44"/>
      <c r="J256" s="50"/>
      <c r="K256" s="50"/>
      <c r="L256" s="50"/>
      <c r="M256" s="50"/>
      <c r="N256" s="50"/>
    </row>
    <row r="257" spans="1:14" ht="15.75" customHeight="1">
      <c r="A257" s="43"/>
      <c r="B257" s="30"/>
      <c r="C257" s="30"/>
      <c r="D257" s="88"/>
      <c r="E257" s="88"/>
      <c r="F257" s="88"/>
      <c r="G257" s="88"/>
      <c r="H257" s="88"/>
      <c r="I257" s="44"/>
      <c r="J257" s="50"/>
      <c r="K257" s="50"/>
      <c r="L257" s="50"/>
      <c r="M257" s="50"/>
      <c r="N257" s="50"/>
    </row>
    <row r="258" spans="1:14" ht="15.75" customHeight="1">
      <c r="A258" s="43"/>
      <c r="B258" s="30"/>
      <c r="C258" s="30"/>
      <c r="D258" s="88"/>
      <c r="E258" s="88"/>
      <c r="F258" s="88"/>
      <c r="G258" s="88"/>
      <c r="H258" s="88"/>
      <c r="I258" s="44"/>
      <c r="J258" s="50"/>
      <c r="K258" s="50"/>
      <c r="L258" s="50"/>
      <c r="M258" s="50"/>
      <c r="N258" s="50"/>
    </row>
    <row r="259" spans="1:14" ht="15.75" customHeight="1">
      <c r="A259" s="43"/>
      <c r="B259" s="30"/>
      <c r="C259" s="30"/>
      <c r="D259" s="88"/>
      <c r="E259" s="88"/>
      <c r="F259" s="88"/>
      <c r="G259" s="88"/>
      <c r="H259" s="88"/>
      <c r="I259" s="44"/>
      <c r="J259" s="50"/>
      <c r="K259" s="50"/>
      <c r="L259" s="50"/>
      <c r="M259" s="50"/>
      <c r="N259" s="50"/>
    </row>
    <row r="260" spans="1:14" ht="15.75" customHeight="1">
      <c r="A260" s="43"/>
      <c r="B260" s="30"/>
      <c r="C260" s="30"/>
      <c r="D260" s="88"/>
      <c r="E260" s="88"/>
      <c r="F260" s="88"/>
      <c r="G260" s="88"/>
      <c r="H260" s="88"/>
      <c r="I260" s="44"/>
      <c r="J260" s="50"/>
      <c r="K260" s="50"/>
      <c r="L260" s="50"/>
      <c r="M260" s="50"/>
      <c r="N260" s="50"/>
    </row>
    <row r="261" spans="1:14" ht="15.75" customHeight="1">
      <c r="A261" s="43"/>
      <c r="B261" s="30"/>
      <c r="C261" s="30"/>
      <c r="D261" s="88"/>
      <c r="E261" s="88"/>
      <c r="F261" s="88"/>
      <c r="G261" s="88"/>
      <c r="H261" s="88"/>
      <c r="I261" s="44"/>
      <c r="J261" s="50"/>
      <c r="K261" s="50"/>
      <c r="L261" s="50"/>
      <c r="M261" s="50"/>
      <c r="N261" s="50"/>
    </row>
    <row r="262" spans="1:14" ht="15.75" customHeight="1">
      <c r="A262" s="43"/>
      <c r="B262" s="30"/>
      <c r="C262" s="30"/>
      <c r="D262" s="88"/>
      <c r="E262" s="88"/>
      <c r="F262" s="88"/>
      <c r="G262" s="88"/>
      <c r="H262" s="88"/>
      <c r="I262" s="44"/>
      <c r="J262" s="50"/>
      <c r="K262" s="50"/>
      <c r="L262" s="50"/>
      <c r="M262" s="50"/>
      <c r="N262" s="50"/>
    </row>
    <row r="263" spans="1:14" ht="15.75" customHeight="1">
      <c r="A263" s="43"/>
      <c r="B263" s="30"/>
      <c r="C263" s="30"/>
      <c r="D263" s="88"/>
      <c r="E263" s="88"/>
      <c r="F263" s="88"/>
      <c r="G263" s="88"/>
      <c r="H263" s="88"/>
      <c r="I263" s="44"/>
      <c r="J263" s="50"/>
      <c r="K263" s="50"/>
      <c r="L263" s="50"/>
      <c r="M263" s="50"/>
      <c r="N263" s="50"/>
    </row>
    <row r="264" spans="1:14" ht="15.75" customHeight="1">
      <c r="A264" s="43"/>
      <c r="B264" s="30"/>
      <c r="C264" s="30"/>
      <c r="D264" s="88"/>
      <c r="E264" s="88"/>
      <c r="F264" s="88"/>
      <c r="G264" s="88"/>
      <c r="H264" s="88"/>
      <c r="I264" s="44"/>
      <c r="J264" s="50"/>
      <c r="K264" s="50"/>
      <c r="L264" s="50"/>
      <c r="M264" s="50"/>
      <c r="N264" s="50"/>
    </row>
    <row r="265" spans="1:14" ht="15.75" customHeight="1">
      <c r="A265" s="43"/>
      <c r="B265" s="30"/>
      <c r="C265" s="30"/>
      <c r="D265" s="88"/>
      <c r="E265" s="88"/>
      <c r="F265" s="88"/>
      <c r="G265" s="88"/>
      <c r="H265" s="88"/>
      <c r="I265" s="44"/>
      <c r="J265" s="50"/>
      <c r="K265" s="50"/>
      <c r="L265" s="50"/>
      <c r="M265" s="50"/>
      <c r="N265" s="50"/>
    </row>
    <row r="266" spans="1:14" ht="15.75" customHeight="1">
      <c r="A266" s="43"/>
      <c r="B266" s="30"/>
      <c r="C266" s="30"/>
      <c r="D266" s="88"/>
      <c r="E266" s="88"/>
      <c r="F266" s="88"/>
      <c r="G266" s="88"/>
      <c r="H266" s="88"/>
      <c r="I266" s="44"/>
      <c r="J266" s="50"/>
      <c r="K266" s="50"/>
      <c r="L266" s="50"/>
      <c r="M266" s="50"/>
      <c r="N266" s="50"/>
    </row>
    <row r="267" spans="1:14" ht="15.75" customHeight="1">
      <c r="A267" s="43"/>
      <c r="B267" s="30"/>
      <c r="C267" s="30"/>
      <c r="D267" s="88"/>
      <c r="E267" s="88"/>
      <c r="F267" s="88"/>
      <c r="G267" s="88"/>
      <c r="H267" s="88"/>
      <c r="I267" s="44"/>
      <c r="J267" s="50"/>
      <c r="K267" s="50"/>
      <c r="L267" s="50"/>
      <c r="M267" s="50"/>
      <c r="N267" s="50"/>
    </row>
    <row r="268" spans="1:14" ht="15.75" customHeight="1">
      <c r="A268" s="43"/>
      <c r="B268" s="30"/>
      <c r="C268" s="30"/>
      <c r="D268" s="88"/>
      <c r="E268" s="88"/>
      <c r="F268" s="88"/>
      <c r="G268" s="88"/>
      <c r="H268" s="88"/>
      <c r="I268" s="44"/>
      <c r="J268" s="50"/>
      <c r="K268" s="50"/>
      <c r="L268" s="50"/>
      <c r="M268" s="50"/>
      <c r="N268" s="50"/>
    </row>
    <row r="269" spans="1:14" ht="15.75" customHeight="1">
      <c r="A269" s="43"/>
      <c r="B269" s="30"/>
      <c r="C269" s="30"/>
      <c r="D269" s="88"/>
      <c r="E269" s="88"/>
      <c r="F269" s="88"/>
      <c r="G269" s="88"/>
      <c r="H269" s="88"/>
      <c r="I269" s="44"/>
      <c r="J269" s="50"/>
      <c r="K269" s="50"/>
      <c r="L269" s="50"/>
      <c r="M269" s="50"/>
      <c r="N269" s="50"/>
    </row>
    <row r="270" spans="1:14" ht="15.75" customHeight="1"/>
    <row r="271" spans="1:14" ht="15.75" customHeight="1"/>
    <row r="272" spans="1:1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honeticPr fontId="22" type="noConversion"/>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999"/>
  <sheetViews>
    <sheetView workbookViewId="0">
      <pane ySplit="1" topLeftCell="A50" activePane="bottomLeft" state="frozen"/>
      <selection pane="bottomLeft"/>
    </sheetView>
  </sheetViews>
  <sheetFormatPr defaultColWidth="14.42578125" defaultRowHeight="15" customHeight="1"/>
  <cols>
    <col min="1" max="1" width="68" customWidth="1"/>
    <col min="2" max="2" width="20.7109375" customWidth="1"/>
    <col min="3" max="3" width="16.42578125" customWidth="1"/>
    <col min="4" max="4" width="12.85546875" customWidth="1"/>
    <col min="5" max="5" width="15.5703125" customWidth="1"/>
    <col min="6" max="6" width="12.7109375" customWidth="1"/>
    <col min="7" max="7" width="20.42578125" customWidth="1"/>
    <col min="8" max="8" width="35.7109375" customWidth="1"/>
    <col min="9" max="9" width="18.85546875" customWidth="1"/>
    <col min="10" max="10" width="21.7109375" customWidth="1"/>
    <col min="11" max="11" width="18.7109375" customWidth="1"/>
    <col min="12" max="12" width="24.42578125" customWidth="1"/>
    <col min="13" max="13" width="37.42578125" customWidth="1"/>
    <col min="14" max="14" width="9.140625" customWidth="1"/>
    <col min="15" max="33" width="8.7109375" customWidth="1"/>
  </cols>
  <sheetData>
    <row r="1" spans="1:14" ht="15.75" customHeight="1">
      <c r="A1" s="33" t="s">
        <v>809</v>
      </c>
      <c r="B1" s="2" t="s">
        <v>5</v>
      </c>
      <c r="C1" s="3" t="s">
        <v>6</v>
      </c>
      <c r="D1" s="91" t="s">
        <v>0</v>
      </c>
      <c r="E1" s="92" t="s">
        <v>1</v>
      </c>
      <c r="F1" s="92" t="s">
        <v>2</v>
      </c>
      <c r="G1" s="4" t="s">
        <v>7</v>
      </c>
      <c r="H1" s="4" t="s">
        <v>3</v>
      </c>
      <c r="I1" s="5" t="s">
        <v>8</v>
      </c>
      <c r="J1" s="5" t="s">
        <v>9</v>
      </c>
      <c r="K1" s="5" t="s">
        <v>10</v>
      </c>
      <c r="L1" s="48" t="s">
        <v>11</v>
      </c>
      <c r="M1" s="48" t="s">
        <v>12</v>
      </c>
      <c r="N1" s="6"/>
    </row>
    <row r="2" spans="1:14" ht="15.75" customHeight="1">
      <c r="A2" s="8" t="s">
        <v>810</v>
      </c>
      <c r="B2" s="3" t="s">
        <v>16</v>
      </c>
      <c r="C2" s="3" t="s">
        <v>22</v>
      </c>
      <c r="D2" s="79" t="s">
        <v>586</v>
      </c>
      <c r="E2" s="79" t="s">
        <v>22</v>
      </c>
      <c r="F2" s="79" t="s">
        <v>14</v>
      </c>
      <c r="G2" s="110" t="s">
        <v>22</v>
      </c>
      <c r="H2" s="110" t="s">
        <v>22</v>
      </c>
      <c r="I2" s="122">
        <f t="shared" ref="I2:I12" si="0">_xlfn.LET(
_xlpm.full,2,
_xlpm.ans0,$C2&amp;"",
_xlpm.resp0,D2&amp;"",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2" s="122">
        <f t="shared" ref="J2:M12" si="1">_xlfn.LET(
_xlpm.full,2,
_xlpm.ans0,$C2&amp;"",
_xlpm.resp0,E2&amp;"",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2" s="122">
        <f t="shared" si="1"/>
        <v>0</v>
      </c>
      <c r="L2" s="122">
        <f t="shared" si="1"/>
        <v>2</v>
      </c>
      <c r="M2" s="122">
        <f t="shared" si="1"/>
        <v>2</v>
      </c>
      <c r="N2" s="13"/>
    </row>
    <row r="3" spans="1:14" ht="15.75" customHeight="1">
      <c r="A3" s="8" t="s">
        <v>811</v>
      </c>
      <c r="B3" s="3" t="s">
        <v>16</v>
      </c>
      <c r="C3" s="3" t="s">
        <v>88</v>
      </c>
      <c r="D3" s="79" t="s">
        <v>57</v>
      </c>
      <c r="E3" s="79" t="s">
        <v>57</v>
      </c>
      <c r="F3" s="79" t="s">
        <v>53</v>
      </c>
      <c r="G3" s="110" t="s">
        <v>88</v>
      </c>
      <c r="H3" s="110" t="s">
        <v>48</v>
      </c>
      <c r="I3" s="122">
        <f t="shared" si="0"/>
        <v>0.4</v>
      </c>
      <c r="J3" s="122">
        <f t="shared" si="1"/>
        <v>0.4</v>
      </c>
      <c r="K3" s="122">
        <f t="shared" si="1"/>
        <v>0</v>
      </c>
      <c r="L3" s="122">
        <f t="shared" si="1"/>
        <v>2</v>
      </c>
      <c r="M3" s="122">
        <f t="shared" si="1"/>
        <v>0.4</v>
      </c>
      <c r="N3" s="13"/>
    </row>
    <row r="4" spans="1:14" ht="15.75" customHeight="1">
      <c r="A4" s="8" t="s">
        <v>812</v>
      </c>
      <c r="B4" s="3"/>
      <c r="C4" s="3" t="s">
        <v>174</v>
      </c>
      <c r="D4" s="79" t="s">
        <v>174</v>
      </c>
      <c r="E4" s="79" t="s">
        <v>174</v>
      </c>
      <c r="F4" s="79" t="s">
        <v>174</v>
      </c>
      <c r="G4" s="110" t="s">
        <v>174</v>
      </c>
      <c r="H4" s="110" t="s">
        <v>174</v>
      </c>
      <c r="I4" s="122">
        <f t="shared" si="0"/>
        <v>2</v>
      </c>
      <c r="J4" s="122">
        <f t="shared" si="1"/>
        <v>2</v>
      </c>
      <c r="K4" s="122">
        <f t="shared" si="1"/>
        <v>2</v>
      </c>
      <c r="L4" s="122">
        <f t="shared" si="1"/>
        <v>2</v>
      </c>
      <c r="M4" s="122">
        <f t="shared" si="1"/>
        <v>2</v>
      </c>
      <c r="N4" s="6"/>
    </row>
    <row r="5" spans="1:14" ht="15.75" customHeight="1">
      <c r="A5" s="8" t="s">
        <v>813</v>
      </c>
      <c r="B5" s="3"/>
      <c r="C5" s="3" t="s">
        <v>50</v>
      </c>
      <c r="D5" s="79" t="s">
        <v>50</v>
      </c>
      <c r="E5" s="79" t="s">
        <v>50</v>
      </c>
      <c r="F5" s="79" t="s">
        <v>95</v>
      </c>
      <c r="G5" s="110" t="s">
        <v>50</v>
      </c>
      <c r="H5" s="110" t="s">
        <v>50</v>
      </c>
      <c r="I5" s="122">
        <f t="shared" si="0"/>
        <v>2</v>
      </c>
      <c r="J5" s="122">
        <f t="shared" si="1"/>
        <v>2</v>
      </c>
      <c r="K5" s="122">
        <f t="shared" si="1"/>
        <v>0.4</v>
      </c>
      <c r="L5" s="122">
        <f t="shared" si="1"/>
        <v>2</v>
      </c>
      <c r="M5" s="122">
        <f t="shared" si="1"/>
        <v>2</v>
      </c>
      <c r="N5" s="6"/>
    </row>
    <row r="6" spans="1:14" ht="15.75" customHeight="1">
      <c r="A6" s="8" t="s">
        <v>814</v>
      </c>
      <c r="B6" s="3"/>
      <c r="C6" s="3" t="s">
        <v>69</v>
      </c>
      <c r="D6" s="79" t="s">
        <v>69</v>
      </c>
      <c r="E6" s="79" t="s">
        <v>69</v>
      </c>
      <c r="F6" s="79" t="s">
        <v>69</v>
      </c>
      <c r="G6" s="110" t="s">
        <v>69</v>
      </c>
      <c r="H6" s="110" t="s">
        <v>69</v>
      </c>
      <c r="I6" s="122">
        <f t="shared" si="0"/>
        <v>2</v>
      </c>
      <c r="J6" s="122">
        <f t="shared" si="1"/>
        <v>2</v>
      </c>
      <c r="K6" s="122">
        <f t="shared" si="1"/>
        <v>2</v>
      </c>
      <c r="L6" s="122">
        <f t="shared" si="1"/>
        <v>2</v>
      </c>
      <c r="M6" s="122">
        <f t="shared" si="1"/>
        <v>2</v>
      </c>
      <c r="N6" s="6"/>
    </row>
    <row r="7" spans="1:14" ht="15.75" customHeight="1">
      <c r="A7" s="8" t="s">
        <v>815</v>
      </c>
      <c r="B7" s="3"/>
      <c r="C7" s="3" t="s">
        <v>17</v>
      </c>
      <c r="D7" s="79" t="s">
        <v>17</v>
      </c>
      <c r="E7" s="79" t="s">
        <v>17</v>
      </c>
      <c r="F7" s="79" t="s">
        <v>14</v>
      </c>
      <c r="G7" s="110" t="s">
        <v>17</v>
      </c>
      <c r="H7" s="110" t="s">
        <v>17</v>
      </c>
      <c r="I7" s="122">
        <f t="shared" si="0"/>
        <v>2</v>
      </c>
      <c r="J7" s="122">
        <f t="shared" si="1"/>
        <v>2</v>
      </c>
      <c r="K7" s="122">
        <f t="shared" si="1"/>
        <v>0</v>
      </c>
      <c r="L7" s="122">
        <f t="shared" si="1"/>
        <v>2</v>
      </c>
      <c r="M7" s="122">
        <f t="shared" si="1"/>
        <v>2</v>
      </c>
      <c r="N7" s="6"/>
    </row>
    <row r="8" spans="1:14" ht="15.75" customHeight="1">
      <c r="A8" s="8" t="s">
        <v>816</v>
      </c>
      <c r="B8" s="3"/>
      <c r="C8" s="3" t="s">
        <v>54</v>
      </c>
      <c r="D8" s="79" t="s">
        <v>54</v>
      </c>
      <c r="E8" s="79" t="s">
        <v>54</v>
      </c>
      <c r="F8" s="79" t="s">
        <v>54</v>
      </c>
      <c r="G8" s="110" t="s">
        <v>54</v>
      </c>
      <c r="H8" s="110" t="s">
        <v>54</v>
      </c>
      <c r="I8" s="122">
        <f t="shared" si="0"/>
        <v>2</v>
      </c>
      <c r="J8" s="122">
        <f t="shared" si="1"/>
        <v>2</v>
      </c>
      <c r="K8" s="122">
        <f t="shared" si="1"/>
        <v>2</v>
      </c>
      <c r="L8" s="122">
        <f t="shared" si="1"/>
        <v>2</v>
      </c>
      <c r="M8" s="122">
        <f t="shared" si="1"/>
        <v>2</v>
      </c>
      <c r="N8" s="6"/>
    </row>
    <row r="9" spans="1:14" ht="15.75" customHeight="1">
      <c r="A9" s="8" t="s">
        <v>817</v>
      </c>
      <c r="B9" s="3" t="s">
        <v>16</v>
      </c>
      <c r="C9" s="3" t="s">
        <v>19</v>
      </c>
      <c r="D9" s="79" t="s">
        <v>60</v>
      </c>
      <c r="E9" s="79" t="s">
        <v>57</v>
      </c>
      <c r="F9" s="79" t="s">
        <v>19</v>
      </c>
      <c r="G9" s="110" t="s">
        <v>58</v>
      </c>
      <c r="H9" s="110" t="s">
        <v>19</v>
      </c>
      <c r="I9" s="122">
        <f t="shared" si="0"/>
        <v>0</v>
      </c>
      <c r="J9" s="122">
        <f t="shared" si="1"/>
        <v>0</v>
      </c>
      <c r="K9" s="122">
        <f t="shared" si="1"/>
        <v>2</v>
      </c>
      <c r="L9" s="122">
        <f t="shared" si="1"/>
        <v>0</v>
      </c>
      <c r="M9" s="122">
        <f t="shared" si="1"/>
        <v>2</v>
      </c>
      <c r="N9" s="6"/>
    </row>
    <row r="10" spans="1:14" ht="15.75" customHeight="1">
      <c r="A10" s="8" t="s">
        <v>818</v>
      </c>
      <c r="B10" s="3"/>
      <c r="C10" s="3" t="s">
        <v>17</v>
      </c>
      <c r="D10" s="79" t="s">
        <v>102</v>
      </c>
      <c r="E10" s="79" t="s">
        <v>102</v>
      </c>
      <c r="F10" s="79" t="s">
        <v>52</v>
      </c>
      <c r="G10" s="110" t="s">
        <v>17</v>
      </c>
      <c r="H10" s="110" t="s">
        <v>14</v>
      </c>
      <c r="I10" s="122">
        <f t="shared" si="0"/>
        <v>0</v>
      </c>
      <c r="J10" s="122">
        <f t="shared" si="1"/>
        <v>0</v>
      </c>
      <c r="K10" s="122">
        <f t="shared" si="1"/>
        <v>0</v>
      </c>
      <c r="L10" s="122">
        <f t="shared" si="1"/>
        <v>2</v>
      </c>
      <c r="M10" s="122">
        <f t="shared" si="1"/>
        <v>0</v>
      </c>
      <c r="N10" s="6"/>
    </row>
    <row r="11" spans="1:14" ht="15.75" customHeight="1">
      <c r="A11" s="8" t="s">
        <v>819</v>
      </c>
      <c r="B11" s="3"/>
      <c r="C11" s="3" t="s">
        <v>19</v>
      </c>
      <c r="D11" s="79" t="s">
        <v>19</v>
      </c>
      <c r="E11" s="79" t="s">
        <v>19</v>
      </c>
      <c r="F11" s="79" t="s">
        <v>19</v>
      </c>
      <c r="G11" s="110" t="s">
        <v>19</v>
      </c>
      <c r="H11" s="110" t="s">
        <v>19</v>
      </c>
      <c r="I11" s="122">
        <f t="shared" si="0"/>
        <v>2</v>
      </c>
      <c r="J11" s="122">
        <f t="shared" si="1"/>
        <v>2</v>
      </c>
      <c r="K11" s="122">
        <f t="shared" si="1"/>
        <v>2</v>
      </c>
      <c r="L11" s="122">
        <f t="shared" si="1"/>
        <v>2</v>
      </c>
      <c r="M11" s="122">
        <f t="shared" si="1"/>
        <v>2</v>
      </c>
      <c r="N11" s="6"/>
    </row>
    <row r="12" spans="1:14" ht="15.75" customHeight="1">
      <c r="A12" s="8" t="s">
        <v>820</v>
      </c>
      <c r="B12" s="3"/>
      <c r="C12" s="3" t="s">
        <v>174</v>
      </c>
      <c r="D12" s="79" t="s">
        <v>174</v>
      </c>
      <c r="E12" s="79" t="s">
        <v>174</v>
      </c>
      <c r="F12" s="79" t="s">
        <v>174</v>
      </c>
      <c r="G12" s="110" t="s">
        <v>174</v>
      </c>
      <c r="H12" s="110" t="s">
        <v>174</v>
      </c>
      <c r="I12" s="122">
        <f t="shared" si="0"/>
        <v>2</v>
      </c>
      <c r="J12" s="122">
        <f t="shared" si="1"/>
        <v>2</v>
      </c>
      <c r="K12" s="122">
        <f t="shared" si="1"/>
        <v>2</v>
      </c>
      <c r="L12" s="122">
        <f t="shared" si="1"/>
        <v>2</v>
      </c>
      <c r="M12" s="122">
        <f t="shared" si="1"/>
        <v>2</v>
      </c>
      <c r="N12" s="6"/>
    </row>
    <row r="13" spans="1:14" ht="15.75" customHeight="1">
      <c r="A13" s="111" t="s">
        <v>821</v>
      </c>
      <c r="B13" s="112"/>
      <c r="C13" s="112"/>
      <c r="D13" s="113"/>
      <c r="E13" s="113"/>
      <c r="F13" s="113"/>
      <c r="G13" s="113"/>
      <c r="H13" s="113"/>
      <c r="I13" s="114"/>
      <c r="J13" s="114"/>
      <c r="K13" s="114"/>
      <c r="L13" s="114"/>
      <c r="M13" s="114"/>
      <c r="N13" s="6"/>
    </row>
    <row r="14" spans="1:14" ht="15.75" customHeight="1">
      <c r="A14" s="8" t="s">
        <v>822</v>
      </c>
      <c r="B14" s="3" t="s">
        <v>34</v>
      </c>
      <c r="C14" s="3" t="s">
        <v>22</v>
      </c>
      <c r="D14" s="79" t="s">
        <v>22</v>
      </c>
      <c r="E14" s="79" t="s">
        <v>22</v>
      </c>
      <c r="F14" s="79" t="s">
        <v>21</v>
      </c>
      <c r="G14" s="110" t="s">
        <v>22</v>
      </c>
      <c r="H14" s="110" t="s">
        <v>22</v>
      </c>
      <c r="I14" s="122">
        <f>_xlfn.LET(
_xlpm.full,2,
_xlpm.ans0,$C14&amp;"",
_xlpm.resp0,D14&amp;"",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14" s="122">
        <f t="shared" ref="J14:M17" si="2">_xlfn.LET(
_xlpm.full,2,
_xlpm.ans0,$C14&amp;"",
_xlpm.resp0,E14&amp;"",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14" s="122">
        <f t="shared" si="2"/>
        <v>0</v>
      </c>
      <c r="L14" s="122">
        <f t="shared" si="2"/>
        <v>2</v>
      </c>
      <c r="M14" s="122">
        <f t="shared" si="2"/>
        <v>2</v>
      </c>
      <c r="N14" s="6"/>
    </row>
    <row r="15" spans="1:14" ht="15.75" customHeight="1">
      <c r="A15" s="8" t="s">
        <v>823</v>
      </c>
      <c r="B15" s="3" t="s">
        <v>34</v>
      </c>
      <c r="C15" s="3" t="s">
        <v>104</v>
      </c>
      <c r="D15" s="79" t="s">
        <v>64</v>
      </c>
      <c r="E15" s="79" t="s">
        <v>72</v>
      </c>
      <c r="F15" s="79" t="s">
        <v>104</v>
      </c>
      <c r="G15" s="110" t="s">
        <v>64</v>
      </c>
      <c r="H15" s="110" t="s">
        <v>104</v>
      </c>
      <c r="I15" s="122">
        <f>_xlfn.LET(
_xlpm.full,2,
_xlpm.ans0,$C15&amp;"",
_xlpm.resp0,D15&amp;"",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15" s="122">
        <f t="shared" si="2"/>
        <v>0.4</v>
      </c>
      <c r="K15" s="122">
        <f t="shared" si="2"/>
        <v>2</v>
      </c>
      <c r="L15" s="122">
        <f t="shared" si="2"/>
        <v>0.4</v>
      </c>
      <c r="M15" s="122">
        <f t="shared" si="2"/>
        <v>2</v>
      </c>
      <c r="N15" s="6"/>
    </row>
    <row r="16" spans="1:14" ht="15.75" customHeight="1">
      <c r="A16" s="8" t="s">
        <v>824</v>
      </c>
      <c r="B16" s="3"/>
      <c r="C16" s="3" t="s">
        <v>14</v>
      </c>
      <c r="D16" s="79" t="s">
        <v>21</v>
      </c>
      <c r="E16" s="79" t="s">
        <v>14</v>
      </c>
      <c r="F16" s="79" t="s">
        <v>21</v>
      </c>
      <c r="G16" s="110" t="s">
        <v>14</v>
      </c>
      <c r="H16" s="110" t="s">
        <v>14</v>
      </c>
      <c r="I16" s="122">
        <f>_xlfn.LET(
_xlpm.full,2,
_xlpm.ans0,$C16&amp;"",
_xlpm.resp0,D16&amp;"",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16" s="122">
        <f t="shared" si="2"/>
        <v>2</v>
      </c>
      <c r="K16" s="122">
        <f t="shared" si="2"/>
        <v>0</v>
      </c>
      <c r="L16" s="122">
        <f t="shared" si="2"/>
        <v>2</v>
      </c>
      <c r="M16" s="122">
        <f t="shared" si="2"/>
        <v>2</v>
      </c>
      <c r="N16" s="6"/>
    </row>
    <row r="17" spans="1:14" ht="15.75" customHeight="1">
      <c r="A17" s="8" t="s">
        <v>825</v>
      </c>
      <c r="B17" s="3"/>
      <c r="C17" s="3" t="s">
        <v>14</v>
      </c>
      <c r="D17" s="80" t="s">
        <v>22</v>
      </c>
      <c r="E17" s="80" t="s">
        <v>14</v>
      </c>
      <c r="F17" s="80" t="s">
        <v>14</v>
      </c>
      <c r="G17" s="115" t="s">
        <v>14</v>
      </c>
      <c r="H17" s="115" t="s">
        <v>14</v>
      </c>
      <c r="I17" s="122">
        <f>_xlfn.LET(
_xlpm.full,2,
_xlpm.ans0,$C17&amp;"",
_xlpm.resp0,D17&amp;"",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17" s="122">
        <f t="shared" si="2"/>
        <v>2</v>
      </c>
      <c r="K17" s="122">
        <f t="shared" si="2"/>
        <v>2</v>
      </c>
      <c r="L17" s="122">
        <f t="shared" si="2"/>
        <v>2</v>
      </c>
      <c r="M17" s="122">
        <f t="shared" si="2"/>
        <v>2</v>
      </c>
      <c r="N17" s="6"/>
    </row>
    <row r="18" spans="1:14" ht="15.75" customHeight="1">
      <c r="A18" s="111" t="s">
        <v>826</v>
      </c>
      <c r="B18" s="112"/>
      <c r="C18" s="112"/>
      <c r="D18" s="116"/>
      <c r="E18" s="116"/>
      <c r="F18" s="116"/>
      <c r="G18" s="116"/>
      <c r="H18" s="116"/>
      <c r="I18" s="117"/>
      <c r="J18" s="117"/>
      <c r="K18" s="117"/>
      <c r="L18" s="117"/>
      <c r="M18" s="117"/>
      <c r="N18" s="6"/>
    </row>
    <row r="19" spans="1:14" ht="15.75" customHeight="1">
      <c r="A19" s="8" t="s">
        <v>827</v>
      </c>
      <c r="B19" s="3" t="s">
        <v>16</v>
      </c>
      <c r="C19" s="3" t="s">
        <v>19</v>
      </c>
      <c r="D19" s="80" t="s">
        <v>19</v>
      </c>
      <c r="E19" s="80" t="s">
        <v>19</v>
      </c>
      <c r="F19" s="80" t="s">
        <v>19</v>
      </c>
      <c r="G19" s="115" t="s">
        <v>19</v>
      </c>
      <c r="H19" s="115" t="s">
        <v>19</v>
      </c>
      <c r="I19" s="122">
        <f t="shared" ref="I19:I24" si="3">_xlfn.LET(
_xlpm.full,2,
_xlpm.ans0,$C19&amp;"",
_xlpm.resp0,D19&amp;"",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19" s="122">
        <f t="shared" ref="J19:M24" si="4">_xlfn.LET(
_xlpm.full,2,
_xlpm.ans0,$C19&amp;"",
_xlpm.resp0,E19&amp;"",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19" s="122">
        <f t="shared" si="4"/>
        <v>2</v>
      </c>
      <c r="L19" s="122">
        <f t="shared" si="4"/>
        <v>2</v>
      </c>
      <c r="M19" s="122">
        <f t="shared" si="4"/>
        <v>2</v>
      </c>
      <c r="N19" s="6"/>
    </row>
    <row r="20" spans="1:14" ht="15.75" customHeight="1">
      <c r="A20" s="8" t="s">
        <v>828</v>
      </c>
      <c r="B20" s="3" t="s">
        <v>16</v>
      </c>
      <c r="C20" s="3" t="s">
        <v>52</v>
      </c>
      <c r="D20" s="80" t="s">
        <v>60</v>
      </c>
      <c r="E20" s="80" t="s">
        <v>52</v>
      </c>
      <c r="F20" s="80" t="s">
        <v>60</v>
      </c>
      <c r="G20" s="115" t="s">
        <v>52</v>
      </c>
      <c r="H20" s="115" t="s">
        <v>52</v>
      </c>
      <c r="I20" s="122">
        <f t="shared" si="3"/>
        <v>0.4</v>
      </c>
      <c r="J20" s="122">
        <f t="shared" si="4"/>
        <v>2</v>
      </c>
      <c r="K20" s="122">
        <f t="shared" si="4"/>
        <v>0.4</v>
      </c>
      <c r="L20" s="122">
        <f t="shared" si="4"/>
        <v>2</v>
      </c>
      <c r="M20" s="122">
        <f t="shared" si="4"/>
        <v>2</v>
      </c>
      <c r="N20" s="6"/>
    </row>
    <row r="21" spans="1:14" ht="15.75" customHeight="1">
      <c r="A21" s="8" t="s">
        <v>829</v>
      </c>
      <c r="B21" s="3" t="s">
        <v>34</v>
      </c>
      <c r="C21" s="3" t="s">
        <v>104</v>
      </c>
      <c r="D21" s="80" t="s">
        <v>104</v>
      </c>
      <c r="E21" s="80" t="s">
        <v>104</v>
      </c>
      <c r="F21" s="80" t="s">
        <v>104</v>
      </c>
      <c r="G21" s="115" t="s">
        <v>104</v>
      </c>
      <c r="H21" s="115" t="s">
        <v>104</v>
      </c>
      <c r="I21" s="122">
        <f t="shared" si="3"/>
        <v>2</v>
      </c>
      <c r="J21" s="122">
        <f t="shared" si="4"/>
        <v>2</v>
      </c>
      <c r="K21" s="122">
        <f t="shared" si="4"/>
        <v>2</v>
      </c>
      <c r="L21" s="122">
        <f t="shared" si="4"/>
        <v>2</v>
      </c>
      <c r="M21" s="122">
        <f t="shared" si="4"/>
        <v>2</v>
      </c>
      <c r="N21" s="6"/>
    </row>
    <row r="22" spans="1:14" ht="15.75" customHeight="1">
      <c r="A22" s="8" t="s">
        <v>830</v>
      </c>
      <c r="B22" s="3"/>
      <c r="C22" s="3" t="s">
        <v>104</v>
      </c>
      <c r="D22" s="80" t="s">
        <v>104</v>
      </c>
      <c r="E22" s="80" t="s">
        <v>104</v>
      </c>
      <c r="F22" s="80" t="s">
        <v>104</v>
      </c>
      <c r="G22" s="115" t="s">
        <v>104</v>
      </c>
      <c r="H22" s="115" t="s">
        <v>104</v>
      </c>
      <c r="I22" s="122">
        <f t="shared" si="3"/>
        <v>2</v>
      </c>
      <c r="J22" s="122">
        <f t="shared" si="4"/>
        <v>2</v>
      </c>
      <c r="K22" s="122">
        <f t="shared" si="4"/>
        <v>2</v>
      </c>
      <c r="L22" s="122">
        <f t="shared" si="4"/>
        <v>2</v>
      </c>
      <c r="M22" s="122">
        <f t="shared" si="4"/>
        <v>2</v>
      </c>
      <c r="N22" s="6"/>
    </row>
    <row r="23" spans="1:14" ht="15.75" customHeight="1">
      <c r="A23" s="8" t="s">
        <v>831</v>
      </c>
      <c r="B23" s="3"/>
      <c r="C23" s="3" t="s">
        <v>88</v>
      </c>
      <c r="D23" s="80" t="s">
        <v>60</v>
      </c>
      <c r="E23" s="80" t="s">
        <v>88</v>
      </c>
      <c r="F23" s="80" t="s">
        <v>88</v>
      </c>
      <c r="G23" s="115" t="s">
        <v>88</v>
      </c>
      <c r="H23" s="115" t="s">
        <v>88</v>
      </c>
      <c r="I23" s="122">
        <f t="shared" si="3"/>
        <v>0.4</v>
      </c>
      <c r="J23" s="122">
        <f t="shared" si="4"/>
        <v>2</v>
      </c>
      <c r="K23" s="122">
        <f t="shared" si="4"/>
        <v>2</v>
      </c>
      <c r="L23" s="122">
        <f t="shared" si="4"/>
        <v>2</v>
      </c>
      <c r="M23" s="122">
        <f t="shared" si="4"/>
        <v>2</v>
      </c>
      <c r="N23" s="13"/>
    </row>
    <row r="24" spans="1:14" ht="15.75" customHeight="1">
      <c r="A24" s="34" t="s">
        <v>832</v>
      </c>
      <c r="B24" s="3" t="s">
        <v>16</v>
      </c>
      <c r="C24" s="3" t="s">
        <v>19</v>
      </c>
      <c r="D24" s="80" t="s">
        <v>19</v>
      </c>
      <c r="E24" s="80" t="s">
        <v>19</v>
      </c>
      <c r="F24" s="80" t="s">
        <v>19</v>
      </c>
      <c r="G24" s="115" t="s">
        <v>19</v>
      </c>
      <c r="H24" s="115" t="s">
        <v>19</v>
      </c>
      <c r="I24" s="122">
        <f t="shared" si="3"/>
        <v>2</v>
      </c>
      <c r="J24" s="122">
        <f t="shared" si="4"/>
        <v>2</v>
      </c>
      <c r="K24" s="122">
        <f t="shared" si="4"/>
        <v>2</v>
      </c>
      <c r="L24" s="122">
        <f t="shared" si="4"/>
        <v>2</v>
      </c>
      <c r="M24" s="122">
        <f t="shared" si="4"/>
        <v>2</v>
      </c>
      <c r="N24" s="13"/>
    </row>
    <row r="25" spans="1:14" ht="15.75" customHeight="1">
      <c r="A25" s="118" t="s">
        <v>833</v>
      </c>
      <c r="B25" s="112"/>
      <c r="C25" s="112"/>
      <c r="D25" s="116"/>
      <c r="E25" s="116"/>
      <c r="F25" s="116"/>
      <c r="G25" s="116"/>
      <c r="H25" s="116"/>
      <c r="I25" s="117"/>
      <c r="J25" s="117"/>
      <c r="K25" s="117"/>
      <c r="L25" s="117"/>
      <c r="M25" s="117"/>
      <c r="N25" s="13"/>
    </row>
    <row r="26" spans="1:14" ht="15.75" customHeight="1">
      <c r="A26" s="34" t="s">
        <v>834</v>
      </c>
      <c r="B26" s="3" t="s">
        <v>16</v>
      </c>
      <c r="C26" s="3" t="s">
        <v>102</v>
      </c>
      <c r="D26" s="80" t="s">
        <v>102</v>
      </c>
      <c r="E26" s="80" t="s">
        <v>102</v>
      </c>
      <c r="F26" s="80" t="s">
        <v>102</v>
      </c>
      <c r="G26" s="115" t="s">
        <v>88</v>
      </c>
      <c r="H26" s="115" t="s">
        <v>102</v>
      </c>
      <c r="I26" s="122">
        <f>_xlfn.LET(
_xlpm.full,2,
_xlpm.ans0,$C26&amp;"",
_xlpm.resp0,D26&amp;"",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26" s="122">
        <f t="shared" ref="J26:M27" si="5">_xlfn.LET(
_xlpm.full,2,
_xlpm.ans0,$C26&amp;"",
_xlpm.resp0,E26&amp;"",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26" s="122">
        <f t="shared" si="5"/>
        <v>2</v>
      </c>
      <c r="L26" s="122">
        <f t="shared" si="5"/>
        <v>0.4</v>
      </c>
      <c r="M26" s="122">
        <f t="shared" si="5"/>
        <v>2</v>
      </c>
      <c r="N26" s="13"/>
    </row>
    <row r="27" spans="1:14" ht="15.75" customHeight="1">
      <c r="A27" s="34" t="s">
        <v>835</v>
      </c>
      <c r="B27" s="3" t="s">
        <v>16</v>
      </c>
      <c r="C27" s="3" t="s">
        <v>58</v>
      </c>
      <c r="D27" s="80" t="s">
        <v>55</v>
      </c>
      <c r="E27" s="80" t="s">
        <v>55</v>
      </c>
      <c r="F27" s="80" t="s">
        <v>55</v>
      </c>
      <c r="G27" s="115" t="s">
        <v>58</v>
      </c>
      <c r="H27" s="115" t="s">
        <v>58</v>
      </c>
      <c r="I27" s="122">
        <f>_xlfn.LET(
_xlpm.full,2,
_xlpm.ans0,$C27&amp;"",
_xlpm.resp0,D27&amp;"",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27" s="122">
        <f t="shared" si="5"/>
        <v>0.4</v>
      </c>
      <c r="K27" s="122">
        <f t="shared" si="5"/>
        <v>0.4</v>
      </c>
      <c r="L27" s="122">
        <f t="shared" si="5"/>
        <v>2</v>
      </c>
      <c r="M27" s="122">
        <f t="shared" si="5"/>
        <v>2</v>
      </c>
      <c r="N27" s="13"/>
    </row>
    <row r="28" spans="1:14" ht="15.75" customHeight="1">
      <c r="A28" s="118" t="s">
        <v>836</v>
      </c>
      <c r="B28" s="112"/>
      <c r="C28" s="112"/>
      <c r="D28" s="116"/>
      <c r="E28" s="116"/>
      <c r="F28" s="116"/>
      <c r="G28" s="116"/>
      <c r="H28" s="116"/>
      <c r="I28" s="117"/>
      <c r="J28" s="117"/>
      <c r="K28" s="117"/>
      <c r="L28" s="117"/>
      <c r="M28" s="117"/>
      <c r="N28" s="13"/>
    </row>
    <row r="29" spans="1:14" ht="15.75" customHeight="1">
      <c r="A29" s="34" t="s">
        <v>837</v>
      </c>
      <c r="B29" s="3"/>
      <c r="C29" s="3" t="s">
        <v>60</v>
      </c>
      <c r="D29" s="80" t="s">
        <v>60</v>
      </c>
      <c r="E29" s="80" t="s">
        <v>60</v>
      </c>
      <c r="F29" s="80" t="s">
        <v>60</v>
      </c>
      <c r="G29" s="115" t="s">
        <v>60</v>
      </c>
      <c r="H29" s="115" t="s">
        <v>60</v>
      </c>
      <c r="I29" s="122">
        <f>_xlfn.LET(
_xlpm.full,2,
_xlpm.ans0,$C29&amp;"",
_xlpm.resp0,D29&amp;"",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29" s="122">
        <f t="shared" ref="J29:M30" si="6">_xlfn.LET(
_xlpm.full,2,
_xlpm.ans0,$C29&amp;"",
_xlpm.resp0,E29&amp;"",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29" s="122">
        <f t="shared" si="6"/>
        <v>2</v>
      </c>
      <c r="L29" s="122">
        <f t="shared" si="6"/>
        <v>2</v>
      </c>
      <c r="M29" s="122">
        <f t="shared" si="6"/>
        <v>2</v>
      </c>
      <c r="N29" s="13"/>
    </row>
    <row r="30" spans="1:14" ht="15.75" customHeight="1">
      <c r="A30" s="34" t="s">
        <v>838</v>
      </c>
      <c r="B30" s="3"/>
      <c r="C30" s="3" t="s">
        <v>14</v>
      </c>
      <c r="D30" s="80" t="s">
        <v>14</v>
      </c>
      <c r="E30" s="80" t="s">
        <v>14</v>
      </c>
      <c r="F30" s="80" t="s">
        <v>14</v>
      </c>
      <c r="G30" s="115" t="s">
        <v>14</v>
      </c>
      <c r="H30" s="115" t="s">
        <v>14</v>
      </c>
      <c r="I30" s="122">
        <f>_xlfn.LET(
_xlpm.full,2,
_xlpm.ans0,$C30&amp;"",
_xlpm.resp0,D30&amp;"",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30" s="122">
        <f t="shared" si="6"/>
        <v>2</v>
      </c>
      <c r="K30" s="122">
        <f t="shared" si="6"/>
        <v>2</v>
      </c>
      <c r="L30" s="122">
        <f t="shared" si="6"/>
        <v>2</v>
      </c>
      <c r="M30" s="122">
        <f t="shared" si="6"/>
        <v>2</v>
      </c>
      <c r="N30" s="13"/>
    </row>
    <row r="31" spans="1:14" ht="15.75" customHeight="1">
      <c r="A31" s="118" t="s">
        <v>839</v>
      </c>
      <c r="B31" s="112"/>
      <c r="C31" s="112"/>
      <c r="D31" s="116"/>
      <c r="E31" s="116"/>
      <c r="F31" s="116"/>
      <c r="G31" s="116"/>
      <c r="H31" s="116"/>
      <c r="I31" s="117"/>
      <c r="J31" s="117"/>
      <c r="K31" s="117"/>
      <c r="L31" s="117"/>
      <c r="M31" s="117"/>
      <c r="N31" s="13"/>
    </row>
    <row r="32" spans="1:14" ht="15.75" customHeight="1">
      <c r="A32" s="34" t="s">
        <v>840</v>
      </c>
      <c r="B32" s="3" t="s">
        <v>16</v>
      </c>
      <c r="C32" s="3" t="s">
        <v>14</v>
      </c>
      <c r="D32" s="80" t="s">
        <v>22</v>
      </c>
      <c r="E32" s="80" t="s">
        <v>14</v>
      </c>
      <c r="F32" s="80" t="s">
        <v>22</v>
      </c>
      <c r="G32" s="115" t="s">
        <v>14</v>
      </c>
      <c r="H32" s="115" t="s">
        <v>14</v>
      </c>
      <c r="I32" s="122">
        <f t="shared" ref="I32:I42" si="7">_xlfn.LET(
_xlpm.full,2,
_xlpm.ans0,$C32&amp;"",
_xlpm.resp0,D32&amp;"",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32" s="122">
        <f t="shared" ref="J32:M42" si="8">_xlfn.LET(
_xlpm.full,2,
_xlpm.ans0,$C32&amp;"",
_xlpm.resp0,E32&amp;"",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32" s="122">
        <f t="shared" si="8"/>
        <v>0</v>
      </c>
      <c r="L32" s="122">
        <f t="shared" si="8"/>
        <v>2</v>
      </c>
      <c r="M32" s="122">
        <f t="shared" si="8"/>
        <v>2</v>
      </c>
      <c r="N32" s="13"/>
    </row>
    <row r="33" spans="1:33" ht="15.75" customHeight="1">
      <c r="A33" s="34" t="s">
        <v>841</v>
      </c>
      <c r="B33" s="3" t="s">
        <v>16</v>
      </c>
      <c r="C33" s="3" t="s">
        <v>22</v>
      </c>
      <c r="D33" s="80" t="s">
        <v>14</v>
      </c>
      <c r="E33" s="80" t="s">
        <v>14</v>
      </c>
      <c r="F33" s="80" t="s">
        <v>22</v>
      </c>
      <c r="G33" s="115" t="s">
        <v>22</v>
      </c>
      <c r="H33" s="115" t="s">
        <v>22</v>
      </c>
      <c r="I33" s="122">
        <f t="shared" si="7"/>
        <v>0</v>
      </c>
      <c r="J33" s="122">
        <f t="shared" si="8"/>
        <v>0</v>
      </c>
      <c r="K33" s="122">
        <f t="shared" si="8"/>
        <v>2</v>
      </c>
      <c r="L33" s="122">
        <f t="shared" si="8"/>
        <v>2</v>
      </c>
      <c r="M33" s="122">
        <f t="shared" si="8"/>
        <v>2</v>
      </c>
      <c r="N33" s="13"/>
    </row>
    <row r="34" spans="1:33" ht="15.75" customHeight="1">
      <c r="A34" s="8" t="s">
        <v>842</v>
      </c>
      <c r="B34" s="3" t="s">
        <v>16</v>
      </c>
      <c r="C34" s="3" t="s">
        <v>57</v>
      </c>
      <c r="D34" s="80" t="s">
        <v>60</v>
      </c>
      <c r="E34" s="80" t="s">
        <v>57</v>
      </c>
      <c r="F34" s="80" t="s">
        <v>60</v>
      </c>
      <c r="G34" s="115" t="s">
        <v>57</v>
      </c>
      <c r="H34" s="115" t="s">
        <v>57</v>
      </c>
      <c r="I34" s="122">
        <f t="shared" si="7"/>
        <v>0.4</v>
      </c>
      <c r="J34" s="122">
        <f t="shared" si="8"/>
        <v>2</v>
      </c>
      <c r="K34" s="122">
        <f t="shared" si="8"/>
        <v>0.4</v>
      </c>
      <c r="L34" s="122">
        <f t="shared" si="8"/>
        <v>2</v>
      </c>
      <c r="M34" s="122">
        <f t="shared" si="8"/>
        <v>2</v>
      </c>
      <c r="N34" s="13"/>
    </row>
    <row r="35" spans="1:33" ht="15.75" customHeight="1">
      <c r="A35" s="49" t="s">
        <v>843</v>
      </c>
      <c r="B35" s="3"/>
      <c r="C35" s="3" t="s">
        <v>22</v>
      </c>
      <c r="D35" s="80" t="s">
        <v>17</v>
      </c>
      <c r="E35" s="80" t="s">
        <v>22</v>
      </c>
      <c r="F35" s="80" t="s">
        <v>22</v>
      </c>
      <c r="G35" s="115" t="s">
        <v>22</v>
      </c>
      <c r="H35" s="115" t="s">
        <v>22</v>
      </c>
      <c r="I35" s="122">
        <f t="shared" si="7"/>
        <v>0</v>
      </c>
      <c r="J35" s="122">
        <f t="shared" si="8"/>
        <v>2</v>
      </c>
      <c r="K35" s="122">
        <f t="shared" si="8"/>
        <v>2</v>
      </c>
      <c r="L35" s="122">
        <f t="shared" si="8"/>
        <v>2</v>
      </c>
      <c r="M35" s="122">
        <f t="shared" si="8"/>
        <v>2</v>
      </c>
      <c r="N35" s="13"/>
      <c r="O35" s="50"/>
      <c r="P35" s="50"/>
      <c r="Q35" s="50"/>
      <c r="R35" s="50"/>
      <c r="S35" s="50"/>
      <c r="T35" s="50"/>
      <c r="U35" s="50"/>
      <c r="V35" s="50"/>
      <c r="W35" s="50"/>
      <c r="X35" s="50"/>
      <c r="Y35" s="50"/>
      <c r="Z35" s="50"/>
      <c r="AA35" s="50"/>
      <c r="AB35" s="50"/>
      <c r="AC35" s="50"/>
      <c r="AD35" s="50"/>
      <c r="AE35" s="50"/>
      <c r="AF35" s="50"/>
      <c r="AG35" s="50"/>
    </row>
    <row r="36" spans="1:33" ht="15.75" customHeight="1">
      <c r="A36" s="49" t="s">
        <v>844</v>
      </c>
      <c r="B36" s="3"/>
      <c r="C36" s="3" t="s">
        <v>48</v>
      </c>
      <c r="D36" s="80" t="s">
        <v>48</v>
      </c>
      <c r="E36" s="80" t="s">
        <v>48</v>
      </c>
      <c r="F36" s="80" t="s">
        <v>48</v>
      </c>
      <c r="G36" s="115" t="s">
        <v>48</v>
      </c>
      <c r="H36" s="115" t="s">
        <v>48</v>
      </c>
      <c r="I36" s="122">
        <f t="shared" si="7"/>
        <v>2</v>
      </c>
      <c r="J36" s="122">
        <f t="shared" si="8"/>
        <v>2</v>
      </c>
      <c r="K36" s="122">
        <f t="shared" si="8"/>
        <v>2</v>
      </c>
      <c r="L36" s="122">
        <f t="shared" si="8"/>
        <v>2</v>
      </c>
      <c r="M36" s="122">
        <f t="shared" si="8"/>
        <v>2</v>
      </c>
      <c r="N36" s="13"/>
      <c r="O36" s="50"/>
      <c r="P36" s="50"/>
      <c r="Q36" s="50"/>
      <c r="R36" s="50"/>
      <c r="S36" s="50"/>
      <c r="T36" s="50"/>
      <c r="U36" s="50"/>
      <c r="V36" s="50"/>
      <c r="W36" s="50"/>
      <c r="X36" s="50"/>
      <c r="Y36" s="50"/>
      <c r="Z36" s="50"/>
      <c r="AA36" s="50"/>
      <c r="AB36" s="50"/>
      <c r="AC36" s="50"/>
      <c r="AD36" s="50"/>
      <c r="AE36" s="50"/>
      <c r="AF36" s="50"/>
      <c r="AG36" s="50"/>
    </row>
    <row r="37" spans="1:33" ht="15.75" customHeight="1">
      <c r="A37" s="49" t="s">
        <v>845</v>
      </c>
      <c r="B37" s="3"/>
      <c r="C37" s="3" t="s">
        <v>14</v>
      </c>
      <c r="D37" s="80" t="s">
        <v>21</v>
      </c>
      <c r="E37" s="80" t="s">
        <v>14</v>
      </c>
      <c r="F37" s="80" t="s">
        <v>14</v>
      </c>
      <c r="G37" s="115" t="s">
        <v>14</v>
      </c>
      <c r="H37" s="115" t="s">
        <v>14</v>
      </c>
      <c r="I37" s="122">
        <f t="shared" si="7"/>
        <v>0</v>
      </c>
      <c r="J37" s="122">
        <f t="shared" si="8"/>
        <v>2</v>
      </c>
      <c r="K37" s="122">
        <f t="shared" si="8"/>
        <v>2</v>
      </c>
      <c r="L37" s="122">
        <f t="shared" si="8"/>
        <v>2</v>
      </c>
      <c r="M37" s="122">
        <f t="shared" si="8"/>
        <v>2</v>
      </c>
      <c r="N37" s="13"/>
      <c r="O37" s="50"/>
      <c r="P37" s="50"/>
      <c r="Q37" s="50"/>
      <c r="R37" s="50"/>
      <c r="S37" s="50"/>
      <c r="T37" s="50"/>
      <c r="U37" s="50"/>
      <c r="V37" s="50"/>
      <c r="W37" s="50"/>
      <c r="X37" s="50"/>
      <c r="Y37" s="50"/>
      <c r="Z37" s="50"/>
      <c r="AA37" s="50"/>
      <c r="AB37" s="50"/>
      <c r="AC37" s="50"/>
      <c r="AD37" s="50"/>
      <c r="AE37" s="50"/>
      <c r="AF37" s="50"/>
      <c r="AG37" s="50"/>
    </row>
    <row r="38" spans="1:33" ht="15.75" customHeight="1">
      <c r="A38" s="49" t="s">
        <v>846</v>
      </c>
      <c r="B38" s="3" t="s">
        <v>16</v>
      </c>
      <c r="C38" s="3" t="s">
        <v>19</v>
      </c>
      <c r="D38" s="80" t="s">
        <v>48</v>
      </c>
      <c r="E38" s="80" t="s">
        <v>17</v>
      </c>
      <c r="F38" s="80" t="s">
        <v>52</v>
      </c>
      <c r="G38" s="115" t="s">
        <v>19</v>
      </c>
      <c r="H38" s="115" t="s">
        <v>17</v>
      </c>
      <c r="I38" s="122">
        <f t="shared" si="7"/>
        <v>0</v>
      </c>
      <c r="J38" s="122">
        <f t="shared" si="8"/>
        <v>0</v>
      </c>
      <c r="K38" s="122">
        <f t="shared" si="8"/>
        <v>0</v>
      </c>
      <c r="L38" s="122">
        <f t="shared" si="8"/>
        <v>2</v>
      </c>
      <c r="M38" s="122">
        <f t="shared" si="8"/>
        <v>0</v>
      </c>
      <c r="N38" s="13"/>
      <c r="O38" s="50"/>
      <c r="P38" s="50"/>
      <c r="Q38" s="50"/>
      <c r="R38" s="50"/>
      <c r="S38" s="50"/>
      <c r="T38" s="50"/>
      <c r="U38" s="50"/>
      <c r="V38" s="50"/>
      <c r="W38" s="50"/>
      <c r="X38" s="50"/>
      <c r="Y38" s="50"/>
      <c r="Z38" s="50"/>
      <c r="AA38" s="50"/>
      <c r="AB38" s="50"/>
      <c r="AC38" s="50"/>
      <c r="AD38" s="50"/>
      <c r="AE38" s="50"/>
      <c r="AF38" s="50"/>
      <c r="AG38" s="50"/>
    </row>
    <row r="39" spans="1:33" ht="15.75" customHeight="1">
      <c r="A39" s="34" t="s">
        <v>847</v>
      </c>
      <c r="B39" s="3"/>
      <c r="C39" s="3" t="s">
        <v>96</v>
      </c>
      <c r="D39" s="80" t="s">
        <v>94</v>
      </c>
      <c r="E39" s="80" t="s">
        <v>94</v>
      </c>
      <c r="F39" s="80" t="s">
        <v>96</v>
      </c>
      <c r="G39" s="115" t="s">
        <v>94</v>
      </c>
      <c r="H39" s="115" t="s">
        <v>96</v>
      </c>
      <c r="I39" s="122">
        <f t="shared" si="7"/>
        <v>0.4</v>
      </c>
      <c r="J39" s="122">
        <f t="shared" si="8"/>
        <v>0.4</v>
      </c>
      <c r="K39" s="122">
        <f t="shared" si="8"/>
        <v>2</v>
      </c>
      <c r="L39" s="122">
        <f t="shared" si="8"/>
        <v>0.4</v>
      </c>
      <c r="M39" s="122">
        <f t="shared" si="8"/>
        <v>2</v>
      </c>
      <c r="N39" s="13"/>
      <c r="O39" s="50"/>
      <c r="P39" s="50"/>
      <c r="Q39" s="50"/>
      <c r="R39" s="50"/>
      <c r="S39" s="50"/>
      <c r="T39" s="50"/>
      <c r="U39" s="50"/>
      <c r="V39" s="50"/>
      <c r="W39" s="50"/>
      <c r="X39" s="50"/>
      <c r="Y39" s="50"/>
      <c r="Z39" s="50"/>
      <c r="AA39" s="50"/>
      <c r="AB39" s="50"/>
      <c r="AC39" s="50"/>
      <c r="AD39" s="50"/>
      <c r="AE39" s="50"/>
      <c r="AF39" s="50"/>
      <c r="AG39" s="50"/>
    </row>
    <row r="40" spans="1:33" ht="15.75" customHeight="1">
      <c r="A40" s="8" t="s">
        <v>848</v>
      </c>
      <c r="B40" s="3" t="s">
        <v>78</v>
      </c>
      <c r="C40" s="3" t="s">
        <v>54</v>
      </c>
      <c r="D40" s="80" t="s">
        <v>94</v>
      </c>
      <c r="E40" s="80" t="s">
        <v>55</v>
      </c>
      <c r="F40" s="80" t="s">
        <v>55</v>
      </c>
      <c r="G40" s="115" t="s">
        <v>54</v>
      </c>
      <c r="H40" s="115" t="s">
        <v>54</v>
      </c>
      <c r="I40" s="122">
        <f t="shared" si="7"/>
        <v>0</v>
      </c>
      <c r="J40" s="122">
        <f t="shared" si="8"/>
        <v>0.4</v>
      </c>
      <c r="K40" s="122">
        <f t="shared" si="8"/>
        <v>0.4</v>
      </c>
      <c r="L40" s="122">
        <f t="shared" si="8"/>
        <v>2</v>
      </c>
      <c r="M40" s="122">
        <f t="shared" si="8"/>
        <v>2</v>
      </c>
      <c r="N40" s="13"/>
      <c r="O40" s="50"/>
      <c r="P40" s="50"/>
      <c r="Q40" s="50"/>
      <c r="R40" s="50"/>
      <c r="S40" s="50"/>
      <c r="T40" s="50"/>
      <c r="U40" s="50"/>
      <c r="V40" s="50"/>
      <c r="W40" s="50"/>
      <c r="X40" s="50"/>
      <c r="Y40" s="50"/>
      <c r="Z40" s="50"/>
      <c r="AA40" s="50"/>
      <c r="AB40" s="50"/>
      <c r="AC40" s="50"/>
      <c r="AD40" s="50"/>
      <c r="AE40" s="50"/>
      <c r="AF40" s="50"/>
      <c r="AG40" s="50"/>
    </row>
    <row r="41" spans="1:33" ht="15.75" customHeight="1">
      <c r="A41" s="8" t="s">
        <v>849</v>
      </c>
      <c r="B41" s="3" t="s">
        <v>16</v>
      </c>
      <c r="C41" s="3" t="s">
        <v>58</v>
      </c>
      <c r="D41" s="80" t="s">
        <v>58</v>
      </c>
      <c r="E41" s="80" t="s">
        <v>58</v>
      </c>
      <c r="F41" s="80" t="s">
        <v>58</v>
      </c>
      <c r="G41" s="115" t="s">
        <v>58</v>
      </c>
      <c r="H41" s="115" t="s">
        <v>58</v>
      </c>
      <c r="I41" s="122">
        <f t="shared" si="7"/>
        <v>2</v>
      </c>
      <c r="J41" s="122">
        <f t="shared" si="8"/>
        <v>2</v>
      </c>
      <c r="K41" s="122">
        <f t="shared" si="8"/>
        <v>2</v>
      </c>
      <c r="L41" s="122">
        <f t="shared" si="8"/>
        <v>2</v>
      </c>
      <c r="M41" s="122">
        <f t="shared" si="8"/>
        <v>2</v>
      </c>
      <c r="N41" s="13"/>
      <c r="O41" s="50"/>
      <c r="P41" s="50"/>
      <c r="Q41" s="50"/>
      <c r="R41" s="50"/>
      <c r="S41" s="50"/>
      <c r="T41" s="50"/>
      <c r="U41" s="50"/>
      <c r="V41" s="50"/>
      <c r="W41" s="50"/>
      <c r="X41" s="50"/>
      <c r="Y41" s="50"/>
      <c r="Z41" s="50"/>
      <c r="AA41" s="50"/>
      <c r="AB41" s="50"/>
      <c r="AC41" s="50"/>
      <c r="AD41" s="50"/>
      <c r="AE41" s="50"/>
      <c r="AF41" s="50"/>
      <c r="AG41" s="50"/>
    </row>
    <row r="42" spans="1:33" ht="15.75" customHeight="1">
      <c r="A42" s="8" t="s">
        <v>850</v>
      </c>
      <c r="B42" s="3"/>
      <c r="C42" s="3" t="s">
        <v>14</v>
      </c>
      <c r="D42" s="80" t="s">
        <v>14</v>
      </c>
      <c r="E42" s="80" t="s">
        <v>14</v>
      </c>
      <c r="F42" s="80" t="s">
        <v>14</v>
      </c>
      <c r="G42" s="115" t="s">
        <v>14</v>
      </c>
      <c r="H42" s="115" t="s">
        <v>14</v>
      </c>
      <c r="I42" s="122">
        <f t="shared" si="7"/>
        <v>2</v>
      </c>
      <c r="J42" s="122">
        <f t="shared" si="8"/>
        <v>2</v>
      </c>
      <c r="K42" s="122">
        <f t="shared" si="8"/>
        <v>2</v>
      </c>
      <c r="L42" s="122">
        <f t="shared" si="8"/>
        <v>2</v>
      </c>
      <c r="M42" s="122">
        <f t="shared" si="8"/>
        <v>2</v>
      </c>
      <c r="N42" s="13"/>
      <c r="O42" s="50"/>
      <c r="P42" s="50"/>
      <c r="Q42" s="50"/>
      <c r="R42" s="50"/>
      <c r="S42" s="50"/>
      <c r="T42" s="50"/>
      <c r="U42" s="50"/>
      <c r="V42" s="50"/>
      <c r="W42" s="50"/>
      <c r="X42" s="50"/>
      <c r="Y42" s="50"/>
      <c r="Z42" s="50"/>
      <c r="AA42" s="50"/>
      <c r="AB42" s="50"/>
      <c r="AC42" s="50"/>
      <c r="AD42" s="50"/>
      <c r="AE42" s="50"/>
      <c r="AF42" s="50"/>
      <c r="AG42" s="50"/>
    </row>
    <row r="43" spans="1:33" ht="15.75" customHeight="1">
      <c r="A43" s="111" t="s">
        <v>851</v>
      </c>
      <c r="B43" s="112"/>
      <c r="C43" s="112" t="s">
        <v>88</v>
      </c>
      <c r="D43" s="116"/>
      <c r="E43" s="116"/>
      <c r="F43" s="116"/>
      <c r="G43" s="116"/>
      <c r="H43" s="116"/>
      <c r="I43" s="117"/>
      <c r="J43" s="117"/>
      <c r="K43" s="117"/>
      <c r="L43" s="117"/>
      <c r="M43" s="117"/>
      <c r="N43" s="13"/>
      <c r="O43" s="50"/>
      <c r="P43" s="50"/>
      <c r="Q43" s="50"/>
      <c r="R43" s="50"/>
      <c r="S43" s="50"/>
      <c r="T43" s="50"/>
      <c r="U43" s="50"/>
      <c r="V43" s="50"/>
      <c r="W43" s="50"/>
      <c r="X43" s="50"/>
      <c r="Y43" s="50"/>
      <c r="Z43" s="50"/>
      <c r="AA43" s="50"/>
      <c r="AB43" s="50"/>
      <c r="AC43" s="50"/>
      <c r="AD43" s="50"/>
      <c r="AE43" s="50"/>
      <c r="AF43" s="50"/>
      <c r="AG43" s="50"/>
    </row>
    <row r="44" spans="1:33" ht="15.75" customHeight="1">
      <c r="A44" s="34" t="s">
        <v>852</v>
      </c>
      <c r="B44" s="3" t="s">
        <v>78</v>
      </c>
      <c r="C44" s="3" t="s">
        <v>21</v>
      </c>
      <c r="D44" s="80" t="s">
        <v>21</v>
      </c>
      <c r="E44" s="80" t="s">
        <v>21</v>
      </c>
      <c r="F44" s="80" t="s">
        <v>21</v>
      </c>
      <c r="G44" s="115" t="s">
        <v>21</v>
      </c>
      <c r="H44" s="115" t="s">
        <v>21</v>
      </c>
      <c r="I44" s="124">
        <f>_xlfn.LET(
_xlpm.full,2,
_xlpm.ans0,$C44&amp;"",
_xlpm.resp0,D44&amp;"",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4" s="124">
        <f t="shared" ref="J44:M44" si="9">_xlfn.LET(
_xlpm.full,2,
_xlpm.ans0,$C44&amp;"",
_xlpm.resp0,E44&amp;"",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44" s="124">
        <f t="shared" si="9"/>
        <v>2</v>
      </c>
      <c r="L44" s="124">
        <f t="shared" si="9"/>
        <v>2</v>
      </c>
      <c r="M44" s="124">
        <f t="shared" si="9"/>
        <v>2</v>
      </c>
      <c r="N44" s="13"/>
      <c r="O44" s="50"/>
      <c r="P44" s="50"/>
      <c r="Q44" s="50"/>
      <c r="R44" s="50"/>
      <c r="S44" s="50"/>
      <c r="T44" s="50"/>
      <c r="U44" s="50"/>
      <c r="V44" s="50"/>
      <c r="W44" s="50"/>
      <c r="X44" s="50"/>
      <c r="Y44" s="50"/>
      <c r="Z44" s="50"/>
      <c r="AA44" s="50"/>
      <c r="AB44" s="50"/>
      <c r="AC44" s="50"/>
      <c r="AD44" s="50"/>
      <c r="AE44" s="50"/>
      <c r="AF44" s="50"/>
      <c r="AG44" s="50"/>
    </row>
    <row r="45" spans="1:33" ht="15.75" customHeight="1">
      <c r="A45" s="8" t="s">
        <v>853</v>
      </c>
      <c r="B45" s="3" t="s">
        <v>78</v>
      </c>
      <c r="C45" s="3" t="s">
        <v>854</v>
      </c>
      <c r="D45" s="80" t="s">
        <v>855</v>
      </c>
      <c r="E45" s="80" t="s">
        <v>856</v>
      </c>
      <c r="F45" s="80" t="s">
        <v>857</v>
      </c>
      <c r="G45" s="115" t="s">
        <v>858</v>
      </c>
      <c r="H45" s="115" t="s">
        <v>859</v>
      </c>
      <c r="I45" s="82">
        <v>4</v>
      </c>
      <c r="J45" s="82">
        <v>4</v>
      </c>
      <c r="K45" s="82">
        <v>4</v>
      </c>
      <c r="L45" s="83">
        <v>4</v>
      </c>
      <c r="M45" s="83">
        <v>4</v>
      </c>
      <c r="N45" s="13"/>
      <c r="O45" s="50"/>
      <c r="P45" s="50"/>
      <c r="Q45" s="50"/>
      <c r="R45" s="50"/>
      <c r="S45" s="50"/>
      <c r="T45" s="50"/>
      <c r="U45" s="50"/>
      <c r="V45" s="50"/>
      <c r="W45" s="50"/>
      <c r="X45" s="50"/>
      <c r="Y45" s="50"/>
      <c r="Z45" s="50"/>
      <c r="AA45" s="50"/>
      <c r="AB45" s="50"/>
      <c r="AC45" s="50"/>
      <c r="AD45" s="50"/>
      <c r="AE45" s="50"/>
      <c r="AF45" s="50"/>
      <c r="AG45" s="50"/>
    </row>
    <row r="46" spans="1:33" ht="15.75" customHeight="1">
      <c r="A46" s="8" t="s">
        <v>860</v>
      </c>
      <c r="B46" s="3" t="s">
        <v>16</v>
      </c>
      <c r="C46" s="3" t="s">
        <v>22</v>
      </c>
      <c r="D46" s="80" t="s">
        <v>22</v>
      </c>
      <c r="E46" s="80" t="s">
        <v>22</v>
      </c>
      <c r="F46" s="80" t="s">
        <v>22</v>
      </c>
      <c r="G46" s="115" t="s">
        <v>22</v>
      </c>
      <c r="H46" s="115" t="s">
        <v>22</v>
      </c>
      <c r="I46" s="124">
        <f>_xlfn.LET(
_xlpm.full,2,
_xlpm.ans0,$C46&amp;"",
_xlpm.resp0,D46&amp;"",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46" s="124">
        <f t="shared" ref="J46:M46" si="10">_xlfn.LET(
_xlpm.full,2,
_xlpm.ans0,$C46&amp;"",
_xlpm.resp0,E46&amp;"",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46" s="124">
        <f t="shared" si="10"/>
        <v>2</v>
      </c>
      <c r="L46" s="124">
        <f t="shared" si="10"/>
        <v>2</v>
      </c>
      <c r="M46" s="124">
        <f t="shared" si="10"/>
        <v>2</v>
      </c>
      <c r="N46" s="13"/>
      <c r="O46" s="50"/>
      <c r="P46" s="50"/>
      <c r="Q46" s="50"/>
      <c r="R46" s="50"/>
      <c r="S46" s="50"/>
      <c r="T46" s="50"/>
      <c r="U46" s="50"/>
      <c r="V46" s="50"/>
      <c r="W46" s="50"/>
      <c r="X46" s="50"/>
      <c r="Y46" s="50"/>
      <c r="Z46" s="50"/>
      <c r="AA46" s="50"/>
      <c r="AB46" s="50"/>
      <c r="AC46" s="50"/>
      <c r="AD46" s="50"/>
      <c r="AE46" s="50"/>
      <c r="AF46" s="50"/>
      <c r="AG46" s="50"/>
    </row>
    <row r="47" spans="1:33" ht="15.75" customHeight="1">
      <c r="A47" s="111" t="s">
        <v>861</v>
      </c>
      <c r="B47" s="112"/>
      <c r="C47" s="112" t="s">
        <v>862</v>
      </c>
      <c r="D47" s="116"/>
      <c r="E47" s="116"/>
      <c r="F47" s="116"/>
      <c r="G47" s="116"/>
      <c r="H47" s="116"/>
      <c r="I47" s="117"/>
      <c r="J47" s="117"/>
      <c r="K47" s="117"/>
      <c r="L47" s="117"/>
      <c r="M47" s="117"/>
      <c r="N47" s="13"/>
      <c r="O47" s="50"/>
      <c r="P47" s="50"/>
      <c r="Q47" s="50"/>
      <c r="R47" s="50"/>
      <c r="S47" s="50"/>
      <c r="T47" s="50"/>
      <c r="U47" s="50"/>
      <c r="V47" s="50"/>
      <c r="W47" s="50"/>
      <c r="X47" s="50"/>
      <c r="Y47" s="50"/>
      <c r="Z47" s="50"/>
      <c r="AA47" s="50"/>
      <c r="AB47" s="50"/>
      <c r="AC47" s="50"/>
      <c r="AD47" s="50"/>
      <c r="AE47" s="50"/>
      <c r="AF47" s="50"/>
      <c r="AG47" s="50"/>
    </row>
    <row r="48" spans="1:33" ht="15.75" customHeight="1">
      <c r="A48" s="8" t="s">
        <v>863</v>
      </c>
      <c r="B48" s="3" t="s">
        <v>16</v>
      </c>
      <c r="C48" s="3" t="s">
        <v>22</v>
      </c>
      <c r="D48" s="80" t="s">
        <v>21</v>
      </c>
      <c r="E48" s="80" t="s">
        <v>22</v>
      </c>
      <c r="F48" s="80" t="s">
        <v>22</v>
      </c>
      <c r="G48" s="115" t="s">
        <v>22</v>
      </c>
      <c r="H48" s="115" t="s">
        <v>22</v>
      </c>
      <c r="I48" s="124">
        <f>_xlfn.LET(
_xlpm.full,2,
_xlpm.ans0,$C48&amp;"",
_xlpm.resp0,D48&amp;"",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J48" s="124">
        <f t="shared" ref="J48:M48" si="11">_xlfn.LET(
_xlpm.full,2,
_xlpm.ans0,$C48&amp;"",
_xlpm.resp0,E48&amp;"",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48" s="124">
        <f t="shared" si="11"/>
        <v>2</v>
      </c>
      <c r="L48" s="124">
        <f t="shared" si="11"/>
        <v>2</v>
      </c>
      <c r="M48" s="124">
        <f t="shared" si="11"/>
        <v>2</v>
      </c>
      <c r="N48" s="13"/>
      <c r="O48" s="50"/>
      <c r="P48" s="50"/>
      <c r="Q48" s="50"/>
      <c r="R48" s="50"/>
      <c r="S48" s="50"/>
      <c r="T48" s="50"/>
      <c r="U48" s="50"/>
      <c r="V48" s="50"/>
      <c r="W48" s="50"/>
      <c r="X48" s="50"/>
      <c r="Y48" s="50"/>
      <c r="Z48" s="50"/>
      <c r="AA48" s="50"/>
      <c r="AB48" s="50"/>
      <c r="AC48" s="50"/>
      <c r="AD48" s="50"/>
      <c r="AE48" s="50"/>
      <c r="AF48" s="50"/>
      <c r="AG48" s="50"/>
    </row>
    <row r="49" spans="1:33" ht="15.75" customHeight="1">
      <c r="A49" s="8" t="s">
        <v>864</v>
      </c>
      <c r="B49" s="3" t="s">
        <v>34</v>
      </c>
      <c r="C49" s="3" t="s">
        <v>865</v>
      </c>
      <c r="D49" s="80" t="s">
        <v>866</v>
      </c>
      <c r="E49" s="86" t="s">
        <v>867</v>
      </c>
      <c r="F49" s="80" t="s">
        <v>868</v>
      </c>
      <c r="G49" s="115" t="s">
        <v>869</v>
      </c>
      <c r="H49" s="115" t="s">
        <v>870</v>
      </c>
      <c r="I49" s="82">
        <v>4</v>
      </c>
      <c r="J49" s="82">
        <v>4</v>
      </c>
      <c r="K49" s="82">
        <v>4</v>
      </c>
      <c r="L49" s="83">
        <v>4</v>
      </c>
      <c r="M49" s="83">
        <v>0</v>
      </c>
      <c r="N49" s="13"/>
      <c r="O49" s="50"/>
      <c r="P49" s="50"/>
      <c r="Q49" s="50"/>
      <c r="R49" s="50"/>
      <c r="S49" s="50"/>
      <c r="T49" s="50"/>
      <c r="U49" s="50"/>
      <c r="V49" s="50"/>
      <c r="W49" s="50"/>
      <c r="X49" s="50"/>
      <c r="Y49" s="50"/>
      <c r="Z49" s="50"/>
      <c r="AA49" s="50"/>
      <c r="AB49" s="50"/>
      <c r="AC49" s="50"/>
      <c r="AD49" s="50"/>
      <c r="AE49" s="50"/>
      <c r="AF49" s="50"/>
      <c r="AG49" s="50"/>
    </row>
    <row r="50" spans="1:33" ht="15.75" customHeight="1">
      <c r="A50" s="8" t="s">
        <v>871</v>
      </c>
      <c r="B50" s="3"/>
      <c r="C50" s="3" t="s">
        <v>88</v>
      </c>
      <c r="D50" s="80" t="s">
        <v>88</v>
      </c>
      <c r="E50" s="86" t="s">
        <v>88</v>
      </c>
      <c r="F50" s="80" t="s">
        <v>14</v>
      </c>
      <c r="G50" s="115" t="s">
        <v>88</v>
      </c>
      <c r="H50" s="115" t="s">
        <v>88</v>
      </c>
      <c r="I50" s="124">
        <f>_xlfn.LET(
_xlpm.full,2,
_xlpm.ans0,$C50&amp;"",
_xlpm.resp0,D50&amp;"",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50" s="124">
        <f t="shared" ref="J50:M50" si="12">_xlfn.LET(
_xlpm.full,2,
_xlpm.ans0,$C50&amp;"",
_xlpm.resp0,E50&amp;"",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50" s="124">
        <f t="shared" si="12"/>
        <v>1.2</v>
      </c>
      <c r="L50" s="124">
        <f t="shared" si="12"/>
        <v>2</v>
      </c>
      <c r="M50" s="124">
        <f t="shared" si="12"/>
        <v>2</v>
      </c>
      <c r="N50" s="13"/>
      <c r="O50" s="50"/>
      <c r="P50" s="50"/>
      <c r="Q50" s="50"/>
      <c r="R50" s="50"/>
      <c r="S50" s="50"/>
      <c r="T50" s="50"/>
      <c r="U50" s="50"/>
      <c r="V50" s="50"/>
      <c r="W50" s="50"/>
      <c r="X50" s="50"/>
      <c r="Y50" s="50"/>
      <c r="Z50" s="50"/>
      <c r="AA50" s="50"/>
      <c r="AB50" s="50"/>
      <c r="AC50" s="50"/>
      <c r="AD50" s="50"/>
      <c r="AE50" s="50"/>
      <c r="AF50" s="50"/>
      <c r="AG50" s="50"/>
    </row>
    <row r="51" spans="1:33" ht="15.75" customHeight="1">
      <c r="A51" s="8" t="s">
        <v>872</v>
      </c>
      <c r="B51" s="3" t="s">
        <v>34</v>
      </c>
      <c r="C51" s="27" t="s">
        <v>873</v>
      </c>
      <c r="D51" s="80" t="s">
        <v>874</v>
      </c>
      <c r="E51" s="80" t="s">
        <v>875</v>
      </c>
      <c r="F51" s="80" t="s">
        <v>876</v>
      </c>
      <c r="G51" s="115" t="s">
        <v>877</v>
      </c>
      <c r="H51" s="115" t="s">
        <v>878</v>
      </c>
      <c r="I51" s="82">
        <v>4</v>
      </c>
      <c r="J51" s="82">
        <v>4</v>
      </c>
      <c r="K51" s="82">
        <v>4</v>
      </c>
      <c r="L51" s="83">
        <v>4</v>
      </c>
      <c r="M51" s="83">
        <v>4</v>
      </c>
      <c r="N51" s="13"/>
      <c r="O51" s="50"/>
      <c r="P51" s="50"/>
      <c r="Q51" s="50"/>
      <c r="R51" s="50"/>
      <c r="S51" s="50"/>
      <c r="T51" s="50"/>
      <c r="U51" s="50"/>
      <c r="V51" s="50"/>
      <c r="W51" s="50"/>
      <c r="X51" s="50"/>
      <c r="Y51" s="50"/>
      <c r="Z51" s="50"/>
      <c r="AA51" s="50"/>
      <c r="AB51" s="50"/>
      <c r="AC51" s="50"/>
      <c r="AD51" s="50"/>
      <c r="AE51" s="50"/>
      <c r="AF51" s="50"/>
      <c r="AG51" s="50"/>
    </row>
    <row r="52" spans="1:33" ht="15.75" customHeight="1">
      <c r="A52" s="111" t="s">
        <v>879</v>
      </c>
      <c r="B52" s="112"/>
      <c r="C52" s="112" t="s">
        <v>880</v>
      </c>
      <c r="D52" s="116"/>
      <c r="E52" s="116"/>
      <c r="F52" s="116"/>
      <c r="G52" s="116"/>
      <c r="H52" s="116"/>
      <c r="I52" s="117"/>
      <c r="J52" s="117"/>
      <c r="K52" s="117"/>
      <c r="L52" s="117"/>
      <c r="M52" s="117"/>
      <c r="N52" s="13"/>
      <c r="O52" s="50"/>
      <c r="P52" s="50"/>
      <c r="Q52" s="50"/>
      <c r="R52" s="50"/>
      <c r="S52" s="50"/>
      <c r="T52" s="50"/>
      <c r="U52" s="50"/>
      <c r="V52" s="50"/>
      <c r="W52" s="50"/>
      <c r="X52" s="50"/>
      <c r="Y52" s="50"/>
      <c r="Z52" s="50"/>
      <c r="AA52" s="50"/>
      <c r="AB52" s="50"/>
      <c r="AC52" s="50"/>
      <c r="AD52" s="50"/>
      <c r="AE52" s="50"/>
      <c r="AF52" s="50"/>
      <c r="AG52" s="50"/>
    </row>
    <row r="53" spans="1:33" ht="15.75" customHeight="1">
      <c r="A53" s="8" t="s">
        <v>881</v>
      </c>
      <c r="B53" s="3" t="s">
        <v>16</v>
      </c>
      <c r="C53" s="3" t="s">
        <v>17</v>
      </c>
      <c r="D53" s="80" t="s">
        <v>17</v>
      </c>
      <c r="E53" s="80" t="s">
        <v>19</v>
      </c>
      <c r="F53" s="80" t="s">
        <v>48</v>
      </c>
      <c r="G53" s="115" t="s">
        <v>17</v>
      </c>
      <c r="H53" s="115" t="s">
        <v>17</v>
      </c>
      <c r="I53" s="124">
        <f>_xlfn.LET(
_xlpm.full,2,
_xlpm.ans0,$C53&amp;"",
_xlpm.resp0,D53&amp;"",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53" s="124">
        <f t="shared" ref="J53:M54" si="13">_xlfn.LET(
_xlpm.full,2,
_xlpm.ans0,$C53&amp;"",
_xlpm.resp0,E53&amp;"",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v>
      </c>
      <c r="K53" s="124">
        <f t="shared" si="13"/>
        <v>0</v>
      </c>
      <c r="L53" s="124">
        <f t="shared" si="13"/>
        <v>2</v>
      </c>
      <c r="M53" s="124">
        <f t="shared" si="13"/>
        <v>2</v>
      </c>
      <c r="N53" s="13"/>
      <c r="O53" s="50"/>
      <c r="P53" s="50"/>
      <c r="Q53" s="50"/>
      <c r="R53" s="50"/>
      <c r="S53" s="50"/>
      <c r="T53" s="50"/>
      <c r="U53" s="50"/>
      <c r="V53" s="50"/>
      <c r="W53" s="50"/>
      <c r="X53" s="50"/>
      <c r="Y53" s="50"/>
      <c r="Z53" s="50"/>
      <c r="AA53" s="50"/>
      <c r="AB53" s="50"/>
      <c r="AC53" s="50"/>
      <c r="AD53" s="50"/>
      <c r="AE53" s="50"/>
      <c r="AF53" s="50"/>
      <c r="AG53" s="50"/>
    </row>
    <row r="54" spans="1:33" ht="15.75" customHeight="1">
      <c r="A54" s="8" t="s">
        <v>882</v>
      </c>
      <c r="B54" s="3" t="s">
        <v>16</v>
      </c>
      <c r="C54" s="3" t="s">
        <v>58</v>
      </c>
      <c r="D54" s="80" t="s">
        <v>58</v>
      </c>
      <c r="E54" s="80" t="s">
        <v>58</v>
      </c>
      <c r="F54" s="80" t="s">
        <v>19</v>
      </c>
      <c r="G54" s="115" t="s">
        <v>58</v>
      </c>
      <c r="H54" s="115" t="s">
        <v>58</v>
      </c>
      <c r="I54" s="124">
        <f>_xlfn.LET(
_xlpm.full,2,
_xlpm.ans0,$C54&amp;"",
_xlpm.resp0,D54&amp;"",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54" s="124">
        <f t="shared" si="13"/>
        <v>2</v>
      </c>
      <c r="K54" s="124">
        <f t="shared" si="13"/>
        <v>1.2</v>
      </c>
      <c r="L54" s="124">
        <f t="shared" si="13"/>
        <v>2</v>
      </c>
      <c r="M54" s="124">
        <f t="shared" si="13"/>
        <v>2</v>
      </c>
      <c r="N54" s="13"/>
      <c r="O54" s="50"/>
      <c r="P54" s="50"/>
      <c r="Q54" s="50"/>
      <c r="R54" s="50"/>
      <c r="S54" s="50"/>
      <c r="T54" s="50"/>
      <c r="U54" s="50"/>
      <c r="V54" s="50"/>
      <c r="W54" s="50"/>
      <c r="X54" s="50"/>
      <c r="Y54" s="50"/>
      <c r="Z54" s="50"/>
      <c r="AA54" s="50"/>
      <c r="AB54" s="50"/>
      <c r="AC54" s="50"/>
      <c r="AD54" s="50"/>
      <c r="AE54" s="50"/>
      <c r="AF54" s="50"/>
      <c r="AG54" s="50"/>
    </row>
    <row r="55" spans="1:33" ht="15.75" customHeight="1">
      <c r="A55" s="8" t="s">
        <v>883</v>
      </c>
      <c r="B55" s="3" t="s">
        <v>16</v>
      </c>
      <c r="C55" s="3" t="s">
        <v>884</v>
      </c>
      <c r="D55" s="80" t="s">
        <v>885</v>
      </c>
      <c r="E55" s="80" t="s">
        <v>886</v>
      </c>
      <c r="F55" s="80" t="s">
        <v>887</v>
      </c>
      <c r="G55" s="115" t="s">
        <v>888</v>
      </c>
      <c r="H55" s="115" t="s">
        <v>889</v>
      </c>
      <c r="I55" s="82">
        <v>2</v>
      </c>
      <c r="J55" s="82">
        <v>4</v>
      </c>
      <c r="K55" s="82">
        <v>2</v>
      </c>
      <c r="L55" s="83">
        <v>4</v>
      </c>
      <c r="M55" s="83">
        <v>2</v>
      </c>
      <c r="N55" s="13"/>
      <c r="O55" s="50"/>
      <c r="P55" s="50"/>
      <c r="Q55" s="50"/>
      <c r="R55" s="50"/>
      <c r="S55" s="50"/>
      <c r="T55" s="50"/>
      <c r="U55" s="50"/>
      <c r="V55" s="50"/>
      <c r="W55" s="50"/>
      <c r="X55" s="50"/>
      <c r="Y55" s="50"/>
      <c r="Z55" s="50"/>
      <c r="AA55" s="50"/>
      <c r="AB55" s="50"/>
      <c r="AC55" s="50"/>
      <c r="AD55" s="50"/>
      <c r="AE55" s="50"/>
      <c r="AF55" s="50"/>
      <c r="AG55" s="50"/>
    </row>
    <row r="56" spans="1:33" ht="15.75" customHeight="1">
      <c r="A56" s="111" t="s">
        <v>890</v>
      </c>
      <c r="B56" s="112"/>
      <c r="C56" s="112" t="s">
        <v>14</v>
      </c>
      <c r="D56" s="116"/>
      <c r="E56" s="116"/>
      <c r="F56" s="116"/>
      <c r="G56" s="116"/>
      <c r="H56" s="116"/>
      <c r="I56" s="117"/>
      <c r="J56" s="117"/>
      <c r="K56" s="117"/>
      <c r="L56" s="117"/>
      <c r="M56" s="117"/>
      <c r="N56" s="13"/>
      <c r="O56" s="50"/>
      <c r="P56" s="50"/>
      <c r="Q56" s="50"/>
      <c r="R56" s="50"/>
      <c r="S56" s="50"/>
      <c r="T56" s="50"/>
      <c r="U56" s="50"/>
      <c r="V56" s="50"/>
      <c r="W56" s="50"/>
      <c r="X56" s="50"/>
      <c r="Y56" s="50"/>
      <c r="Z56" s="50"/>
      <c r="AA56" s="50"/>
      <c r="AB56" s="50"/>
      <c r="AC56" s="50"/>
      <c r="AD56" s="50"/>
      <c r="AE56" s="50"/>
      <c r="AF56" s="50"/>
      <c r="AG56" s="50"/>
    </row>
    <row r="57" spans="1:33" ht="15.75" customHeight="1">
      <c r="A57" s="8" t="s">
        <v>891</v>
      </c>
      <c r="B57" s="3" t="s">
        <v>34</v>
      </c>
      <c r="C57" s="3" t="s">
        <v>53</v>
      </c>
      <c r="D57" s="80" t="s">
        <v>57</v>
      </c>
      <c r="E57" s="80" t="s">
        <v>57</v>
      </c>
      <c r="F57" s="80" t="s">
        <v>57</v>
      </c>
      <c r="G57" s="115" t="s">
        <v>57</v>
      </c>
      <c r="H57" s="115" t="s">
        <v>57</v>
      </c>
      <c r="I57" s="124">
        <f>_xlfn.LET(
_xlpm.full,2,
_xlpm.ans0,$C57&amp;"",
_xlpm.resp0,D57&amp;"",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57" s="124">
        <f t="shared" ref="J57:M58" si="14">_xlfn.LET(
_xlpm.full,2,
_xlpm.ans0,$C57&amp;"",
_xlpm.resp0,E57&amp;"",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K57" s="124">
        <f t="shared" si="14"/>
        <v>0.4</v>
      </c>
      <c r="L57" s="124">
        <f t="shared" si="14"/>
        <v>0.4</v>
      </c>
      <c r="M57" s="124">
        <f t="shared" si="14"/>
        <v>0.4</v>
      </c>
      <c r="N57" s="13"/>
      <c r="O57" s="50"/>
      <c r="P57" s="50"/>
      <c r="Q57" s="50"/>
      <c r="R57" s="50"/>
      <c r="S57" s="50"/>
      <c r="T57" s="50"/>
      <c r="U57" s="50"/>
      <c r="V57" s="50"/>
      <c r="W57" s="50"/>
      <c r="X57" s="50"/>
      <c r="Y57" s="50"/>
      <c r="Z57" s="50"/>
      <c r="AA57" s="50"/>
      <c r="AB57" s="50"/>
      <c r="AC57" s="50"/>
      <c r="AD57" s="50"/>
      <c r="AE57" s="50"/>
      <c r="AF57" s="50"/>
      <c r="AG57" s="50"/>
    </row>
    <row r="58" spans="1:33" ht="15.75" customHeight="1">
      <c r="A58" s="8" t="s">
        <v>892</v>
      </c>
      <c r="B58" s="3" t="s">
        <v>34</v>
      </c>
      <c r="C58" s="3" t="s">
        <v>96</v>
      </c>
      <c r="D58" s="80" t="s">
        <v>94</v>
      </c>
      <c r="E58" s="80" t="s">
        <v>96</v>
      </c>
      <c r="F58" s="80" t="s">
        <v>174</v>
      </c>
      <c r="G58" s="115" t="s">
        <v>174</v>
      </c>
      <c r="H58" s="115" t="s">
        <v>96</v>
      </c>
      <c r="I58" s="124">
        <f>_xlfn.LET(
_xlpm.full,2,
_xlpm.ans0,$C58&amp;"",
_xlpm.resp0,D58&amp;"",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0.4</v>
      </c>
      <c r="J58" s="124">
        <f t="shared" si="14"/>
        <v>2</v>
      </c>
      <c r="K58" s="124">
        <f t="shared" si="14"/>
        <v>0.4</v>
      </c>
      <c r="L58" s="124">
        <f t="shared" si="14"/>
        <v>0.4</v>
      </c>
      <c r="M58" s="124">
        <f t="shared" si="14"/>
        <v>2</v>
      </c>
      <c r="N58" s="13"/>
      <c r="O58" s="50"/>
      <c r="P58" s="50"/>
      <c r="Q58" s="50"/>
      <c r="R58" s="50"/>
      <c r="S58" s="50"/>
      <c r="T58" s="50"/>
      <c r="U58" s="50"/>
      <c r="V58" s="50"/>
      <c r="W58" s="50"/>
      <c r="X58" s="50"/>
      <c r="Y58" s="50"/>
      <c r="Z58" s="50"/>
      <c r="AA58" s="50"/>
      <c r="AB58" s="50"/>
      <c r="AC58" s="50"/>
      <c r="AD58" s="50"/>
      <c r="AE58" s="50"/>
      <c r="AF58" s="50"/>
      <c r="AG58" s="50"/>
    </row>
    <row r="59" spans="1:33" ht="15.75" customHeight="1">
      <c r="A59" s="8" t="s">
        <v>893</v>
      </c>
      <c r="B59" s="3" t="s">
        <v>34</v>
      </c>
      <c r="C59" s="27" t="s">
        <v>894</v>
      </c>
      <c r="D59" s="80" t="s">
        <v>895</v>
      </c>
      <c r="E59" s="80" t="s">
        <v>896</v>
      </c>
      <c r="F59" s="80" t="s">
        <v>897</v>
      </c>
      <c r="G59" s="115" t="s">
        <v>898</v>
      </c>
      <c r="H59" s="115" t="s">
        <v>898</v>
      </c>
      <c r="I59" s="82">
        <v>2</v>
      </c>
      <c r="J59" s="82">
        <v>4</v>
      </c>
      <c r="K59" s="82">
        <v>2</v>
      </c>
      <c r="L59" s="83">
        <v>4</v>
      </c>
      <c r="M59" s="82"/>
      <c r="N59" s="13"/>
      <c r="O59" s="50"/>
      <c r="P59" s="50"/>
      <c r="Q59" s="50"/>
      <c r="R59" s="50"/>
      <c r="S59" s="50"/>
      <c r="T59" s="50"/>
      <c r="U59" s="50"/>
      <c r="V59" s="50"/>
      <c r="W59" s="50"/>
      <c r="X59" s="50"/>
      <c r="Y59" s="50"/>
      <c r="Z59" s="50"/>
      <c r="AA59" s="50"/>
      <c r="AB59" s="50"/>
      <c r="AC59" s="50"/>
      <c r="AD59" s="50"/>
      <c r="AE59" s="50"/>
      <c r="AF59" s="50"/>
      <c r="AG59" s="50"/>
    </row>
    <row r="60" spans="1:33" ht="15.75" customHeight="1">
      <c r="A60" s="111" t="s">
        <v>899</v>
      </c>
      <c r="B60" s="112"/>
      <c r="C60" s="112" t="s">
        <v>294</v>
      </c>
      <c r="D60" s="116"/>
      <c r="E60" s="116"/>
      <c r="F60" s="116"/>
      <c r="G60" s="116"/>
      <c r="H60" s="116"/>
      <c r="I60" s="117"/>
      <c r="J60" s="117"/>
      <c r="K60" s="117"/>
      <c r="L60" s="117"/>
      <c r="M60" s="117"/>
      <c r="N60" s="13"/>
      <c r="O60" s="50"/>
      <c r="P60" s="50"/>
      <c r="Q60" s="50"/>
      <c r="R60" s="50"/>
      <c r="S60" s="50"/>
      <c r="T60" s="50"/>
      <c r="U60" s="50"/>
      <c r="V60" s="50"/>
      <c r="W60" s="50"/>
      <c r="X60" s="50"/>
      <c r="Y60" s="50"/>
      <c r="Z60" s="50"/>
      <c r="AA60" s="50"/>
      <c r="AB60" s="50"/>
      <c r="AC60" s="50"/>
      <c r="AD60" s="50"/>
      <c r="AE60" s="50"/>
      <c r="AF60" s="50"/>
      <c r="AG60" s="50"/>
    </row>
    <row r="61" spans="1:33" ht="15.75" customHeight="1">
      <c r="A61" s="8" t="s">
        <v>900</v>
      </c>
      <c r="B61" s="3" t="s">
        <v>16</v>
      </c>
      <c r="C61" s="3" t="s">
        <v>46</v>
      </c>
      <c r="D61" s="80" t="s">
        <v>46</v>
      </c>
      <c r="E61" s="80" t="s">
        <v>46</v>
      </c>
      <c r="F61" s="80" t="s">
        <v>46</v>
      </c>
      <c r="G61" s="115" t="s">
        <v>46</v>
      </c>
      <c r="H61" s="115" t="s">
        <v>55</v>
      </c>
      <c r="I61" s="124">
        <f>_xlfn.LET(
_xlpm.full,2,
_xlpm.ans0,$C61&amp;"",
_xlpm.resp0,D61&amp;"",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61" s="124">
        <f t="shared" ref="J61:M61" si="15">_xlfn.LET(
_xlpm.full,2,
_xlpm.ans0,$C61&amp;"",
_xlpm.resp0,E61&amp;"",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61" s="124">
        <f t="shared" si="15"/>
        <v>2</v>
      </c>
      <c r="L61" s="124">
        <f t="shared" si="15"/>
        <v>2</v>
      </c>
      <c r="M61" s="124">
        <f t="shared" si="15"/>
        <v>1.2</v>
      </c>
      <c r="N61" s="13"/>
      <c r="O61" s="50"/>
      <c r="P61" s="50"/>
      <c r="Q61" s="50"/>
      <c r="R61" s="50"/>
      <c r="S61" s="50"/>
      <c r="T61" s="50"/>
      <c r="U61" s="50"/>
      <c r="V61" s="50"/>
      <c r="W61" s="50"/>
      <c r="X61" s="50"/>
      <c r="Y61" s="50"/>
      <c r="Z61" s="50"/>
      <c r="AA61" s="50"/>
      <c r="AB61" s="50"/>
      <c r="AC61" s="50"/>
      <c r="AD61" s="50"/>
      <c r="AE61" s="50"/>
      <c r="AF61" s="50"/>
      <c r="AG61" s="50"/>
    </row>
    <row r="62" spans="1:33" ht="15.75" customHeight="1">
      <c r="A62" s="8" t="s">
        <v>901</v>
      </c>
      <c r="B62" s="3" t="s">
        <v>16</v>
      </c>
      <c r="C62" s="3" t="s">
        <v>902</v>
      </c>
      <c r="D62" s="80" t="s">
        <v>903</v>
      </c>
      <c r="E62" s="80" t="s">
        <v>904</v>
      </c>
      <c r="F62" s="80" t="s">
        <v>905</v>
      </c>
      <c r="G62" s="115" t="s">
        <v>906</v>
      </c>
      <c r="H62" s="115" t="s">
        <v>907</v>
      </c>
      <c r="I62" s="28">
        <v>2</v>
      </c>
      <c r="J62" s="82">
        <v>2</v>
      </c>
      <c r="K62" s="82">
        <v>2</v>
      </c>
      <c r="L62" s="83">
        <v>4</v>
      </c>
      <c r="M62" s="83">
        <v>4</v>
      </c>
      <c r="N62" s="13"/>
      <c r="O62" s="50"/>
      <c r="P62" s="50"/>
      <c r="Q62" s="50"/>
      <c r="R62" s="50"/>
      <c r="S62" s="50"/>
      <c r="T62" s="50"/>
      <c r="U62" s="50"/>
      <c r="V62" s="50"/>
      <c r="W62" s="50"/>
      <c r="X62" s="50"/>
      <c r="Y62" s="50"/>
      <c r="Z62" s="50"/>
      <c r="AA62" s="50"/>
      <c r="AB62" s="50"/>
      <c r="AC62" s="50"/>
      <c r="AD62" s="50"/>
      <c r="AE62" s="50"/>
      <c r="AF62" s="50"/>
      <c r="AG62" s="50"/>
    </row>
    <row r="63" spans="1:33" ht="15.75" customHeight="1">
      <c r="A63" s="8" t="s">
        <v>908</v>
      </c>
      <c r="B63" s="3" t="s">
        <v>16</v>
      </c>
      <c r="C63" s="3" t="s">
        <v>104</v>
      </c>
      <c r="D63" s="80" t="s">
        <v>104</v>
      </c>
      <c r="E63" s="80" t="s">
        <v>104</v>
      </c>
      <c r="F63" s="80" t="s">
        <v>104</v>
      </c>
      <c r="G63" s="115" t="s">
        <v>104</v>
      </c>
      <c r="H63" s="115" t="s">
        <v>104</v>
      </c>
      <c r="I63" s="124">
        <f>_xlfn.LET(
_xlpm.full,2,
_xlpm.ans0,$C63&amp;"",
_xlpm.resp0,D63&amp;"",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63" s="124">
        <f t="shared" ref="J63:M63" si="16">_xlfn.LET(
_xlpm.full,2,
_xlpm.ans0,$C63&amp;"",
_xlpm.resp0,E63&amp;"",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63" s="124">
        <f t="shared" si="16"/>
        <v>2</v>
      </c>
      <c r="L63" s="124">
        <f t="shared" si="16"/>
        <v>2</v>
      </c>
      <c r="M63" s="124">
        <f t="shared" si="16"/>
        <v>2</v>
      </c>
      <c r="N63" s="13"/>
      <c r="O63" s="50"/>
      <c r="P63" s="50"/>
      <c r="Q63" s="50"/>
      <c r="R63" s="50"/>
      <c r="S63" s="50"/>
      <c r="T63" s="50"/>
      <c r="U63" s="50"/>
      <c r="V63" s="50"/>
      <c r="W63" s="50"/>
      <c r="X63" s="50"/>
      <c r="Y63" s="50"/>
      <c r="Z63" s="50"/>
      <c r="AA63" s="50"/>
      <c r="AB63" s="50"/>
      <c r="AC63" s="50"/>
      <c r="AD63" s="50"/>
      <c r="AE63" s="50"/>
      <c r="AF63" s="50"/>
      <c r="AG63" s="50"/>
    </row>
    <row r="64" spans="1:33" ht="15.75" customHeight="1">
      <c r="A64" s="8" t="s">
        <v>909</v>
      </c>
      <c r="B64" s="3" t="s">
        <v>16</v>
      </c>
      <c r="C64" s="3" t="s">
        <v>910</v>
      </c>
      <c r="D64" s="80" t="s">
        <v>911</v>
      </c>
      <c r="E64" s="80" t="s">
        <v>912</v>
      </c>
      <c r="F64" s="86" t="s">
        <v>913</v>
      </c>
      <c r="G64" s="85" t="s">
        <v>914</v>
      </c>
      <c r="H64" s="85" t="s">
        <v>915</v>
      </c>
      <c r="I64" s="28">
        <v>4</v>
      </c>
      <c r="J64" s="82">
        <v>4</v>
      </c>
      <c r="K64" s="82">
        <v>4</v>
      </c>
      <c r="L64" s="83">
        <v>4</v>
      </c>
      <c r="M64" s="82"/>
      <c r="N64" s="13"/>
      <c r="O64" s="50"/>
      <c r="P64" s="50"/>
      <c r="Q64" s="50"/>
      <c r="R64" s="50"/>
      <c r="S64" s="50"/>
      <c r="T64" s="50"/>
      <c r="U64" s="50"/>
      <c r="V64" s="50"/>
      <c r="W64" s="50"/>
      <c r="X64" s="50"/>
      <c r="Y64" s="50"/>
      <c r="Z64" s="50"/>
      <c r="AA64" s="50"/>
      <c r="AB64" s="50"/>
      <c r="AC64" s="50"/>
      <c r="AD64" s="50"/>
      <c r="AE64" s="50"/>
      <c r="AF64" s="50"/>
      <c r="AG64" s="50"/>
    </row>
    <row r="65" spans="1:33" ht="15.75" customHeight="1">
      <c r="A65" s="111" t="s">
        <v>916</v>
      </c>
      <c r="B65" s="112"/>
      <c r="C65" s="112" t="s">
        <v>294</v>
      </c>
      <c r="D65" s="112"/>
      <c r="E65" s="112"/>
      <c r="F65" s="112"/>
      <c r="G65" s="112"/>
      <c r="H65" s="112"/>
      <c r="I65" s="112"/>
      <c r="J65" s="112"/>
      <c r="K65" s="112"/>
      <c r="L65" s="112"/>
      <c r="M65" s="112"/>
      <c r="N65" s="29"/>
      <c r="O65" s="29"/>
      <c r="P65" s="29"/>
      <c r="Q65" s="29"/>
      <c r="R65" s="29"/>
      <c r="S65" s="29"/>
      <c r="T65" s="29"/>
      <c r="U65" s="29"/>
      <c r="V65" s="29"/>
      <c r="W65" s="29"/>
      <c r="X65" s="29"/>
      <c r="Y65" s="29"/>
      <c r="Z65" s="29"/>
      <c r="AA65" s="29"/>
      <c r="AB65" s="29"/>
      <c r="AC65" s="29"/>
      <c r="AD65" s="29"/>
      <c r="AE65" s="29"/>
      <c r="AF65" s="29"/>
      <c r="AG65" s="29"/>
    </row>
    <row r="66" spans="1:33" ht="15.75" customHeight="1">
      <c r="A66" s="8" t="s">
        <v>917</v>
      </c>
      <c r="B66" s="3"/>
      <c r="C66" s="3" t="s">
        <v>88</v>
      </c>
      <c r="D66" s="80" t="s">
        <v>64</v>
      </c>
      <c r="E66" s="80" t="s">
        <v>88</v>
      </c>
      <c r="F66" s="80" t="s">
        <v>102</v>
      </c>
      <c r="G66" s="115" t="s">
        <v>88</v>
      </c>
      <c r="H66" s="115" t="s">
        <v>88</v>
      </c>
      <c r="I66" s="124">
        <f>_xlfn.LET(
_xlpm.full,2,
_xlpm.ans0,$C66&amp;"",
_xlpm.resp0,D66&amp;"",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1.2</v>
      </c>
      <c r="J66" s="124">
        <f t="shared" ref="J66:M67" si="17">_xlfn.LET(
_xlpm.full,2,
_xlpm.ans0,$C66&amp;"",
_xlpm.resp0,E66&amp;"",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K66" s="124">
        <f t="shared" si="17"/>
        <v>0.4</v>
      </c>
      <c r="L66" s="124">
        <f t="shared" si="17"/>
        <v>2</v>
      </c>
      <c r="M66" s="124">
        <f t="shared" si="17"/>
        <v>2</v>
      </c>
      <c r="N66" s="13"/>
      <c r="O66" s="50"/>
      <c r="P66" s="50"/>
      <c r="Q66" s="50"/>
      <c r="R66" s="50"/>
      <c r="S66" s="50"/>
      <c r="T66" s="50"/>
      <c r="U66" s="50"/>
      <c r="V66" s="50"/>
      <c r="W66" s="50"/>
      <c r="X66" s="50"/>
      <c r="Y66" s="50"/>
      <c r="Z66" s="50"/>
      <c r="AA66" s="50"/>
      <c r="AB66" s="50"/>
      <c r="AC66" s="50"/>
      <c r="AD66" s="50"/>
      <c r="AE66" s="50"/>
      <c r="AF66" s="50"/>
      <c r="AG66" s="50"/>
    </row>
    <row r="67" spans="1:33" ht="15.75" customHeight="1">
      <c r="A67" s="8" t="s">
        <v>918</v>
      </c>
      <c r="B67" s="3"/>
      <c r="C67" s="3" t="s">
        <v>14</v>
      </c>
      <c r="D67" s="80" t="s">
        <v>14</v>
      </c>
      <c r="E67" s="80" t="s">
        <v>55</v>
      </c>
      <c r="F67" s="80" t="s">
        <v>14</v>
      </c>
      <c r="G67" s="115" t="s">
        <v>14</v>
      </c>
      <c r="H67" s="115" t="s">
        <v>88</v>
      </c>
      <c r="I67" s="124">
        <f>_xlfn.LET(
_xlpm.full,2,
_xlpm.ans0,$C67&amp;"",
_xlpm.resp0,D67&amp;"",
_xlpm.ans,UPPER(SUBSTITUTE(SUBSTITUTE(SUBSTITUTE(SUBSTITUTE(SUBSTITUTE(SUBSTITUTE(_xlpm.ans0,"，",""),",",""),"、","")," ",""),"　",""),CHAR(10),"")),
_xlpm.resp,UPPER(SUBSTITUTE(SUBSTITUTE(SUBSTITUTE(SUBSTITUTE(SUBSTITUTE(SUBSTITUTE(_xlpm.resp0,"，",""),",",""),"、","")," ",""),"　",""),CHAR(10),"")),
_xlpm.blank,LEN(TRIM(SUBSTITUTE(_xlpm.resp0,"　","")))=0,
_xlpm.ansLen,LEN(_xlpm.ans),
_xlpm.respLen,LEN(_xlpm.resp),
_xlpm.k,--(ISNUMBER(SEARCH("A",_xlpm.ans))&lt;&gt;ISNUMBER(SEARCH("A",_xlpm.resp)))+
--(ISNUMBER(SEARCH("B",_xlpm.ans))&lt;&gt;ISNUMBER(SEARCH("B",_xlpm.resp)))+
--(ISNUMBER(SEARCH("C",_xlpm.ans))&lt;&gt;ISNUMBER(SEARCH("C",_xlpm.resp)))+
--(ISNUMBER(SEARCH("D",_xlpm.ans))&lt;&gt;ISNUMBER(SEARCH("D",_xlpm.resp)))+
--(ISNUMBER(SEARCH("E",_xlpm.ans))&lt;&gt;ISNUMBER(SEARCH("E",_xlpm.resp))),
IF(_xlpm.blank,0,
IF(_xlpm.ansLen=1,
IF(AND(_xlpm.resp=_xlpm.ans,_xlpm.respLen=1),_xlpm.full,0),
MAX(0,_xlpm.full*(5-2*_xlpm.k)/5)
))
)</f>
        <v>2</v>
      </c>
      <c r="J67" s="124">
        <f t="shared" si="17"/>
        <v>0</v>
      </c>
      <c r="K67" s="124">
        <f t="shared" si="17"/>
        <v>2</v>
      </c>
      <c r="L67" s="124">
        <f t="shared" si="17"/>
        <v>2</v>
      </c>
      <c r="M67" s="124">
        <f t="shared" si="17"/>
        <v>0</v>
      </c>
      <c r="N67" s="13"/>
      <c r="O67" s="50"/>
      <c r="P67" s="50"/>
      <c r="Q67" s="50"/>
      <c r="R67" s="50"/>
      <c r="S67" s="50"/>
      <c r="T67" s="50"/>
      <c r="U67" s="50"/>
      <c r="V67" s="50"/>
      <c r="W67" s="50"/>
      <c r="X67" s="50"/>
      <c r="Y67" s="50"/>
      <c r="Z67" s="50"/>
      <c r="AA67" s="50"/>
      <c r="AB67" s="50"/>
      <c r="AC67" s="50"/>
      <c r="AD67" s="50"/>
      <c r="AE67" s="50"/>
      <c r="AF67" s="50"/>
      <c r="AG67" s="50"/>
    </row>
    <row r="68" spans="1:33" ht="15.75" customHeight="1">
      <c r="A68" s="119" t="s">
        <v>919</v>
      </c>
      <c r="B68" s="3"/>
      <c r="C68" s="3" t="s">
        <v>920</v>
      </c>
      <c r="D68" s="80" t="s">
        <v>921</v>
      </c>
      <c r="E68" s="80" t="s">
        <v>922</v>
      </c>
      <c r="F68" s="80" t="s">
        <v>923</v>
      </c>
      <c r="G68" s="115" t="s">
        <v>924</v>
      </c>
      <c r="H68" s="115" t="s">
        <v>925</v>
      </c>
      <c r="I68" s="28">
        <v>4</v>
      </c>
      <c r="J68" s="82">
        <v>4</v>
      </c>
      <c r="K68" s="82">
        <v>4</v>
      </c>
      <c r="L68" s="83">
        <v>4</v>
      </c>
      <c r="M68" s="83">
        <v>4</v>
      </c>
      <c r="N68" s="13"/>
      <c r="O68" s="50"/>
      <c r="P68" s="50"/>
      <c r="Q68" s="50"/>
      <c r="R68" s="50"/>
      <c r="S68" s="50"/>
      <c r="T68" s="50"/>
      <c r="U68" s="50"/>
      <c r="V68" s="50"/>
      <c r="W68" s="50"/>
      <c r="X68" s="50"/>
      <c r="Y68" s="50"/>
      <c r="Z68" s="50"/>
      <c r="AA68" s="50"/>
      <c r="AB68" s="50"/>
      <c r="AC68" s="50"/>
      <c r="AD68" s="50"/>
      <c r="AE68" s="50"/>
      <c r="AF68" s="50"/>
      <c r="AG68" s="50"/>
    </row>
    <row r="69" spans="1:33" ht="15.75" customHeight="1">
      <c r="A69" s="29"/>
      <c r="B69" s="30"/>
      <c r="C69" s="30"/>
      <c r="D69" s="100"/>
      <c r="E69" s="100"/>
      <c r="F69" s="100"/>
      <c r="G69" s="100"/>
      <c r="H69" s="100"/>
      <c r="I69" s="31"/>
      <c r="J69" s="31"/>
      <c r="K69" s="31"/>
      <c r="L69" s="31"/>
      <c r="M69" s="31"/>
      <c r="N69" s="13"/>
      <c r="O69" s="50"/>
      <c r="P69" s="50"/>
      <c r="Q69" s="50"/>
      <c r="R69" s="50"/>
      <c r="S69" s="50"/>
      <c r="T69" s="50"/>
      <c r="U69" s="50"/>
      <c r="V69" s="50"/>
      <c r="W69" s="50"/>
      <c r="X69" s="50"/>
      <c r="Y69" s="50"/>
      <c r="Z69" s="50"/>
      <c r="AA69" s="50"/>
      <c r="AB69" s="50"/>
      <c r="AC69" s="50"/>
      <c r="AD69" s="50"/>
      <c r="AE69" s="50"/>
      <c r="AF69" s="50"/>
      <c r="AG69" s="50"/>
    </row>
    <row r="70" spans="1:33" ht="15.75" customHeight="1">
      <c r="A70" s="29"/>
      <c r="B70" s="30"/>
      <c r="C70" s="30"/>
      <c r="D70" s="100"/>
      <c r="E70" s="100"/>
      <c r="F70" s="100"/>
      <c r="G70" s="100"/>
      <c r="H70" s="100"/>
      <c r="I70" s="31"/>
      <c r="J70" s="31"/>
      <c r="K70" s="31"/>
      <c r="L70" s="31"/>
      <c r="M70" s="31"/>
      <c r="N70" s="13"/>
      <c r="O70" s="50"/>
      <c r="P70" s="50"/>
      <c r="Q70" s="50"/>
      <c r="R70" s="50"/>
      <c r="S70" s="50"/>
      <c r="T70" s="50"/>
      <c r="U70" s="50"/>
      <c r="V70" s="50"/>
      <c r="W70" s="50"/>
      <c r="X70" s="50"/>
      <c r="Y70" s="50"/>
      <c r="Z70" s="50"/>
      <c r="AA70" s="50"/>
      <c r="AB70" s="50"/>
      <c r="AC70" s="50"/>
      <c r="AD70" s="50"/>
      <c r="AE70" s="50"/>
      <c r="AF70" s="50"/>
      <c r="AG70" s="50"/>
    </row>
    <row r="71" spans="1:33" ht="15.75" customHeight="1">
      <c r="A71" s="45"/>
      <c r="B71" s="30"/>
      <c r="C71" s="30"/>
      <c r="D71" s="100"/>
      <c r="E71" s="100"/>
      <c r="F71" s="100"/>
      <c r="G71" s="100"/>
      <c r="H71" s="100"/>
      <c r="I71" s="31"/>
      <c r="J71" s="31"/>
      <c r="K71" s="31"/>
      <c r="L71" s="31"/>
      <c r="M71" s="31"/>
      <c r="N71" s="13"/>
      <c r="O71" s="50"/>
      <c r="P71" s="50"/>
      <c r="Q71" s="50"/>
      <c r="R71" s="50"/>
      <c r="S71" s="50"/>
      <c r="T71" s="50"/>
      <c r="U71" s="50"/>
      <c r="V71" s="50"/>
      <c r="W71" s="50"/>
      <c r="X71" s="50"/>
      <c r="Y71" s="50"/>
      <c r="Z71" s="50"/>
      <c r="AA71" s="50"/>
      <c r="AB71" s="50"/>
      <c r="AC71" s="50"/>
      <c r="AD71" s="50"/>
      <c r="AE71" s="50"/>
      <c r="AF71" s="50"/>
      <c r="AG71" s="50"/>
    </row>
    <row r="72" spans="1:33" ht="15.75" customHeight="1">
      <c r="A72" s="45"/>
      <c r="B72" s="30"/>
      <c r="C72" s="30"/>
      <c r="D72" s="100"/>
      <c r="E72" s="100"/>
      <c r="F72" s="100"/>
      <c r="G72" s="100"/>
      <c r="H72" s="100"/>
      <c r="I72" s="31"/>
      <c r="J72" s="31"/>
      <c r="K72" s="31"/>
      <c r="L72" s="31"/>
      <c r="M72" s="31"/>
      <c r="N72" s="13"/>
      <c r="O72" s="50"/>
      <c r="P72" s="50"/>
      <c r="Q72" s="50"/>
      <c r="R72" s="50"/>
      <c r="S72" s="50"/>
      <c r="T72" s="50"/>
      <c r="U72" s="50"/>
      <c r="V72" s="50"/>
      <c r="W72" s="50"/>
      <c r="X72" s="50"/>
      <c r="Y72" s="50"/>
      <c r="Z72" s="50"/>
      <c r="AA72" s="50"/>
      <c r="AB72" s="50"/>
      <c r="AC72" s="50"/>
      <c r="AD72" s="50"/>
      <c r="AE72" s="50"/>
      <c r="AF72" s="50"/>
      <c r="AG72" s="50"/>
    </row>
    <row r="73" spans="1:33" ht="15.75" customHeight="1">
      <c r="A73" s="45"/>
      <c r="B73" s="30"/>
      <c r="C73" s="30"/>
      <c r="D73" s="100"/>
      <c r="E73" s="100"/>
      <c r="F73" s="100"/>
      <c r="G73" s="100"/>
      <c r="H73" s="100"/>
      <c r="I73" s="31"/>
      <c r="J73" s="31"/>
      <c r="K73" s="31"/>
      <c r="L73" s="31"/>
      <c r="M73" s="31"/>
      <c r="N73" s="13"/>
      <c r="O73" s="50"/>
      <c r="P73" s="50"/>
      <c r="Q73" s="50"/>
      <c r="R73" s="50"/>
      <c r="S73" s="50"/>
      <c r="T73" s="50"/>
      <c r="U73" s="50"/>
      <c r="V73" s="50"/>
      <c r="W73" s="50"/>
      <c r="X73" s="50"/>
      <c r="Y73" s="50"/>
      <c r="Z73" s="50"/>
      <c r="AA73" s="50"/>
      <c r="AB73" s="50"/>
      <c r="AC73" s="50"/>
      <c r="AD73" s="50"/>
      <c r="AE73" s="50"/>
      <c r="AF73" s="50"/>
      <c r="AG73" s="50"/>
    </row>
    <row r="74" spans="1:33" ht="15.75" customHeight="1">
      <c r="A74" s="45"/>
      <c r="B74" s="30"/>
      <c r="C74" s="30"/>
      <c r="D74" s="100"/>
      <c r="E74" s="100"/>
      <c r="F74" s="100"/>
      <c r="G74" s="100"/>
      <c r="H74" s="100"/>
      <c r="I74" s="31"/>
      <c r="J74" s="31"/>
      <c r="K74" s="31"/>
      <c r="L74" s="31"/>
      <c r="M74" s="31"/>
      <c r="N74" s="13"/>
      <c r="O74" s="50"/>
      <c r="P74" s="50"/>
      <c r="Q74" s="50"/>
      <c r="R74" s="50"/>
      <c r="S74" s="50"/>
      <c r="T74" s="50"/>
      <c r="U74" s="50"/>
      <c r="V74" s="50"/>
      <c r="W74" s="50"/>
      <c r="X74" s="50"/>
      <c r="Y74" s="50"/>
      <c r="Z74" s="50"/>
      <c r="AA74" s="50"/>
      <c r="AB74" s="50"/>
      <c r="AC74" s="50"/>
      <c r="AD74" s="50"/>
      <c r="AE74" s="50"/>
      <c r="AF74" s="50"/>
      <c r="AG74" s="50"/>
    </row>
    <row r="75" spans="1:33" ht="15.75" customHeight="1">
      <c r="A75" s="45"/>
      <c r="B75" s="30"/>
      <c r="C75" s="30"/>
      <c r="D75" s="100"/>
      <c r="E75" s="100"/>
      <c r="F75" s="100"/>
      <c r="G75" s="100"/>
      <c r="H75" s="100"/>
      <c r="I75" s="31"/>
      <c r="J75" s="31"/>
      <c r="K75" s="31"/>
      <c r="L75" s="31"/>
      <c r="M75" s="31"/>
      <c r="N75" s="13"/>
      <c r="O75" s="50"/>
      <c r="P75" s="50"/>
      <c r="Q75" s="50"/>
      <c r="R75" s="50"/>
      <c r="S75" s="50"/>
      <c r="T75" s="50"/>
      <c r="U75" s="50"/>
      <c r="V75" s="50"/>
      <c r="W75" s="50"/>
      <c r="X75" s="50"/>
      <c r="Y75" s="50"/>
      <c r="Z75" s="50"/>
      <c r="AA75" s="50"/>
      <c r="AB75" s="50"/>
      <c r="AC75" s="50"/>
      <c r="AD75" s="50"/>
      <c r="AE75" s="50"/>
      <c r="AF75" s="50"/>
      <c r="AG75" s="50"/>
    </row>
    <row r="76" spans="1:33" ht="15.75" customHeight="1">
      <c r="A76" s="45"/>
      <c r="B76" s="30"/>
      <c r="C76" s="30"/>
      <c r="D76" s="100"/>
      <c r="E76" s="100"/>
      <c r="F76" s="100"/>
      <c r="G76" s="100"/>
      <c r="H76" s="100"/>
      <c r="I76" s="31"/>
      <c r="J76" s="31"/>
      <c r="K76" s="31"/>
      <c r="L76" s="31"/>
      <c r="M76" s="31"/>
      <c r="N76" s="13"/>
      <c r="O76" s="50"/>
      <c r="P76" s="50"/>
      <c r="Q76" s="50"/>
      <c r="R76" s="50"/>
      <c r="S76" s="50"/>
      <c r="T76" s="50"/>
      <c r="U76" s="50"/>
      <c r="V76" s="50"/>
      <c r="W76" s="50"/>
      <c r="X76" s="50"/>
      <c r="Y76" s="50"/>
      <c r="Z76" s="50"/>
      <c r="AA76" s="50"/>
      <c r="AB76" s="50"/>
      <c r="AC76" s="50"/>
      <c r="AD76" s="50"/>
      <c r="AE76" s="50"/>
      <c r="AF76" s="50"/>
      <c r="AG76" s="50"/>
    </row>
    <row r="77" spans="1:33" ht="15.75" customHeight="1">
      <c r="A77" s="45"/>
      <c r="B77" s="30"/>
      <c r="C77" s="30"/>
      <c r="D77" s="100"/>
      <c r="E77" s="100"/>
      <c r="F77" s="100"/>
      <c r="G77" s="100"/>
      <c r="H77" s="100"/>
      <c r="I77" s="31"/>
      <c r="J77" s="31"/>
      <c r="K77" s="31"/>
      <c r="L77" s="31"/>
      <c r="M77" s="31"/>
      <c r="N77" s="13"/>
      <c r="O77" s="50"/>
      <c r="P77" s="50"/>
      <c r="Q77" s="50"/>
      <c r="R77" s="50"/>
      <c r="S77" s="50"/>
      <c r="T77" s="50"/>
      <c r="U77" s="50"/>
      <c r="V77" s="50"/>
      <c r="W77" s="50"/>
      <c r="X77" s="50"/>
      <c r="Y77" s="50"/>
      <c r="Z77" s="50"/>
      <c r="AA77" s="50"/>
      <c r="AB77" s="50"/>
      <c r="AC77" s="50"/>
      <c r="AD77" s="50"/>
      <c r="AE77" s="50"/>
      <c r="AF77" s="50"/>
      <c r="AG77" s="50"/>
    </row>
    <row r="78" spans="1:33" ht="15.75" customHeight="1">
      <c r="A78" s="45"/>
      <c r="B78" s="30"/>
      <c r="C78" s="30"/>
      <c r="D78" s="100"/>
      <c r="E78" s="100"/>
      <c r="F78" s="100"/>
      <c r="G78" s="100"/>
      <c r="H78" s="100"/>
      <c r="I78" s="31"/>
      <c r="J78" s="31"/>
      <c r="K78" s="31"/>
      <c r="L78" s="31"/>
      <c r="M78" s="31"/>
      <c r="N78" s="13"/>
      <c r="O78" s="50"/>
      <c r="P78" s="50"/>
      <c r="Q78" s="50"/>
      <c r="R78" s="50"/>
      <c r="S78" s="50"/>
      <c r="T78" s="50"/>
      <c r="U78" s="50"/>
      <c r="V78" s="50"/>
      <c r="W78" s="50"/>
      <c r="X78" s="50"/>
      <c r="Y78" s="50"/>
      <c r="Z78" s="50"/>
      <c r="AA78" s="50"/>
      <c r="AB78" s="50"/>
      <c r="AC78" s="50"/>
      <c r="AD78" s="50"/>
      <c r="AE78" s="50"/>
      <c r="AF78" s="50"/>
      <c r="AG78" s="50"/>
    </row>
    <row r="79" spans="1:33" ht="15.75" customHeight="1">
      <c r="A79" s="45"/>
      <c r="B79" s="30"/>
      <c r="C79" s="30"/>
      <c r="D79" s="100"/>
      <c r="E79" s="100"/>
      <c r="F79" s="100"/>
      <c r="G79" s="100"/>
      <c r="H79" s="100"/>
      <c r="I79" s="31"/>
      <c r="J79" s="31"/>
      <c r="K79" s="31"/>
      <c r="L79" s="31"/>
      <c r="M79" s="31"/>
      <c r="N79" s="13"/>
      <c r="O79" s="50"/>
      <c r="P79" s="50"/>
      <c r="Q79" s="50"/>
      <c r="R79" s="50"/>
      <c r="S79" s="50"/>
      <c r="T79" s="50"/>
      <c r="U79" s="50"/>
      <c r="V79" s="50"/>
      <c r="W79" s="50"/>
      <c r="X79" s="50"/>
      <c r="Y79" s="50"/>
      <c r="Z79" s="50"/>
      <c r="AA79" s="50"/>
      <c r="AB79" s="50"/>
      <c r="AC79" s="50"/>
      <c r="AD79" s="50"/>
      <c r="AE79" s="50"/>
      <c r="AF79" s="50"/>
      <c r="AG79" s="50"/>
    </row>
    <row r="80" spans="1:33" ht="15.75" customHeight="1">
      <c r="A80" s="45"/>
      <c r="B80" s="30"/>
      <c r="C80" s="30"/>
      <c r="D80" s="100"/>
      <c r="E80" s="100"/>
      <c r="F80" s="100"/>
      <c r="G80" s="100"/>
      <c r="H80" s="100"/>
      <c r="I80" s="31"/>
      <c r="J80" s="31"/>
      <c r="K80" s="31"/>
      <c r="L80" s="31"/>
      <c r="M80" s="31"/>
      <c r="N80" s="13"/>
      <c r="O80" s="50"/>
      <c r="P80" s="50"/>
      <c r="Q80" s="50"/>
      <c r="R80" s="50"/>
      <c r="S80" s="50"/>
      <c r="T80" s="50"/>
      <c r="U80" s="50"/>
      <c r="V80" s="50"/>
      <c r="W80" s="50"/>
      <c r="X80" s="50"/>
      <c r="Y80" s="50"/>
      <c r="Z80" s="50"/>
      <c r="AA80" s="50"/>
      <c r="AB80" s="50"/>
      <c r="AC80" s="50"/>
      <c r="AD80" s="50"/>
      <c r="AE80" s="50"/>
      <c r="AF80" s="50"/>
      <c r="AG80" s="50"/>
    </row>
    <row r="81" spans="1:33" ht="15.75" customHeight="1">
      <c r="A81" s="45"/>
      <c r="B81" s="30"/>
      <c r="C81" s="30"/>
      <c r="D81" s="100"/>
      <c r="E81" s="100"/>
      <c r="F81" s="100"/>
      <c r="G81" s="100"/>
      <c r="H81" s="100"/>
      <c r="I81" s="31"/>
      <c r="J81" s="31"/>
      <c r="K81" s="31"/>
      <c r="L81" s="31"/>
      <c r="M81" s="31"/>
      <c r="N81" s="13"/>
      <c r="O81" s="50"/>
      <c r="P81" s="50"/>
      <c r="Q81" s="50"/>
      <c r="R81" s="50"/>
      <c r="S81" s="50"/>
      <c r="T81" s="50"/>
      <c r="U81" s="50"/>
      <c r="V81" s="50"/>
      <c r="W81" s="50"/>
      <c r="X81" s="50"/>
      <c r="Y81" s="50"/>
      <c r="Z81" s="50"/>
      <c r="AA81" s="50"/>
      <c r="AB81" s="50"/>
      <c r="AC81" s="50"/>
      <c r="AD81" s="50"/>
      <c r="AE81" s="50"/>
      <c r="AF81" s="50"/>
      <c r="AG81" s="50"/>
    </row>
    <row r="82" spans="1:33" ht="15.75" customHeight="1">
      <c r="A82" s="46"/>
      <c r="B82" s="30"/>
      <c r="C82" s="30"/>
      <c r="D82" s="100"/>
      <c r="E82" s="100"/>
      <c r="F82" s="100"/>
      <c r="G82" s="100"/>
      <c r="H82" s="100"/>
      <c r="I82" s="31"/>
      <c r="J82" s="31"/>
      <c r="K82" s="31"/>
      <c r="L82" s="31"/>
      <c r="M82" s="31"/>
      <c r="N82" s="13"/>
      <c r="O82" s="50"/>
      <c r="P82" s="50"/>
      <c r="Q82" s="50"/>
      <c r="R82" s="50"/>
      <c r="S82" s="50"/>
      <c r="T82" s="50"/>
      <c r="U82" s="50"/>
      <c r="V82" s="50"/>
      <c r="W82" s="50"/>
      <c r="X82" s="50"/>
      <c r="Y82" s="50"/>
      <c r="Z82" s="50"/>
      <c r="AA82" s="50"/>
      <c r="AB82" s="50"/>
      <c r="AC82" s="50"/>
      <c r="AD82" s="50"/>
      <c r="AE82" s="50"/>
      <c r="AF82" s="50"/>
      <c r="AG82" s="50"/>
    </row>
    <row r="83" spans="1:33" ht="15.75" customHeight="1">
      <c r="A83" s="43"/>
      <c r="B83" s="30"/>
      <c r="C83" s="30"/>
      <c r="D83" s="100"/>
      <c r="E83" s="100"/>
      <c r="F83" s="100"/>
      <c r="G83" s="100"/>
      <c r="H83" s="100"/>
      <c r="I83" s="31"/>
      <c r="J83" s="31"/>
      <c r="K83" s="31"/>
      <c r="L83" s="31"/>
      <c r="M83" s="31"/>
      <c r="N83" s="13"/>
      <c r="O83" s="50"/>
      <c r="P83" s="50"/>
      <c r="Q83" s="50"/>
      <c r="R83" s="50"/>
      <c r="S83" s="50"/>
      <c r="T83" s="50"/>
      <c r="U83" s="50"/>
      <c r="V83" s="50"/>
      <c r="W83" s="50"/>
      <c r="X83" s="50"/>
      <c r="Y83" s="50"/>
      <c r="Z83" s="50"/>
      <c r="AA83" s="50"/>
      <c r="AB83" s="50"/>
      <c r="AC83" s="50"/>
      <c r="AD83" s="50"/>
      <c r="AE83" s="50"/>
      <c r="AF83" s="50"/>
      <c r="AG83" s="50"/>
    </row>
    <row r="84" spans="1:33" ht="15.75" customHeight="1">
      <c r="A84" s="43"/>
      <c r="B84" s="30"/>
      <c r="C84" s="30"/>
      <c r="D84" s="100"/>
      <c r="E84" s="100"/>
      <c r="F84" s="100"/>
      <c r="G84" s="100"/>
      <c r="H84" s="100"/>
      <c r="I84" s="31"/>
      <c r="J84" s="31"/>
      <c r="K84" s="31"/>
      <c r="L84" s="31"/>
      <c r="M84" s="31"/>
      <c r="N84" s="13"/>
      <c r="O84" s="50"/>
      <c r="P84" s="50"/>
      <c r="Q84" s="50"/>
      <c r="R84" s="50"/>
      <c r="S84" s="50"/>
      <c r="T84" s="50"/>
      <c r="U84" s="50"/>
      <c r="V84" s="50"/>
      <c r="W84" s="50"/>
      <c r="X84" s="50"/>
      <c r="Y84" s="50"/>
      <c r="Z84" s="50"/>
      <c r="AA84" s="50"/>
      <c r="AB84" s="50"/>
      <c r="AC84" s="50"/>
      <c r="AD84" s="50"/>
      <c r="AE84" s="50"/>
      <c r="AF84" s="50"/>
      <c r="AG84" s="50"/>
    </row>
    <row r="85" spans="1:33" ht="15.75" customHeight="1">
      <c r="A85" s="43"/>
      <c r="B85" s="30"/>
      <c r="C85" s="30"/>
      <c r="D85" s="100"/>
      <c r="E85" s="100"/>
      <c r="F85" s="100"/>
      <c r="G85" s="100"/>
      <c r="H85" s="100"/>
      <c r="I85" s="31"/>
      <c r="J85" s="31"/>
      <c r="K85" s="31"/>
      <c r="L85" s="31"/>
      <c r="M85" s="31"/>
      <c r="N85" s="13"/>
      <c r="O85" s="50"/>
      <c r="P85" s="50"/>
      <c r="Q85" s="50"/>
      <c r="R85" s="50"/>
      <c r="S85" s="50"/>
      <c r="T85" s="50"/>
      <c r="U85" s="50"/>
      <c r="V85" s="50"/>
      <c r="W85" s="50"/>
      <c r="X85" s="50"/>
      <c r="Y85" s="50"/>
      <c r="Z85" s="50"/>
      <c r="AA85" s="50"/>
      <c r="AB85" s="50"/>
      <c r="AC85" s="50"/>
      <c r="AD85" s="50"/>
      <c r="AE85" s="50"/>
      <c r="AF85" s="50"/>
      <c r="AG85" s="50"/>
    </row>
    <row r="86" spans="1:33" ht="15.75" customHeight="1">
      <c r="A86" s="43"/>
      <c r="B86" s="30"/>
      <c r="C86" s="30"/>
      <c r="D86" s="100"/>
      <c r="E86" s="100"/>
      <c r="F86" s="100"/>
      <c r="G86" s="100"/>
      <c r="H86" s="100"/>
      <c r="I86" s="31"/>
      <c r="J86" s="31"/>
      <c r="K86" s="31"/>
      <c r="L86" s="31"/>
      <c r="M86" s="31"/>
      <c r="N86" s="13"/>
      <c r="O86" s="50"/>
      <c r="P86" s="50"/>
      <c r="Q86" s="50"/>
      <c r="R86" s="50"/>
      <c r="S86" s="50"/>
      <c r="T86" s="50"/>
      <c r="U86" s="50"/>
      <c r="V86" s="50"/>
      <c r="W86" s="50"/>
      <c r="X86" s="50"/>
      <c r="Y86" s="50"/>
      <c r="Z86" s="50"/>
      <c r="AA86" s="50"/>
      <c r="AB86" s="50"/>
      <c r="AC86" s="50"/>
      <c r="AD86" s="50"/>
      <c r="AE86" s="50"/>
      <c r="AF86" s="50"/>
      <c r="AG86" s="50"/>
    </row>
    <row r="87" spans="1:33" ht="15.75" customHeight="1">
      <c r="A87" s="43"/>
      <c r="B87" s="30"/>
      <c r="C87" s="30"/>
      <c r="D87" s="100"/>
      <c r="E87" s="100"/>
      <c r="F87" s="100"/>
      <c r="G87" s="100"/>
      <c r="H87" s="100"/>
      <c r="I87" s="31"/>
      <c r="J87" s="31"/>
      <c r="K87" s="31"/>
      <c r="L87" s="31"/>
      <c r="M87" s="31"/>
      <c r="N87" s="13"/>
      <c r="O87" s="50"/>
      <c r="P87" s="50"/>
      <c r="Q87" s="50"/>
      <c r="R87" s="50"/>
      <c r="S87" s="50"/>
      <c r="T87" s="50"/>
      <c r="U87" s="50"/>
      <c r="V87" s="50"/>
      <c r="W87" s="50"/>
      <c r="X87" s="50"/>
      <c r="Y87" s="50"/>
      <c r="Z87" s="50"/>
      <c r="AA87" s="50"/>
      <c r="AB87" s="50"/>
      <c r="AC87" s="50"/>
      <c r="AD87" s="50"/>
      <c r="AE87" s="50"/>
      <c r="AF87" s="50"/>
      <c r="AG87" s="50"/>
    </row>
    <row r="88" spans="1:33" ht="15.75" customHeight="1">
      <c r="A88" s="43"/>
      <c r="B88" s="30"/>
      <c r="C88" s="30"/>
      <c r="D88" s="100"/>
      <c r="E88" s="100"/>
      <c r="F88" s="100"/>
      <c r="G88" s="100"/>
      <c r="H88" s="100"/>
      <c r="I88" s="31"/>
      <c r="J88" s="31"/>
      <c r="K88" s="31"/>
      <c r="L88" s="31"/>
      <c r="M88" s="31"/>
      <c r="N88" s="13"/>
      <c r="O88" s="50"/>
      <c r="P88" s="50"/>
      <c r="Q88" s="50"/>
      <c r="R88" s="50"/>
      <c r="S88" s="50"/>
      <c r="T88" s="50"/>
      <c r="U88" s="50"/>
      <c r="V88" s="50"/>
      <c r="W88" s="50"/>
      <c r="X88" s="50"/>
      <c r="Y88" s="50"/>
      <c r="Z88" s="50"/>
      <c r="AA88" s="50"/>
      <c r="AB88" s="50"/>
      <c r="AC88" s="50"/>
      <c r="AD88" s="50"/>
      <c r="AE88" s="50"/>
      <c r="AF88" s="50"/>
      <c r="AG88" s="50"/>
    </row>
    <row r="89" spans="1:33" ht="15.75" customHeight="1">
      <c r="A89" s="43"/>
      <c r="B89" s="30"/>
      <c r="C89" s="30"/>
      <c r="D89" s="100"/>
      <c r="E89" s="100"/>
      <c r="F89" s="100"/>
      <c r="G89" s="100"/>
      <c r="H89" s="100"/>
      <c r="I89" s="31"/>
      <c r="J89" s="31"/>
      <c r="K89" s="31"/>
      <c r="L89" s="31"/>
      <c r="M89" s="31"/>
      <c r="N89" s="13"/>
      <c r="O89" s="50"/>
      <c r="P89" s="50"/>
      <c r="Q89" s="50"/>
      <c r="R89" s="50"/>
      <c r="S89" s="50"/>
      <c r="T89" s="50"/>
      <c r="U89" s="50"/>
      <c r="V89" s="50"/>
      <c r="W89" s="50"/>
      <c r="X89" s="50"/>
      <c r="Y89" s="50"/>
      <c r="Z89" s="50"/>
      <c r="AA89" s="50"/>
      <c r="AB89" s="50"/>
      <c r="AC89" s="50"/>
      <c r="AD89" s="50"/>
      <c r="AE89" s="50"/>
      <c r="AF89" s="50"/>
      <c r="AG89" s="50"/>
    </row>
    <row r="90" spans="1:33" ht="15.75" customHeight="1">
      <c r="A90" s="43"/>
      <c r="B90" s="30"/>
      <c r="C90" s="30"/>
      <c r="D90" s="100"/>
      <c r="E90" s="100"/>
      <c r="F90" s="100"/>
      <c r="G90" s="100"/>
      <c r="H90" s="100"/>
      <c r="I90" s="31"/>
      <c r="J90" s="31"/>
      <c r="K90" s="31"/>
      <c r="L90" s="31"/>
      <c r="M90" s="31"/>
      <c r="N90" s="13"/>
      <c r="O90" s="50"/>
      <c r="P90" s="50"/>
      <c r="Q90" s="50"/>
      <c r="R90" s="50"/>
      <c r="S90" s="50"/>
      <c r="T90" s="50"/>
      <c r="U90" s="50"/>
      <c r="V90" s="50"/>
      <c r="W90" s="50"/>
      <c r="X90" s="50"/>
      <c r="Y90" s="50"/>
      <c r="Z90" s="50"/>
      <c r="AA90" s="50"/>
      <c r="AB90" s="50"/>
      <c r="AC90" s="50"/>
      <c r="AD90" s="50"/>
      <c r="AE90" s="50"/>
      <c r="AF90" s="50"/>
      <c r="AG90" s="50"/>
    </row>
    <row r="91" spans="1:33" ht="15.75" customHeight="1">
      <c r="A91" s="43"/>
      <c r="B91" s="30"/>
      <c r="C91" s="30"/>
      <c r="D91" s="100"/>
      <c r="E91" s="100"/>
      <c r="F91" s="100"/>
      <c r="G91" s="100"/>
      <c r="H91" s="100"/>
      <c r="I91" s="31"/>
      <c r="J91" s="31"/>
      <c r="K91" s="31"/>
      <c r="L91" s="31"/>
      <c r="M91" s="31"/>
      <c r="N91" s="13"/>
      <c r="O91" s="50"/>
      <c r="P91" s="50"/>
      <c r="Q91" s="50"/>
      <c r="R91" s="50"/>
      <c r="S91" s="50"/>
      <c r="T91" s="50"/>
      <c r="U91" s="50"/>
      <c r="V91" s="50"/>
      <c r="W91" s="50"/>
      <c r="X91" s="50"/>
      <c r="Y91" s="50"/>
      <c r="Z91" s="50"/>
      <c r="AA91" s="50"/>
      <c r="AB91" s="50"/>
      <c r="AC91" s="50"/>
      <c r="AD91" s="50"/>
      <c r="AE91" s="50"/>
      <c r="AF91" s="50"/>
      <c r="AG91" s="50"/>
    </row>
    <row r="92" spans="1:33" ht="15.75" customHeight="1">
      <c r="A92" s="43"/>
      <c r="B92" s="30"/>
      <c r="C92" s="30"/>
      <c r="D92" s="100"/>
      <c r="E92" s="100"/>
      <c r="F92" s="100"/>
      <c r="G92" s="100"/>
      <c r="H92" s="100"/>
      <c r="I92" s="31"/>
      <c r="J92" s="31"/>
      <c r="K92" s="31"/>
      <c r="L92" s="31"/>
      <c r="M92" s="31"/>
      <c r="N92" s="13"/>
      <c r="O92" s="50"/>
      <c r="P92" s="50"/>
      <c r="Q92" s="50"/>
      <c r="R92" s="50"/>
      <c r="S92" s="50"/>
      <c r="T92" s="50"/>
      <c r="U92" s="50"/>
      <c r="V92" s="50"/>
      <c r="W92" s="50"/>
      <c r="X92" s="50"/>
      <c r="Y92" s="50"/>
      <c r="Z92" s="50"/>
      <c r="AA92" s="50"/>
      <c r="AB92" s="50"/>
      <c r="AC92" s="50"/>
      <c r="AD92" s="50"/>
      <c r="AE92" s="50"/>
      <c r="AF92" s="50"/>
      <c r="AG92" s="50"/>
    </row>
    <row r="93" spans="1:33" ht="15.75" customHeight="1">
      <c r="A93" s="43"/>
      <c r="B93" s="30"/>
      <c r="C93" s="30"/>
      <c r="D93" s="100"/>
      <c r="E93" s="100"/>
      <c r="F93" s="100"/>
      <c r="G93" s="100"/>
      <c r="H93" s="100"/>
      <c r="I93" s="31"/>
      <c r="J93" s="31"/>
      <c r="K93" s="31"/>
      <c r="L93" s="31"/>
      <c r="M93" s="31"/>
      <c r="N93" s="13"/>
      <c r="O93" s="50"/>
      <c r="P93" s="50"/>
      <c r="Q93" s="50"/>
      <c r="R93" s="50"/>
      <c r="S93" s="50"/>
      <c r="T93" s="50"/>
      <c r="U93" s="50"/>
      <c r="V93" s="50"/>
      <c r="W93" s="50"/>
      <c r="X93" s="50"/>
      <c r="Y93" s="50"/>
      <c r="Z93" s="50"/>
      <c r="AA93" s="50"/>
      <c r="AB93" s="50"/>
      <c r="AC93" s="50"/>
      <c r="AD93" s="50"/>
      <c r="AE93" s="50"/>
      <c r="AF93" s="50"/>
      <c r="AG93" s="50"/>
    </row>
    <row r="94" spans="1:33" ht="15.75" customHeight="1">
      <c r="A94" s="43"/>
      <c r="B94" s="30"/>
      <c r="C94" s="30"/>
      <c r="D94" s="100"/>
      <c r="E94" s="100"/>
      <c r="F94" s="100"/>
      <c r="G94" s="100"/>
      <c r="H94" s="100"/>
      <c r="I94" s="31"/>
      <c r="J94" s="31"/>
      <c r="K94" s="31"/>
      <c r="L94" s="31"/>
      <c r="M94" s="31"/>
      <c r="N94" s="13"/>
    </row>
    <row r="95" spans="1:33" ht="15.75" customHeight="1">
      <c r="A95" s="43"/>
      <c r="B95" s="30"/>
      <c r="C95" s="30"/>
      <c r="D95" s="100"/>
      <c r="E95" s="100"/>
      <c r="F95" s="100"/>
      <c r="G95" s="100"/>
      <c r="H95" s="100"/>
      <c r="I95" s="31"/>
      <c r="J95" s="31"/>
      <c r="K95" s="31"/>
      <c r="L95" s="31"/>
      <c r="M95" s="31"/>
      <c r="N95" s="13"/>
    </row>
    <row r="96" spans="1:33" ht="15.75" customHeight="1">
      <c r="A96" s="43"/>
      <c r="B96" s="30"/>
      <c r="C96" s="30"/>
      <c r="D96" s="100"/>
      <c r="E96" s="100"/>
      <c r="F96" s="100"/>
      <c r="G96" s="100"/>
      <c r="H96" s="100"/>
      <c r="I96" s="31"/>
      <c r="J96" s="31"/>
      <c r="K96" s="31"/>
      <c r="L96" s="31"/>
      <c r="M96" s="31"/>
      <c r="N96" s="13"/>
    </row>
    <row r="97" spans="1:14" ht="15.75" customHeight="1">
      <c r="A97" s="43"/>
      <c r="B97" s="30"/>
      <c r="C97" s="30"/>
      <c r="D97" s="100"/>
      <c r="E97" s="100"/>
      <c r="F97" s="100"/>
      <c r="G97" s="100"/>
      <c r="H97" s="100"/>
      <c r="I97" s="31"/>
      <c r="J97" s="31"/>
      <c r="K97" s="31"/>
      <c r="L97" s="31"/>
      <c r="M97" s="31"/>
      <c r="N97" s="13"/>
    </row>
    <row r="98" spans="1:14" ht="15.75" customHeight="1">
      <c r="A98" s="43"/>
      <c r="B98" s="30"/>
      <c r="C98" s="30"/>
      <c r="D98" s="100"/>
      <c r="E98" s="100"/>
      <c r="F98" s="100"/>
      <c r="G98" s="100"/>
      <c r="H98" s="100"/>
      <c r="I98" s="31"/>
      <c r="J98" s="31"/>
      <c r="K98" s="31"/>
      <c r="L98" s="31"/>
      <c r="M98" s="31"/>
      <c r="N98" s="13"/>
    </row>
    <row r="99" spans="1:14" ht="15.75" customHeight="1">
      <c r="A99" s="43"/>
      <c r="B99" s="30"/>
      <c r="C99" s="30"/>
      <c r="D99" s="100"/>
      <c r="E99" s="100"/>
      <c r="F99" s="100"/>
      <c r="G99" s="100"/>
      <c r="H99" s="100"/>
      <c r="I99" s="31"/>
      <c r="J99" s="31"/>
      <c r="K99" s="31"/>
      <c r="L99" s="31"/>
      <c r="M99" s="31"/>
      <c r="N99" s="13"/>
    </row>
    <row r="100" spans="1:14" ht="15.75" customHeight="1">
      <c r="A100" s="43"/>
      <c r="B100" s="30"/>
      <c r="C100" s="30"/>
      <c r="D100" s="100"/>
      <c r="E100" s="100"/>
      <c r="F100" s="100"/>
      <c r="G100" s="100"/>
      <c r="H100" s="100"/>
      <c r="I100" s="31"/>
      <c r="J100" s="31"/>
      <c r="K100" s="31"/>
      <c r="L100" s="31"/>
      <c r="M100" s="31"/>
      <c r="N100" s="13"/>
    </row>
    <row r="101" spans="1:14" ht="15.75" customHeight="1">
      <c r="A101" s="43"/>
      <c r="B101" s="30"/>
      <c r="C101" s="30"/>
      <c r="D101" s="100"/>
      <c r="E101" s="100"/>
      <c r="F101" s="100"/>
      <c r="G101" s="100"/>
      <c r="H101" s="100"/>
      <c r="I101" s="31"/>
      <c r="J101" s="31"/>
      <c r="K101" s="31"/>
      <c r="L101" s="31"/>
      <c r="M101" s="31"/>
      <c r="N101" s="13"/>
    </row>
    <row r="102" spans="1:14" ht="15.75" customHeight="1">
      <c r="A102" s="43"/>
      <c r="B102" s="30"/>
      <c r="C102" s="30"/>
      <c r="D102" s="100"/>
      <c r="E102" s="100"/>
      <c r="F102" s="100"/>
      <c r="G102" s="100"/>
      <c r="H102" s="100"/>
      <c r="I102" s="31"/>
      <c r="J102" s="31"/>
      <c r="K102" s="31"/>
      <c r="L102" s="31"/>
      <c r="M102" s="31"/>
      <c r="N102" s="13"/>
    </row>
    <row r="103" spans="1:14" ht="15.75" customHeight="1">
      <c r="A103" s="43"/>
      <c r="B103" s="30"/>
      <c r="C103" s="30"/>
      <c r="D103" s="100"/>
      <c r="E103" s="100"/>
      <c r="F103" s="100"/>
      <c r="G103" s="100"/>
      <c r="H103" s="100"/>
      <c r="I103" s="31"/>
      <c r="J103" s="31"/>
      <c r="K103" s="31"/>
      <c r="L103" s="31"/>
      <c r="M103" s="31"/>
      <c r="N103" s="13"/>
    </row>
    <row r="104" spans="1:14" ht="15.75" customHeight="1">
      <c r="A104" s="43"/>
      <c r="B104" s="30"/>
      <c r="C104" s="30"/>
      <c r="D104" s="100"/>
      <c r="E104" s="100"/>
      <c r="F104" s="100"/>
      <c r="G104" s="100"/>
      <c r="H104" s="100"/>
      <c r="I104" s="31"/>
      <c r="J104" s="31"/>
      <c r="K104" s="31"/>
      <c r="L104" s="31"/>
      <c r="M104" s="31"/>
      <c r="N104" s="13"/>
    </row>
    <row r="105" spans="1:14" ht="15.75" customHeight="1">
      <c r="A105" s="43"/>
      <c r="B105" s="30"/>
      <c r="C105" s="30"/>
      <c r="D105" s="100"/>
      <c r="E105" s="100"/>
      <c r="F105" s="100"/>
      <c r="G105" s="100"/>
      <c r="H105" s="100"/>
      <c r="I105" s="31"/>
      <c r="J105" s="31"/>
      <c r="K105" s="31"/>
      <c r="L105" s="31"/>
      <c r="M105" s="31"/>
      <c r="N105" s="13"/>
    </row>
    <row r="106" spans="1:14" ht="15.75" customHeight="1">
      <c r="A106" s="43"/>
      <c r="B106" s="30"/>
      <c r="C106" s="30"/>
      <c r="D106" s="100"/>
      <c r="E106" s="100"/>
      <c r="F106" s="100"/>
      <c r="G106" s="100"/>
      <c r="H106" s="100"/>
      <c r="I106" s="31"/>
      <c r="J106" s="31"/>
      <c r="K106" s="31"/>
      <c r="L106" s="31"/>
      <c r="M106" s="31"/>
      <c r="N106" s="13"/>
    </row>
    <row r="107" spans="1:14" ht="15.75" customHeight="1">
      <c r="A107" s="43"/>
      <c r="B107" s="30"/>
      <c r="C107" s="30"/>
      <c r="D107" s="100"/>
      <c r="E107" s="100"/>
      <c r="F107" s="100"/>
      <c r="G107" s="100"/>
      <c r="H107" s="100"/>
      <c r="I107" s="31"/>
      <c r="J107" s="31"/>
      <c r="K107" s="31"/>
      <c r="L107" s="31"/>
      <c r="M107" s="31"/>
      <c r="N107" s="13"/>
    </row>
    <row r="108" spans="1:14" ht="15.75" customHeight="1">
      <c r="A108" s="43"/>
      <c r="B108" s="30"/>
      <c r="C108" s="30"/>
      <c r="D108" s="100"/>
      <c r="E108" s="100"/>
      <c r="F108" s="100"/>
      <c r="G108" s="100"/>
      <c r="H108" s="100"/>
      <c r="I108" s="31"/>
      <c r="J108" s="31"/>
      <c r="K108" s="31"/>
      <c r="L108" s="31"/>
      <c r="M108" s="31"/>
      <c r="N108" s="13"/>
    </row>
    <row r="109" spans="1:14" ht="15.75" customHeight="1">
      <c r="A109" s="43"/>
      <c r="B109" s="30"/>
      <c r="C109" s="30"/>
      <c r="D109" s="100"/>
      <c r="E109" s="100"/>
      <c r="F109" s="100"/>
      <c r="G109" s="100"/>
      <c r="H109" s="100"/>
      <c r="I109" s="31"/>
      <c r="J109" s="31"/>
      <c r="K109" s="31"/>
      <c r="L109" s="31"/>
      <c r="M109" s="31"/>
      <c r="N109" s="13"/>
    </row>
    <row r="110" spans="1:14" ht="15.75" customHeight="1">
      <c r="A110" s="43"/>
      <c r="B110" s="30"/>
      <c r="C110" s="30"/>
      <c r="D110" s="100"/>
      <c r="E110" s="100"/>
      <c r="F110" s="100"/>
      <c r="G110" s="100"/>
      <c r="H110" s="100"/>
      <c r="I110" s="31"/>
      <c r="J110" s="31"/>
      <c r="K110" s="31"/>
      <c r="L110" s="31"/>
      <c r="M110" s="31"/>
      <c r="N110" s="13"/>
    </row>
    <row r="111" spans="1:14" ht="15.75" customHeight="1">
      <c r="A111" s="43"/>
      <c r="B111" s="30"/>
      <c r="C111" s="30"/>
      <c r="D111" s="100"/>
      <c r="E111" s="100"/>
      <c r="F111" s="100"/>
      <c r="G111" s="100"/>
      <c r="H111" s="100"/>
      <c r="I111" s="31"/>
      <c r="J111" s="31"/>
      <c r="K111" s="31"/>
      <c r="L111" s="31"/>
      <c r="M111" s="31"/>
      <c r="N111" s="13"/>
    </row>
    <row r="112" spans="1:14" ht="15.75" customHeight="1">
      <c r="A112" s="43"/>
      <c r="B112" s="30"/>
      <c r="C112" s="30"/>
      <c r="D112" s="100"/>
      <c r="E112" s="100"/>
      <c r="F112" s="100"/>
      <c r="G112" s="100"/>
      <c r="H112" s="100"/>
      <c r="I112" s="31"/>
      <c r="J112" s="31"/>
      <c r="K112" s="31"/>
      <c r="L112" s="31"/>
      <c r="M112" s="31"/>
      <c r="N112" s="13"/>
    </row>
    <row r="113" spans="1:14" ht="15.75" customHeight="1">
      <c r="A113" s="43"/>
      <c r="B113" s="30"/>
      <c r="C113" s="30"/>
      <c r="D113" s="100"/>
      <c r="E113" s="100"/>
      <c r="F113" s="100"/>
      <c r="G113" s="100"/>
      <c r="H113" s="100"/>
      <c r="I113" s="31"/>
      <c r="J113" s="31"/>
      <c r="K113" s="31"/>
      <c r="L113" s="31"/>
      <c r="M113" s="31"/>
      <c r="N113" s="13"/>
    </row>
    <row r="114" spans="1:14" ht="15.75" customHeight="1">
      <c r="A114" s="43"/>
      <c r="B114" s="30"/>
      <c r="C114" s="30"/>
      <c r="D114" s="100"/>
      <c r="E114" s="100"/>
      <c r="F114" s="100"/>
      <c r="G114" s="100"/>
      <c r="H114" s="100"/>
      <c r="I114" s="31"/>
      <c r="J114" s="31"/>
      <c r="K114" s="31"/>
      <c r="L114" s="31"/>
      <c r="M114" s="31"/>
      <c r="N114" s="13"/>
    </row>
    <row r="115" spans="1:14" ht="15.75" customHeight="1">
      <c r="A115" s="43"/>
      <c r="B115" s="30"/>
      <c r="C115" s="30"/>
      <c r="D115" s="100"/>
      <c r="E115" s="100"/>
      <c r="F115" s="100"/>
      <c r="G115" s="100"/>
      <c r="H115" s="100"/>
      <c r="I115" s="31"/>
      <c r="J115" s="31"/>
      <c r="K115" s="31"/>
      <c r="L115" s="31"/>
      <c r="M115" s="31"/>
      <c r="N115" s="13"/>
    </row>
    <row r="116" spans="1:14" ht="15.75" customHeight="1">
      <c r="A116" s="43"/>
      <c r="B116" s="30"/>
      <c r="C116" s="30"/>
      <c r="D116" s="100"/>
      <c r="E116" s="100"/>
      <c r="F116" s="100"/>
      <c r="G116" s="100"/>
      <c r="H116" s="100"/>
      <c r="I116" s="31"/>
      <c r="J116" s="31"/>
      <c r="K116" s="31"/>
      <c r="L116" s="31"/>
      <c r="M116" s="31"/>
      <c r="N116" s="13"/>
    </row>
    <row r="117" spans="1:14" ht="15.75" customHeight="1">
      <c r="A117" s="43"/>
      <c r="B117" s="30"/>
      <c r="C117" s="30"/>
      <c r="D117" s="100"/>
      <c r="E117" s="100"/>
      <c r="F117" s="100"/>
      <c r="G117" s="100"/>
      <c r="H117" s="100"/>
      <c r="I117" s="31"/>
      <c r="J117" s="31"/>
      <c r="K117" s="31"/>
      <c r="L117" s="31"/>
      <c r="M117" s="31"/>
      <c r="N117" s="13"/>
    </row>
    <row r="118" spans="1:14" ht="15.75" customHeight="1">
      <c r="A118" s="43"/>
      <c r="B118" s="30"/>
      <c r="C118" s="30"/>
      <c r="D118" s="100"/>
      <c r="E118" s="100"/>
      <c r="F118" s="100"/>
      <c r="G118" s="100"/>
      <c r="H118" s="100"/>
      <c r="I118" s="31"/>
      <c r="J118" s="31"/>
      <c r="K118" s="31"/>
      <c r="L118" s="31"/>
      <c r="M118" s="31"/>
      <c r="N118" s="13"/>
    </row>
    <row r="119" spans="1:14" ht="15.75" customHeight="1">
      <c r="A119" s="43"/>
      <c r="B119" s="30"/>
      <c r="C119" s="30"/>
      <c r="D119" s="100"/>
      <c r="E119" s="100"/>
      <c r="F119" s="100"/>
      <c r="G119" s="100"/>
      <c r="H119" s="100"/>
      <c r="I119" s="31"/>
      <c r="J119" s="31"/>
      <c r="K119" s="31"/>
      <c r="L119" s="31"/>
      <c r="M119" s="31"/>
      <c r="N119" s="13"/>
    </row>
    <row r="120" spans="1:14" ht="15.75" customHeight="1">
      <c r="A120" s="43"/>
      <c r="B120" s="30"/>
      <c r="C120" s="30"/>
      <c r="D120" s="100"/>
      <c r="E120" s="100"/>
      <c r="F120" s="100"/>
      <c r="G120" s="100"/>
      <c r="H120" s="100"/>
      <c r="I120" s="31"/>
      <c r="J120" s="31"/>
      <c r="K120" s="31"/>
      <c r="L120" s="31"/>
      <c r="M120" s="31"/>
      <c r="N120" s="13"/>
    </row>
    <row r="121" spans="1:14" ht="15.75" customHeight="1">
      <c r="A121" s="43"/>
      <c r="B121" s="30"/>
      <c r="C121" s="30"/>
      <c r="D121" s="100"/>
      <c r="E121" s="100"/>
      <c r="F121" s="100"/>
      <c r="G121" s="100"/>
      <c r="H121" s="100"/>
      <c r="I121" s="31"/>
      <c r="J121" s="31"/>
      <c r="K121" s="31"/>
      <c r="L121" s="31"/>
      <c r="M121" s="31"/>
      <c r="N121" s="13"/>
    </row>
    <row r="122" spans="1:14" ht="15.75" customHeight="1">
      <c r="A122" s="43"/>
      <c r="B122" s="30"/>
      <c r="C122" s="30"/>
      <c r="D122" s="100"/>
      <c r="E122" s="100"/>
      <c r="F122" s="100"/>
      <c r="G122" s="100"/>
      <c r="H122" s="100"/>
      <c r="I122" s="31"/>
      <c r="J122" s="31"/>
      <c r="K122" s="31"/>
      <c r="L122" s="31"/>
      <c r="M122" s="31"/>
      <c r="N122" s="13"/>
    </row>
    <row r="123" spans="1:14" ht="15.75" customHeight="1">
      <c r="A123" s="43"/>
      <c r="B123" s="30"/>
      <c r="C123" s="30"/>
      <c r="D123" s="100"/>
      <c r="E123" s="100"/>
      <c r="F123" s="100"/>
      <c r="G123" s="100"/>
      <c r="H123" s="100"/>
      <c r="I123" s="31"/>
      <c r="J123" s="31"/>
      <c r="K123" s="31"/>
      <c r="L123" s="31"/>
      <c r="M123" s="31"/>
      <c r="N123" s="13"/>
    </row>
    <row r="124" spans="1:14" ht="15.75" customHeight="1">
      <c r="A124" s="43"/>
      <c r="B124" s="30"/>
      <c r="C124" s="30"/>
      <c r="D124" s="100"/>
      <c r="E124" s="100"/>
      <c r="F124" s="100"/>
      <c r="G124" s="100"/>
      <c r="H124" s="100"/>
      <c r="I124" s="31"/>
      <c r="J124" s="31"/>
      <c r="K124" s="31"/>
      <c r="L124" s="31"/>
      <c r="M124" s="31"/>
      <c r="N124" s="13"/>
    </row>
    <row r="125" spans="1:14" ht="15.75" customHeight="1">
      <c r="A125" s="43"/>
      <c r="B125" s="30"/>
      <c r="C125" s="30"/>
      <c r="D125" s="100"/>
      <c r="E125" s="100"/>
      <c r="F125" s="100"/>
      <c r="G125" s="100"/>
      <c r="H125" s="100"/>
      <c r="I125" s="31"/>
      <c r="J125" s="31"/>
      <c r="K125" s="31"/>
      <c r="L125" s="31"/>
      <c r="M125" s="31"/>
      <c r="N125" s="13"/>
    </row>
    <row r="126" spans="1:14" ht="15.75" customHeight="1">
      <c r="A126" s="43"/>
      <c r="B126" s="30"/>
      <c r="C126" s="30"/>
      <c r="D126" s="100"/>
      <c r="E126" s="100"/>
      <c r="F126" s="100"/>
      <c r="G126" s="100"/>
      <c r="H126" s="100"/>
      <c r="I126" s="31"/>
      <c r="J126" s="31"/>
      <c r="K126" s="31"/>
      <c r="L126" s="31"/>
      <c r="M126" s="31"/>
      <c r="N126" s="13"/>
    </row>
    <row r="127" spans="1:14" ht="15.75" customHeight="1">
      <c r="A127" s="43"/>
      <c r="B127" s="30"/>
      <c r="C127" s="30"/>
      <c r="D127" s="100"/>
      <c r="E127" s="100"/>
      <c r="F127" s="100"/>
      <c r="G127" s="100"/>
      <c r="H127" s="100"/>
      <c r="I127" s="31"/>
      <c r="J127" s="31"/>
      <c r="K127" s="31"/>
      <c r="L127" s="31"/>
      <c r="M127" s="31"/>
      <c r="N127" s="13"/>
    </row>
    <row r="128" spans="1:14" ht="15.75" customHeight="1">
      <c r="A128" s="43"/>
      <c r="B128" s="30"/>
      <c r="C128" s="30"/>
      <c r="D128" s="100"/>
      <c r="E128" s="100"/>
      <c r="F128" s="100"/>
      <c r="G128" s="100"/>
      <c r="H128" s="100"/>
      <c r="I128" s="31"/>
      <c r="J128" s="31"/>
      <c r="K128" s="31"/>
      <c r="L128" s="31"/>
      <c r="M128" s="31"/>
      <c r="N128" s="13"/>
    </row>
    <row r="129" spans="1:14" ht="15.75" customHeight="1">
      <c r="A129" s="43"/>
      <c r="B129" s="30"/>
      <c r="C129" s="30"/>
      <c r="D129" s="100"/>
      <c r="E129" s="100"/>
      <c r="F129" s="100"/>
      <c r="G129" s="100"/>
      <c r="H129" s="100"/>
      <c r="I129" s="31"/>
      <c r="J129" s="31"/>
      <c r="K129" s="31"/>
      <c r="L129" s="31"/>
      <c r="M129" s="31"/>
      <c r="N129" s="13"/>
    </row>
    <row r="130" spans="1:14" ht="15.75" customHeight="1">
      <c r="A130" s="43"/>
      <c r="B130" s="30"/>
      <c r="C130" s="30"/>
      <c r="D130" s="100"/>
      <c r="E130" s="100"/>
      <c r="F130" s="100"/>
      <c r="G130" s="100"/>
      <c r="H130" s="100"/>
      <c r="I130" s="31"/>
      <c r="J130" s="31"/>
      <c r="K130" s="31"/>
      <c r="L130" s="31"/>
      <c r="M130" s="31"/>
      <c r="N130" s="13"/>
    </row>
    <row r="131" spans="1:14" ht="15.75" customHeight="1">
      <c r="A131" s="43"/>
      <c r="B131" s="30"/>
      <c r="C131" s="30"/>
      <c r="D131" s="100"/>
      <c r="E131" s="100"/>
      <c r="F131" s="100"/>
      <c r="G131" s="100"/>
      <c r="H131" s="100"/>
      <c r="I131" s="31"/>
      <c r="J131" s="31"/>
      <c r="K131" s="31"/>
      <c r="L131" s="31"/>
      <c r="M131" s="31"/>
      <c r="N131" s="13"/>
    </row>
    <row r="132" spans="1:14" ht="15.75" customHeight="1">
      <c r="A132" s="43"/>
      <c r="B132" s="30"/>
      <c r="C132" s="30"/>
      <c r="D132" s="100"/>
      <c r="E132" s="100"/>
      <c r="F132" s="100"/>
      <c r="G132" s="100"/>
      <c r="H132" s="100"/>
      <c r="I132" s="31"/>
      <c r="J132" s="31"/>
      <c r="K132" s="31"/>
      <c r="L132" s="31"/>
      <c r="M132" s="31"/>
      <c r="N132" s="13"/>
    </row>
    <row r="133" spans="1:14" ht="15.75" customHeight="1">
      <c r="A133" s="43"/>
      <c r="B133" s="30"/>
      <c r="C133" s="30"/>
      <c r="D133" s="100"/>
      <c r="E133" s="100"/>
      <c r="F133" s="100"/>
      <c r="G133" s="100"/>
      <c r="H133" s="100"/>
      <c r="I133" s="31"/>
      <c r="J133" s="31"/>
      <c r="K133" s="31"/>
      <c r="L133" s="31"/>
      <c r="M133" s="31"/>
      <c r="N133" s="13"/>
    </row>
    <row r="134" spans="1:14" ht="15.75" customHeight="1">
      <c r="A134" s="43"/>
      <c r="B134" s="30"/>
      <c r="C134" s="30"/>
      <c r="D134" s="100"/>
      <c r="E134" s="100"/>
      <c r="F134" s="100"/>
      <c r="G134" s="100"/>
      <c r="H134" s="100"/>
      <c r="I134" s="31"/>
      <c r="J134" s="31"/>
      <c r="K134" s="31"/>
      <c r="L134" s="31"/>
      <c r="M134" s="31"/>
      <c r="N134" s="13"/>
    </row>
    <row r="135" spans="1:14" ht="15.75" customHeight="1">
      <c r="A135" s="43"/>
      <c r="B135" s="30"/>
      <c r="C135" s="30"/>
      <c r="D135" s="100"/>
      <c r="E135" s="100"/>
      <c r="F135" s="100"/>
      <c r="G135" s="100"/>
      <c r="H135" s="100"/>
      <c r="I135" s="31"/>
      <c r="J135" s="31"/>
      <c r="K135" s="31"/>
      <c r="L135" s="31"/>
      <c r="M135" s="31"/>
      <c r="N135" s="13"/>
    </row>
    <row r="136" spans="1:14" ht="15.75" customHeight="1">
      <c r="A136" s="43"/>
      <c r="B136" s="30"/>
      <c r="C136" s="30"/>
      <c r="D136" s="100"/>
      <c r="E136" s="100"/>
      <c r="F136" s="100"/>
      <c r="G136" s="100"/>
      <c r="H136" s="100"/>
      <c r="I136" s="31"/>
      <c r="J136" s="31"/>
      <c r="K136" s="31"/>
      <c r="L136" s="31"/>
      <c r="M136" s="31"/>
      <c r="N136" s="13"/>
    </row>
    <row r="137" spans="1:14" ht="15.75" customHeight="1">
      <c r="A137" s="43"/>
      <c r="B137" s="30"/>
      <c r="C137" s="30"/>
      <c r="D137" s="100"/>
      <c r="E137" s="100"/>
      <c r="F137" s="100"/>
      <c r="G137" s="100"/>
      <c r="H137" s="100"/>
      <c r="I137" s="31"/>
      <c r="J137" s="31"/>
      <c r="K137" s="31"/>
      <c r="L137" s="31"/>
      <c r="M137" s="31"/>
      <c r="N137" s="13"/>
    </row>
    <row r="138" spans="1:14" ht="15.75" customHeight="1">
      <c r="A138" s="43"/>
      <c r="B138" s="30"/>
      <c r="C138" s="30"/>
      <c r="D138" s="100"/>
      <c r="E138" s="100"/>
      <c r="F138" s="100"/>
      <c r="G138" s="100"/>
      <c r="H138" s="100"/>
      <c r="I138" s="31"/>
      <c r="J138" s="31"/>
      <c r="K138" s="31"/>
      <c r="L138" s="31"/>
      <c r="M138" s="31"/>
      <c r="N138" s="13"/>
    </row>
    <row r="139" spans="1:14" ht="15.75" customHeight="1">
      <c r="A139" s="43"/>
      <c r="B139" s="30"/>
      <c r="C139" s="30"/>
      <c r="D139" s="100"/>
      <c r="E139" s="100"/>
      <c r="F139" s="100"/>
      <c r="G139" s="100"/>
      <c r="H139" s="100"/>
      <c r="I139" s="31"/>
      <c r="J139" s="31"/>
      <c r="K139" s="31"/>
      <c r="L139" s="31"/>
      <c r="M139" s="31"/>
      <c r="N139" s="13"/>
    </row>
    <row r="140" spans="1:14" ht="15.75" customHeight="1">
      <c r="A140" s="43"/>
      <c r="B140" s="30"/>
      <c r="C140" s="30"/>
      <c r="D140" s="100"/>
      <c r="E140" s="100"/>
      <c r="F140" s="100"/>
      <c r="G140" s="100"/>
      <c r="H140" s="100"/>
      <c r="I140" s="31"/>
      <c r="J140" s="31"/>
      <c r="K140" s="31"/>
      <c r="L140" s="31"/>
      <c r="M140" s="31"/>
      <c r="N140" s="13"/>
    </row>
    <row r="141" spans="1:14" ht="15.75" customHeight="1">
      <c r="A141" s="43"/>
      <c r="B141" s="30"/>
      <c r="C141" s="30"/>
      <c r="D141" s="100"/>
      <c r="E141" s="100"/>
      <c r="F141" s="100"/>
      <c r="G141" s="100"/>
      <c r="H141" s="100"/>
      <c r="I141" s="31"/>
      <c r="J141" s="31"/>
      <c r="K141" s="31"/>
      <c r="L141" s="31"/>
      <c r="M141" s="31"/>
      <c r="N141" s="13"/>
    </row>
    <row r="142" spans="1:14" ht="15.75" customHeight="1">
      <c r="A142" s="43"/>
      <c r="B142" s="30"/>
      <c r="C142" s="30"/>
      <c r="D142" s="100"/>
      <c r="E142" s="100"/>
      <c r="F142" s="100"/>
      <c r="G142" s="100"/>
      <c r="H142" s="100"/>
      <c r="I142" s="31"/>
      <c r="J142" s="31"/>
      <c r="K142" s="31"/>
      <c r="L142" s="31"/>
      <c r="M142" s="31"/>
      <c r="N142" s="13"/>
    </row>
    <row r="143" spans="1:14" ht="15.75" customHeight="1">
      <c r="A143" s="43"/>
      <c r="B143" s="30"/>
      <c r="C143" s="30"/>
      <c r="D143" s="100"/>
      <c r="E143" s="100"/>
      <c r="F143" s="100"/>
      <c r="G143" s="100"/>
      <c r="H143" s="100"/>
      <c r="I143" s="31"/>
      <c r="J143" s="31"/>
      <c r="K143" s="31"/>
      <c r="L143" s="31"/>
      <c r="M143" s="31"/>
      <c r="N143" s="13"/>
    </row>
    <row r="144" spans="1:14" ht="15.75" customHeight="1">
      <c r="A144" s="43"/>
      <c r="B144" s="30"/>
      <c r="C144" s="30"/>
      <c r="D144" s="100"/>
      <c r="E144" s="100"/>
      <c r="F144" s="100"/>
      <c r="G144" s="100"/>
      <c r="H144" s="100"/>
      <c r="I144" s="31"/>
      <c r="J144" s="31"/>
      <c r="K144" s="31"/>
      <c r="L144" s="31"/>
      <c r="M144" s="31"/>
      <c r="N144" s="13"/>
    </row>
    <row r="145" spans="1:14" ht="15.75" customHeight="1">
      <c r="A145" s="43"/>
      <c r="B145" s="30"/>
      <c r="C145" s="30"/>
      <c r="D145" s="100"/>
      <c r="E145" s="100"/>
      <c r="F145" s="100"/>
      <c r="G145" s="100"/>
      <c r="H145" s="100"/>
      <c r="I145" s="31"/>
      <c r="J145" s="31"/>
      <c r="K145" s="31"/>
      <c r="L145" s="31"/>
      <c r="M145" s="31"/>
      <c r="N145" s="13"/>
    </row>
    <row r="146" spans="1:14" ht="15.75" customHeight="1">
      <c r="A146" s="43"/>
      <c r="B146" s="30"/>
      <c r="C146" s="30"/>
      <c r="D146" s="100"/>
      <c r="E146" s="100"/>
      <c r="F146" s="100"/>
      <c r="G146" s="100"/>
      <c r="H146" s="100"/>
      <c r="I146" s="31"/>
      <c r="J146" s="31"/>
      <c r="K146" s="31"/>
      <c r="L146" s="31"/>
      <c r="M146" s="31"/>
      <c r="N146" s="13"/>
    </row>
    <row r="147" spans="1:14" ht="15.75" customHeight="1">
      <c r="A147" s="43"/>
      <c r="B147" s="30"/>
      <c r="C147" s="30"/>
      <c r="D147" s="100"/>
      <c r="E147" s="100"/>
      <c r="F147" s="100"/>
      <c r="G147" s="100"/>
      <c r="H147" s="100"/>
      <c r="I147" s="31"/>
      <c r="J147" s="31"/>
      <c r="K147" s="31"/>
      <c r="L147" s="31"/>
      <c r="M147" s="31"/>
      <c r="N147" s="13"/>
    </row>
    <row r="148" spans="1:14" ht="15.75" customHeight="1">
      <c r="A148" s="43"/>
      <c r="B148" s="30"/>
      <c r="C148" s="30"/>
      <c r="D148" s="100"/>
      <c r="E148" s="100"/>
      <c r="F148" s="100"/>
      <c r="G148" s="100"/>
      <c r="H148" s="100"/>
      <c r="I148" s="31"/>
      <c r="J148" s="31"/>
      <c r="K148" s="31"/>
      <c r="L148" s="31"/>
      <c r="M148" s="31"/>
      <c r="N148" s="13"/>
    </row>
    <row r="149" spans="1:14" ht="15.75" customHeight="1">
      <c r="A149" s="43"/>
      <c r="B149" s="30"/>
      <c r="C149" s="30"/>
      <c r="D149" s="100"/>
      <c r="E149" s="100"/>
      <c r="F149" s="100"/>
      <c r="G149" s="100"/>
      <c r="H149" s="100"/>
      <c r="I149" s="31"/>
      <c r="J149" s="31"/>
      <c r="K149" s="31"/>
      <c r="L149" s="31"/>
      <c r="M149" s="31"/>
      <c r="N149" s="13"/>
    </row>
    <row r="150" spans="1:14" ht="15.75" customHeight="1">
      <c r="A150" s="43"/>
      <c r="B150" s="30"/>
      <c r="C150" s="30"/>
      <c r="D150" s="100"/>
      <c r="E150" s="100"/>
      <c r="F150" s="100"/>
      <c r="G150" s="100"/>
      <c r="H150" s="100"/>
      <c r="I150" s="31"/>
      <c r="J150" s="31"/>
      <c r="K150" s="31"/>
      <c r="L150" s="31"/>
      <c r="M150" s="31"/>
      <c r="N150" s="13"/>
    </row>
    <row r="151" spans="1:14" ht="15.75" customHeight="1">
      <c r="A151" s="43"/>
      <c r="B151" s="30"/>
      <c r="C151" s="30"/>
      <c r="D151" s="100"/>
      <c r="E151" s="100"/>
      <c r="F151" s="100"/>
      <c r="G151" s="100"/>
      <c r="H151" s="100"/>
      <c r="I151" s="31"/>
      <c r="J151" s="31"/>
      <c r="K151" s="31"/>
      <c r="L151" s="31"/>
      <c r="M151" s="31"/>
      <c r="N151" s="13"/>
    </row>
    <row r="152" spans="1:14" ht="15.75" customHeight="1">
      <c r="A152" s="43"/>
      <c r="B152" s="30"/>
      <c r="C152" s="30"/>
      <c r="D152" s="100"/>
      <c r="E152" s="100"/>
      <c r="F152" s="100"/>
      <c r="G152" s="100"/>
      <c r="H152" s="100"/>
      <c r="I152" s="31"/>
      <c r="J152" s="31"/>
      <c r="K152" s="31"/>
      <c r="L152" s="31"/>
      <c r="M152" s="31"/>
      <c r="N152" s="13"/>
    </row>
    <row r="153" spans="1:14" ht="15.75" customHeight="1">
      <c r="A153" s="43"/>
      <c r="B153" s="30"/>
      <c r="C153" s="30"/>
      <c r="D153" s="100"/>
      <c r="E153" s="100"/>
      <c r="F153" s="100"/>
      <c r="G153" s="100"/>
      <c r="H153" s="100"/>
      <c r="I153" s="31"/>
      <c r="J153" s="31"/>
      <c r="K153" s="31"/>
      <c r="L153" s="31"/>
      <c r="M153" s="31"/>
      <c r="N153" s="13"/>
    </row>
    <row r="154" spans="1:14" ht="15.75" customHeight="1">
      <c r="A154" s="43"/>
      <c r="B154" s="30"/>
      <c r="C154" s="30"/>
      <c r="D154" s="100"/>
      <c r="E154" s="100"/>
      <c r="F154" s="100"/>
      <c r="G154" s="100"/>
      <c r="H154" s="100"/>
      <c r="I154" s="31"/>
      <c r="J154" s="31"/>
      <c r="K154" s="31"/>
      <c r="L154" s="31"/>
      <c r="M154" s="31"/>
      <c r="N154" s="13"/>
    </row>
    <row r="155" spans="1:14" ht="15.75" customHeight="1">
      <c r="A155" s="43"/>
      <c r="B155" s="30"/>
      <c r="C155" s="30"/>
      <c r="D155" s="100"/>
      <c r="E155" s="100"/>
      <c r="F155" s="100"/>
      <c r="G155" s="100"/>
      <c r="H155" s="100"/>
      <c r="I155" s="31"/>
      <c r="J155" s="31"/>
      <c r="K155" s="31"/>
      <c r="L155" s="31"/>
      <c r="M155" s="31"/>
      <c r="N155" s="13"/>
    </row>
    <row r="156" spans="1:14" ht="15.75" customHeight="1">
      <c r="A156" s="43"/>
      <c r="B156" s="30"/>
      <c r="C156" s="30"/>
      <c r="D156" s="100"/>
      <c r="E156" s="100"/>
      <c r="F156" s="100"/>
      <c r="G156" s="100"/>
      <c r="H156" s="100"/>
      <c r="I156" s="31"/>
      <c r="J156" s="31"/>
      <c r="K156" s="31"/>
      <c r="L156" s="31"/>
      <c r="M156" s="31"/>
      <c r="N156" s="13"/>
    </row>
    <row r="157" spans="1:14" ht="15.75" customHeight="1">
      <c r="A157" s="43"/>
      <c r="B157" s="30"/>
      <c r="C157" s="30"/>
      <c r="D157" s="100"/>
      <c r="E157" s="100"/>
      <c r="F157" s="100"/>
      <c r="G157" s="100"/>
      <c r="H157" s="100"/>
      <c r="I157" s="31"/>
      <c r="J157" s="31"/>
      <c r="K157" s="31"/>
      <c r="L157" s="31"/>
      <c r="M157" s="31"/>
      <c r="N157" s="13"/>
    </row>
    <row r="158" spans="1:14" ht="15.75" customHeight="1">
      <c r="A158" s="43"/>
      <c r="B158" s="30"/>
      <c r="C158" s="30"/>
      <c r="D158" s="100"/>
      <c r="E158" s="100"/>
      <c r="F158" s="100"/>
      <c r="G158" s="100"/>
      <c r="H158" s="100"/>
      <c r="I158" s="31"/>
      <c r="J158" s="31"/>
      <c r="K158" s="31"/>
      <c r="L158" s="31"/>
      <c r="M158" s="31"/>
      <c r="N158" s="13"/>
    </row>
    <row r="159" spans="1:14" ht="15.75" customHeight="1">
      <c r="A159" s="43"/>
      <c r="B159" s="30"/>
      <c r="C159" s="30"/>
      <c r="D159" s="100"/>
      <c r="E159" s="100"/>
      <c r="F159" s="100"/>
      <c r="G159" s="100"/>
      <c r="H159" s="100"/>
      <c r="I159" s="31"/>
      <c r="J159" s="31"/>
      <c r="K159" s="31"/>
      <c r="L159" s="31"/>
      <c r="M159" s="31"/>
      <c r="N159" s="13"/>
    </row>
    <row r="160" spans="1:14" ht="15.75" customHeight="1">
      <c r="A160" s="43"/>
      <c r="B160" s="30"/>
      <c r="C160" s="30"/>
      <c r="D160" s="100"/>
      <c r="E160" s="100"/>
      <c r="F160" s="100"/>
      <c r="G160" s="100"/>
      <c r="H160" s="100"/>
      <c r="I160" s="31"/>
      <c r="J160" s="31"/>
      <c r="K160" s="31"/>
      <c r="L160" s="31"/>
      <c r="M160" s="31"/>
      <c r="N160" s="13"/>
    </row>
    <row r="161" spans="1:14" ht="15.75" customHeight="1">
      <c r="A161" s="43"/>
      <c r="B161" s="30"/>
      <c r="C161" s="30"/>
      <c r="D161" s="100"/>
      <c r="E161" s="100"/>
      <c r="F161" s="100"/>
      <c r="G161" s="100"/>
      <c r="H161" s="100"/>
      <c r="I161" s="31"/>
      <c r="J161" s="31"/>
      <c r="K161" s="31"/>
      <c r="L161" s="31"/>
      <c r="M161" s="31"/>
      <c r="N161" s="13"/>
    </row>
    <row r="162" spans="1:14" ht="15.75" customHeight="1">
      <c r="A162" s="43"/>
      <c r="B162" s="30"/>
      <c r="C162" s="30"/>
      <c r="D162" s="100"/>
      <c r="E162" s="100"/>
      <c r="F162" s="100"/>
      <c r="G162" s="100"/>
      <c r="H162" s="100"/>
      <c r="I162" s="31"/>
      <c r="J162" s="31"/>
      <c r="K162" s="31"/>
      <c r="L162" s="31"/>
      <c r="M162" s="31"/>
      <c r="N162" s="13"/>
    </row>
    <row r="163" spans="1:14" ht="15.75" customHeight="1">
      <c r="A163" s="43"/>
      <c r="B163" s="30"/>
      <c r="C163" s="30"/>
      <c r="D163" s="100"/>
      <c r="E163" s="100"/>
      <c r="F163" s="100"/>
      <c r="G163" s="100"/>
      <c r="H163" s="100"/>
      <c r="I163" s="31"/>
      <c r="J163" s="31"/>
      <c r="K163" s="31"/>
      <c r="L163" s="31"/>
      <c r="M163" s="31"/>
      <c r="N163" s="13"/>
    </row>
    <row r="164" spans="1:14" ht="15.75" customHeight="1">
      <c r="A164" s="43"/>
      <c r="B164" s="30"/>
      <c r="C164" s="30"/>
      <c r="D164" s="100"/>
      <c r="E164" s="100"/>
      <c r="F164" s="100"/>
      <c r="G164" s="100"/>
      <c r="H164" s="100"/>
      <c r="I164" s="31"/>
      <c r="J164" s="31"/>
      <c r="K164" s="31"/>
      <c r="L164" s="31"/>
      <c r="M164" s="31"/>
      <c r="N164" s="13"/>
    </row>
    <row r="165" spans="1:14" ht="15.75" customHeight="1">
      <c r="A165" s="43"/>
      <c r="B165" s="30"/>
      <c r="C165" s="30"/>
      <c r="D165" s="100"/>
      <c r="E165" s="100"/>
      <c r="F165" s="100"/>
      <c r="G165" s="100"/>
      <c r="H165" s="100"/>
      <c r="I165" s="31"/>
      <c r="J165" s="31"/>
      <c r="K165" s="31"/>
      <c r="L165" s="31"/>
      <c r="M165" s="31"/>
      <c r="N165" s="13"/>
    </row>
    <row r="166" spans="1:14" ht="15.75" customHeight="1">
      <c r="A166" s="43"/>
      <c r="B166" s="30"/>
      <c r="C166" s="30"/>
      <c r="D166" s="100"/>
      <c r="E166" s="100"/>
      <c r="F166" s="100"/>
      <c r="G166" s="100"/>
      <c r="H166" s="100"/>
      <c r="I166" s="31"/>
      <c r="J166" s="31"/>
      <c r="K166" s="31"/>
      <c r="L166" s="31"/>
      <c r="M166" s="31"/>
      <c r="N166" s="13"/>
    </row>
    <row r="167" spans="1:14" ht="15.75" customHeight="1">
      <c r="A167" s="43"/>
      <c r="B167" s="30"/>
      <c r="C167" s="30"/>
      <c r="D167" s="100"/>
      <c r="E167" s="100"/>
      <c r="F167" s="100"/>
      <c r="G167" s="100"/>
      <c r="H167" s="100"/>
      <c r="I167" s="31"/>
      <c r="J167" s="31"/>
      <c r="K167" s="31"/>
      <c r="L167" s="31"/>
      <c r="M167" s="31"/>
      <c r="N167" s="13"/>
    </row>
    <row r="168" spans="1:14" ht="15.75" customHeight="1">
      <c r="A168" s="43"/>
      <c r="B168" s="30"/>
      <c r="C168" s="30"/>
      <c r="D168" s="100"/>
      <c r="E168" s="100"/>
      <c r="F168" s="100"/>
      <c r="G168" s="100"/>
      <c r="H168" s="100"/>
      <c r="I168" s="31"/>
      <c r="J168" s="31"/>
      <c r="K168" s="31"/>
      <c r="L168" s="31"/>
      <c r="M168" s="31"/>
      <c r="N168" s="13"/>
    </row>
    <row r="169" spans="1:14" ht="15.75" customHeight="1">
      <c r="A169" s="43"/>
      <c r="B169" s="30"/>
      <c r="C169" s="30"/>
      <c r="D169" s="100"/>
      <c r="E169" s="100"/>
      <c r="F169" s="100"/>
      <c r="G169" s="100"/>
      <c r="H169" s="100"/>
      <c r="I169" s="31"/>
      <c r="J169" s="31"/>
      <c r="K169" s="31"/>
      <c r="L169" s="31"/>
      <c r="M169" s="31"/>
      <c r="N169" s="13"/>
    </row>
    <row r="170" spans="1:14" ht="15.75" customHeight="1">
      <c r="A170" s="43"/>
      <c r="B170" s="30"/>
      <c r="C170" s="30"/>
      <c r="D170" s="100"/>
      <c r="E170" s="100"/>
      <c r="F170" s="100"/>
      <c r="G170" s="100"/>
      <c r="H170" s="100"/>
      <c r="I170" s="31"/>
      <c r="J170" s="31"/>
      <c r="K170" s="31"/>
      <c r="L170" s="31"/>
      <c r="M170" s="31"/>
      <c r="N170" s="13"/>
    </row>
    <row r="171" spans="1:14" ht="15.75" customHeight="1">
      <c r="A171" s="43"/>
      <c r="B171" s="30"/>
      <c r="C171" s="30"/>
      <c r="D171" s="100"/>
      <c r="E171" s="100"/>
      <c r="F171" s="100"/>
      <c r="G171" s="100"/>
      <c r="H171" s="100"/>
      <c r="I171" s="31"/>
      <c r="J171" s="31"/>
      <c r="K171" s="31"/>
      <c r="L171" s="31"/>
      <c r="M171" s="31"/>
      <c r="N171" s="13"/>
    </row>
    <row r="172" spans="1:14" ht="15.75" customHeight="1">
      <c r="A172" s="43"/>
      <c r="B172" s="30"/>
      <c r="C172" s="30"/>
      <c r="D172" s="100"/>
      <c r="E172" s="100"/>
      <c r="F172" s="100"/>
      <c r="G172" s="100"/>
      <c r="H172" s="100"/>
      <c r="I172" s="31"/>
      <c r="J172" s="31"/>
      <c r="K172" s="31"/>
      <c r="L172" s="31"/>
      <c r="M172" s="31"/>
      <c r="N172" s="13"/>
    </row>
    <row r="173" spans="1:14" ht="15.75" customHeight="1">
      <c r="A173" s="43"/>
      <c r="B173" s="30"/>
      <c r="C173" s="30"/>
      <c r="D173" s="100"/>
      <c r="E173" s="100"/>
      <c r="F173" s="100"/>
      <c r="G173" s="100"/>
      <c r="H173" s="100"/>
      <c r="I173" s="31"/>
      <c r="J173" s="31"/>
      <c r="K173" s="31"/>
      <c r="L173" s="31"/>
      <c r="M173" s="31"/>
      <c r="N173" s="13"/>
    </row>
    <row r="174" spans="1:14" ht="15.75" customHeight="1">
      <c r="A174" s="43"/>
      <c r="B174" s="30"/>
      <c r="C174" s="30"/>
      <c r="D174" s="100"/>
      <c r="E174" s="100"/>
      <c r="F174" s="100"/>
      <c r="G174" s="100"/>
      <c r="H174" s="100"/>
      <c r="I174" s="31"/>
      <c r="J174" s="31"/>
      <c r="K174" s="31"/>
      <c r="L174" s="31"/>
      <c r="M174" s="31"/>
      <c r="N174" s="13"/>
    </row>
    <row r="175" spans="1:14" ht="15.75" customHeight="1">
      <c r="A175" s="43"/>
      <c r="B175" s="30"/>
      <c r="C175" s="30"/>
      <c r="D175" s="100"/>
      <c r="E175" s="100"/>
      <c r="F175" s="100"/>
      <c r="G175" s="100"/>
      <c r="H175" s="100"/>
      <c r="I175" s="31"/>
      <c r="J175" s="31"/>
      <c r="K175" s="31"/>
      <c r="L175" s="31"/>
      <c r="M175" s="31"/>
      <c r="N175" s="13"/>
    </row>
    <row r="176" spans="1:14" ht="15.75" customHeight="1">
      <c r="A176" s="43"/>
      <c r="B176" s="30"/>
      <c r="C176" s="30"/>
      <c r="D176" s="100"/>
      <c r="E176" s="100"/>
      <c r="F176" s="100"/>
      <c r="G176" s="100"/>
      <c r="H176" s="100"/>
      <c r="I176" s="31"/>
      <c r="J176" s="31"/>
      <c r="K176" s="31"/>
      <c r="L176" s="31"/>
      <c r="M176" s="31"/>
      <c r="N176" s="13"/>
    </row>
    <row r="177" spans="1:14" ht="15.75" customHeight="1">
      <c r="A177" s="43"/>
      <c r="B177" s="30"/>
      <c r="C177" s="30"/>
      <c r="D177" s="100"/>
      <c r="E177" s="100"/>
      <c r="F177" s="100"/>
      <c r="G177" s="100"/>
      <c r="H177" s="100"/>
      <c r="I177" s="31"/>
      <c r="J177" s="31"/>
      <c r="K177" s="31"/>
      <c r="L177" s="31"/>
      <c r="M177" s="31"/>
      <c r="N177" s="13"/>
    </row>
    <row r="178" spans="1:14" ht="15.75" customHeight="1">
      <c r="A178" s="43"/>
      <c r="B178" s="30"/>
      <c r="C178" s="30"/>
      <c r="D178" s="100"/>
      <c r="E178" s="100"/>
      <c r="F178" s="100"/>
      <c r="G178" s="100"/>
      <c r="H178" s="100"/>
      <c r="I178" s="31"/>
      <c r="J178" s="31"/>
      <c r="K178" s="31"/>
      <c r="L178" s="31"/>
      <c r="M178" s="31"/>
      <c r="N178" s="13"/>
    </row>
    <row r="179" spans="1:14" ht="15.75" customHeight="1">
      <c r="A179" s="43"/>
      <c r="B179" s="30"/>
      <c r="C179" s="30"/>
      <c r="D179" s="100"/>
      <c r="E179" s="100"/>
      <c r="F179" s="100"/>
      <c r="G179" s="100"/>
      <c r="H179" s="100"/>
      <c r="I179" s="31"/>
      <c r="J179" s="31"/>
      <c r="K179" s="31"/>
      <c r="L179" s="31"/>
      <c r="M179" s="31"/>
      <c r="N179" s="13"/>
    </row>
    <row r="180" spans="1:14" ht="15.75" customHeight="1">
      <c r="A180" s="43"/>
      <c r="B180" s="30"/>
      <c r="C180" s="30"/>
      <c r="D180" s="100"/>
      <c r="E180" s="100"/>
      <c r="F180" s="100"/>
      <c r="G180" s="100"/>
      <c r="H180" s="100"/>
      <c r="I180" s="31"/>
      <c r="J180" s="31"/>
      <c r="K180" s="31"/>
      <c r="L180" s="31"/>
      <c r="M180" s="31"/>
      <c r="N180" s="13"/>
    </row>
    <row r="181" spans="1:14" ht="15.75" customHeight="1">
      <c r="A181" s="43"/>
      <c r="B181" s="30"/>
      <c r="C181" s="30"/>
      <c r="D181" s="100"/>
      <c r="E181" s="100"/>
      <c r="F181" s="100"/>
      <c r="G181" s="100"/>
      <c r="H181" s="100"/>
      <c r="I181" s="31"/>
      <c r="J181" s="31"/>
      <c r="K181" s="31"/>
      <c r="L181" s="31"/>
      <c r="M181" s="31"/>
      <c r="N181" s="13"/>
    </row>
    <row r="182" spans="1:14" ht="15.75" customHeight="1">
      <c r="A182" s="43"/>
      <c r="B182" s="30"/>
      <c r="C182" s="30"/>
      <c r="D182" s="100"/>
      <c r="E182" s="100"/>
      <c r="F182" s="100"/>
      <c r="G182" s="100"/>
      <c r="H182" s="100"/>
      <c r="I182" s="31"/>
      <c r="J182" s="31"/>
      <c r="K182" s="31"/>
      <c r="L182" s="31"/>
      <c r="M182" s="31"/>
      <c r="N182" s="13"/>
    </row>
    <row r="183" spans="1:14" ht="15.75" customHeight="1">
      <c r="A183" s="43"/>
      <c r="B183" s="30"/>
      <c r="C183" s="30"/>
      <c r="D183" s="100"/>
      <c r="E183" s="100"/>
      <c r="F183" s="100"/>
      <c r="G183" s="100"/>
      <c r="H183" s="100"/>
      <c r="I183" s="31"/>
      <c r="J183" s="31"/>
      <c r="K183" s="31"/>
      <c r="L183" s="31"/>
      <c r="M183" s="31"/>
      <c r="N183" s="13"/>
    </row>
    <row r="184" spans="1:14" ht="15.75" customHeight="1">
      <c r="A184" s="43"/>
      <c r="B184" s="30"/>
      <c r="C184" s="30"/>
      <c r="D184" s="100"/>
      <c r="E184" s="100"/>
      <c r="F184" s="100"/>
      <c r="G184" s="100"/>
      <c r="H184" s="100"/>
      <c r="I184" s="31"/>
      <c r="J184" s="31"/>
      <c r="K184" s="31"/>
      <c r="L184" s="31"/>
      <c r="M184" s="31"/>
      <c r="N184" s="13"/>
    </row>
    <row r="185" spans="1:14" ht="15.75" customHeight="1">
      <c r="A185" s="43"/>
      <c r="B185" s="30"/>
      <c r="C185" s="30"/>
      <c r="D185" s="100"/>
      <c r="E185" s="100"/>
      <c r="F185" s="100"/>
      <c r="G185" s="100"/>
      <c r="H185" s="100"/>
      <c r="I185" s="31"/>
      <c r="J185" s="31"/>
      <c r="K185" s="31"/>
      <c r="L185" s="31"/>
      <c r="M185" s="31"/>
      <c r="N185" s="13"/>
    </row>
    <row r="186" spans="1:14" ht="15.75" customHeight="1">
      <c r="A186" s="43"/>
      <c r="B186" s="30"/>
      <c r="C186" s="30"/>
      <c r="D186" s="100"/>
      <c r="E186" s="100"/>
      <c r="F186" s="100"/>
      <c r="G186" s="100"/>
      <c r="H186" s="100"/>
      <c r="I186" s="31"/>
      <c r="J186" s="31"/>
      <c r="K186" s="31"/>
      <c r="L186" s="31"/>
      <c r="M186" s="31"/>
      <c r="N186" s="13"/>
    </row>
    <row r="187" spans="1:14" ht="15.75" customHeight="1">
      <c r="A187" s="43"/>
      <c r="B187" s="30"/>
      <c r="C187" s="30"/>
      <c r="D187" s="100"/>
      <c r="E187" s="100"/>
      <c r="F187" s="100"/>
      <c r="G187" s="100"/>
      <c r="H187" s="100"/>
      <c r="I187" s="31"/>
      <c r="J187" s="31"/>
      <c r="K187" s="31"/>
      <c r="L187" s="31"/>
      <c r="M187" s="31"/>
      <c r="N187" s="13"/>
    </row>
    <row r="188" spans="1:14" ht="15.75" customHeight="1">
      <c r="A188" s="43"/>
      <c r="B188" s="30"/>
      <c r="C188" s="30"/>
      <c r="D188" s="100"/>
      <c r="E188" s="100"/>
      <c r="F188" s="100"/>
      <c r="G188" s="100"/>
      <c r="H188" s="100"/>
      <c r="I188" s="31"/>
      <c r="J188" s="31"/>
      <c r="K188" s="31"/>
      <c r="L188" s="31"/>
      <c r="M188" s="31"/>
      <c r="N188" s="13"/>
    </row>
    <row r="189" spans="1:14" ht="15.75" customHeight="1">
      <c r="A189" s="43"/>
      <c r="B189" s="30"/>
      <c r="C189" s="30"/>
      <c r="D189" s="100"/>
      <c r="E189" s="100"/>
      <c r="F189" s="100"/>
      <c r="G189" s="100"/>
      <c r="H189" s="100"/>
      <c r="I189" s="31"/>
      <c r="J189" s="31"/>
      <c r="K189" s="31"/>
      <c r="L189" s="31"/>
      <c r="M189" s="31"/>
      <c r="N189" s="13"/>
    </row>
    <row r="190" spans="1:14" ht="15.75" customHeight="1">
      <c r="A190" s="43"/>
      <c r="B190" s="30"/>
      <c r="C190" s="30"/>
      <c r="D190" s="100"/>
      <c r="E190" s="100"/>
      <c r="F190" s="100"/>
      <c r="G190" s="100"/>
      <c r="H190" s="100"/>
      <c r="I190" s="31"/>
      <c r="J190" s="31"/>
      <c r="K190" s="31"/>
      <c r="L190" s="31"/>
      <c r="M190" s="31"/>
      <c r="N190" s="13"/>
    </row>
    <row r="191" spans="1:14" ht="15.75" customHeight="1">
      <c r="A191" s="43"/>
      <c r="B191" s="30"/>
      <c r="C191" s="30"/>
      <c r="D191" s="100"/>
      <c r="E191" s="100"/>
      <c r="F191" s="100"/>
      <c r="G191" s="100"/>
      <c r="H191" s="100"/>
      <c r="I191" s="31"/>
      <c r="J191" s="31"/>
      <c r="K191" s="31"/>
      <c r="L191" s="31"/>
      <c r="M191" s="31"/>
      <c r="N191" s="13"/>
    </row>
    <row r="192" spans="1:14" ht="15.75" customHeight="1">
      <c r="A192" s="43"/>
      <c r="B192" s="30"/>
      <c r="C192" s="30"/>
      <c r="D192" s="100"/>
      <c r="E192" s="100"/>
      <c r="F192" s="100"/>
      <c r="G192" s="100"/>
      <c r="H192" s="100"/>
      <c r="I192" s="31"/>
      <c r="J192" s="31"/>
      <c r="K192" s="31"/>
      <c r="L192" s="31"/>
      <c r="M192" s="31"/>
      <c r="N192" s="13"/>
    </row>
    <row r="193" spans="1:14" ht="15.75" customHeight="1">
      <c r="A193" s="43"/>
      <c r="B193" s="30"/>
      <c r="C193" s="30"/>
      <c r="D193" s="100"/>
      <c r="E193" s="100"/>
      <c r="F193" s="100"/>
      <c r="G193" s="100"/>
      <c r="H193" s="100"/>
      <c r="I193" s="31"/>
      <c r="J193" s="31"/>
      <c r="K193" s="31"/>
      <c r="L193" s="31"/>
      <c r="M193" s="31"/>
      <c r="N193" s="13"/>
    </row>
    <row r="194" spans="1:14" ht="15.75" customHeight="1">
      <c r="A194" s="43"/>
      <c r="B194" s="30"/>
      <c r="C194" s="30"/>
      <c r="D194" s="100"/>
      <c r="E194" s="100"/>
      <c r="F194" s="100"/>
      <c r="G194" s="100"/>
      <c r="H194" s="100"/>
      <c r="I194" s="31"/>
      <c r="J194" s="31"/>
      <c r="K194" s="31"/>
      <c r="L194" s="31"/>
      <c r="M194" s="31"/>
      <c r="N194" s="13"/>
    </row>
    <row r="195" spans="1:14" ht="15.75" customHeight="1">
      <c r="A195" s="43"/>
      <c r="B195" s="30"/>
      <c r="C195" s="30"/>
      <c r="D195" s="100"/>
      <c r="E195" s="100"/>
      <c r="F195" s="100"/>
      <c r="G195" s="100"/>
      <c r="H195" s="100"/>
      <c r="I195" s="31"/>
      <c r="J195" s="31"/>
      <c r="K195" s="31"/>
      <c r="L195" s="31"/>
      <c r="M195" s="31"/>
      <c r="N195" s="13"/>
    </row>
    <row r="196" spans="1:14" ht="15.75" customHeight="1">
      <c r="A196" s="43"/>
      <c r="B196" s="30"/>
      <c r="C196" s="30"/>
      <c r="D196" s="100"/>
      <c r="E196" s="100"/>
      <c r="F196" s="100"/>
      <c r="G196" s="100"/>
      <c r="H196" s="100"/>
      <c r="I196" s="31"/>
      <c r="J196" s="31"/>
      <c r="K196" s="31"/>
      <c r="L196" s="31"/>
      <c r="M196" s="31"/>
      <c r="N196" s="13"/>
    </row>
    <row r="197" spans="1:14" ht="15.75" customHeight="1">
      <c r="A197" s="43"/>
      <c r="B197" s="30"/>
      <c r="C197" s="30"/>
      <c r="D197" s="100"/>
      <c r="E197" s="100"/>
      <c r="F197" s="100"/>
      <c r="G197" s="100"/>
      <c r="H197" s="100"/>
      <c r="I197" s="31"/>
      <c r="J197" s="31"/>
      <c r="K197" s="31"/>
      <c r="L197" s="31"/>
      <c r="M197" s="31"/>
      <c r="N197" s="13"/>
    </row>
    <row r="198" spans="1:14" ht="15.75" customHeight="1">
      <c r="A198" s="43"/>
      <c r="B198" s="30"/>
      <c r="C198" s="30"/>
      <c r="D198" s="100"/>
      <c r="E198" s="100"/>
      <c r="F198" s="100"/>
      <c r="G198" s="100"/>
      <c r="H198" s="100"/>
      <c r="I198" s="31"/>
      <c r="J198" s="31"/>
      <c r="K198" s="31"/>
      <c r="L198" s="31"/>
      <c r="M198" s="31"/>
      <c r="N198" s="13"/>
    </row>
    <row r="199" spans="1:14" ht="15.75" customHeight="1">
      <c r="A199" s="43"/>
      <c r="B199" s="30"/>
      <c r="C199" s="30"/>
      <c r="D199" s="100"/>
      <c r="E199" s="100"/>
      <c r="F199" s="100"/>
      <c r="G199" s="100"/>
      <c r="H199" s="100"/>
      <c r="I199" s="31"/>
      <c r="J199" s="31"/>
      <c r="K199" s="31"/>
      <c r="L199" s="31"/>
      <c r="M199" s="31"/>
      <c r="N199" s="13"/>
    </row>
    <row r="200" spans="1:14" ht="15.75" customHeight="1">
      <c r="A200" s="43"/>
      <c r="B200" s="30"/>
      <c r="C200" s="30"/>
      <c r="D200" s="100"/>
      <c r="E200" s="100"/>
      <c r="F200" s="100"/>
      <c r="G200" s="100"/>
      <c r="H200" s="100"/>
      <c r="I200" s="31"/>
      <c r="J200" s="31"/>
      <c r="K200" s="31"/>
      <c r="L200" s="31"/>
      <c r="M200" s="31"/>
      <c r="N200" s="13"/>
    </row>
    <row r="201" spans="1:14" ht="15.75" customHeight="1">
      <c r="A201" s="43"/>
      <c r="B201" s="30"/>
      <c r="C201" s="30"/>
      <c r="D201" s="100"/>
      <c r="E201" s="100"/>
      <c r="F201" s="100"/>
      <c r="G201" s="100"/>
      <c r="H201" s="100"/>
      <c r="I201" s="31"/>
      <c r="J201" s="31"/>
      <c r="K201" s="31"/>
      <c r="L201" s="31"/>
      <c r="M201" s="31"/>
      <c r="N201" s="13"/>
    </row>
    <row r="202" spans="1:14" ht="15.75" customHeight="1">
      <c r="A202" s="43"/>
      <c r="B202" s="30"/>
      <c r="C202" s="30"/>
      <c r="D202" s="100"/>
      <c r="E202" s="100"/>
      <c r="F202" s="100"/>
      <c r="G202" s="100"/>
      <c r="H202" s="100"/>
      <c r="I202" s="31"/>
      <c r="J202" s="31"/>
      <c r="K202" s="31"/>
      <c r="L202" s="31"/>
      <c r="M202" s="31"/>
      <c r="N202" s="13"/>
    </row>
    <row r="203" spans="1:14" ht="15.75" customHeight="1">
      <c r="A203" s="43"/>
      <c r="B203" s="30"/>
      <c r="C203" s="30"/>
      <c r="D203" s="100"/>
      <c r="E203" s="100"/>
      <c r="F203" s="100"/>
      <c r="G203" s="100"/>
      <c r="H203" s="100"/>
      <c r="I203" s="31"/>
      <c r="J203" s="31"/>
      <c r="K203" s="31"/>
      <c r="L203" s="31"/>
      <c r="M203" s="31"/>
      <c r="N203" s="13"/>
    </row>
    <row r="204" spans="1:14" ht="15.75" customHeight="1">
      <c r="A204" s="43"/>
      <c r="B204" s="30"/>
      <c r="C204" s="30"/>
      <c r="D204" s="100"/>
      <c r="E204" s="100"/>
      <c r="F204" s="100"/>
      <c r="G204" s="100"/>
      <c r="H204" s="100"/>
      <c r="I204" s="31"/>
      <c r="J204" s="31"/>
      <c r="K204" s="31"/>
      <c r="L204" s="31"/>
      <c r="M204" s="31"/>
      <c r="N204" s="13"/>
    </row>
    <row r="205" spans="1:14" ht="15.75" customHeight="1">
      <c r="A205" s="43"/>
      <c r="B205" s="30"/>
      <c r="C205" s="30"/>
      <c r="D205" s="100"/>
      <c r="E205" s="100"/>
      <c r="F205" s="100"/>
      <c r="G205" s="100"/>
      <c r="H205" s="100"/>
      <c r="I205" s="31"/>
      <c r="J205" s="31"/>
      <c r="K205" s="31"/>
      <c r="L205" s="31"/>
      <c r="M205" s="31"/>
      <c r="N205" s="13"/>
    </row>
    <row r="206" spans="1:14" ht="15.75" customHeight="1">
      <c r="A206" s="43"/>
      <c r="B206" s="30"/>
      <c r="C206" s="30"/>
      <c r="D206" s="100"/>
      <c r="E206" s="100"/>
      <c r="F206" s="100"/>
      <c r="G206" s="100"/>
      <c r="H206" s="100"/>
      <c r="I206" s="31"/>
      <c r="J206" s="31"/>
      <c r="K206" s="31"/>
      <c r="L206" s="31"/>
      <c r="M206" s="31"/>
      <c r="N206" s="13"/>
    </row>
    <row r="207" spans="1:14" ht="15.75" customHeight="1">
      <c r="A207" s="43"/>
      <c r="B207" s="30"/>
      <c r="C207" s="30"/>
      <c r="D207" s="100"/>
      <c r="E207" s="100"/>
      <c r="F207" s="100"/>
      <c r="G207" s="100"/>
      <c r="H207" s="100"/>
      <c r="I207" s="31"/>
      <c r="J207" s="31"/>
      <c r="K207" s="31"/>
      <c r="L207" s="31"/>
      <c r="M207" s="31"/>
      <c r="N207" s="13"/>
    </row>
    <row r="208" spans="1:14" ht="15.75" customHeight="1">
      <c r="A208" s="43"/>
      <c r="B208" s="30"/>
      <c r="C208" s="30"/>
      <c r="D208" s="100"/>
      <c r="E208" s="100"/>
      <c r="F208" s="100"/>
      <c r="G208" s="100"/>
      <c r="H208" s="100"/>
      <c r="I208" s="31"/>
      <c r="J208" s="31"/>
      <c r="K208" s="31"/>
      <c r="L208" s="31"/>
      <c r="M208" s="31"/>
      <c r="N208" s="13"/>
    </row>
    <row r="209" spans="1:14" ht="15.75" customHeight="1">
      <c r="A209" s="43"/>
      <c r="B209" s="30"/>
      <c r="C209" s="30"/>
      <c r="D209" s="100"/>
      <c r="E209" s="100"/>
      <c r="F209" s="100"/>
      <c r="G209" s="100"/>
      <c r="H209" s="100"/>
      <c r="I209" s="31"/>
      <c r="J209" s="31"/>
      <c r="K209" s="31"/>
      <c r="L209" s="31"/>
      <c r="M209" s="31"/>
      <c r="N209" s="13"/>
    </row>
    <row r="210" spans="1:14" ht="15.75" customHeight="1">
      <c r="A210" s="43"/>
      <c r="B210" s="30"/>
      <c r="C210" s="30"/>
      <c r="D210" s="100"/>
      <c r="E210" s="100"/>
      <c r="F210" s="100"/>
      <c r="G210" s="100"/>
      <c r="H210" s="100"/>
      <c r="I210" s="31"/>
      <c r="J210" s="31"/>
      <c r="K210" s="31"/>
      <c r="L210" s="31"/>
      <c r="M210" s="31"/>
      <c r="N210" s="13"/>
    </row>
    <row r="211" spans="1:14" ht="15.75" customHeight="1">
      <c r="A211" s="43"/>
      <c r="B211" s="30"/>
      <c r="C211" s="30"/>
      <c r="D211" s="100"/>
      <c r="E211" s="100"/>
      <c r="F211" s="100"/>
      <c r="G211" s="100"/>
      <c r="H211" s="100"/>
      <c r="I211" s="31"/>
      <c r="J211" s="31"/>
      <c r="K211" s="31"/>
      <c r="L211" s="31"/>
      <c r="M211" s="31"/>
      <c r="N211" s="13"/>
    </row>
    <row r="212" spans="1:14" ht="15.75" customHeight="1">
      <c r="A212" s="43"/>
      <c r="B212" s="30"/>
      <c r="C212" s="30"/>
      <c r="D212" s="100"/>
      <c r="E212" s="100"/>
      <c r="F212" s="100"/>
      <c r="G212" s="100"/>
      <c r="H212" s="100"/>
      <c r="I212" s="31"/>
      <c r="J212" s="31"/>
      <c r="K212" s="31"/>
      <c r="L212" s="31"/>
      <c r="M212" s="31"/>
      <c r="N212" s="13"/>
    </row>
    <row r="213" spans="1:14" ht="15.75" customHeight="1">
      <c r="A213" s="43"/>
      <c r="B213" s="30"/>
      <c r="C213" s="30"/>
      <c r="D213" s="100"/>
      <c r="E213" s="100"/>
      <c r="F213" s="100"/>
      <c r="G213" s="100"/>
      <c r="H213" s="100"/>
      <c r="I213" s="31"/>
      <c r="J213" s="31"/>
      <c r="K213" s="31"/>
      <c r="L213" s="31"/>
      <c r="M213" s="31"/>
      <c r="N213" s="13"/>
    </row>
    <row r="214" spans="1:14" ht="15.75" customHeight="1">
      <c r="A214" s="43"/>
      <c r="B214" s="30"/>
      <c r="C214" s="30"/>
      <c r="D214" s="100"/>
      <c r="E214" s="100"/>
      <c r="F214" s="100"/>
      <c r="G214" s="100"/>
      <c r="H214" s="100"/>
      <c r="I214" s="31"/>
      <c r="J214" s="31"/>
      <c r="K214" s="31"/>
      <c r="L214" s="31"/>
      <c r="M214" s="31"/>
      <c r="N214" s="13"/>
    </row>
    <row r="215" spans="1:14" ht="15.75" customHeight="1">
      <c r="A215" s="43"/>
      <c r="B215" s="30"/>
      <c r="C215" s="30"/>
      <c r="D215" s="100"/>
      <c r="E215" s="100"/>
      <c r="F215" s="100"/>
      <c r="G215" s="100"/>
      <c r="H215" s="100"/>
      <c r="I215" s="31"/>
      <c r="J215" s="31"/>
      <c r="K215" s="31"/>
      <c r="L215" s="31"/>
      <c r="M215" s="31"/>
      <c r="N215" s="13"/>
    </row>
    <row r="216" spans="1:14" ht="15.75" customHeight="1">
      <c r="A216" s="43"/>
      <c r="B216" s="30"/>
      <c r="C216" s="30"/>
      <c r="D216" s="100"/>
      <c r="E216" s="100"/>
      <c r="F216" s="100"/>
      <c r="G216" s="100"/>
      <c r="H216" s="100"/>
      <c r="I216" s="31"/>
      <c r="J216" s="31"/>
      <c r="K216" s="31"/>
      <c r="L216" s="31"/>
      <c r="M216" s="31"/>
      <c r="N216" s="13"/>
    </row>
    <row r="217" spans="1:14" ht="15.75" customHeight="1">
      <c r="A217" s="43"/>
      <c r="B217" s="30"/>
      <c r="C217" s="30"/>
      <c r="D217" s="100"/>
      <c r="E217" s="100"/>
      <c r="F217" s="100"/>
      <c r="G217" s="100"/>
      <c r="H217" s="100"/>
      <c r="I217" s="31"/>
      <c r="J217" s="31"/>
      <c r="K217" s="31"/>
      <c r="L217" s="31"/>
      <c r="M217" s="31"/>
      <c r="N217" s="13"/>
    </row>
    <row r="218" spans="1:14" ht="15.75" customHeight="1">
      <c r="A218" s="43"/>
      <c r="B218" s="30"/>
      <c r="C218" s="30"/>
      <c r="D218" s="100"/>
      <c r="E218" s="100"/>
      <c r="F218" s="100"/>
      <c r="G218" s="100"/>
      <c r="H218" s="100"/>
      <c r="I218" s="31"/>
      <c r="J218" s="31"/>
      <c r="K218" s="31"/>
      <c r="L218" s="31"/>
      <c r="M218" s="31"/>
      <c r="N218" s="13"/>
    </row>
    <row r="219" spans="1:14" ht="15.75" customHeight="1">
      <c r="A219" s="43"/>
      <c r="B219" s="30"/>
      <c r="C219" s="30"/>
      <c r="D219" s="100"/>
      <c r="E219" s="100"/>
      <c r="F219" s="100"/>
      <c r="G219" s="100"/>
      <c r="H219" s="100"/>
      <c r="I219" s="31"/>
      <c r="J219" s="31"/>
      <c r="K219" s="31"/>
      <c r="L219" s="31"/>
      <c r="M219" s="31"/>
      <c r="N219" s="13"/>
    </row>
    <row r="220" spans="1:14" ht="15.75" customHeight="1">
      <c r="A220" s="43"/>
      <c r="B220" s="30"/>
      <c r="C220" s="30"/>
      <c r="D220" s="100"/>
      <c r="E220" s="100"/>
      <c r="F220" s="100"/>
      <c r="G220" s="100"/>
      <c r="H220" s="100"/>
      <c r="I220" s="31"/>
      <c r="J220" s="31"/>
      <c r="K220" s="31"/>
      <c r="L220" s="31"/>
      <c r="M220" s="31"/>
      <c r="N220" s="13"/>
    </row>
    <row r="221" spans="1:14" ht="15.75" customHeight="1">
      <c r="A221" s="43"/>
      <c r="B221" s="30"/>
      <c r="C221" s="30"/>
      <c r="D221" s="100"/>
      <c r="E221" s="100"/>
      <c r="F221" s="100"/>
      <c r="G221" s="100"/>
      <c r="H221" s="100"/>
      <c r="I221" s="31"/>
      <c r="J221" s="31"/>
      <c r="K221" s="31"/>
      <c r="L221" s="31"/>
      <c r="M221" s="31"/>
      <c r="N221" s="13"/>
    </row>
    <row r="222" spans="1:14" ht="15.75" customHeight="1">
      <c r="A222" s="43"/>
      <c r="B222" s="30"/>
      <c r="C222" s="30"/>
      <c r="D222" s="100"/>
      <c r="E222" s="100"/>
      <c r="F222" s="100"/>
      <c r="G222" s="100"/>
      <c r="H222" s="100"/>
      <c r="I222" s="31"/>
      <c r="J222" s="31"/>
      <c r="K222" s="31"/>
      <c r="L222" s="31"/>
      <c r="M222" s="31"/>
      <c r="N222" s="13"/>
    </row>
    <row r="223" spans="1:14" ht="15.75" customHeight="1">
      <c r="A223" s="43"/>
      <c r="B223" s="30"/>
      <c r="C223" s="30"/>
      <c r="D223" s="100"/>
      <c r="E223" s="100"/>
      <c r="F223" s="100"/>
      <c r="G223" s="100"/>
      <c r="H223" s="100"/>
      <c r="I223" s="31"/>
      <c r="J223" s="31"/>
      <c r="K223" s="31"/>
      <c r="L223" s="31"/>
      <c r="M223" s="31"/>
      <c r="N223" s="13"/>
    </row>
    <row r="224" spans="1:14" ht="15.75" customHeight="1">
      <c r="A224" s="43"/>
      <c r="B224" s="30"/>
      <c r="C224" s="30"/>
      <c r="D224" s="100"/>
      <c r="E224" s="100"/>
      <c r="F224" s="100"/>
      <c r="G224" s="100"/>
      <c r="H224" s="100"/>
      <c r="I224" s="31"/>
      <c r="J224" s="31"/>
      <c r="K224" s="31"/>
      <c r="L224" s="31"/>
      <c r="M224" s="31"/>
      <c r="N224" s="13"/>
    </row>
    <row r="225" spans="1:14" ht="15.75" customHeight="1">
      <c r="A225" s="43"/>
      <c r="B225" s="30"/>
      <c r="C225" s="30"/>
      <c r="D225" s="100"/>
      <c r="E225" s="100"/>
      <c r="F225" s="100"/>
      <c r="G225" s="100"/>
      <c r="H225" s="100"/>
      <c r="I225" s="31"/>
      <c r="J225" s="31"/>
      <c r="K225" s="31"/>
      <c r="L225" s="31"/>
      <c r="M225" s="31"/>
      <c r="N225" s="13"/>
    </row>
    <row r="226" spans="1:14" ht="15.75" customHeight="1">
      <c r="A226" s="43"/>
      <c r="B226" s="30"/>
      <c r="C226" s="30"/>
      <c r="D226" s="100"/>
      <c r="E226" s="100"/>
      <c r="F226" s="100"/>
      <c r="G226" s="100"/>
      <c r="H226" s="100"/>
      <c r="I226" s="31"/>
      <c r="J226" s="31"/>
      <c r="K226" s="31"/>
      <c r="L226" s="31"/>
      <c r="M226" s="31"/>
      <c r="N226" s="13"/>
    </row>
    <row r="227" spans="1:14" ht="15.75" customHeight="1">
      <c r="A227" s="43"/>
      <c r="B227" s="30"/>
      <c r="C227" s="30"/>
      <c r="D227" s="100"/>
      <c r="E227" s="100"/>
      <c r="F227" s="100"/>
      <c r="G227" s="100"/>
      <c r="H227" s="100"/>
      <c r="I227" s="31"/>
      <c r="J227" s="31"/>
      <c r="K227" s="31"/>
      <c r="L227" s="31"/>
      <c r="M227" s="31"/>
      <c r="N227" s="13"/>
    </row>
    <row r="228" spans="1:14" ht="15.75" customHeight="1">
      <c r="A228" s="43"/>
      <c r="B228" s="30"/>
      <c r="C228" s="30"/>
      <c r="D228" s="100"/>
      <c r="E228" s="100"/>
      <c r="F228" s="100"/>
      <c r="G228" s="100"/>
      <c r="H228" s="100"/>
      <c r="I228" s="31"/>
      <c r="J228" s="31"/>
      <c r="K228" s="31"/>
      <c r="L228" s="31"/>
      <c r="M228" s="31"/>
      <c r="N228" s="13"/>
    </row>
    <row r="229" spans="1:14" ht="15.75" customHeight="1">
      <c r="A229" s="43"/>
      <c r="B229" s="30"/>
      <c r="C229" s="30"/>
      <c r="D229" s="100"/>
      <c r="E229" s="100"/>
      <c r="F229" s="100"/>
      <c r="G229" s="100"/>
      <c r="H229" s="100"/>
      <c r="I229" s="31"/>
      <c r="J229" s="31"/>
      <c r="K229" s="31"/>
      <c r="L229" s="31"/>
      <c r="M229" s="31"/>
      <c r="N229" s="13"/>
    </row>
    <row r="230" spans="1:14" ht="15.75" customHeight="1">
      <c r="A230" s="43"/>
      <c r="B230" s="30"/>
      <c r="C230" s="30"/>
      <c r="D230" s="100"/>
      <c r="E230" s="100"/>
      <c r="F230" s="100"/>
      <c r="G230" s="100"/>
      <c r="H230" s="100"/>
      <c r="I230" s="31"/>
      <c r="J230" s="31"/>
      <c r="K230" s="31"/>
      <c r="L230" s="31"/>
      <c r="M230" s="31"/>
      <c r="N230" s="13"/>
    </row>
    <row r="231" spans="1:14" ht="15.75" customHeight="1">
      <c r="A231" s="43"/>
      <c r="B231" s="30"/>
      <c r="C231" s="30"/>
      <c r="D231" s="100"/>
      <c r="E231" s="100"/>
      <c r="F231" s="100"/>
      <c r="G231" s="100"/>
      <c r="H231" s="100"/>
      <c r="I231" s="31"/>
      <c r="J231" s="31"/>
      <c r="K231" s="31"/>
      <c r="L231" s="31"/>
      <c r="M231" s="31"/>
      <c r="N231" s="13"/>
    </row>
    <row r="232" spans="1:14" ht="15.75" customHeight="1">
      <c r="A232" s="43"/>
      <c r="B232" s="30"/>
      <c r="C232" s="30"/>
      <c r="D232" s="100"/>
      <c r="E232" s="100"/>
      <c r="F232" s="100"/>
      <c r="G232" s="100"/>
      <c r="H232" s="100"/>
      <c r="I232" s="31"/>
      <c r="J232" s="31"/>
      <c r="K232" s="31"/>
      <c r="L232" s="31"/>
      <c r="M232" s="31"/>
      <c r="N232" s="13"/>
    </row>
    <row r="233" spans="1:14" ht="15.75" customHeight="1">
      <c r="A233" s="43"/>
      <c r="B233" s="30"/>
      <c r="C233" s="30"/>
      <c r="D233" s="100"/>
      <c r="E233" s="100"/>
      <c r="F233" s="100"/>
      <c r="G233" s="100"/>
      <c r="H233" s="100"/>
      <c r="I233" s="31"/>
      <c r="J233" s="31"/>
      <c r="K233" s="31"/>
      <c r="L233" s="31"/>
      <c r="M233" s="31"/>
      <c r="N233" s="13"/>
    </row>
    <row r="234" spans="1:14" ht="15.75" customHeight="1">
      <c r="A234" s="43"/>
      <c r="B234" s="30"/>
      <c r="C234" s="30"/>
      <c r="D234" s="100"/>
      <c r="E234" s="100"/>
      <c r="F234" s="100"/>
      <c r="G234" s="100"/>
      <c r="H234" s="100"/>
      <c r="I234" s="31"/>
      <c r="J234" s="31"/>
      <c r="K234" s="31"/>
      <c r="L234" s="31"/>
      <c r="M234" s="31"/>
      <c r="N234" s="13"/>
    </row>
    <row r="235" spans="1:14" ht="15.75" customHeight="1">
      <c r="A235" s="43"/>
      <c r="B235" s="30"/>
      <c r="C235" s="30"/>
      <c r="D235" s="100"/>
      <c r="E235" s="100"/>
      <c r="F235" s="100"/>
      <c r="G235" s="100"/>
      <c r="H235" s="100"/>
      <c r="I235" s="31"/>
      <c r="J235" s="31"/>
      <c r="K235" s="31"/>
      <c r="L235" s="31"/>
      <c r="M235" s="31"/>
      <c r="N235" s="13"/>
    </row>
    <row r="236" spans="1:14" ht="15.75" customHeight="1">
      <c r="A236" s="43"/>
      <c r="B236" s="30"/>
      <c r="C236" s="30"/>
      <c r="D236" s="100"/>
      <c r="E236" s="100"/>
      <c r="F236" s="100"/>
      <c r="G236" s="100"/>
      <c r="H236" s="100"/>
      <c r="I236" s="31"/>
      <c r="J236" s="31"/>
      <c r="K236" s="31"/>
      <c r="L236" s="31"/>
      <c r="M236" s="31"/>
      <c r="N236" s="13"/>
    </row>
    <row r="237" spans="1:14" ht="15.75" customHeight="1">
      <c r="A237" s="43"/>
      <c r="B237" s="30"/>
      <c r="C237" s="30"/>
      <c r="D237" s="100"/>
      <c r="E237" s="100"/>
      <c r="F237" s="100"/>
      <c r="G237" s="100"/>
      <c r="H237" s="100"/>
      <c r="I237" s="31"/>
      <c r="J237" s="31"/>
      <c r="K237" s="31"/>
      <c r="L237" s="31"/>
      <c r="M237" s="31"/>
      <c r="N237" s="13"/>
    </row>
    <row r="238" spans="1:14" ht="15.75" customHeight="1">
      <c r="A238" s="43"/>
      <c r="B238" s="30"/>
      <c r="C238" s="30"/>
      <c r="D238" s="100"/>
      <c r="E238" s="100"/>
      <c r="F238" s="100"/>
      <c r="G238" s="100"/>
      <c r="H238" s="100"/>
      <c r="I238" s="31"/>
      <c r="J238" s="31"/>
      <c r="K238" s="31"/>
      <c r="L238" s="31"/>
      <c r="M238" s="31"/>
      <c r="N238" s="13"/>
    </row>
    <row r="239" spans="1:14" ht="15.75" customHeight="1">
      <c r="A239" s="43"/>
      <c r="B239" s="30"/>
      <c r="C239" s="30"/>
      <c r="D239" s="100"/>
      <c r="E239" s="100"/>
      <c r="F239" s="100"/>
      <c r="G239" s="100"/>
      <c r="H239" s="100"/>
      <c r="I239" s="31"/>
      <c r="J239" s="31"/>
      <c r="K239" s="31"/>
      <c r="L239" s="31"/>
      <c r="M239" s="31"/>
      <c r="N239" s="13"/>
    </row>
    <row r="240" spans="1:14" ht="15.75" customHeight="1">
      <c r="A240" s="43"/>
      <c r="B240" s="30"/>
      <c r="C240" s="30"/>
      <c r="D240" s="100"/>
      <c r="E240" s="100"/>
      <c r="F240" s="100"/>
      <c r="G240" s="100"/>
      <c r="H240" s="100"/>
      <c r="I240" s="31"/>
      <c r="J240" s="31"/>
      <c r="K240" s="31"/>
      <c r="L240" s="31"/>
      <c r="M240" s="31"/>
      <c r="N240" s="13"/>
    </row>
    <row r="241" spans="1:14" ht="15.75" customHeight="1">
      <c r="A241" s="43"/>
      <c r="B241" s="30"/>
      <c r="C241" s="30"/>
      <c r="D241" s="100"/>
      <c r="E241" s="100"/>
      <c r="F241" s="100"/>
      <c r="G241" s="100"/>
      <c r="H241" s="100"/>
      <c r="I241" s="31"/>
      <c r="J241" s="31"/>
      <c r="K241" s="31"/>
      <c r="L241" s="31"/>
      <c r="M241" s="31"/>
      <c r="N241" s="13"/>
    </row>
    <row r="242" spans="1:14" ht="15.75" customHeight="1">
      <c r="A242" s="43"/>
      <c r="B242" s="30"/>
      <c r="C242" s="30"/>
      <c r="D242" s="100"/>
      <c r="E242" s="100"/>
      <c r="F242" s="100"/>
      <c r="G242" s="100"/>
      <c r="H242" s="100"/>
      <c r="I242" s="31"/>
      <c r="J242" s="31"/>
      <c r="K242" s="31"/>
      <c r="L242" s="31"/>
      <c r="M242" s="31"/>
      <c r="N242" s="13"/>
    </row>
    <row r="243" spans="1:14" ht="15.75" customHeight="1">
      <c r="A243" s="43"/>
      <c r="B243" s="30"/>
      <c r="C243" s="30"/>
      <c r="D243" s="100"/>
      <c r="E243" s="100"/>
      <c r="F243" s="100"/>
      <c r="G243" s="100"/>
      <c r="H243" s="100"/>
      <c r="I243" s="31"/>
      <c r="J243" s="31"/>
      <c r="K243" s="31"/>
      <c r="L243" s="31"/>
      <c r="M243" s="31"/>
      <c r="N243" s="13"/>
    </row>
    <row r="244" spans="1:14" ht="15.75" customHeight="1">
      <c r="A244" s="43"/>
      <c r="B244" s="30"/>
      <c r="C244" s="30"/>
      <c r="D244" s="100"/>
      <c r="E244" s="100"/>
      <c r="F244" s="100"/>
      <c r="G244" s="100"/>
      <c r="H244" s="100"/>
      <c r="I244" s="31"/>
      <c r="J244" s="31"/>
      <c r="K244" s="31"/>
      <c r="L244" s="31"/>
      <c r="M244" s="31"/>
      <c r="N244" s="13"/>
    </row>
    <row r="245" spans="1:14" ht="15.75" customHeight="1">
      <c r="A245" s="43"/>
      <c r="B245" s="30"/>
      <c r="C245" s="30"/>
      <c r="D245" s="100"/>
      <c r="E245" s="100"/>
      <c r="F245" s="100"/>
      <c r="G245" s="100"/>
      <c r="H245" s="100"/>
      <c r="I245" s="31"/>
      <c r="J245" s="31"/>
      <c r="K245" s="31"/>
      <c r="L245" s="31"/>
      <c r="M245" s="31"/>
      <c r="N245" s="13"/>
    </row>
    <row r="246" spans="1:14" ht="15.75" customHeight="1">
      <c r="A246" s="43"/>
      <c r="B246" s="30"/>
      <c r="C246" s="30"/>
      <c r="D246" s="100"/>
      <c r="E246" s="100"/>
      <c r="F246" s="100"/>
      <c r="G246" s="100"/>
      <c r="H246" s="100"/>
      <c r="I246" s="31"/>
      <c r="J246" s="31"/>
      <c r="K246" s="31"/>
      <c r="L246" s="31"/>
      <c r="M246" s="31"/>
      <c r="N246" s="13"/>
    </row>
    <row r="247" spans="1:14" ht="15.75" customHeight="1">
      <c r="A247" s="43"/>
      <c r="B247" s="30"/>
      <c r="C247" s="30"/>
      <c r="D247" s="100"/>
      <c r="E247" s="100"/>
      <c r="F247" s="100"/>
      <c r="G247" s="100"/>
      <c r="H247" s="100"/>
      <c r="I247" s="31"/>
      <c r="J247" s="31"/>
      <c r="K247" s="31"/>
      <c r="L247" s="31"/>
      <c r="M247" s="31"/>
      <c r="N247" s="13"/>
    </row>
    <row r="248" spans="1:14" ht="15.75" customHeight="1">
      <c r="A248" s="43"/>
      <c r="B248" s="30"/>
      <c r="C248" s="30"/>
      <c r="D248" s="100"/>
      <c r="E248" s="100"/>
      <c r="F248" s="100"/>
      <c r="G248" s="100"/>
      <c r="H248" s="100"/>
      <c r="I248" s="31"/>
      <c r="J248" s="31"/>
      <c r="K248" s="31"/>
      <c r="L248" s="31"/>
      <c r="M248" s="31"/>
      <c r="N248" s="13"/>
    </row>
    <row r="249" spans="1:14" ht="15.75" customHeight="1">
      <c r="A249" s="43"/>
      <c r="B249" s="30"/>
      <c r="C249" s="30"/>
      <c r="D249" s="100"/>
      <c r="E249" s="100"/>
      <c r="F249" s="100"/>
      <c r="G249" s="100"/>
      <c r="H249" s="100"/>
      <c r="I249" s="31"/>
      <c r="J249" s="31"/>
      <c r="K249" s="31"/>
      <c r="L249" s="31"/>
      <c r="M249" s="31"/>
      <c r="N249" s="13"/>
    </row>
    <row r="250" spans="1:14" ht="15.75" customHeight="1">
      <c r="A250" s="43"/>
      <c r="B250" s="30"/>
      <c r="C250" s="30"/>
      <c r="D250" s="100"/>
      <c r="E250" s="100"/>
      <c r="F250" s="100"/>
      <c r="G250" s="100"/>
      <c r="H250" s="100"/>
      <c r="I250" s="31"/>
      <c r="J250" s="31"/>
      <c r="K250" s="31"/>
      <c r="L250" s="31"/>
      <c r="M250" s="31"/>
      <c r="N250" s="13"/>
    </row>
    <row r="251" spans="1:14" ht="15.75" customHeight="1">
      <c r="A251" s="43"/>
      <c r="B251" s="30"/>
      <c r="C251" s="30"/>
      <c r="D251" s="100"/>
      <c r="E251" s="100"/>
      <c r="F251" s="100"/>
      <c r="G251" s="100"/>
      <c r="H251" s="100"/>
      <c r="I251" s="31"/>
      <c r="J251" s="31"/>
      <c r="K251" s="31"/>
      <c r="L251" s="31"/>
      <c r="M251" s="31"/>
      <c r="N251" s="13"/>
    </row>
    <row r="252" spans="1:14" ht="15.75" customHeight="1">
      <c r="A252" s="43"/>
      <c r="B252" s="30"/>
      <c r="C252" s="30"/>
      <c r="D252" s="100"/>
      <c r="E252" s="100"/>
      <c r="F252" s="100"/>
      <c r="G252" s="100"/>
      <c r="H252" s="100"/>
      <c r="I252" s="31"/>
      <c r="J252" s="31"/>
      <c r="K252" s="31"/>
      <c r="L252" s="31"/>
      <c r="M252" s="31"/>
      <c r="N252" s="13"/>
    </row>
    <row r="253" spans="1:14" ht="15.75" customHeight="1">
      <c r="A253" s="43"/>
      <c r="B253" s="30"/>
      <c r="C253" s="30"/>
      <c r="D253" s="100"/>
      <c r="E253" s="100"/>
      <c r="F253" s="100"/>
      <c r="G253" s="100"/>
      <c r="H253" s="100"/>
      <c r="I253" s="31"/>
      <c r="J253" s="31"/>
      <c r="K253" s="31"/>
      <c r="L253" s="31"/>
      <c r="M253" s="31"/>
      <c r="N253" s="13"/>
    </row>
    <row r="254" spans="1:14" ht="15.75" customHeight="1">
      <c r="A254" s="43"/>
      <c r="B254" s="30"/>
      <c r="C254" s="30"/>
      <c r="D254" s="100"/>
      <c r="E254" s="100"/>
      <c r="F254" s="100"/>
      <c r="G254" s="100"/>
      <c r="H254" s="100"/>
      <c r="I254" s="31"/>
      <c r="J254" s="31"/>
      <c r="K254" s="31"/>
      <c r="L254" s="31"/>
      <c r="M254" s="31"/>
      <c r="N254" s="13"/>
    </row>
    <row r="255" spans="1:14" ht="15.75" customHeight="1">
      <c r="A255" s="43"/>
      <c r="B255" s="30"/>
      <c r="C255" s="30"/>
      <c r="D255" s="100"/>
      <c r="E255" s="100"/>
      <c r="F255" s="100"/>
      <c r="G255" s="100"/>
      <c r="H255" s="100"/>
      <c r="I255" s="31"/>
      <c r="J255" s="31"/>
      <c r="K255" s="31"/>
      <c r="L255" s="31"/>
      <c r="M255" s="31"/>
      <c r="N255" s="13"/>
    </row>
    <row r="256" spans="1:14" ht="15.75" customHeight="1">
      <c r="A256" s="43"/>
      <c r="B256" s="30"/>
      <c r="C256" s="30"/>
      <c r="D256" s="100"/>
      <c r="E256" s="100"/>
      <c r="F256" s="100"/>
      <c r="G256" s="100"/>
      <c r="H256" s="100"/>
      <c r="I256" s="31"/>
      <c r="J256" s="31"/>
      <c r="K256" s="31"/>
      <c r="L256" s="31"/>
      <c r="M256" s="31"/>
      <c r="N256" s="13"/>
    </row>
    <row r="257" spans="1:14" ht="15.75" customHeight="1">
      <c r="A257" s="43"/>
      <c r="B257" s="30"/>
      <c r="C257" s="30"/>
      <c r="D257" s="100"/>
      <c r="E257" s="100"/>
      <c r="F257" s="100"/>
      <c r="G257" s="100"/>
      <c r="H257" s="100"/>
      <c r="I257" s="31"/>
      <c r="J257" s="31"/>
      <c r="K257" s="31"/>
      <c r="L257" s="31"/>
      <c r="M257" s="31"/>
      <c r="N257" s="13"/>
    </row>
    <row r="258" spans="1:14" ht="15.75" customHeight="1">
      <c r="A258" s="43"/>
      <c r="B258" s="30"/>
      <c r="C258" s="30"/>
      <c r="D258" s="100"/>
      <c r="E258" s="100"/>
      <c r="F258" s="100"/>
      <c r="G258" s="100"/>
      <c r="H258" s="100"/>
      <c r="I258" s="31"/>
      <c r="J258" s="31"/>
      <c r="K258" s="31"/>
      <c r="L258" s="31"/>
      <c r="M258" s="31"/>
      <c r="N258" s="13"/>
    </row>
    <row r="259" spans="1:14" ht="15.75" customHeight="1">
      <c r="A259" s="43"/>
      <c r="B259" s="30"/>
      <c r="C259" s="30"/>
      <c r="D259" s="100"/>
      <c r="E259" s="100"/>
      <c r="F259" s="100"/>
      <c r="G259" s="100"/>
      <c r="H259" s="100"/>
      <c r="I259" s="31"/>
      <c r="J259" s="31"/>
      <c r="K259" s="31"/>
      <c r="L259" s="31"/>
      <c r="M259" s="31"/>
      <c r="N259" s="13"/>
    </row>
    <row r="260" spans="1:14" ht="15.75" customHeight="1">
      <c r="A260" s="43"/>
      <c r="B260" s="30"/>
      <c r="C260" s="30"/>
      <c r="D260" s="100"/>
      <c r="E260" s="100"/>
      <c r="F260" s="100"/>
      <c r="G260" s="100"/>
      <c r="H260" s="100"/>
      <c r="I260" s="31"/>
      <c r="J260" s="31"/>
      <c r="K260" s="31"/>
      <c r="L260" s="31"/>
      <c r="M260" s="31"/>
      <c r="N260" s="13"/>
    </row>
    <row r="261" spans="1:14" ht="15.75" customHeight="1">
      <c r="A261" s="43"/>
      <c r="B261" s="30"/>
      <c r="C261" s="30"/>
      <c r="D261" s="100"/>
      <c r="E261" s="100"/>
      <c r="F261" s="100"/>
      <c r="G261" s="100"/>
      <c r="H261" s="100"/>
      <c r="I261" s="31"/>
      <c r="J261" s="31"/>
      <c r="K261" s="31"/>
      <c r="L261" s="31"/>
      <c r="M261" s="31"/>
      <c r="N261" s="13"/>
    </row>
    <row r="262" spans="1:14" ht="15.75" customHeight="1">
      <c r="A262" s="43"/>
      <c r="B262" s="30"/>
      <c r="C262" s="30"/>
      <c r="D262" s="100"/>
      <c r="E262" s="100"/>
      <c r="F262" s="100"/>
      <c r="G262" s="100"/>
      <c r="H262" s="100"/>
      <c r="I262" s="31"/>
      <c r="J262" s="31"/>
      <c r="K262" s="31"/>
      <c r="L262" s="31"/>
      <c r="M262" s="31"/>
      <c r="N262" s="13"/>
    </row>
    <row r="263" spans="1:14" ht="15.75" customHeight="1">
      <c r="A263" s="43"/>
      <c r="B263" s="30"/>
      <c r="C263" s="30"/>
      <c r="D263" s="100"/>
      <c r="E263" s="100"/>
      <c r="F263" s="100"/>
      <c r="G263" s="100"/>
      <c r="H263" s="100"/>
      <c r="I263" s="31"/>
      <c r="J263" s="31"/>
      <c r="K263" s="31"/>
      <c r="L263" s="31"/>
      <c r="M263" s="31"/>
      <c r="N263" s="13"/>
    </row>
    <row r="264" spans="1:14" ht="15.75" customHeight="1">
      <c r="A264" s="43"/>
      <c r="B264" s="30"/>
      <c r="C264" s="30"/>
      <c r="D264" s="100"/>
      <c r="E264" s="100"/>
      <c r="F264" s="100"/>
      <c r="G264" s="100"/>
      <c r="H264" s="100"/>
      <c r="I264" s="31"/>
      <c r="J264" s="31"/>
      <c r="K264" s="31"/>
      <c r="L264" s="31"/>
      <c r="M264" s="31"/>
      <c r="N264" s="13"/>
    </row>
    <row r="265" spans="1:14" ht="15.75" customHeight="1">
      <c r="A265" s="43"/>
      <c r="B265" s="30"/>
      <c r="C265" s="30"/>
      <c r="D265" s="100"/>
      <c r="E265" s="100"/>
      <c r="F265" s="100"/>
      <c r="G265" s="100"/>
      <c r="H265" s="100"/>
      <c r="I265" s="31"/>
      <c r="J265" s="31"/>
      <c r="K265" s="31"/>
      <c r="L265" s="31"/>
      <c r="M265" s="31"/>
      <c r="N265" s="13"/>
    </row>
    <row r="266" spans="1:14" ht="15.75" customHeight="1">
      <c r="A266" s="43"/>
      <c r="B266" s="30"/>
      <c r="C266" s="30"/>
      <c r="D266" s="100"/>
      <c r="E266" s="100"/>
      <c r="F266" s="100"/>
      <c r="G266" s="100"/>
      <c r="H266" s="100"/>
      <c r="I266" s="31"/>
      <c r="J266" s="31"/>
      <c r="K266" s="31"/>
      <c r="L266" s="31"/>
      <c r="M266" s="31"/>
      <c r="N266" s="13"/>
    </row>
    <row r="267" spans="1:14" ht="15.75" customHeight="1">
      <c r="A267" s="43"/>
      <c r="B267" s="30"/>
      <c r="C267" s="30"/>
      <c r="D267" s="100"/>
      <c r="E267" s="100"/>
      <c r="F267" s="100"/>
      <c r="G267" s="100"/>
      <c r="H267" s="100"/>
      <c r="I267" s="31"/>
      <c r="J267" s="31"/>
      <c r="K267" s="31"/>
      <c r="L267" s="31"/>
      <c r="M267" s="31"/>
      <c r="N267" s="13"/>
    </row>
    <row r="268" spans="1:14" ht="15.75" customHeight="1">
      <c r="A268" s="43"/>
      <c r="B268" s="30"/>
      <c r="C268" s="30"/>
      <c r="D268" s="100"/>
      <c r="E268" s="100"/>
      <c r="F268" s="100"/>
      <c r="G268" s="100"/>
      <c r="H268" s="100"/>
      <c r="I268" s="31"/>
      <c r="J268" s="31"/>
      <c r="K268" s="31"/>
      <c r="L268" s="31"/>
      <c r="M268" s="31"/>
      <c r="N268" s="13"/>
    </row>
    <row r="269" spans="1:14" ht="15.75" customHeight="1"/>
    <row r="270" spans="1:14" ht="15.75" customHeight="1"/>
    <row r="271" spans="1:14" ht="15.75" customHeight="1"/>
    <row r="272" spans="1:1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honeticPr fontId="22" type="noConversion"/>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2015</vt:lpstr>
      <vt:lpstr>2016</vt:lpstr>
      <vt:lpstr>2017</vt:lpstr>
      <vt:lpstr>2018</vt:lpstr>
      <vt:lpstr>2019</vt:lpstr>
      <vt:lpstr>2020</vt:lpstr>
      <vt:lpstr>2021</vt:lpstr>
      <vt:lpstr>2022</vt:lpstr>
      <vt:lpstr>2023</vt:lpstr>
      <vt:lpstr>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葉佩純</dc:creator>
  <cp:lastModifiedBy>葉佩純 YEH PEI-CHUN</cp:lastModifiedBy>
  <dcterms:created xsi:type="dcterms:W3CDTF">2024-09-24T07:15:57Z</dcterms:created>
  <dcterms:modified xsi:type="dcterms:W3CDTF">2026-06-24T06:54:56Z</dcterms:modified>
</cp:coreProperties>
</file>