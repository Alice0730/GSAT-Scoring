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T8252\Desktop\2026年各專案\PONE-D-26-11871\題目_answer(新增模型)\"/>
    </mc:Choice>
  </mc:AlternateContent>
  <xr:revisionPtr revIDLastSave="0" documentId="13_ncr:1_{E63D053A-C787-4766-A74F-45CA1B4C0A1D}" xr6:coauthVersionLast="47" xr6:coauthVersionMax="47" xr10:uidLastSave="{00000000-0000-0000-0000-000000000000}"/>
  <bookViews>
    <workbookView xWindow="28680" yWindow="-120" windowWidth="29040" windowHeight="15720" xr2:uid="{00000000-000D-0000-FFFF-FFFF00000000}"/>
  </bookViews>
  <sheets>
    <sheet name="2015" sheetId="2" r:id="rId1"/>
    <sheet name="2016" sheetId="3" r:id="rId2"/>
    <sheet name="2017" sheetId="4" r:id="rId3"/>
    <sheet name="2018" sheetId="5" r:id="rId4"/>
    <sheet name="2019" sheetId="6" r:id="rId5"/>
    <sheet name="2020" sheetId="7" r:id="rId6"/>
    <sheet name="2021" sheetId="8" r:id="rId7"/>
    <sheet name="2022" sheetId="9" r:id="rId8"/>
    <sheet name="2023" sheetId="10" r:id="rId9"/>
    <sheet name="2024" sheetId="11" r:id="rId10"/>
  </sheets>
  <definedNames>
    <definedName name="_xlnm._FilterDatabase" localSheetId="3" hidden="1">'2018'!$A$1:$Q$53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5" l="1"/>
  <c r="O2" i="5"/>
  <c r="P2" i="5"/>
  <c r="Q2" i="5"/>
  <c r="N3" i="5"/>
  <c r="O3" i="5"/>
  <c r="P3" i="5"/>
  <c r="Q3" i="5"/>
  <c r="N4" i="5"/>
  <c r="O4" i="5"/>
  <c r="P4" i="5"/>
  <c r="Q4" i="5"/>
  <c r="N5" i="5"/>
  <c r="O5" i="5"/>
  <c r="P5" i="5"/>
  <c r="Q5" i="5"/>
  <c r="N6" i="5"/>
  <c r="O6" i="5"/>
  <c r="P6" i="5"/>
  <c r="Q6" i="5"/>
  <c r="N7" i="5"/>
  <c r="O7" i="5"/>
  <c r="P7" i="5"/>
  <c r="Q7" i="5"/>
  <c r="N8" i="5"/>
  <c r="O8" i="5"/>
  <c r="P8" i="5"/>
  <c r="Q8" i="5"/>
  <c r="N9" i="5"/>
  <c r="O9" i="5"/>
  <c r="P9" i="5"/>
  <c r="Q9" i="5"/>
  <c r="N10" i="5"/>
  <c r="O10" i="5"/>
  <c r="P10" i="5"/>
  <c r="Q10" i="5"/>
  <c r="N11" i="5"/>
  <c r="O11" i="5"/>
  <c r="P11" i="5"/>
  <c r="Q11" i="5"/>
  <c r="N12" i="5"/>
  <c r="O12" i="5"/>
  <c r="P12" i="5"/>
  <c r="Q12" i="5"/>
  <c r="N14" i="5"/>
  <c r="O14" i="5"/>
  <c r="P14" i="5"/>
  <c r="Q14" i="5"/>
  <c r="N15" i="5"/>
  <c r="O15" i="5"/>
  <c r="P15" i="5"/>
  <c r="Q15" i="5"/>
  <c r="N16" i="5"/>
  <c r="O16" i="5"/>
  <c r="P16" i="5"/>
  <c r="Q16" i="5"/>
  <c r="N18" i="5"/>
  <c r="O18" i="5"/>
  <c r="P18" i="5"/>
  <c r="Q18" i="5"/>
  <c r="N19" i="5"/>
  <c r="O19" i="5"/>
  <c r="P19" i="5"/>
  <c r="Q19" i="5"/>
  <c r="N21" i="5"/>
  <c r="O21" i="5"/>
  <c r="P21" i="5"/>
  <c r="Q21" i="5"/>
  <c r="N22" i="5"/>
  <c r="O22" i="5"/>
  <c r="P22" i="5"/>
  <c r="Q22" i="5"/>
  <c r="N24" i="5"/>
  <c r="O24" i="5"/>
  <c r="P24" i="5"/>
  <c r="Q24" i="5"/>
  <c r="N25" i="5"/>
  <c r="O25" i="5"/>
  <c r="P25" i="5"/>
  <c r="Q25" i="5"/>
  <c r="N27" i="5"/>
  <c r="O27" i="5"/>
  <c r="P27" i="5"/>
  <c r="Q27" i="5"/>
  <c r="N28" i="5"/>
  <c r="O28" i="5"/>
  <c r="P28" i="5"/>
  <c r="Q28" i="5"/>
  <c r="N29" i="5"/>
  <c r="O29" i="5"/>
  <c r="P29" i="5"/>
  <c r="Q29" i="5"/>
  <c r="N30" i="5"/>
  <c r="O30" i="5"/>
  <c r="P30" i="5"/>
  <c r="Q30" i="5"/>
  <c r="N32" i="5"/>
  <c r="O32" i="5"/>
  <c r="P32" i="5"/>
  <c r="Q32" i="5"/>
  <c r="N33" i="5"/>
  <c r="O33" i="5"/>
  <c r="P33" i="5"/>
  <c r="Q33" i="5"/>
  <c r="N35" i="5"/>
  <c r="O35" i="5"/>
  <c r="P35" i="5"/>
  <c r="Q35" i="5"/>
  <c r="N36" i="5"/>
  <c r="O36" i="5"/>
  <c r="P36" i="5"/>
  <c r="Q36" i="5"/>
  <c r="N37" i="5"/>
  <c r="O37" i="5"/>
  <c r="P37" i="5"/>
  <c r="Q37" i="5"/>
  <c r="N38" i="5"/>
  <c r="O38" i="5"/>
  <c r="P38" i="5"/>
  <c r="Q38" i="5"/>
  <c r="N40" i="5"/>
  <c r="O40" i="5"/>
  <c r="P40" i="5"/>
  <c r="Q40" i="5"/>
  <c r="N41" i="5"/>
  <c r="O41" i="5"/>
  <c r="P41" i="5"/>
  <c r="Q41" i="5"/>
  <c r="N43" i="5"/>
  <c r="O43" i="5"/>
  <c r="P43" i="5"/>
  <c r="Q43" i="5"/>
  <c r="N44" i="5"/>
  <c r="O44" i="5"/>
  <c r="P44" i="5"/>
  <c r="Q44" i="5"/>
  <c r="L42" i="11" a="1"/>
  <c r="L42" i="11" s="1"/>
  <c r="Q42" i="11" s="1"/>
  <c r="K42" i="11" a="1"/>
  <c r="K42" i="11" s="1"/>
  <c r="P42" i="11" s="1"/>
  <c r="J42" i="11" a="1"/>
  <c r="J42" i="11" s="1"/>
  <c r="O42" i="11" s="1"/>
  <c r="I42" i="11" a="1"/>
  <c r="I42" i="11" s="1"/>
  <c r="N42" i="11" s="1"/>
  <c r="H42" i="11" a="1"/>
  <c r="H42" i="11" s="1"/>
  <c r="M42" i="11" s="1"/>
  <c r="L41" i="11" a="1"/>
  <c r="L41" i="11" s="1"/>
  <c r="Q41" i="11" s="1"/>
  <c r="K41" i="11" a="1"/>
  <c r="K41" i="11" s="1"/>
  <c r="P41" i="11" s="1"/>
  <c r="J41" i="11" a="1"/>
  <c r="J41" i="11" s="1"/>
  <c r="O41" i="11" s="1"/>
  <c r="I41" i="11" a="1"/>
  <c r="I41" i="11" s="1"/>
  <c r="N41" i="11" s="1"/>
  <c r="H41" i="11" a="1"/>
  <c r="H41" i="11" s="1"/>
  <c r="M41" i="11" s="1"/>
  <c r="H36" i="11" a="1"/>
  <c r="H36" i="11" s="1"/>
  <c r="M36" i="11" s="1"/>
  <c r="I36" i="11" a="1"/>
  <c r="I36" i="11" s="1"/>
  <c r="N36" i="11" s="1"/>
  <c r="J36" i="11" a="1"/>
  <c r="J36" i="11" s="1"/>
  <c r="O36" i="11" s="1"/>
  <c r="K36" i="11" a="1"/>
  <c r="K36" i="11" s="1"/>
  <c r="P36" i="11" s="1"/>
  <c r="L36" i="11" a="1"/>
  <c r="L36" i="11" s="1"/>
  <c r="Q36" i="11" s="1"/>
  <c r="H37" i="11" a="1"/>
  <c r="H37" i="11" s="1"/>
  <c r="M37" i="11" s="1"/>
  <c r="I37" i="11" a="1"/>
  <c r="I37" i="11" s="1"/>
  <c r="N37" i="11" s="1"/>
  <c r="J37" i="11" a="1"/>
  <c r="J37" i="11" s="1"/>
  <c r="O37" i="11" s="1"/>
  <c r="K37" i="11" a="1"/>
  <c r="K37" i="11" s="1"/>
  <c r="P37" i="11" s="1"/>
  <c r="L37" i="11" a="1"/>
  <c r="L37" i="11" s="1"/>
  <c r="Q37" i="11" s="1"/>
  <c r="H38" i="11" a="1"/>
  <c r="H38" i="11" s="1"/>
  <c r="M38" i="11" s="1"/>
  <c r="I38" i="11" a="1"/>
  <c r="I38" i="11" s="1"/>
  <c r="N38" i="11" s="1"/>
  <c r="J38" i="11" a="1"/>
  <c r="J38" i="11" s="1"/>
  <c r="O38" i="11" s="1"/>
  <c r="K38" i="11" a="1"/>
  <c r="K38" i="11" s="1"/>
  <c r="P38" i="11" s="1"/>
  <c r="L38" i="11" a="1"/>
  <c r="L38" i="11" s="1"/>
  <c r="Q38" i="11" s="1"/>
  <c r="H39" i="11" a="1"/>
  <c r="H39" i="11" s="1"/>
  <c r="M39" i="11" s="1"/>
  <c r="I39" i="11" a="1"/>
  <c r="I39" i="11" s="1"/>
  <c r="N39" i="11" s="1"/>
  <c r="J39" i="11" a="1"/>
  <c r="J39" i="11" s="1"/>
  <c r="O39" i="11" s="1"/>
  <c r="K39" i="11" a="1"/>
  <c r="K39" i="11" s="1"/>
  <c r="P39" i="11" s="1"/>
  <c r="L39" i="11" a="1"/>
  <c r="L39" i="11" s="1"/>
  <c r="Q39" i="11" s="1"/>
  <c r="L35" i="11" a="1"/>
  <c r="L35" i="11" s="1"/>
  <c r="Q35" i="11" s="1"/>
  <c r="K35" i="11" a="1"/>
  <c r="K35" i="11" s="1"/>
  <c r="P35" i="11" s="1"/>
  <c r="J35" i="11" a="1"/>
  <c r="J35" i="11" s="1"/>
  <c r="O35" i="11" s="1"/>
  <c r="I35" i="11" a="1"/>
  <c r="I35" i="11" s="1"/>
  <c r="N35" i="11" s="1"/>
  <c r="H35" i="11" a="1"/>
  <c r="H35" i="11" s="1"/>
  <c r="M35" i="11" s="1"/>
  <c r="L42" i="10" a="1"/>
  <c r="L42" i="10" s="1"/>
  <c r="Q42" i="10" s="1"/>
  <c r="K42" i="10" a="1"/>
  <c r="K42" i="10" s="1"/>
  <c r="P42" i="10" s="1"/>
  <c r="J42" i="10" a="1"/>
  <c r="J42" i="10" s="1"/>
  <c r="O42" i="10" s="1"/>
  <c r="I42" i="10" a="1"/>
  <c r="I42" i="10" s="1"/>
  <c r="N42" i="10" s="1"/>
  <c r="H42" i="10" a="1"/>
  <c r="H42" i="10" s="1"/>
  <c r="M42" i="10" s="1"/>
  <c r="L41" i="10" a="1"/>
  <c r="L41" i="10" s="1"/>
  <c r="Q41" i="10" s="1"/>
  <c r="K41" i="10" a="1"/>
  <c r="K41" i="10" s="1"/>
  <c r="P41" i="10" s="1"/>
  <c r="J41" i="10" a="1"/>
  <c r="J41" i="10" s="1"/>
  <c r="O41" i="10" s="1"/>
  <c r="I41" i="10" a="1"/>
  <c r="I41" i="10" s="1"/>
  <c r="N41" i="10" s="1"/>
  <c r="H41" i="10" a="1"/>
  <c r="H41" i="10" s="1"/>
  <c r="M41" i="10" s="1"/>
  <c r="I35" i="10" a="1"/>
  <c r="I35" i="10" s="1"/>
  <c r="N35" i="10" s="1"/>
  <c r="J35" i="10" a="1"/>
  <c r="J35" i="10" s="1"/>
  <c r="O35" i="10" s="1"/>
  <c r="K35" i="10" a="1"/>
  <c r="K35" i="10" s="1"/>
  <c r="P35" i="10" s="1"/>
  <c r="L35" i="10" a="1"/>
  <c r="L35" i="10" s="1"/>
  <c r="Q35" i="10" s="1"/>
  <c r="I36" i="10" a="1"/>
  <c r="I36" i="10" s="1"/>
  <c r="N36" i="10" s="1"/>
  <c r="J36" i="10" a="1"/>
  <c r="J36" i="10" s="1"/>
  <c r="O36" i="10" s="1"/>
  <c r="K36" i="10" a="1"/>
  <c r="K36" i="10" s="1"/>
  <c r="P36" i="10" s="1"/>
  <c r="L36" i="10" a="1"/>
  <c r="L36" i="10" s="1"/>
  <c r="Q36" i="10" s="1"/>
  <c r="I37" i="10" a="1"/>
  <c r="I37" i="10" s="1"/>
  <c r="N37" i="10" s="1"/>
  <c r="J37" i="10" a="1"/>
  <c r="J37" i="10" s="1"/>
  <c r="O37" i="10" s="1"/>
  <c r="K37" i="10" a="1"/>
  <c r="K37" i="10" s="1"/>
  <c r="P37" i="10" s="1"/>
  <c r="L37" i="10" a="1"/>
  <c r="L37" i="10" s="1"/>
  <c r="Q37" i="10" s="1"/>
  <c r="I38" i="10" a="1"/>
  <c r="I38" i="10" s="1"/>
  <c r="N38" i="10" s="1"/>
  <c r="J38" i="10" a="1"/>
  <c r="J38" i="10" s="1"/>
  <c r="O38" i="10" s="1"/>
  <c r="K38" i="10" a="1"/>
  <c r="K38" i="10" s="1"/>
  <c r="P38" i="10" s="1"/>
  <c r="L38" i="10" a="1"/>
  <c r="L38" i="10" s="1"/>
  <c r="Q38" i="10" s="1"/>
  <c r="I39" i="10" a="1"/>
  <c r="I39" i="10" s="1"/>
  <c r="N39" i="10" s="1"/>
  <c r="J39" i="10" a="1"/>
  <c r="J39" i="10" s="1"/>
  <c r="O39" i="10" s="1"/>
  <c r="K39" i="10" a="1"/>
  <c r="K39" i="10" s="1"/>
  <c r="P39" i="10" s="1"/>
  <c r="L39" i="10" a="1"/>
  <c r="L39" i="10" s="1"/>
  <c r="Q39" i="10" s="1"/>
  <c r="H36" i="10" a="1"/>
  <c r="H36" i="10" s="1"/>
  <c r="M36" i="10" s="1"/>
  <c r="H37" i="10" a="1"/>
  <c r="H37" i="10" s="1"/>
  <c r="M37" i="10" s="1"/>
  <c r="H38" i="10" a="1"/>
  <c r="H38" i="10" s="1"/>
  <c r="M38" i="10" s="1"/>
  <c r="H39" i="10" a="1"/>
  <c r="H39" i="10" s="1"/>
  <c r="M39" i="10" s="1"/>
  <c r="H35" i="10" a="1"/>
  <c r="H35" i="10" s="1"/>
  <c r="M35" i="10" s="1"/>
  <c r="L41" i="9" a="1"/>
  <c r="L41" i="9" s="1"/>
  <c r="Q41" i="9" s="1"/>
  <c r="K41" i="9" a="1"/>
  <c r="K41" i="9" s="1"/>
  <c r="P41" i="9" s="1"/>
  <c r="J41" i="9" a="1"/>
  <c r="J41" i="9" s="1"/>
  <c r="O41" i="9" s="1"/>
  <c r="I41" i="9" a="1"/>
  <c r="I41" i="9" s="1"/>
  <c r="N41" i="9" s="1"/>
  <c r="H41" i="9" a="1"/>
  <c r="H41" i="9" s="1"/>
  <c r="M41" i="9" s="1"/>
  <c r="L40" i="9" a="1"/>
  <c r="L40" i="9" s="1"/>
  <c r="Q40" i="9" s="1"/>
  <c r="K40" i="9" a="1"/>
  <c r="K40" i="9" s="1"/>
  <c r="P40" i="9" s="1"/>
  <c r="J40" i="9" a="1"/>
  <c r="J40" i="9" s="1"/>
  <c r="O40" i="9" s="1"/>
  <c r="I40" i="9" a="1"/>
  <c r="I40" i="9" s="1"/>
  <c r="N40" i="9" s="1"/>
  <c r="H40" i="9" a="1"/>
  <c r="H40" i="9" s="1"/>
  <c r="M40" i="9" s="1"/>
  <c r="I34" i="9" a="1"/>
  <c r="I34" i="9" s="1"/>
  <c r="N34" i="9" s="1"/>
  <c r="J34" i="9" a="1"/>
  <c r="J34" i="9" s="1"/>
  <c r="O34" i="9" s="1"/>
  <c r="K34" i="9" a="1"/>
  <c r="K34" i="9" s="1"/>
  <c r="P34" i="9" s="1"/>
  <c r="L34" i="9" a="1"/>
  <c r="L34" i="9" s="1"/>
  <c r="Q34" i="9" s="1"/>
  <c r="I35" i="9" a="1"/>
  <c r="I35" i="9" s="1"/>
  <c r="N35" i="9" s="1"/>
  <c r="J35" i="9" a="1"/>
  <c r="J35" i="9" s="1"/>
  <c r="O35" i="9" s="1"/>
  <c r="K35" i="9" a="1"/>
  <c r="K35" i="9" s="1"/>
  <c r="P35" i="9" s="1"/>
  <c r="L35" i="9" a="1"/>
  <c r="L35" i="9" s="1"/>
  <c r="Q35" i="9" s="1"/>
  <c r="I36" i="9" a="1"/>
  <c r="I36" i="9" s="1"/>
  <c r="N36" i="9" s="1"/>
  <c r="J36" i="9" a="1"/>
  <c r="J36" i="9" s="1"/>
  <c r="O36" i="9" s="1"/>
  <c r="K36" i="9" a="1"/>
  <c r="K36" i="9" s="1"/>
  <c r="P36" i="9" s="1"/>
  <c r="L36" i="9" a="1"/>
  <c r="L36" i="9" s="1"/>
  <c r="Q36" i="9" s="1"/>
  <c r="I37" i="9" a="1"/>
  <c r="I37" i="9" s="1"/>
  <c r="N37" i="9" s="1"/>
  <c r="J37" i="9" a="1"/>
  <c r="J37" i="9" s="1"/>
  <c r="O37" i="9" s="1"/>
  <c r="K37" i="9" a="1"/>
  <c r="K37" i="9" s="1"/>
  <c r="P37" i="9" s="1"/>
  <c r="L37" i="9" a="1"/>
  <c r="L37" i="9" s="1"/>
  <c r="Q37" i="9" s="1"/>
  <c r="I38" i="9" a="1"/>
  <c r="I38" i="9" s="1"/>
  <c r="N38" i="9" s="1"/>
  <c r="J38" i="9" a="1"/>
  <c r="J38" i="9" s="1"/>
  <c r="O38" i="9" s="1"/>
  <c r="K38" i="9" a="1"/>
  <c r="K38" i="9" s="1"/>
  <c r="P38" i="9" s="1"/>
  <c r="L38" i="9" a="1"/>
  <c r="L38" i="9" s="1"/>
  <c r="Q38" i="9" s="1"/>
  <c r="H35" i="9" a="1"/>
  <c r="H35" i="9" s="1"/>
  <c r="M35" i="9" s="1"/>
  <c r="H36" i="9" a="1"/>
  <c r="H36" i="9" s="1"/>
  <c r="M36" i="9" s="1"/>
  <c r="H37" i="9" a="1"/>
  <c r="H37" i="9" s="1"/>
  <c r="M37" i="9" s="1"/>
  <c r="H38" i="9" a="1"/>
  <c r="H38" i="9" s="1"/>
  <c r="M38" i="9" s="1"/>
  <c r="H34" i="9" a="1"/>
  <c r="H34" i="9" s="1"/>
  <c r="M34" i="9" s="1"/>
  <c r="I46" i="8" a="1"/>
  <c r="I46" i="8" s="1"/>
  <c r="N46" i="8" s="1"/>
  <c r="J46" i="8" a="1"/>
  <c r="J46" i="8" s="1"/>
  <c r="O46" i="8" s="1"/>
  <c r="K46" i="8" a="1"/>
  <c r="K46" i="8" s="1"/>
  <c r="P46" i="8" s="1"/>
  <c r="L46" i="8" a="1"/>
  <c r="L46" i="8" s="1"/>
  <c r="Q46" i="8" s="1"/>
  <c r="I47" i="8" a="1"/>
  <c r="I47" i="8" s="1"/>
  <c r="N47" i="8" s="1"/>
  <c r="J47" i="8" a="1"/>
  <c r="J47" i="8" s="1"/>
  <c r="O47" i="8" s="1"/>
  <c r="K47" i="8" a="1"/>
  <c r="K47" i="8" s="1"/>
  <c r="P47" i="8" s="1"/>
  <c r="L47" i="8" a="1"/>
  <c r="L47" i="8" s="1"/>
  <c r="Q47" i="8" s="1"/>
  <c r="I48" i="8" a="1"/>
  <c r="I48" i="8" s="1"/>
  <c r="N48" i="8" s="1"/>
  <c r="J48" i="8" a="1"/>
  <c r="J48" i="8" s="1"/>
  <c r="O48" i="8" s="1"/>
  <c r="K48" i="8" a="1"/>
  <c r="K48" i="8" s="1"/>
  <c r="P48" i="8" s="1"/>
  <c r="L48" i="8" a="1"/>
  <c r="L48" i="8" s="1"/>
  <c r="Q48" i="8" s="1"/>
  <c r="I49" i="8" a="1"/>
  <c r="I49" i="8" s="1"/>
  <c r="N49" i="8" s="1"/>
  <c r="J49" i="8" a="1"/>
  <c r="J49" i="8" s="1"/>
  <c r="O49" i="8" s="1"/>
  <c r="K49" i="8" a="1"/>
  <c r="K49" i="8" s="1"/>
  <c r="P49" i="8" s="1"/>
  <c r="L49" i="8" a="1"/>
  <c r="L49" i="8" s="1"/>
  <c r="Q49" i="8" s="1"/>
  <c r="I50" i="8" a="1"/>
  <c r="I50" i="8" s="1"/>
  <c r="N50" i="8" s="1"/>
  <c r="J50" i="8" a="1"/>
  <c r="J50" i="8" s="1"/>
  <c r="O50" i="8" s="1"/>
  <c r="K50" i="8" a="1"/>
  <c r="K50" i="8" s="1"/>
  <c r="P50" i="8" s="1"/>
  <c r="L50" i="8" a="1"/>
  <c r="L50" i="8" s="1"/>
  <c r="Q50" i="8" s="1"/>
  <c r="I51" i="8" a="1"/>
  <c r="I51" i="8" s="1"/>
  <c r="N51" i="8" s="1"/>
  <c r="J51" i="8" a="1"/>
  <c r="J51" i="8" s="1"/>
  <c r="O51" i="8" s="1"/>
  <c r="K51" i="8" a="1"/>
  <c r="K51" i="8" s="1"/>
  <c r="P51" i="8" s="1"/>
  <c r="L51" i="8" a="1"/>
  <c r="L51" i="8" s="1"/>
  <c r="Q51" i="8" s="1"/>
  <c r="I52" i="8" a="1"/>
  <c r="I52" i="8" s="1"/>
  <c r="N52" i="8" s="1"/>
  <c r="J52" i="8" a="1"/>
  <c r="J52" i="8" s="1"/>
  <c r="O52" i="8" s="1"/>
  <c r="K52" i="8" a="1"/>
  <c r="K52" i="8" s="1"/>
  <c r="P52" i="8" s="1"/>
  <c r="L52" i="8" a="1"/>
  <c r="L52" i="8" s="1"/>
  <c r="Q52" i="8" s="1"/>
  <c r="I53" i="8" a="1"/>
  <c r="I53" i="8" s="1"/>
  <c r="N53" i="8" s="1"/>
  <c r="J53" i="8" a="1"/>
  <c r="J53" i="8" s="1"/>
  <c r="O53" i="8" s="1"/>
  <c r="K53" i="8" a="1"/>
  <c r="K53" i="8" s="1"/>
  <c r="P53" i="8" s="1"/>
  <c r="L53" i="8" a="1"/>
  <c r="L53" i="8" s="1"/>
  <c r="Q53" i="8" s="1"/>
  <c r="H47" i="8" a="1"/>
  <c r="H47" i="8" s="1"/>
  <c r="M47" i="8" s="1"/>
  <c r="H48" i="8" a="1"/>
  <c r="H48" i="8" s="1"/>
  <c r="M48" i="8" s="1"/>
  <c r="H49" i="8" a="1"/>
  <c r="H49" i="8" s="1"/>
  <c r="M49" i="8" s="1"/>
  <c r="H50" i="8" a="1"/>
  <c r="H50" i="8" s="1"/>
  <c r="M50" i="8" s="1"/>
  <c r="H51" i="8" a="1"/>
  <c r="H51" i="8" s="1"/>
  <c r="M51" i="8" s="1"/>
  <c r="H52" i="8" a="1"/>
  <c r="H52" i="8" s="1"/>
  <c r="M52" i="8" s="1"/>
  <c r="H53" i="8" a="1"/>
  <c r="H53" i="8" s="1"/>
  <c r="M53" i="8" s="1"/>
  <c r="H46" i="8" a="1"/>
  <c r="H46" i="8" s="1"/>
  <c r="M46" i="8" s="1"/>
  <c r="I46" i="7" a="1"/>
  <c r="I46" i="7" s="1"/>
  <c r="N46" i="7" s="1"/>
  <c r="J46" i="7" a="1"/>
  <c r="J46" i="7" s="1"/>
  <c r="O46" i="7" s="1"/>
  <c r="K46" i="7" a="1"/>
  <c r="K46" i="7" s="1"/>
  <c r="P46" i="7" s="1"/>
  <c r="L46" i="7" a="1"/>
  <c r="L46" i="7" s="1"/>
  <c r="Q46" i="7" s="1"/>
  <c r="I47" i="7" a="1"/>
  <c r="I47" i="7" s="1"/>
  <c r="N47" i="7" s="1"/>
  <c r="J47" i="7" a="1"/>
  <c r="J47" i="7" s="1"/>
  <c r="O47" i="7" s="1"/>
  <c r="K47" i="7" a="1"/>
  <c r="K47" i="7" s="1"/>
  <c r="P47" i="7" s="1"/>
  <c r="L47" i="7" a="1"/>
  <c r="L47" i="7" s="1"/>
  <c r="Q47" i="7" s="1"/>
  <c r="I48" i="7" a="1"/>
  <c r="I48" i="7" s="1"/>
  <c r="N48" i="7" s="1"/>
  <c r="J48" i="7" a="1"/>
  <c r="J48" i="7" s="1"/>
  <c r="O48" i="7" s="1"/>
  <c r="K48" i="7" a="1"/>
  <c r="K48" i="7" s="1"/>
  <c r="P48" i="7" s="1"/>
  <c r="L48" i="7" a="1"/>
  <c r="L48" i="7" s="1"/>
  <c r="Q48" i="7" s="1"/>
  <c r="I49" i="7" a="1"/>
  <c r="I49" i="7" s="1"/>
  <c r="N49" i="7" s="1"/>
  <c r="J49" i="7" a="1"/>
  <c r="J49" i="7" s="1"/>
  <c r="O49" i="7" s="1"/>
  <c r="K49" i="7" a="1"/>
  <c r="K49" i="7" s="1"/>
  <c r="P49" i="7" s="1"/>
  <c r="L49" i="7" a="1"/>
  <c r="L49" i="7" s="1"/>
  <c r="Q49" i="7" s="1"/>
  <c r="I50" i="7" a="1"/>
  <c r="I50" i="7" s="1"/>
  <c r="N50" i="7" s="1"/>
  <c r="J50" i="7" a="1"/>
  <c r="J50" i="7" s="1"/>
  <c r="O50" i="7" s="1"/>
  <c r="K50" i="7" a="1"/>
  <c r="K50" i="7" s="1"/>
  <c r="P50" i="7" s="1"/>
  <c r="L50" i="7" a="1"/>
  <c r="L50" i="7" s="1"/>
  <c r="Q50" i="7" s="1"/>
  <c r="I51" i="7" a="1"/>
  <c r="I51" i="7" s="1"/>
  <c r="N51" i="7" s="1"/>
  <c r="J51" i="7" a="1"/>
  <c r="J51" i="7" s="1"/>
  <c r="O51" i="7" s="1"/>
  <c r="K51" i="7" a="1"/>
  <c r="K51" i="7" s="1"/>
  <c r="P51" i="7" s="1"/>
  <c r="L51" i="7" a="1"/>
  <c r="L51" i="7" s="1"/>
  <c r="Q51" i="7" s="1"/>
  <c r="I52" i="7" a="1"/>
  <c r="I52" i="7" s="1"/>
  <c r="N52" i="7" s="1"/>
  <c r="J52" i="7" a="1"/>
  <c r="J52" i="7" s="1"/>
  <c r="O52" i="7" s="1"/>
  <c r="K52" i="7" a="1"/>
  <c r="K52" i="7" s="1"/>
  <c r="P52" i="7" s="1"/>
  <c r="L52" i="7" a="1"/>
  <c r="L52" i="7" s="1"/>
  <c r="Q52" i="7" s="1"/>
  <c r="I53" i="7" a="1"/>
  <c r="I53" i="7" s="1"/>
  <c r="N53" i="7" s="1"/>
  <c r="J53" i="7" a="1"/>
  <c r="J53" i="7" s="1"/>
  <c r="O53" i="7" s="1"/>
  <c r="K53" i="7" a="1"/>
  <c r="K53" i="7" s="1"/>
  <c r="P53" i="7" s="1"/>
  <c r="L53" i="7" a="1"/>
  <c r="L53" i="7" s="1"/>
  <c r="Q53" i="7" s="1"/>
  <c r="H47" i="7" a="1"/>
  <c r="H47" i="7" s="1"/>
  <c r="M47" i="7" s="1"/>
  <c r="H48" i="7" a="1"/>
  <c r="H48" i="7" s="1"/>
  <c r="M48" i="7" s="1"/>
  <c r="H49" i="7" a="1"/>
  <c r="H49" i="7" s="1"/>
  <c r="M49" i="7" s="1"/>
  <c r="H50" i="7" a="1"/>
  <c r="H50" i="7" s="1"/>
  <c r="M50" i="7" s="1"/>
  <c r="H51" i="7" a="1"/>
  <c r="H51" i="7" s="1"/>
  <c r="M51" i="7" s="1"/>
  <c r="H52" i="7" a="1"/>
  <c r="H52" i="7" s="1"/>
  <c r="M52" i="7" s="1"/>
  <c r="H53" i="7" a="1"/>
  <c r="H53" i="7" s="1"/>
  <c r="M53" i="7" s="1"/>
  <c r="H46" i="7" a="1"/>
  <c r="H46" i="7" s="1"/>
  <c r="M46" i="7" s="1"/>
  <c r="I47" i="6" a="1"/>
  <c r="I47" i="6" s="1"/>
  <c r="N47" i="6" s="1"/>
  <c r="J47" i="6" a="1"/>
  <c r="J47" i="6" s="1"/>
  <c r="O47" i="6" s="1"/>
  <c r="K47" i="6" a="1"/>
  <c r="K47" i="6" s="1"/>
  <c r="P47" i="6" s="1"/>
  <c r="L47" i="6" a="1"/>
  <c r="L47" i="6" s="1"/>
  <c r="Q47" i="6" s="1"/>
  <c r="I48" i="6" a="1"/>
  <c r="I48" i="6" s="1"/>
  <c r="N48" i="6" s="1"/>
  <c r="J48" i="6" a="1"/>
  <c r="J48" i="6" s="1"/>
  <c r="O48" i="6" s="1"/>
  <c r="K48" i="6" a="1"/>
  <c r="K48" i="6" s="1"/>
  <c r="P48" i="6" s="1"/>
  <c r="L48" i="6" a="1"/>
  <c r="L48" i="6" s="1"/>
  <c r="Q48" i="6" s="1"/>
  <c r="I49" i="6" a="1"/>
  <c r="I49" i="6" s="1"/>
  <c r="N49" i="6" s="1"/>
  <c r="J49" i="6" a="1"/>
  <c r="J49" i="6" s="1"/>
  <c r="O49" i="6" s="1"/>
  <c r="K49" i="6" a="1"/>
  <c r="K49" i="6" s="1"/>
  <c r="P49" i="6" s="1"/>
  <c r="L49" i="6" a="1"/>
  <c r="L49" i="6" s="1"/>
  <c r="Q49" i="6" s="1"/>
  <c r="I50" i="6" a="1"/>
  <c r="I50" i="6" s="1"/>
  <c r="N50" i="6" s="1"/>
  <c r="J50" i="6" a="1"/>
  <c r="J50" i="6" s="1"/>
  <c r="O50" i="6" s="1"/>
  <c r="K50" i="6" a="1"/>
  <c r="K50" i="6" s="1"/>
  <c r="P50" i="6" s="1"/>
  <c r="L50" i="6" a="1"/>
  <c r="L50" i="6" s="1"/>
  <c r="Q50" i="6" s="1"/>
  <c r="I51" i="6" a="1"/>
  <c r="I51" i="6" s="1"/>
  <c r="N51" i="6" s="1"/>
  <c r="J51" i="6" a="1"/>
  <c r="J51" i="6" s="1"/>
  <c r="O51" i="6" s="1"/>
  <c r="K51" i="6" a="1"/>
  <c r="K51" i="6" s="1"/>
  <c r="P51" i="6" s="1"/>
  <c r="L51" i="6" a="1"/>
  <c r="L51" i="6" s="1"/>
  <c r="Q51" i="6" s="1"/>
  <c r="I52" i="6" a="1"/>
  <c r="I52" i="6" s="1"/>
  <c r="N52" i="6" s="1"/>
  <c r="J52" i="6" a="1"/>
  <c r="J52" i="6" s="1"/>
  <c r="O52" i="6" s="1"/>
  <c r="K52" i="6" a="1"/>
  <c r="K52" i="6" s="1"/>
  <c r="P52" i="6" s="1"/>
  <c r="L52" i="6" a="1"/>
  <c r="L52" i="6" s="1"/>
  <c r="Q52" i="6" s="1"/>
  <c r="I53" i="6" a="1"/>
  <c r="I53" i="6" s="1"/>
  <c r="N53" i="6" s="1"/>
  <c r="J53" i="6" a="1"/>
  <c r="J53" i="6" s="1"/>
  <c r="O53" i="6" s="1"/>
  <c r="K53" i="6" a="1"/>
  <c r="K53" i="6" s="1"/>
  <c r="P53" i="6" s="1"/>
  <c r="L53" i="6" a="1"/>
  <c r="L53" i="6" s="1"/>
  <c r="Q53" i="6" s="1"/>
  <c r="I54" i="6" a="1"/>
  <c r="I54" i="6" s="1"/>
  <c r="N54" i="6" s="1"/>
  <c r="J54" i="6" a="1"/>
  <c r="J54" i="6" s="1"/>
  <c r="O54" i="6" s="1"/>
  <c r="K54" i="6" a="1"/>
  <c r="K54" i="6" s="1"/>
  <c r="P54" i="6" s="1"/>
  <c r="L54" i="6" a="1"/>
  <c r="L54" i="6" s="1"/>
  <c r="Q54" i="6" s="1"/>
  <c r="H48" i="6" a="1"/>
  <c r="H48" i="6" s="1"/>
  <c r="M48" i="6" s="1"/>
  <c r="H49" i="6" a="1"/>
  <c r="H49" i="6" s="1"/>
  <c r="M49" i="6" s="1"/>
  <c r="H50" i="6" a="1"/>
  <c r="H50" i="6" s="1"/>
  <c r="M50" i="6" s="1"/>
  <c r="H51" i="6" a="1"/>
  <c r="H51" i="6" s="1"/>
  <c r="M51" i="6" s="1"/>
  <c r="H52" i="6" a="1"/>
  <c r="H52" i="6" s="1"/>
  <c r="M52" i="6" s="1"/>
  <c r="H53" i="6" a="1"/>
  <c r="H53" i="6" s="1"/>
  <c r="M53" i="6" s="1"/>
  <c r="H54" i="6" a="1"/>
  <c r="H54" i="6" s="1"/>
  <c r="M54" i="6" s="1"/>
  <c r="H47" i="6" a="1"/>
  <c r="H47" i="6" s="1"/>
  <c r="M47" i="6" s="1"/>
  <c r="I46" i="5" a="1"/>
  <c r="I46" i="5" s="1"/>
  <c r="N46" i="5" s="1"/>
  <c r="J46" i="5" a="1"/>
  <c r="J46" i="5" s="1"/>
  <c r="O46" i="5" s="1"/>
  <c r="K46" i="5" a="1"/>
  <c r="K46" i="5" s="1"/>
  <c r="P46" i="5" s="1"/>
  <c r="L46" i="5" a="1"/>
  <c r="L46" i="5" s="1"/>
  <c r="Q46" i="5" s="1"/>
  <c r="I47" i="5" a="1"/>
  <c r="I47" i="5" s="1"/>
  <c r="N47" i="5" s="1"/>
  <c r="J47" i="5" a="1"/>
  <c r="J47" i="5" s="1"/>
  <c r="O47" i="5" s="1"/>
  <c r="K47" i="5" a="1"/>
  <c r="K47" i="5" s="1"/>
  <c r="P47" i="5" s="1"/>
  <c r="L47" i="5" a="1"/>
  <c r="L47" i="5" s="1"/>
  <c r="Q47" i="5" s="1"/>
  <c r="I48" i="5" a="1"/>
  <c r="I48" i="5" s="1"/>
  <c r="N48" i="5" s="1"/>
  <c r="J48" i="5" a="1"/>
  <c r="J48" i="5" s="1"/>
  <c r="O48" i="5" s="1"/>
  <c r="K48" i="5" a="1"/>
  <c r="K48" i="5" s="1"/>
  <c r="P48" i="5" s="1"/>
  <c r="L48" i="5" a="1"/>
  <c r="L48" i="5" s="1"/>
  <c r="Q48" i="5" s="1"/>
  <c r="I49" i="5" a="1"/>
  <c r="I49" i="5" s="1"/>
  <c r="N49" i="5" s="1"/>
  <c r="J49" i="5" a="1"/>
  <c r="J49" i="5" s="1"/>
  <c r="O49" i="5" s="1"/>
  <c r="K49" i="5" a="1"/>
  <c r="K49" i="5" s="1"/>
  <c r="P49" i="5" s="1"/>
  <c r="L49" i="5" a="1"/>
  <c r="L49" i="5" s="1"/>
  <c r="Q49" i="5" s="1"/>
  <c r="I50" i="5" a="1"/>
  <c r="I50" i="5" s="1"/>
  <c r="N50" i="5" s="1"/>
  <c r="J50" i="5" a="1"/>
  <c r="J50" i="5" s="1"/>
  <c r="O50" i="5" s="1"/>
  <c r="K50" i="5" a="1"/>
  <c r="K50" i="5" s="1"/>
  <c r="P50" i="5" s="1"/>
  <c r="L50" i="5" a="1"/>
  <c r="L50" i="5" s="1"/>
  <c r="Q50" i="5" s="1"/>
  <c r="I51" i="5" a="1"/>
  <c r="I51" i="5" s="1"/>
  <c r="N51" i="5" s="1"/>
  <c r="J51" i="5" a="1"/>
  <c r="J51" i="5" s="1"/>
  <c r="O51" i="5" s="1"/>
  <c r="K51" i="5" a="1"/>
  <c r="K51" i="5" s="1"/>
  <c r="P51" i="5" s="1"/>
  <c r="L51" i="5" a="1"/>
  <c r="L51" i="5" s="1"/>
  <c r="Q51" i="5" s="1"/>
  <c r="I52" i="5" a="1"/>
  <c r="I52" i="5" s="1"/>
  <c r="N52" i="5" s="1"/>
  <c r="J52" i="5" a="1"/>
  <c r="J52" i="5" s="1"/>
  <c r="O52" i="5" s="1"/>
  <c r="K52" i="5" a="1"/>
  <c r="K52" i="5" s="1"/>
  <c r="P52" i="5" s="1"/>
  <c r="L52" i="5" a="1"/>
  <c r="L52" i="5" s="1"/>
  <c r="Q52" i="5" s="1"/>
  <c r="I53" i="5" a="1"/>
  <c r="I53" i="5" s="1"/>
  <c r="N53" i="5" s="1"/>
  <c r="J53" i="5" a="1"/>
  <c r="J53" i="5" s="1"/>
  <c r="O53" i="5" s="1"/>
  <c r="K53" i="5" a="1"/>
  <c r="K53" i="5" s="1"/>
  <c r="P53" i="5" s="1"/>
  <c r="L53" i="5" a="1"/>
  <c r="L53" i="5" s="1"/>
  <c r="Q53" i="5" s="1"/>
  <c r="H47" i="5" a="1"/>
  <c r="H47" i="5" s="1"/>
  <c r="M47" i="5" s="1"/>
  <c r="H48" i="5" a="1"/>
  <c r="H48" i="5" s="1"/>
  <c r="M48" i="5" s="1"/>
  <c r="H49" i="5" a="1"/>
  <c r="H49" i="5" s="1"/>
  <c r="M49" i="5" s="1"/>
  <c r="H50" i="5" a="1"/>
  <c r="H50" i="5" s="1"/>
  <c r="M50" i="5" s="1"/>
  <c r="H51" i="5" a="1"/>
  <c r="H51" i="5" s="1"/>
  <c r="M51" i="5" s="1"/>
  <c r="H52" i="5" a="1"/>
  <c r="H52" i="5" s="1"/>
  <c r="M52" i="5" s="1"/>
  <c r="H53" i="5" a="1"/>
  <c r="H53" i="5" s="1"/>
  <c r="M53" i="5" s="1"/>
  <c r="H46" i="5" a="1"/>
  <c r="H46" i="5" s="1"/>
  <c r="M46" i="5" s="1"/>
  <c r="I22" i="4" a="1"/>
  <c r="I22" i="4" s="1"/>
  <c r="N22" i="4" s="1"/>
  <c r="J22" i="4" a="1"/>
  <c r="J22" i="4" s="1"/>
  <c r="O22" i="4" s="1"/>
  <c r="K22" i="4" a="1"/>
  <c r="K22" i="4" s="1"/>
  <c r="P22" i="4" s="1"/>
  <c r="L22" i="4" a="1"/>
  <c r="L22" i="4" s="1"/>
  <c r="Q22" i="4" s="1"/>
  <c r="I23" i="4" a="1"/>
  <c r="I23" i="4" s="1"/>
  <c r="N23" i="4" s="1"/>
  <c r="J23" i="4" a="1"/>
  <c r="J23" i="4" s="1"/>
  <c r="O23" i="4" s="1"/>
  <c r="K23" i="4" a="1"/>
  <c r="K23" i="4" s="1"/>
  <c r="P23" i="4" s="1"/>
  <c r="L23" i="4" a="1"/>
  <c r="L23" i="4" s="1"/>
  <c r="Q23" i="4" s="1"/>
  <c r="I24" i="4" a="1"/>
  <c r="I24" i="4" s="1"/>
  <c r="N24" i="4" s="1"/>
  <c r="J24" i="4" a="1"/>
  <c r="J24" i="4" s="1"/>
  <c r="O24" i="4" s="1"/>
  <c r="K24" i="4" a="1"/>
  <c r="K24" i="4" s="1"/>
  <c r="P24" i="4" s="1"/>
  <c r="L24" i="4" a="1"/>
  <c r="L24" i="4" s="1"/>
  <c r="Q24" i="4" s="1"/>
  <c r="I25" i="4" a="1"/>
  <c r="I25" i="4" s="1"/>
  <c r="N25" i="4" s="1"/>
  <c r="J25" i="4" a="1"/>
  <c r="J25" i="4" s="1"/>
  <c r="O25" i="4" s="1"/>
  <c r="K25" i="4" a="1"/>
  <c r="K25" i="4" s="1"/>
  <c r="P25" i="4" s="1"/>
  <c r="L25" i="4" a="1"/>
  <c r="L25" i="4" s="1"/>
  <c r="Q25" i="4" s="1"/>
  <c r="I26" i="4" a="1"/>
  <c r="I26" i="4" s="1"/>
  <c r="N26" i="4" s="1"/>
  <c r="J26" i="4" a="1"/>
  <c r="J26" i="4" s="1"/>
  <c r="O26" i="4" s="1"/>
  <c r="K26" i="4" a="1"/>
  <c r="K26" i="4" s="1"/>
  <c r="P26" i="4" s="1"/>
  <c r="L26" i="4" a="1"/>
  <c r="L26" i="4" s="1"/>
  <c r="Q26" i="4" s="1"/>
  <c r="I27" i="4" a="1"/>
  <c r="I27" i="4" s="1"/>
  <c r="N27" i="4" s="1"/>
  <c r="J27" i="4" a="1"/>
  <c r="J27" i="4" s="1"/>
  <c r="O27" i="4" s="1"/>
  <c r="K27" i="4" a="1"/>
  <c r="K27" i="4" s="1"/>
  <c r="P27" i="4" s="1"/>
  <c r="L27" i="4" a="1"/>
  <c r="L27" i="4" s="1"/>
  <c r="Q27" i="4" s="1"/>
  <c r="I28" i="4" a="1"/>
  <c r="I28" i="4" s="1"/>
  <c r="N28" i="4" s="1"/>
  <c r="J28" i="4" a="1"/>
  <c r="J28" i="4" s="1"/>
  <c r="O28" i="4" s="1"/>
  <c r="K28" i="4" a="1"/>
  <c r="K28" i="4" s="1"/>
  <c r="P28" i="4" s="1"/>
  <c r="L28" i="4" a="1"/>
  <c r="L28" i="4" s="1"/>
  <c r="Q28" i="4" s="1"/>
  <c r="I29" i="4" a="1"/>
  <c r="I29" i="4" s="1"/>
  <c r="N29" i="4" s="1"/>
  <c r="J29" i="4" a="1"/>
  <c r="J29" i="4" s="1"/>
  <c r="O29" i="4" s="1"/>
  <c r="K29" i="4" a="1"/>
  <c r="K29" i="4" s="1"/>
  <c r="P29" i="4" s="1"/>
  <c r="L29" i="4" a="1"/>
  <c r="L29" i="4" s="1"/>
  <c r="Q29" i="4" s="1"/>
  <c r="H23" i="4" a="1"/>
  <c r="H23" i="4" s="1"/>
  <c r="M23" i="4" s="1"/>
  <c r="H24" i="4" a="1"/>
  <c r="H24" i="4" s="1"/>
  <c r="M24" i="4" s="1"/>
  <c r="H25" i="4" a="1"/>
  <c r="H25" i="4" s="1"/>
  <c r="M25" i="4" s="1"/>
  <c r="H26" i="4" a="1"/>
  <c r="H26" i="4" s="1"/>
  <c r="M26" i="4" s="1"/>
  <c r="H27" i="4" a="1"/>
  <c r="H27" i="4" s="1"/>
  <c r="M27" i="4" s="1"/>
  <c r="H28" i="4" a="1"/>
  <c r="H28" i="4" s="1"/>
  <c r="M28" i="4" s="1"/>
  <c r="H29" i="4" a="1"/>
  <c r="H29" i="4" s="1"/>
  <c r="M29" i="4" s="1"/>
  <c r="H22" i="4" a="1"/>
  <c r="H22" i="4" s="1"/>
  <c r="M22" i="4" s="1"/>
  <c r="I21" i="3" a="1"/>
  <c r="I21" i="3" s="1"/>
  <c r="N21" i="3" s="1"/>
  <c r="J21" i="3" a="1"/>
  <c r="J21" i="3" s="1"/>
  <c r="O21" i="3" s="1"/>
  <c r="K21" i="3" a="1"/>
  <c r="K21" i="3" s="1"/>
  <c r="P21" i="3" s="1"/>
  <c r="L21" i="3" a="1"/>
  <c r="L21" i="3" s="1"/>
  <c r="Q21" i="3" s="1"/>
  <c r="I22" i="3" a="1"/>
  <c r="I22" i="3" s="1"/>
  <c r="N22" i="3" s="1"/>
  <c r="J22" i="3" a="1"/>
  <c r="J22" i="3" s="1"/>
  <c r="O22" i="3" s="1"/>
  <c r="K22" i="3" a="1"/>
  <c r="K22" i="3" s="1"/>
  <c r="P22" i="3" s="1"/>
  <c r="L22" i="3" a="1"/>
  <c r="L22" i="3" s="1"/>
  <c r="Q22" i="3" s="1"/>
  <c r="I23" i="3" a="1"/>
  <c r="I23" i="3" s="1"/>
  <c r="N23" i="3" s="1"/>
  <c r="J23" i="3" a="1"/>
  <c r="J23" i="3" s="1"/>
  <c r="O23" i="3" s="1"/>
  <c r="K23" i="3" a="1"/>
  <c r="K23" i="3" s="1"/>
  <c r="P23" i="3" s="1"/>
  <c r="L23" i="3" a="1"/>
  <c r="L23" i="3" s="1"/>
  <c r="Q23" i="3" s="1"/>
  <c r="I24" i="3" a="1"/>
  <c r="I24" i="3" s="1"/>
  <c r="N24" i="3" s="1"/>
  <c r="J24" i="3" a="1"/>
  <c r="J24" i="3" s="1"/>
  <c r="O24" i="3" s="1"/>
  <c r="K24" i="3" a="1"/>
  <c r="K24" i="3" s="1"/>
  <c r="P24" i="3" s="1"/>
  <c r="L24" i="3" a="1"/>
  <c r="L24" i="3" s="1"/>
  <c r="Q24" i="3" s="1"/>
  <c r="I25" i="3" a="1"/>
  <c r="I25" i="3" s="1"/>
  <c r="N25" i="3" s="1"/>
  <c r="J25" i="3" a="1"/>
  <c r="J25" i="3" s="1"/>
  <c r="O25" i="3" s="1"/>
  <c r="K25" i="3" a="1"/>
  <c r="K25" i="3" s="1"/>
  <c r="P25" i="3" s="1"/>
  <c r="L25" i="3" a="1"/>
  <c r="L25" i="3" s="1"/>
  <c r="Q25" i="3" s="1"/>
  <c r="I26" i="3" a="1"/>
  <c r="I26" i="3" s="1"/>
  <c r="N26" i="3" s="1"/>
  <c r="J26" i="3" a="1"/>
  <c r="J26" i="3" s="1"/>
  <c r="O26" i="3" s="1"/>
  <c r="K26" i="3" a="1"/>
  <c r="K26" i="3" s="1"/>
  <c r="P26" i="3" s="1"/>
  <c r="L26" i="3" a="1"/>
  <c r="L26" i="3" s="1"/>
  <c r="Q26" i="3" s="1"/>
  <c r="I27" i="3" a="1"/>
  <c r="I27" i="3" s="1"/>
  <c r="N27" i="3" s="1"/>
  <c r="J27" i="3" a="1"/>
  <c r="J27" i="3" s="1"/>
  <c r="O27" i="3" s="1"/>
  <c r="K27" i="3" a="1"/>
  <c r="K27" i="3" s="1"/>
  <c r="P27" i="3" s="1"/>
  <c r="L27" i="3" a="1"/>
  <c r="L27" i="3" s="1"/>
  <c r="Q27" i="3" s="1"/>
  <c r="I28" i="3" a="1"/>
  <c r="I28" i="3" s="1"/>
  <c r="N28" i="3" s="1"/>
  <c r="J28" i="3" a="1"/>
  <c r="J28" i="3" s="1"/>
  <c r="O28" i="3" s="1"/>
  <c r="K28" i="3" a="1"/>
  <c r="K28" i="3" s="1"/>
  <c r="P28" i="3" s="1"/>
  <c r="L28" i="3" a="1"/>
  <c r="L28" i="3" s="1"/>
  <c r="Q28" i="3" s="1"/>
  <c r="H22" i="3" a="1"/>
  <c r="H22" i="3" s="1"/>
  <c r="M22" i="3" s="1"/>
  <c r="H23" i="3" a="1"/>
  <c r="H23" i="3" s="1"/>
  <c r="M23" i="3" s="1"/>
  <c r="H24" i="3" a="1"/>
  <c r="H24" i="3" s="1"/>
  <c r="M24" i="3" s="1"/>
  <c r="H25" i="3" a="1"/>
  <c r="H25" i="3" s="1"/>
  <c r="M25" i="3" s="1"/>
  <c r="H26" i="3" a="1"/>
  <c r="H26" i="3" s="1"/>
  <c r="M26" i="3" s="1"/>
  <c r="H27" i="3" a="1"/>
  <c r="H27" i="3" s="1"/>
  <c r="M27" i="3" s="1"/>
  <c r="H28" i="3" a="1"/>
  <c r="H28" i="3" s="1"/>
  <c r="M28" i="3" s="1"/>
  <c r="H21" i="3" a="1"/>
  <c r="H21" i="3" s="1"/>
  <c r="M21" i="3" s="1"/>
  <c r="I20" i="2" a="1"/>
  <c r="I20" i="2" s="1"/>
  <c r="N20" i="2" s="1"/>
  <c r="J20" i="2" a="1"/>
  <c r="J20" i="2" s="1"/>
  <c r="O20" i="2" s="1"/>
  <c r="K20" i="2" a="1"/>
  <c r="K20" i="2" s="1"/>
  <c r="P20" i="2" s="1"/>
  <c r="L20" i="2" a="1"/>
  <c r="L20" i="2" s="1"/>
  <c r="Q20" i="2" s="1"/>
  <c r="I21" i="2" a="1"/>
  <c r="I21" i="2" s="1"/>
  <c r="N21" i="2" s="1"/>
  <c r="J21" i="2" a="1"/>
  <c r="J21" i="2" s="1"/>
  <c r="O21" i="2" s="1"/>
  <c r="K21" i="2" a="1"/>
  <c r="K21" i="2" s="1"/>
  <c r="P21" i="2" s="1"/>
  <c r="L21" i="2" a="1"/>
  <c r="L21" i="2" s="1"/>
  <c r="Q21" i="2" s="1"/>
  <c r="I22" i="2" a="1"/>
  <c r="I22" i="2" s="1"/>
  <c r="N22" i="2" s="1"/>
  <c r="J22" i="2" a="1"/>
  <c r="J22" i="2" s="1"/>
  <c r="O22" i="2" s="1"/>
  <c r="K22" i="2" a="1"/>
  <c r="K22" i="2" s="1"/>
  <c r="P22" i="2" s="1"/>
  <c r="L22" i="2" a="1"/>
  <c r="L22" i="2" s="1"/>
  <c r="Q22" i="2" s="1"/>
  <c r="I23" i="2" a="1"/>
  <c r="I23" i="2" s="1"/>
  <c r="N23" i="2" s="1"/>
  <c r="J23" i="2" a="1"/>
  <c r="J23" i="2" s="1"/>
  <c r="O23" i="2" s="1"/>
  <c r="K23" i="2" a="1"/>
  <c r="K23" i="2" s="1"/>
  <c r="P23" i="2" s="1"/>
  <c r="L23" i="2" a="1"/>
  <c r="L23" i="2" s="1"/>
  <c r="Q23" i="2" s="1"/>
  <c r="I24" i="2" a="1"/>
  <c r="I24" i="2" s="1"/>
  <c r="N24" i="2" s="1"/>
  <c r="J24" i="2" a="1"/>
  <c r="J24" i="2" s="1"/>
  <c r="O24" i="2" s="1"/>
  <c r="K24" i="2" a="1"/>
  <c r="K24" i="2" s="1"/>
  <c r="P24" i="2" s="1"/>
  <c r="L24" i="2" a="1"/>
  <c r="L24" i="2" s="1"/>
  <c r="Q24" i="2" s="1"/>
  <c r="I25" i="2" a="1"/>
  <c r="I25" i="2" s="1"/>
  <c r="N25" i="2" s="1"/>
  <c r="J25" i="2" a="1"/>
  <c r="J25" i="2" s="1"/>
  <c r="O25" i="2" s="1"/>
  <c r="K25" i="2" a="1"/>
  <c r="K25" i="2" s="1"/>
  <c r="P25" i="2" s="1"/>
  <c r="L25" i="2" a="1"/>
  <c r="L25" i="2" s="1"/>
  <c r="Q25" i="2" s="1"/>
  <c r="I26" i="2" a="1"/>
  <c r="I26" i="2" s="1"/>
  <c r="N26" i="2" s="1"/>
  <c r="J26" i="2" a="1"/>
  <c r="J26" i="2" s="1"/>
  <c r="O26" i="2" s="1"/>
  <c r="K26" i="2" a="1"/>
  <c r="K26" i="2" s="1"/>
  <c r="P26" i="2" s="1"/>
  <c r="L26" i="2" a="1"/>
  <c r="L26" i="2" s="1"/>
  <c r="Q26" i="2" s="1"/>
  <c r="I27" i="2" a="1"/>
  <c r="I27" i="2" s="1"/>
  <c r="N27" i="2" s="1"/>
  <c r="J27" i="2" a="1"/>
  <c r="J27" i="2" s="1"/>
  <c r="O27" i="2" s="1"/>
  <c r="K27" i="2" a="1"/>
  <c r="K27" i="2" s="1"/>
  <c r="P27" i="2" s="1"/>
  <c r="L27" i="2" a="1"/>
  <c r="L27" i="2" s="1"/>
  <c r="Q27" i="2" s="1"/>
  <c r="H21" i="2" a="1"/>
  <c r="H21" i="2" s="1"/>
  <c r="M21" i="2" s="1"/>
  <c r="H22" i="2" a="1"/>
  <c r="H22" i="2" s="1"/>
  <c r="M22" i="2" s="1"/>
  <c r="H23" i="2" a="1"/>
  <c r="H23" i="2" s="1"/>
  <c r="M23" i="2" s="1"/>
  <c r="H24" i="2" a="1"/>
  <c r="H24" i="2" s="1"/>
  <c r="M24" i="2" s="1"/>
  <c r="H25" i="2" a="1"/>
  <c r="H25" i="2" s="1"/>
  <c r="M25" i="2" s="1"/>
  <c r="H26" i="2" a="1"/>
  <c r="H26" i="2" s="1"/>
  <c r="M26" i="2" s="1"/>
  <c r="H27" i="2" a="1"/>
  <c r="H27" i="2" s="1"/>
  <c r="M27" i="2" s="1"/>
  <c r="H20" i="2" a="1"/>
  <c r="H20" i="2" s="1"/>
  <c r="M20" i="2" s="1"/>
  <c r="Q36" i="3"/>
  <c r="M36" i="3"/>
  <c r="N36" i="3"/>
  <c r="O36" i="3"/>
  <c r="P36" i="3"/>
  <c r="Q48" i="11"/>
  <c r="P48" i="11"/>
  <c r="O48" i="11"/>
  <c r="N48" i="11"/>
  <c r="M48" i="11"/>
  <c r="Q47" i="11"/>
  <c r="P47" i="11"/>
  <c r="O47" i="11"/>
  <c r="N47" i="11"/>
  <c r="M47" i="11"/>
  <c r="Q46" i="11"/>
  <c r="P46" i="11"/>
  <c r="O46" i="11"/>
  <c r="N46" i="11"/>
  <c r="M46" i="11"/>
  <c r="Q33" i="11"/>
  <c r="P33" i="11"/>
  <c r="O33" i="11"/>
  <c r="N33" i="11"/>
  <c r="M33" i="11"/>
  <c r="Q32" i="11"/>
  <c r="P32" i="11"/>
  <c r="O32" i="11"/>
  <c r="N32" i="11"/>
  <c r="M32" i="11"/>
  <c r="Q30" i="11"/>
  <c r="P30" i="11"/>
  <c r="O30" i="11"/>
  <c r="N30" i="11"/>
  <c r="M30" i="11"/>
  <c r="Q29" i="11"/>
  <c r="P29" i="11"/>
  <c r="O29" i="11"/>
  <c r="N29" i="11"/>
  <c r="M29" i="11"/>
  <c r="Q27" i="11"/>
  <c r="P27" i="11"/>
  <c r="O27" i="11"/>
  <c r="N27" i="11"/>
  <c r="M27" i="11"/>
  <c r="Q26" i="11"/>
  <c r="P26" i="11"/>
  <c r="O26" i="11"/>
  <c r="N26" i="11"/>
  <c r="M26" i="11"/>
  <c r="Q25" i="11"/>
  <c r="P25" i="11"/>
  <c r="O25" i="11"/>
  <c r="N25" i="11"/>
  <c r="M25" i="11"/>
  <c r="Q23" i="11"/>
  <c r="P23" i="11"/>
  <c r="O23" i="11"/>
  <c r="N23" i="11"/>
  <c r="M23" i="11"/>
  <c r="Q22" i="11"/>
  <c r="P22" i="11"/>
  <c r="O22" i="11"/>
  <c r="N22" i="11"/>
  <c r="M22" i="11"/>
  <c r="Q20" i="11"/>
  <c r="P20" i="11"/>
  <c r="O20" i="11"/>
  <c r="N20" i="11"/>
  <c r="M20" i="11"/>
  <c r="Q19" i="11"/>
  <c r="P19" i="11"/>
  <c r="O19" i="11"/>
  <c r="N19" i="11"/>
  <c r="M19" i="11"/>
  <c r="Q18" i="11"/>
  <c r="P18" i="11"/>
  <c r="O18" i="11"/>
  <c r="N18" i="11"/>
  <c r="M18" i="11"/>
  <c r="Q16" i="11"/>
  <c r="P16" i="11"/>
  <c r="O16" i="11"/>
  <c r="N16" i="11"/>
  <c r="M16" i="11"/>
  <c r="Q15" i="11"/>
  <c r="P15" i="11"/>
  <c r="O15" i="11"/>
  <c r="N15" i="11"/>
  <c r="M15" i="11"/>
  <c r="Q13" i="11"/>
  <c r="P13" i="11"/>
  <c r="O13" i="11"/>
  <c r="N13" i="11"/>
  <c r="M13" i="11"/>
  <c r="Q12" i="11"/>
  <c r="P12" i="11"/>
  <c r="O12" i="11"/>
  <c r="N12" i="11"/>
  <c r="M12" i="11"/>
  <c r="Q10" i="11"/>
  <c r="P10" i="11"/>
  <c r="O10" i="11"/>
  <c r="N10" i="11"/>
  <c r="M10" i="11"/>
  <c r="Q9" i="11"/>
  <c r="P9" i="11"/>
  <c r="O9" i="11"/>
  <c r="N9" i="11"/>
  <c r="M9" i="11"/>
  <c r="Q8" i="11"/>
  <c r="P8" i="11"/>
  <c r="O8" i="11"/>
  <c r="N8" i="11"/>
  <c r="M8" i="11"/>
  <c r="Q6" i="11"/>
  <c r="P6" i="11"/>
  <c r="O6" i="11"/>
  <c r="N6" i="11"/>
  <c r="M6" i="11"/>
  <c r="Q5" i="11"/>
  <c r="P5" i="11"/>
  <c r="O5" i="11"/>
  <c r="N5" i="11"/>
  <c r="M5" i="11"/>
  <c r="Q4" i="11"/>
  <c r="P4" i="11"/>
  <c r="O4" i="11"/>
  <c r="N4" i="11"/>
  <c r="M4" i="11"/>
  <c r="Q3" i="11"/>
  <c r="P3" i="11"/>
  <c r="O3" i="11"/>
  <c r="N3" i="11"/>
  <c r="M3" i="11"/>
  <c r="Q2" i="11"/>
  <c r="P2" i="11"/>
  <c r="O2" i="11"/>
  <c r="N2" i="11"/>
  <c r="M2" i="11"/>
  <c r="Q48" i="10"/>
  <c r="P48" i="10"/>
  <c r="O48" i="10"/>
  <c r="N48" i="10"/>
  <c r="M48" i="10"/>
  <c r="Q45" i="10"/>
  <c r="P45" i="10"/>
  <c r="O45" i="10"/>
  <c r="N45" i="10"/>
  <c r="M45" i="10"/>
  <c r="Q33" i="10"/>
  <c r="P33" i="10"/>
  <c r="O33" i="10"/>
  <c r="N33" i="10"/>
  <c r="M33" i="10"/>
  <c r="Q32" i="10"/>
  <c r="P32" i="10"/>
  <c r="O32" i="10"/>
  <c r="N32" i="10"/>
  <c r="M32" i="10"/>
  <c r="Q31" i="10"/>
  <c r="P31" i="10"/>
  <c r="O31" i="10"/>
  <c r="N31" i="10"/>
  <c r="M31" i="10"/>
  <c r="Q29" i="10"/>
  <c r="P29" i="10"/>
  <c r="O29" i="10"/>
  <c r="N29" i="10"/>
  <c r="M29" i="10"/>
  <c r="Q28" i="10"/>
  <c r="P28" i="10"/>
  <c r="O28" i="10"/>
  <c r="N28" i="10"/>
  <c r="M28" i="10"/>
  <c r="Q26" i="10"/>
  <c r="P26" i="10"/>
  <c r="O26" i="10"/>
  <c r="N26" i="10"/>
  <c r="M26" i="10"/>
  <c r="Q25" i="10"/>
  <c r="P25" i="10"/>
  <c r="O25" i="10"/>
  <c r="N25" i="10"/>
  <c r="M25" i="10"/>
  <c r="Q24" i="10"/>
  <c r="P24" i="10"/>
  <c r="O24" i="10"/>
  <c r="N24" i="10"/>
  <c r="M24" i="10"/>
  <c r="Q22" i="10"/>
  <c r="P22" i="10"/>
  <c r="O22" i="10"/>
  <c r="N22" i="10"/>
  <c r="M22" i="10"/>
  <c r="Q21" i="10"/>
  <c r="P21" i="10"/>
  <c r="O21" i="10"/>
  <c r="N21" i="10"/>
  <c r="M21" i="10"/>
  <c r="Q20" i="10"/>
  <c r="P20" i="10"/>
  <c r="O20" i="10"/>
  <c r="N20" i="10"/>
  <c r="M20" i="10"/>
  <c r="Q18" i="10"/>
  <c r="P18" i="10"/>
  <c r="O18" i="10"/>
  <c r="N18" i="10"/>
  <c r="M18" i="10"/>
  <c r="Q17" i="10"/>
  <c r="P17" i="10"/>
  <c r="O17" i="10"/>
  <c r="N17" i="10"/>
  <c r="M17" i="10"/>
  <c r="Q15" i="10"/>
  <c r="P15" i="10"/>
  <c r="O15" i="10"/>
  <c r="N15" i="10"/>
  <c r="M15" i="10"/>
  <c r="Q14" i="10"/>
  <c r="P14" i="10"/>
  <c r="O14" i="10"/>
  <c r="N14" i="10"/>
  <c r="M14" i="10"/>
  <c r="Q13" i="10"/>
  <c r="P13" i="10"/>
  <c r="O13" i="10"/>
  <c r="N13" i="10"/>
  <c r="M13" i="10"/>
  <c r="Q11" i="10"/>
  <c r="P11" i="10"/>
  <c r="O11" i="10"/>
  <c r="N11" i="10"/>
  <c r="M11" i="10"/>
  <c r="Q10" i="10"/>
  <c r="P10" i="10"/>
  <c r="O10" i="10"/>
  <c r="N10" i="10"/>
  <c r="M10" i="10"/>
  <c r="Q8" i="10"/>
  <c r="P8" i="10"/>
  <c r="O8" i="10"/>
  <c r="N8" i="10"/>
  <c r="M8" i="10"/>
  <c r="Q7" i="10"/>
  <c r="P7" i="10"/>
  <c r="O7" i="10"/>
  <c r="N7" i="10"/>
  <c r="M7" i="10"/>
  <c r="Q6" i="10"/>
  <c r="P6" i="10"/>
  <c r="O6" i="10"/>
  <c r="N6" i="10"/>
  <c r="M6" i="10"/>
  <c r="Q5" i="10"/>
  <c r="P5" i="10"/>
  <c r="O5" i="10"/>
  <c r="N5" i="10"/>
  <c r="M5" i="10"/>
  <c r="Q4" i="10"/>
  <c r="P4" i="10"/>
  <c r="O4" i="10"/>
  <c r="N4" i="10"/>
  <c r="M4" i="10"/>
  <c r="Q3" i="10"/>
  <c r="P3" i="10"/>
  <c r="O3" i="10"/>
  <c r="N3" i="10"/>
  <c r="M3" i="10"/>
  <c r="Q2" i="10"/>
  <c r="P2" i="10"/>
  <c r="O2" i="10"/>
  <c r="N2" i="10"/>
  <c r="M2" i="10"/>
  <c r="Q48" i="9"/>
  <c r="P48" i="9"/>
  <c r="O48" i="9"/>
  <c r="N48" i="9"/>
  <c r="M48" i="9"/>
  <c r="Q43" i="9"/>
  <c r="P43" i="9"/>
  <c r="O43" i="9"/>
  <c r="N43" i="9"/>
  <c r="M43" i="9"/>
  <c r="Q32" i="9"/>
  <c r="P32" i="9"/>
  <c r="O32" i="9"/>
  <c r="N32" i="9"/>
  <c r="M32" i="9"/>
  <c r="Q31" i="9"/>
  <c r="P31" i="9"/>
  <c r="O31" i="9"/>
  <c r="N31" i="9"/>
  <c r="M31" i="9"/>
  <c r="Q30" i="9"/>
  <c r="P30" i="9"/>
  <c r="O30" i="9"/>
  <c r="N30" i="9"/>
  <c r="M30" i="9"/>
  <c r="Q28" i="9"/>
  <c r="P28" i="9"/>
  <c r="O28" i="9"/>
  <c r="N28" i="9"/>
  <c r="M28" i="9"/>
  <c r="Q27" i="9"/>
  <c r="P27" i="9"/>
  <c r="O27" i="9"/>
  <c r="N27" i="9"/>
  <c r="M27" i="9"/>
  <c r="Q26" i="9"/>
  <c r="P26" i="9"/>
  <c r="O26" i="9"/>
  <c r="N26" i="9"/>
  <c r="M26" i="9"/>
  <c r="Q24" i="9"/>
  <c r="P24" i="9"/>
  <c r="O24" i="9"/>
  <c r="N24" i="9"/>
  <c r="M24" i="9"/>
  <c r="Q23" i="9"/>
  <c r="P23" i="9"/>
  <c r="O23" i="9"/>
  <c r="N23" i="9"/>
  <c r="M23" i="9"/>
  <c r="Q21" i="9"/>
  <c r="P21" i="9"/>
  <c r="O21" i="9"/>
  <c r="N21" i="9"/>
  <c r="M21" i="9"/>
  <c r="Q20" i="9"/>
  <c r="P20" i="9"/>
  <c r="O20" i="9"/>
  <c r="N20" i="9"/>
  <c r="M20" i="9"/>
  <c r="Q19" i="9"/>
  <c r="P19" i="9"/>
  <c r="O19" i="9"/>
  <c r="N19" i="9"/>
  <c r="M19" i="9"/>
  <c r="Q18" i="9"/>
  <c r="P18" i="9"/>
  <c r="O18" i="9"/>
  <c r="N18" i="9"/>
  <c r="M18" i="9"/>
  <c r="Q16" i="9"/>
  <c r="P16" i="9"/>
  <c r="O16" i="9"/>
  <c r="N16" i="9"/>
  <c r="M16" i="9"/>
  <c r="Q15" i="9"/>
  <c r="P15" i="9"/>
  <c r="O15" i="9"/>
  <c r="N15" i="9"/>
  <c r="M15" i="9"/>
  <c r="Q13" i="9"/>
  <c r="P13" i="9"/>
  <c r="O13" i="9"/>
  <c r="N13" i="9"/>
  <c r="M13" i="9"/>
  <c r="Q12" i="9"/>
  <c r="P12" i="9"/>
  <c r="O12" i="9"/>
  <c r="N12" i="9"/>
  <c r="M12" i="9"/>
  <c r="Q11" i="9"/>
  <c r="P11" i="9"/>
  <c r="O11" i="9"/>
  <c r="N11" i="9"/>
  <c r="M11" i="9"/>
  <c r="Q9" i="9"/>
  <c r="P9" i="9"/>
  <c r="O9" i="9"/>
  <c r="N9" i="9"/>
  <c r="M9" i="9"/>
  <c r="Q8" i="9"/>
  <c r="P8" i="9"/>
  <c r="O8" i="9"/>
  <c r="N8" i="9"/>
  <c r="M8" i="9"/>
  <c r="Q7" i="9"/>
  <c r="P7" i="9"/>
  <c r="O7" i="9"/>
  <c r="N7" i="9"/>
  <c r="M7" i="9"/>
  <c r="Q6" i="9"/>
  <c r="P6" i="9"/>
  <c r="O6" i="9"/>
  <c r="N6" i="9"/>
  <c r="M6" i="9"/>
  <c r="Q5" i="9"/>
  <c r="P5" i="9"/>
  <c r="O5" i="9"/>
  <c r="N5" i="9"/>
  <c r="M5" i="9"/>
  <c r="Q4" i="9"/>
  <c r="P4" i="9"/>
  <c r="O4" i="9"/>
  <c r="N4" i="9"/>
  <c r="M4" i="9"/>
  <c r="Q3" i="9"/>
  <c r="P3" i="9"/>
  <c r="O3" i="9"/>
  <c r="N3" i="9"/>
  <c r="M3" i="9"/>
  <c r="Q2" i="9"/>
  <c r="P2" i="9"/>
  <c r="O2" i="9"/>
  <c r="N2" i="9"/>
  <c r="M2" i="9"/>
  <c r="Q44" i="8"/>
  <c r="P44" i="8"/>
  <c r="O44" i="8"/>
  <c r="N44" i="8"/>
  <c r="M44" i="8"/>
  <c r="Q43" i="8"/>
  <c r="P43" i="8"/>
  <c r="O43" i="8"/>
  <c r="N43" i="8"/>
  <c r="M43" i="8"/>
  <c r="Q41" i="8"/>
  <c r="P41" i="8"/>
  <c r="O41" i="8"/>
  <c r="N41" i="8"/>
  <c r="M41" i="8"/>
  <c r="Q40" i="8"/>
  <c r="P40" i="8"/>
  <c r="O40" i="8"/>
  <c r="N40" i="8"/>
  <c r="M40" i="8"/>
  <c r="Q38" i="8"/>
  <c r="P38" i="8"/>
  <c r="O38" i="8"/>
  <c r="N38" i="8"/>
  <c r="M38" i="8"/>
  <c r="Q37" i="8"/>
  <c r="P37" i="8"/>
  <c r="O37" i="8"/>
  <c r="N37" i="8"/>
  <c r="M37" i="8"/>
  <c r="Q35" i="8"/>
  <c r="P35" i="8"/>
  <c r="O35" i="8"/>
  <c r="N35" i="8"/>
  <c r="M35" i="8"/>
  <c r="Q34" i="8"/>
  <c r="P34" i="8"/>
  <c r="O34" i="8"/>
  <c r="N34" i="8"/>
  <c r="M34" i="8"/>
  <c r="Q33" i="8"/>
  <c r="P33" i="8"/>
  <c r="O33" i="8"/>
  <c r="N33" i="8"/>
  <c r="M33" i="8"/>
  <c r="Q31" i="8"/>
  <c r="P31" i="8"/>
  <c r="O31" i="8"/>
  <c r="N31" i="8"/>
  <c r="M31" i="8"/>
  <c r="Q30" i="8"/>
  <c r="P30" i="8"/>
  <c r="O30" i="8"/>
  <c r="N30" i="8"/>
  <c r="M30" i="8"/>
  <c r="Q28" i="8"/>
  <c r="P28" i="8"/>
  <c r="O28" i="8"/>
  <c r="N28" i="8"/>
  <c r="M28" i="8"/>
  <c r="Q27" i="8"/>
  <c r="P27" i="8"/>
  <c r="O27" i="8"/>
  <c r="N27" i="8"/>
  <c r="M27" i="8"/>
  <c r="Q25" i="8"/>
  <c r="P25" i="8"/>
  <c r="O25" i="8"/>
  <c r="N25" i="8"/>
  <c r="M25" i="8"/>
  <c r="Q24" i="8"/>
  <c r="P24" i="8"/>
  <c r="O24" i="8"/>
  <c r="N24" i="8"/>
  <c r="M24" i="8"/>
  <c r="Q22" i="8"/>
  <c r="P22" i="8"/>
  <c r="O22" i="8"/>
  <c r="N22" i="8"/>
  <c r="M22" i="8"/>
  <c r="Q21" i="8"/>
  <c r="P21" i="8"/>
  <c r="O21" i="8"/>
  <c r="N21" i="8"/>
  <c r="M21" i="8"/>
  <c r="Q19" i="8"/>
  <c r="P19" i="8"/>
  <c r="O19" i="8"/>
  <c r="N19" i="8"/>
  <c r="M19" i="8"/>
  <c r="Q18" i="8"/>
  <c r="P18" i="8"/>
  <c r="O18" i="8"/>
  <c r="N18" i="8"/>
  <c r="M18" i="8"/>
  <c r="Q17" i="8"/>
  <c r="P17" i="8"/>
  <c r="O17" i="8"/>
  <c r="N17" i="8"/>
  <c r="M17" i="8"/>
  <c r="Q15" i="8"/>
  <c r="P15" i="8"/>
  <c r="O15" i="8"/>
  <c r="N15" i="8"/>
  <c r="M15" i="8"/>
  <c r="Q14" i="8"/>
  <c r="P14" i="8"/>
  <c r="O14" i="8"/>
  <c r="N14" i="8"/>
  <c r="M14" i="8"/>
  <c r="Q13" i="8"/>
  <c r="P13" i="8"/>
  <c r="O13" i="8"/>
  <c r="N13" i="8"/>
  <c r="M13" i="8"/>
  <c r="Q12" i="8"/>
  <c r="P12" i="8"/>
  <c r="O12" i="8"/>
  <c r="N12" i="8"/>
  <c r="M12" i="8"/>
  <c r="Q11" i="8"/>
  <c r="P11" i="8"/>
  <c r="O11" i="8"/>
  <c r="N11" i="8"/>
  <c r="M11" i="8"/>
  <c r="Q10" i="8"/>
  <c r="P10" i="8"/>
  <c r="O10" i="8"/>
  <c r="N10" i="8"/>
  <c r="M10" i="8"/>
  <c r="Q9" i="8"/>
  <c r="P9" i="8"/>
  <c r="O9" i="8"/>
  <c r="N9" i="8"/>
  <c r="M9" i="8"/>
  <c r="Q8" i="8"/>
  <c r="P8" i="8"/>
  <c r="O8" i="8"/>
  <c r="N8" i="8"/>
  <c r="M8" i="8"/>
  <c r="Q7" i="8"/>
  <c r="P7" i="8"/>
  <c r="O7" i="8"/>
  <c r="N7" i="8"/>
  <c r="M7" i="8"/>
  <c r="Q6" i="8"/>
  <c r="P6" i="8"/>
  <c r="O6" i="8"/>
  <c r="N6" i="8"/>
  <c r="M6" i="8"/>
  <c r="Q5" i="8"/>
  <c r="P5" i="8"/>
  <c r="O5" i="8"/>
  <c r="N5" i="8"/>
  <c r="M5" i="8"/>
  <c r="Q4" i="8"/>
  <c r="P4" i="8"/>
  <c r="O4" i="8"/>
  <c r="N4" i="8"/>
  <c r="M4" i="8"/>
  <c r="Q3" i="8"/>
  <c r="P3" i="8"/>
  <c r="O3" i="8"/>
  <c r="N3" i="8"/>
  <c r="M3" i="8"/>
  <c r="Q2" i="8"/>
  <c r="P2" i="8"/>
  <c r="O2" i="8"/>
  <c r="N2" i="8"/>
  <c r="M2" i="8"/>
  <c r="Q44" i="7"/>
  <c r="P44" i="7"/>
  <c r="O44" i="7"/>
  <c r="N44" i="7"/>
  <c r="M44" i="7"/>
  <c r="Q43" i="7"/>
  <c r="P43" i="7"/>
  <c r="O43" i="7"/>
  <c r="N43" i="7"/>
  <c r="M43" i="7"/>
  <c r="Q41" i="7"/>
  <c r="P41" i="7"/>
  <c r="O41" i="7"/>
  <c r="N41" i="7"/>
  <c r="M41" i="7"/>
  <c r="Q40" i="7"/>
  <c r="P40" i="7"/>
  <c r="O40" i="7"/>
  <c r="N40" i="7"/>
  <c r="M40" i="7"/>
  <c r="Q38" i="7"/>
  <c r="P38" i="7"/>
  <c r="O38" i="7"/>
  <c r="N38" i="7"/>
  <c r="M38" i="7"/>
  <c r="Q37" i="7"/>
  <c r="P37" i="7"/>
  <c r="O37" i="7"/>
  <c r="N37" i="7"/>
  <c r="M37" i="7"/>
  <c r="Q35" i="7"/>
  <c r="P35" i="7"/>
  <c r="O35" i="7"/>
  <c r="N35" i="7"/>
  <c r="M35" i="7"/>
  <c r="Q34" i="7"/>
  <c r="P34" i="7"/>
  <c r="O34" i="7"/>
  <c r="N34" i="7"/>
  <c r="M34" i="7"/>
  <c r="Q33" i="7"/>
  <c r="P33" i="7"/>
  <c r="O33" i="7"/>
  <c r="N33" i="7"/>
  <c r="M33" i="7"/>
  <c r="Q31" i="7"/>
  <c r="P31" i="7"/>
  <c r="O31" i="7"/>
  <c r="N31" i="7"/>
  <c r="M31" i="7"/>
  <c r="Q30" i="7"/>
  <c r="P30" i="7"/>
  <c r="O30" i="7"/>
  <c r="N30" i="7"/>
  <c r="M30" i="7"/>
  <c r="Q28" i="7"/>
  <c r="P28" i="7"/>
  <c r="O28" i="7"/>
  <c r="N28" i="7"/>
  <c r="M28" i="7"/>
  <c r="Q27" i="7"/>
  <c r="P27" i="7"/>
  <c r="O27" i="7"/>
  <c r="N27" i="7"/>
  <c r="M27" i="7"/>
  <c r="Q25" i="7"/>
  <c r="P25" i="7"/>
  <c r="O25" i="7"/>
  <c r="N25" i="7"/>
  <c r="M25" i="7"/>
  <c r="Q24" i="7"/>
  <c r="P24" i="7"/>
  <c r="O24" i="7"/>
  <c r="N24" i="7"/>
  <c r="M24" i="7"/>
  <c r="Q23" i="7"/>
  <c r="P23" i="7"/>
  <c r="O23" i="7"/>
  <c r="N23" i="7"/>
  <c r="M23" i="7"/>
  <c r="Q21" i="7"/>
  <c r="P21" i="7"/>
  <c r="O21" i="7"/>
  <c r="N21" i="7"/>
  <c r="M21" i="7"/>
  <c r="Q20" i="7"/>
  <c r="P20" i="7"/>
  <c r="O20" i="7"/>
  <c r="N20" i="7"/>
  <c r="M20" i="7"/>
  <c r="Q19" i="7"/>
  <c r="P19" i="7"/>
  <c r="O19" i="7"/>
  <c r="N19" i="7"/>
  <c r="M19" i="7"/>
  <c r="Q17" i="7"/>
  <c r="P17" i="7"/>
  <c r="O17" i="7"/>
  <c r="N17" i="7"/>
  <c r="M17" i="7"/>
  <c r="Q16" i="7"/>
  <c r="P16" i="7"/>
  <c r="O16" i="7"/>
  <c r="N16" i="7"/>
  <c r="M16" i="7"/>
  <c r="Q14" i="7"/>
  <c r="P14" i="7"/>
  <c r="O14" i="7"/>
  <c r="N14" i="7"/>
  <c r="M14" i="7"/>
  <c r="Q13" i="7"/>
  <c r="P13" i="7"/>
  <c r="O13" i="7"/>
  <c r="N13" i="7"/>
  <c r="M13" i="7"/>
  <c r="Q12" i="7"/>
  <c r="P12" i="7"/>
  <c r="O12" i="7"/>
  <c r="N12" i="7"/>
  <c r="M12" i="7"/>
  <c r="Q11" i="7"/>
  <c r="P11" i="7"/>
  <c r="O11" i="7"/>
  <c r="N11" i="7"/>
  <c r="M11" i="7"/>
  <c r="Q10" i="7"/>
  <c r="P10" i="7"/>
  <c r="O10" i="7"/>
  <c r="N10" i="7"/>
  <c r="M10" i="7"/>
  <c r="Q9" i="7"/>
  <c r="P9" i="7"/>
  <c r="O9" i="7"/>
  <c r="N9" i="7"/>
  <c r="M9" i="7"/>
  <c r="Q8" i="7"/>
  <c r="P8" i="7"/>
  <c r="O8" i="7"/>
  <c r="N8" i="7"/>
  <c r="M8" i="7"/>
  <c r="Q7" i="7"/>
  <c r="P7" i="7"/>
  <c r="O7" i="7"/>
  <c r="N7" i="7"/>
  <c r="M7" i="7"/>
  <c r="Q6" i="7"/>
  <c r="P6" i="7"/>
  <c r="O6" i="7"/>
  <c r="N6" i="7"/>
  <c r="M6" i="7"/>
  <c r="Q5" i="7"/>
  <c r="P5" i="7"/>
  <c r="O5" i="7"/>
  <c r="N5" i="7"/>
  <c r="M5" i="7"/>
  <c r="Q4" i="7"/>
  <c r="P4" i="7"/>
  <c r="O4" i="7"/>
  <c r="N4" i="7"/>
  <c r="M4" i="7"/>
  <c r="Q3" i="7"/>
  <c r="P3" i="7"/>
  <c r="O3" i="7"/>
  <c r="N3" i="7"/>
  <c r="M3" i="7"/>
  <c r="Q2" i="7"/>
  <c r="P2" i="7"/>
  <c r="O2" i="7"/>
  <c r="N2" i="7"/>
  <c r="M2" i="7"/>
  <c r="Q45" i="6"/>
  <c r="P45" i="6"/>
  <c r="O45" i="6"/>
  <c r="N45" i="6"/>
  <c r="M45" i="6"/>
  <c r="Q44" i="6"/>
  <c r="P44" i="6"/>
  <c r="O44" i="6"/>
  <c r="N44" i="6"/>
  <c r="M44" i="6"/>
  <c r="Q42" i="6"/>
  <c r="P42" i="6"/>
  <c r="O42" i="6"/>
  <c r="N42" i="6"/>
  <c r="M42" i="6"/>
  <c r="Q41" i="6"/>
  <c r="P41" i="6"/>
  <c r="O41" i="6"/>
  <c r="N41" i="6"/>
  <c r="M41" i="6"/>
  <c r="Q39" i="6"/>
  <c r="P39" i="6"/>
  <c r="O39" i="6"/>
  <c r="N39" i="6"/>
  <c r="M39" i="6"/>
  <c r="Q38" i="6"/>
  <c r="P38" i="6"/>
  <c r="O38" i="6"/>
  <c r="N38" i="6"/>
  <c r="M38" i="6"/>
  <c r="Q37" i="6"/>
  <c r="P37" i="6"/>
  <c r="O37" i="6"/>
  <c r="N37" i="6"/>
  <c r="M37" i="6"/>
  <c r="Q35" i="6"/>
  <c r="P35" i="6"/>
  <c r="O35" i="6"/>
  <c r="N35" i="6"/>
  <c r="M35" i="6"/>
  <c r="Q34" i="6"/>
  <c r="P34" i="6"/>
  <c r="O34" i="6"/>
  <c r="N34" i="6"/>
  <c r="M34" i="6"/>
  <c r="Q33" i="6"/>
  <c r="P33" i="6"/>
  <c r="O33" i="6"/>
  <c r="N33" i="6"/>
  <c r="M33" i="6"/>
  <c r="Q31" i="6"/>
  <c r="P31" i="6"/>
  <c r="O31" i="6"/>
  <c r="N31" i="6"/>
  <c r="M31" i="6"/>
  <c r="Q30" i="6"/>
  <c r="P30" i="6"/>
  <c r="O30" i="6"/>
  <c r="N30" i="6"/>
  <c r="M30" i="6"/>
  <c r="Q29" i="6"/>
  <c r="P29" i="6"/>
  <c r="O29" i="6"/>
  <c r="N29" i="6"/>
  <c r="M29" i="6"/>
  <c r="Q27" i="6"/>
  <c r="P27" i="6"/>
  <c r="O27" i="6"/>
  <c r="N27" i="6"/>
  <c r="M27" i="6"/>
  <c r="Q26" i="6"/>
  <c r="P26" i="6"/>
  <c r="O26" i="6"/>
  <c r="N26" i="6"/>
  <c r="M26" i="6"/>
  <c r="Q25" i="6"/>
  <c r="P25" i="6"/>
  <c r="O25" i="6"/>
  <c r="N25" i="6"/>
  <c r="M25" i="6"/>
  <c r="Q24" i="6"/>
  <c r="P24" i="6"/>
  <c r="O24" i="6"/>
  <c r="N24" i="6"/>
  <c r="M24" i="6"/>
  <c r="Q22" i="6"/>
  <c r="P22" i="6"/>
  <c r="O22" i="6"/>
  <c r="N22" i="6"/>
  <c r="M22" i="6"/>
  <c r="Q21" i="6"/>
  <c r="P21" i="6"/>
  <c r="O21" i="6"/>
  <c r="N21" i="6"/>
  <c r="M21" i="6"/>
  <c r="Q20" i="6"/>
  <c r="P20" i="6"/>
  <c r="O20" i="6"/>
  <c r="N20" i="6"/>
  <c r="M20" i="6"/>
  <c r="Q18" i="6"/>
  <c r="P18" i="6"/>
  <c r="O18" i="6"/>
  <c r="N18" i="6"/>
  <c r="M18" i="6"/>
  <c r="Q17" i="6"/>
  <c r="P17" i="6"/>
  <c r="O17" i="6"/>
  <c r="N17" i="6"/>
  <c r="M17" i="6"/>
  <c r="Q15" i="6"/>
  <c r="P15" i="6"/>
  <c r="O15" i="6"/>
  <c r="N15" i="6"/>
  <c r="M15" i="6"/>
  <c r="Q14" i="6"/>
  <c r="P14" i="6"/>
  <c r="O14" i="6"/>
  <c r="N14" i="6"/>
  <c r="M14" i="6"/>
  <c r="Q12" i="6"/>
  <c r="P12" i="6"/>
  <c r="O12" i="6"/>
  <c r="N12" i="6"/>
  <c r="M12" i="6"/>
  <c r="Q11" i="6"/>
  <c r="P11" i="6"/>
  <c r="O11" i="6"/>
  <c r="N11" i="6"/>
  <c r="M11" i="6"/>
  <c r="Q9" i="6"/>
  <c r="P9" i="6"/>
  <c r="O9" i="6"/>
  <c r="N9" i="6"/>
  <c r="M9" i="6"/>
  <c r="Q8" i="6"/>
  <c r="P8" i="6"/>
  <c r="O8" i="6"/>
  <c r="N8" i="6"/>
  <c r="M8" i="6"/>
  <c r="Q7" i="6"/>
  <c r="P7" i="6"/>
  <c r="O7" i="6"/>
  <c r="N7" i="6"/>
  <c r="M7" i="6"/>
  <c r="Q6" i="6"/>
  <c r="P6" i="6"/>
  <c r="O6" i="6"/>
  <c r="N6" i="6"/>
  <c r="M6" i="6"/>
  <c r="Q5" i="6"/>
  <c r="P5" i="6"/>
  <c r="O5" i="6"/>
  <c r="N5" i="6"/>
  <c r="M5" i="6"/>
  <c r="Q4" i="6"/>
  <c r="P4" i="6"/>
  <c r="O4" i="6"/>
  <c r="N4" i="6"/>
  <c r="M4" i="6"/>
  <c r="Q3" i="6"/>
  <c r="P3" i="6"/>
  <c r="O3" i="6"/>
  <c r="N3" i="6"/>
  <c r="M3" i="6"/>
  <c r="Q2" i="6"/>
  <c r="P2" i="6"/>
  <c r="O2" i="6"/>
  <c r="N2" i="6"/>
  <c r="M2" i="6"/>
  <c r="M44" i="5"/>
  <c r="M43" i="5"/>
  <c r="M41" i="5"/>
  <c r="M40" i="5"/>
  <c r="M38" i="5"/>
  <c r="M37" i="5"/>
  <c r="M36" i="5"/>
  <c r="M35" i="5"/>
  <c r="M33" i="5"/>
  <c r="M32" i="5"/>
  <c r="M30" i="5"/>
  <c r="M29" i="5"/>
  <c r="M28" i="5"/>
  <c r="M27" i="5"/>
  <c r="M25" i="5"/>
  <c r="M24" i="5"/>
  <c r="M22" i="5"/>
  <c r="M21" i="5"/>
  <c r="M19" i="5"/>
  <c r="M18" i="5"/>
  <c r="M16" i="5"/>
  <c r="M15" i="5"/>
  <c r="M14" i="5"/>
  <c r="M12" i="5"/>
  <c r="M11" i="5"/>
  <c r="M10" i="5"/>
  <c r="M9" i="5"/>
  <c r="M8" i="5"/>
  <c r="M7" i="5"/>
  <c r="M6" i="5"/>
  <c r="M5" i="5"/>
  <c r="M4" i="5"/>
  <c r="M3" i="5"/>
  <c r="M2" i="5"/>
  <c r="Q36" i="4"/>
  <c r="P36" i="4"/>
  <c r="O36" i="4"/>
  <c r="N36" i="4"/>
  <c r="M36" i="4"/>
  <c r="Q20" i="4"/>
  <c r="P20" i="4"/>
  <c r="O20" i="4"/>
  <c r="N20" i="4"/>
  <c r="M20" i="4"/>
  <c r="Q19" i="4"/>
  <c r="P19" i="4"/>
  <c r="O19" i="4"/>
  <c r="N19" i="4"/>
  <c r="M19" i="4"/>
  <c r="Q17" i="4"/>
  <c r="P17" i="4"/>
  <c r="O17" i="4"/>
  <c r="N17" i="4"/>
  <c r="M17" i="4"/>
  <c r="Q16" i="4"/>
  <c r="P16" i="4"/>
  <c r="O16" i="4"/>
  <c r="N16" i="4"/>
  <c r="M16" i="4"/>
  <c r="Q14" i="4"/>
  <c r="P14" i="4"/>
  <c r="O14" i="4"/>
  <c r="N14" i="4"/>
  <c r="M14" i="4"/>
  <c r="Q13" i="4"/>
  <c r="P13" i="4"/>
  <c r="O13" i="4"/>
  <c r="N13" i="4"/>
  <c r="M13" i="4"/>
  <c r="Q11" i="4"/>
  <c r="P11" i="4"/>
  <c r="O11" i="4"/>
  <c r="N11" i="4"/>
  <c r="M11" i="4"/>
  <c r="Q10" i="4"/>
  <c r="P10" i="4"/>
  <c r="O10" i="4"/>
  <c r="N10" i="4"/>
  <c r="M10" i="4"/>
  <c r="Q8" i="4"/>
  <c r="P8" i="4"/>
  <c r="O8" i="4"/>
  <c r="N8" i="4"/>
  <c r="M8" i="4"/>
  <c r="Q7" i="4"/>
  <c r="P7" i="4"/>
  <c r="O7" i="4"/>
  <c r="N7" i="4"/>
  <c r="M7" i="4"/>
  <c r="Q6" i="4"/>
  <c r="P6" i="4"/>
  <c r="O6" i="4"/>
  <c r="N6" i="4"/>
  <c r="M6" i="4"/>
  <c r="Q5" i="4"/>
  <c r="P5" i="4"/>
  <c r="O5" i="4"/>
  <c r="N5" i="4"/>
  <c r="M5" i="4"/>
  <c r="Q4" i="4"/>
  <c r="P4" i="4"/>
  <c r="O4" i="4"/>
  <c r="N4" i="4"/>
  <c r="M4" i="4"/>
  <c r="Q3" i="4"/>
  <c r="P3" i="4"/>
  <c r="O3" i="4"/>
  <c r="N3" i="4"/>
  <c r="M3" i="4"/>
  <c r="Q2" i="4"/>
  <c r="P2" i="4"/>
  <c r="O2" i="4"/>
  <c r="N2" i="4"/>
  <c r="M2" i="4"/>
  <c r="O31" i="3"/>
  <c r="N31" i="3"/>
  <c r="M31" i="3"/>
  <c r="Q19" i="3"/>
  <c r="P19" i="3"/>
  <c r="Q18" i="3"/>
  <c r="P18" i="3"/>
  <c r="Q17" i="3"/>
  <c r="P17" i="3"/>
  <c r="Q15" i="3"/>
  <c r="P15" i="3"/>
  <c r="Q14" i="3"/>
  <c r="P14" i="3"/>
  <c r="Q12" i="3"/>
  <c r="P12" i="3"/>
  <c r="Q11" i="3"/>
  <c r="P11" i="3"/>
  <c r="Q9" i="3"/>
  <c r="P9" i="3"/>
  <c r="Q8" i="3"/>
  <c r="P8" i="3"/>
  <c r="Q7" i="3"/>
  <c r="P7" i="3"/>
  <c r="Q6" i="3"/>
  <c r="P6" i="3"/>
  <c r="Q5" i="3"/>
  <c r="P5" i="3"/>
  <c r="Q4" i="3"/>
  <c r="P4" i="3"/>
  <c r="Q3" i="3"/>
  <c r="P3" i="3"/>
  <c r="Q2" i="3"/>
  <c r="P2" i="3"/>
  <c r="Q36" i="2"/>
  <c r="P36" i="2"/>
  <c r="O36" i="2"/>
  <c r="N36" i="2"/>
  <c r="Q18" i="2"/>
  <c r="P18" i="2"/>
  <c r="O18" i="2"/>
  <c r="N18" i="2"/>
  <c r="M18" i="2"/>
  <c r="Q17" i="2"/>
  <c r="P17" i="2"/>
  <c r="O17" i="2"/>
  <c r="N17" i="2"/>
  <c r="M17" i="2"/>
  <c r="Q15" i="2"/>
  <c r="P15" i="2"/>
  <c r="O15" i="2"/>
  <c r="N15" i="2"/>
  <c r="M15" i="2"/>
  <c r="Q14" i="2"/>
  <c r="P14" i="2"/>
  <c r="O14" i="2"/>
  <c r="N14" i="2"/>
  <c r="M14" i="2"/>
  <c r="Q12" i="2"/>
  <c r="P12" i="2"/>
  <c r="O12" i="2"/>
  <c r="N12" i="2"/>
  <c r="M12" i="2"/>
  <c r="Q11" i="2"/>
  <c r="P11" i="2"/>
  <c r="O11" i="2"/>
  <c r="N11" i="2"/>
  <c r="M11" i="2"/>
  <c r="Q10" i="2"/>
  <c r="P10" i="2"/>
  <c r="O10" i="2"/>
  <c r="N10" i="2"/>
  <c r="M10" i="2"/>
  <c r="Q9" i="2"/>
  <c r="P9" i="2"/>
  <c r="O9" i="2"/>
  <c r="N9" i="2"/>
  <c r="M9" i="2"/>
  <c r="Q8" i="2"/>
  <c r="P8" i="2"/>
  <c r="O8" i="2"/>
  <c r="N8" i="2"/>
  <c r="M8" i="2"/>
  <c r="Q7" i="2"/>
  <c r="P7" i="2"/>
  <c r="O7" i="2"/>
  <c r="N7" i="2"/>
  <c r="M7" i="2"/>
  <c r="Q6" i="2"/>
  <c r="P6" i="2"/>
  <c r="O6" i="2"/>
  <c r="N6" i="2"/>
  <c r="M6" i="2"/>
  <c r="Q5" i="2"/>
  <c r="P5" i="2"/>
  <c r="O5" i="2"/>
  <c r="N5" i="2"/>
  <c r="M5" i="2"/>
  <c r="Q4" i="2"/>
  <c r="P4" i="2"/>
  <c r="O4" i="2"/>
  <c r="N4" i="2"/>
  <c r="M4" i="2"/>
  <c r="Q3" i="2"/>
  <c r="P3" i="2"/>
  <c r="O3" i="2"/>
  <c r="N3" i="2"/>
  <c r="M3" i="2"/>
  <c r="Q2" i="2"/>
  <c r="P2" i="2"/>
  <c r="O2" i="2"/>
  <c r="N2" i="2"/>
  <c r="M2" i="2"/>
  <c r="N28" i="2" l="1"/>
  <c r="N30" i="2" s="1"/>
  <c r="O30" i="4"/>
  <c r="O32" i="4" s="1"/>
  <c r="M28" i="2"/>
  <c r="M30" i="4"/>
  <c r="M32" i="4" s="1"/>
  <c r="N30" i="4"/>
  <c r="N32" i="4" s="1"/>
  <c r="P28" i="2"/>
  <c r="P30" i="2" s="1"/>
  <c r="O28" i="2"/>
  <c r="O30" i="2" s="1"/>
  <c r="Q29" i="3"/>
  <c r="Q31" i="3" s="1"/>
  <c r="Q30" i="4"/>
  <c r="Q32" i="4" s="1"/>
  <c r="Q28" i="2"/>
  <c r="Q30" i="2" s="1"/>
  <c r="P30" i="4"/>
  <c r="P32" i="4" s="1"/>
  <c r="P29" i="3"/>
  <c r="P3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4" authorId="0" shapeId="0" xr:uid="{00000000-0006-0000-0800-000001000000}">
      <text>
        <r>
          <rPr>
            <sz val="11"/>
            <color theme="1"/>
            <rFont val="Calibri"/>
            <family val="2"/>
            <scheme val="minor"/>
          </rPr>
          <t>======
ID#AAAB3Tc9Eow
cmuh    (2026-04-15 06:09:15)
請依據提示，完成表格內容。（（1）請抄錄甲文文句，占2分，作答字數：10字以內。（2）
請先寫出「條件」再「抄錄甲文或乙文文句」，建議兩者間以分號區隔（如條件；文句）
占4分，作答字數：15字以內。）</t>
        </r>
      </text>
    </comment>
  </commentList>
  <extLst>
    <ext xmlns:r="http://schemas.openxmlformats.org/officeDocument/2006/relationships" uri="GoogleSheetsCustomDataVersion2">
      <go:sheetsCustomData xmlns:go="http://customooxmlschemas.google.com/" r:id="rId1" roundtripDataSignature="AMtx7mgnSQiBZIzHEaMG61l81ujyaV2LV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<sst xmlns="http://schemas.openxmlformats.org/spreadsheetml/2006/main" count="2715" uniqueCount="583">
  <si>
    <t>GPT-4o</t>
  </si>
  <si>
    <t>o1-preview</t>
  </si>
  <si>
    <t>o1-mini</t>
  </si>
  <si>
    <t>Gemini 3 Flash (Thinking Mode)</t>
  </si>
  <si>
    <t>Answer Key</t>
  </si>
  <si>
    <t>GPT-5.4_Thinking</t>
  </si>
  <si>
    <t>GPT-4o_ItemCount</t>
  </si>
  <si>
    <t>o1-preview_ItemCount</t>
  </si>
  <si>
    <t>o1-mini_ItemCount</t>
  </si>
  <si>
    <t>GPT-5.4_Thinking_ItemCount</t>
  </si>
  <si>
    <t>Gemini 3 Flash (Thinking Mode)_ItemCount</t>
  </si>
  <si>
    <t>GPT-4o_Score</t>
  </si>
  <si>
    <t>o1-preview_Score</t>
  </si>
  <si>
    <t>o1-mini_Score</t>
  </si>
  <si>
    <t>GPT-5.4_Thinking_Score</t>
  </si>
  <si>
    <t>Gemini 3 Flash (Thinking Mode)_Score</t>
  </si>
  <si>
    <t>1.	下列各組「」內三個偏旁相同的字，讀音完全不同的選項是： (A)「忻」慕不已／「沂」水之濱／「斫」木為琴 (B)「滄」海遺珠／氣味「嗆」鼻／「戧」金彩盒 (C)善擊「羯」鼓／斷碑殘「碣」／佛家「偈」言 (D)多年「淬」煉／「啐」一口痰／窸「窣」作響</t>
  </si>
  <si>
    <t>A</t>
  </si>
  <si>
    <t>B</t>
  </si>
  <si>
    <t>2.	下列文句「」內成語的運用，正確的選項是： (A)思螢為了準備朗讀比賽，常「念念有詞」地大聲誦讀課文，以提升臨場表現效果 (B)澤于登上101觀景臺後，發現遠處的景物盡收眼底，這才真正體會「尺寸千里」的意涵 (C)阿拓熱愛登山，不斷接受各種訓練，希望能早日完成他挑戰臺灣百岳的「名山事業」 (D)原本打算丟棄的舊掃帚，竟然有復古餐廳願意高價收購，讓暴哥喜呼果真是「敝帚千金」</t>
  </si>
  <si>
    <t>D</t>
  </si>
  <si>
    <t>3.	閱讀下文，選出依序最適合填入□□□□內的選項： 甲、船頭破浪高仰，滾白浪花如千軍萬馬在船前□□□□，港口長堤若一道黑線隱隱浮現浪緣。（廖鴻基〈鐵魚〉） 乙、駭浪撞擊小徑邊的礁岩，轟隆隆的海震聲，淹沒了父子奔跑的驚恐脈搏，驟雨狂下，浪沫□□□□，一切的一切，是颱風迅雷不及掩耳的，好似是從島嶼海底倏地拔蔥的不發一丁點的警示的感覺。（夏曼‧藍波安《天空的眼睛》） 丙、媽媽去世後，他(爸爸)言語更少，近乎沉默，正似從洶湧的巨流河沖進了啞口海──臺灣極南端鵝鑾鼻燈塔左側，有小小一泓海灣，名為啞口海，太平洋奔騰的波濤衝進此灣，彷彿□□□□，發不出怒濤的聲音。（齊邦媛《巨流河》） (A)灰飛煙滅／狂飛八方／江河日下	(B)灰飛煙滅／起伏有致／銷聲匿跡 (C)崩裂坍塌／起伏有致／江河日下	(D)崩裂坍塌／狂飛八方／銷聲匿跡</t>
  </si>
  <si>
    <t>4.	下列是一段武俠小說，依文意選出排列順序最恰當的選項： 原來修練邪派內功的人，功力愈增，危機愈大，到了某一關頭， 甲、成了廢人	乙、重則斃命 丙、輕則半身不遂	丁、便要遭逢「走火入魔」之劫 不過，若能衝破此關，武功便可以有登峰造極的希望。(梁羽生《冰河洗劍錄》第52回) (A)丙甲乙丁	(B)丙乙丁甲	(C)丁乙丙甲	(D)丁丙乙甲</t>
  </si>
  <si>
    <t>C</t>
  </si>
  <si>
    <t>5.	某位老師向學生講述下文的用意，最可能是希望學生： 農民問教授：「一個聾啞人到五金行買釘子，他先把左手的兩個指頭放在桌上，然後用右手做鎚釘的樣子。店員拿出鎚子，他搖搖頭，用右手指了指左手的兩個指頭；店員拿出釘子，他點點頭。這時，一個盲人走進來。先生，請您想一下，他會如何買到一把剪刀？」教授從容答道：「簡單。他只要伸出兩個指頭，模仿剪刀的樣子就可以了。」農民笑起來：「先生，他不需要這樣，盲人是會說話的。」（改寫自郭亞維《哈佛校訓給大學生的24個啟示》） (A)勿受既有認知限制	(B)莫因專業蒙蔽真相 (C)審慎辨析言語歧義	(D)勇於質疑權威觀點</t>
  </si>
  <si>
    <t>6.	依據詩意，作者感到被「嚙咬」、「絞傷」的原因，最可能是： 花是無聲的音樂／果實是最動人的書籍／當它們在春天演奏，秋天出版／我的日子被時計的齒輪／給無情地嚙咬，絞傷／庭中便飛散著我的心的碎片／階下就響起我的一片嘆息（楊喚〈花與果實〉） (A)吾謀適不用，勿謂知音稀 (B)歲月一何易，寒暑忽已革 (C)花自飄零水自流，一種相思，兩處閒愁 (D)不忍登高臨遠，望故鄉渺邈，歸思難收</t>
  </si>
  <si>
    <t>7.	閱讀下文，選出最符合作者想法的選項： 生活開始變得簡單：簡單地吃，簡單地睡，簡單地面對人生中一切的複雜繁瑣……非常規律。因為沒有驚喜，也無須想像在行事曆之外，還有什麼事情會來破壞已經安排好的一切。但總是一些無關緊要的場景，像是餐桌上的一對咖啡杯，沙發上隨意擺放的一雙靠枕，在不經意之間，引起我無窮無盡的想像。真要說還有什麼值得我期待的，大概也就是將一張張日曆撕下的過程，因為那提醒了我，別離的苦澀終會換來甜美的報償。 (A)人生從來多憾，還君明珠淚垂 (B)別後思君之甚，欣信相逢有期 (C)春盡絮飛不留，隨風吹落誰家 (D)愛情猶如春夢，醒來方知是空</t>
  </si>
  <si>
    <t>8.	閱讀下文，關於寶釵的回答，最可能是希望王夫人： 
王夫人:原是前兒他（金釧兒）把我一件東西弄壞了，我一時生氣，打了他幾下，攆了他下去。我只說氣他兩天，還叫他上來，誰知他這麼氣性大，就投井死了。豈不是我的罪過。
寶釵:姨娘是慈善人，固然這麼想。據我看來，他並不是賭氣投井。多半他下去住著，或是在井跟前憨頑，失了腳掉下去的。他在上頭拘束慣了，這一出去，自然要到各處去頑頑逛逛，豈有這樣大氣的理！縱然有這樣大氣，也不過是個糊塗人，也不為可惜。
 (A)追查金釧兒真正的死因	(B)勇於認錯以免良心不安 (C)不要將金釧兒的死放在心上	(D)不必為金釧兒的意外而生氣</t>
  </si>
  <si>
    <t xml:space="preserve">9. 依甲、乙二詩的祝賀內容，分別選用相應的題辭，最恰當的選項是：
甲、三代冠裳應接武，百年琴瑟喜同幃。今朝福曜潘門燦，戲舞堂前著彩衣。
乙、榮遷指日向南行，福曜遙臨萬里程。民已馨香生佛事，公應此地不忘情。
(A)天賜遐齡／大展鴻猷 (B)天賜遐齡／里仁為美
(C)昌大門楣／大展鴻猷 (D)昌大門楣／里仁為美
</t>
  </si>
  <si>
    <t xml:space="preserve">10. 「天行健，君子以自強不息」，強調剛健進取的精神。下列文句，最符合此種精神的選項是：
(A)戰戰兢兢，如臨深淵，如履薄冰
(B)非其君不事，非其民不使。治則進，亂則退
(C)原泉混混，不舍晝夜，盈科而後進，放乎四海
(D)可與共學，未可與適道；可與適道，未可與立；可與立，未可與權
</t>
  </si>
  <si>
    <t xml:space="preserve">11. 下列關於人物言語或行為的分析，錯誤的選項是︰
(A)馮諼詐稱孟嘗君之命，「以責賜諸民，因燒其券」，反映出道義重於私利的政治觀點
(B)諸葛亮建議後主要「開張聖聽，以光先帝遺德」，是希望後主能諮諏善道，察納雅言
(C)燭之武勸秦伯「焉用亡鄭以陪鄰？鄰之厚，君之薄也」，提醒他不要用自己的薄情寡義來襯托鄰國國君的仁厚寬容
(D)魏徵諫太宗「怨不在大，可畏惟人；載舟覆舟，所宜深慎；奔車朽索，其可忽乎」，強調民心向背對主政者的重要
</t>
  </si>
  <si>
    <t xml:space="preserve">12-13為題組
閱讀下文，回答12-13題。
著名建築家梁思成在香山途中，發現杏子口山溝南北兩崖上的三座小小佛龕，幾塊青石板經歷了七百多年風霜，石雕的南宋風神依稀可辨，說是「雖然很小，卻頂著一種超然的莊嚴，鑲在碧澄澄的天空裡，給辛苦的行人一種神秘的快感和美感。」建築家有這樣的領會，梁思成名之為「建築意」。
「意」，不太容易言傳，等於品味、癖好之微妙，總是孕含一點「趣」的神韻，屬於純主觀的愛惡，玄虛不可方物，如聲色之醉人，幾乎不能理喻。袁宏道所謂「世人所難得者唯趣。趣如山上之色、水中之味、花中之光、女中之態，雖善說者不能下一語，惟會心者知之」。這是對的。但是，袁中郎笑人慕趣之名，求趣之似，辨說書畫、涉獵古董以為清，寄意玄虛、脫跡塵俗以為遠，說這些都是趣之皮毛，未免犯了知識勢利的弊病。夫趣，得之自然者深，得之學問者淺，一心追求高級文化之神情旨趣，恐怕變得有身如桎，有心如棘，入理愈深，去趣愈遠。這一層，蘇珊‧桑達看得比較通透，她標舉俗中求雅的享樂主義也是「高品味」，「有品味有修養的人從此得以開懷，不必日夜為杞憂所累。」琴棋書畫的最高境界講究能收能放，與此同理。
品味跟精神境界當然分不開，可惜庸俗商業社會中把人的道德操守和文化修養都化成「交換價值」，視之如同「成品」，只認標籤不認內涵，品味從此去「品」何止千里！懂得看破功利社會怪現象而發出會心微笑的人，才能洞識「現代品味」的真諦，才可以在交換價值市場上立足且自得其趣。在這樣精緻的按鈕時代裡，沒有這一點品味的人注定寂寞。（改寫自董橋〈說品味〉）
</t>
  </si>
  <si>
    <t xml:space="preserve">12. 依據文意，選出敘述正確的選項：
(A)梁思成所謂「建築意」，是指建築文物因歷經歲月風霜而呈現的斑駁痕跡
(B)蘇珊‧桑達提出「高品味」，意在諷刺現代人往往付出高價追求庸俗享樂
(C)掌握道德操守和文化修養之間的「交換價值」，才能在現代社會自得其趣
(D)能超越功利角度享受美感經驗，方能在精緻的按鈕時代裡培養「現代品味」
</t>
  </si>
  <si>
    <t xml:space="preserve">13. 下列敘述，與文中論「趣」觀點最相符的選項是：
(A)鄭愁予〈錯誤〉：「東風不來，三月的柳絮不飛」擅寫自然景物，是「夫趣，得之自然者深」的表現
(B)徐志摩〈再別康橋〉：「在康河的柔波裡，我甘心做一條水草」，表達濃烈的主觀愛好，屬於「趣之皮毛」
(C)袁宏道〈晚遊六橋待月記〉認為「月景尤不可言」，乃因月景之美「孕含一點『趣』的神韻」，「惟會心者知之」
(D)《世說新語》中「白雪紛紛何所似」、「撒鹽空中差可擬」的二句問答，雙方皆欲以此明辨事理，因而「去趣愈遠」
</t>
  </si>
  <si>
    <t xml:space="preserve">14-15為題組閱讀下文，回答14-15題。
人情狙詐，無過於京師。余□買羅小華墨十六鋌，漆匣黯敝，真舊物也。試之，乃摶泥而染以黑色，其上白霜，亦盦於濕地所生。又丁卯鄉試，在小寓買燭，爇之不燃，乃泥質而冪以羊脂。又燈下有唱賣爐鴨者，從兄萬周買之。乃盡食其肉，而完其全骨，內傅以泥，外糊以紙，染為炙煿之色，塗以油，□兩掌頭頸為真。又奴子趙平以二千錢買得皮靴，甚自喜。一日驟雨，著以出，徒跣而歸，□靿則烏油高麗紙揉作皺紋，底則糊黏敗絮，緣之以布。（紀昀《閱微草堂筆記‧姑妄聽之》）盦：覆蓋,爇 ：燒,  靿：靴筒
</t>
  </si>
  <si>
    <t xml:space="preserve">14. 依據文意，選出依序最適合填入□內的選項：
(A)初／果／蓋 (B)初／惟／殆 (C)嘗／果／殆 (D)嘗／惟／蓋
</t>
  </si>
  <si>
    <t>15. 下列與文中「黑心商品」相關的敘述，正確的選項是：
(A)賣家藉舊盒及白霜將墨偽成古物 (B)買主吃完鴨肉才發現鴨骨為泥製
(C)商人先藉真品取信以利銷售贗品 (D)購買者皆因一時貪圖廉價而受騙</t>
  </si>
  <si>
    <t>16題至第23題，每題有5個選項，其中至少有一個是正確的選項。</t>
  </si>
  <si>
    <t>16.	下列文句，完全沒有錯別字的選項是： (A)韋德結婚後在鄉間買了一棟舊屋，重新整修裝潢，成為幸福新居 (B)強震中倖免於難的家妮，感謝幸運之神的眷顧，讓她可逃過一劫 (C)曾有幾年，颱風接二連三地侵襲臺灣，導致作物歉收，農民苦不堪言 (D)因為惡疾纏身，他們的苦戀終究無法修成正果，徒留刻苦銘心的回憶 (E)憑著堅強意志與不斷努力，書豪終於從沒沒無聞的候補球員變成球隊中堅</t>
  </si>
  <si>
    <t>ABCE</t>
  </si>
  <si>
    <t>CE</t>
  </si>
  <si>
    <t>ABC</t>
  </si>
  <si>
    <t>ABCD</t>
  </si>
  <si>
    <t>17.	下列各組「」內詞語，前後意義相同的選項是： (A)阡陌「交通」，雞犬相聞／賈赦「交通」外官，依勢凌弱 (B)廉、恥，立人之「大節」／沈鍊每日間與地方人等，講論忠孝「大節」及古來忠臣義士的故事 (C)室僅「方丈」，可容一人居／寺中若有此秘徑地道，敝寺「方丈」事先自會知照各派首領，怎能容這些邪魔外道從容脫身 (D)汝復「輕身」而昧大義，天下事誰可支拄者／不要短見！此非娘子自肯失身，這是所遭不幸，娘子立志自明，今若「輕身」一死，有許多不便 (E)縱一葦之所如，凌萬頃之「茫然」／看守兵役，見多九公不是本處打扮，有幾個飛忙去請通使，一面預備車馬，將多九公送至迎賓館。唐敖「茫然」不解，只好跟在後面</t>
  </si>
  <si>
    <t>BD</t>
  </si>
  <si>
    <t>BC</t>
  </si>
  <si>
    <t>18.	《論語》：「吾日三省吾身。為人謀而不忠乎？與朋友交而不信乎？傳不習乎？」句中畫底線處描述、解說「三省吾身」的內容。下列畫底線的文句，是對其前面的文句（未畫底線者）進行「描述、解說」的選項是： (A)予觀夫巴陵勝狀，在洞庭一湖。銜遠山，吞長江，浩浩湯湯，橫無際涯 (B)復越峻坂五六，值大溪。溪廣四五丈，水潺潺巉石間，與石皆作藍靛色 (C)聖人無常師。孔子師郯子、萇弘、師襄、老聃。郯子之徒，其賢不及孔子 (D)一道士坐蒲團上，素髮垂領，而神觀爽邁。叩而與語，理甚玄妙。請師之 (E)禽鳥知山林之樂，而不知人之樂；人知從太守遊而樂，而不知太守之樂其樂也</t>
  </si>
  <si>
    <t>E</t>
  </si>
  <si>
    <t>19.	下列敘述，旨在說明因執政者施政未當，致使百姓陷入困境的選項是： (A)君之視臣如土芥，則臣視君如寇讎 (B)庖有肥肉，廄有肥馬；民有飢色，野有餓莩，此率獸而食人也 (C)壞宮室以為汙池，民無所安息；棄田以為園囿，使民不得衣食 (D)小人閒居為不善，無所不至，見君子而後厭然，揜其不善，而著其善 (E)日省月試，既禀稱事，所以勸百工也；送往迎來，嘉善而矜不能，所以柔遠人也</t>
  </si>
  <si>
    <t>20.	閱讀下列二詩，選出寫作特色分析正確的選項： 甲、意氣相傾兩相顧，斗酒雙魚表情素。雙鰓呀呷鰭鬣張，蹳剌銀盤欲飛去。呼兒拂几霜刃揮，紅肌花落白雪霏。為君下箸一餐飽，醉著金鞍上馬歸。（李白〈酬中都小吏攜斗酒雙魚於逆旅見贈〉） 乙、姜侯設鱠當嚴冬，昨日今日皆天風。河凍未漁不易得，鑿冰恐侵河伯宮。饔人受魚鮫人手，洗魚磨刀魚眼紅。無聲細下飛碎雪，有骨已剁胔春蔥。（杜甫〈閿鄉姜七少府設鱠戲贈長歌〉） (A)二詩述及鮮魚料理過程，皆呈現刀工的俐落細膩 (B)二詩皆運用視覺意象「雪」，凸顯魚肉的纖細瑩白 (C)甲詩以「雙鰓呀呷鰭鬣張」、「蹳剌銀盤」等動態描寫，呈現活魚的生鮮 (D)乙詩以「當嚴冬」、「河凍未漁不易得」等敘述，強調主人設餐宴的用心 (E)二詩分以「欲飛去」與「有骨已剁」，形容飄然欲仙、蝕骨銷魂的美食享受</t>
  </si>
  <si>
    <t>21.	閱讀下列二則寓言，選出敘述正確的選項： 甲、夫鵷鶵，發於南海而飛於北海，非梧桐不止，非練實不食，非醴泉不飲。於是鴟得腐鼠，鵷鶵過之，仰而視之曰：「嚇！」（《莊子‧秋水》） 乙、梟逢鳩。鳩曰：「子將安之？」梟曰：「我將東徙。」鳩曰：「何故？」梟曰：「鄉人皆惡我鳴，以故東徙。」鳩曰：「子能更鳴可矣，不能更鳴，東徙猶惡子之聲。」（劉向《說苑‧談叢》） (A)甲用南海、北海、梧桐、練實、醴泉等意象來襯寫鵷鶵的襟懷和堅持 (B)乙的梟將東徙，是因為曲高和寡，不被濁世所容，所以打算遠離塵網 (C)甲以行為描述來呈現禽鳥的心理，乙則藉對話內容來表達禽鳥的想法 (D)二寓言皆以禽鳥間的互動為故事主軸，寄寓作者對人世的觀察及諷諭 (E)鴟和鳩皆目光短淺之徒，不能理解鵷鶵和梟，猶如燕雀難知鴻鵠之志</t>
  </si>
  <si>
    <t>ACD</t>
  </si>
  <si>
    <t>22.	下列關於〈孔乙己〉和〈一桿「稱仔」〉二篇小說，說明正確的選項是︰ (A)〈孔乙己〉借用酒店小伙計的視角，側寫孔乙己食古不化，至死而不悟的可悲可憐 (B)〈一桿「稱仔」〉以主角秦得參自述的口吻，道出日本警察苛虐臺灣人民的真實情況 (C)孔乙己面對他人質問，滿口之乎者也，可見他的博學；秦得參不知巡警講場面話，仍將青菜稱重，顯示他的憨直 (D)〈孔乙己〉以主角的綽號為題，表達對傳統文化喪失的焦慮；〈一桿「稱仔」〉將稱仔加上引號，彰顯法紀公理蕩然無存的悲哀 (E)二文作者均抱持「上醫醫國」的理想，體察百姓的病苦，透過文學創作以反映現實、批判時代，希望藉此改造社會</t>
  </si>
  <si>
    <t>AE</t>
  </si>
  <si>
    <t>ADE</t>
  </si>
  <si>
    <t>ABD</t>
  </si>
  <si>
    <t xml:space="preserve">23.	許多文學作品中的女性，常被塑造成順從男性意志、以男性為中心的形象。下列有關女性的描寫，顛覆這種形象的選項是： (A)賣花擔上，買得一枝春欲放。淚染輕勻，猶帶彤霞曉露痕。怕郎猜道，奴面不如花面好。雲鬢斜簪，徒要教郎比並看 (B)張氏（紅拂）熟視其面，一手握髮，一手映身搖示（李）靖，令勿怒。急急梳頭畢，斂衽前問其姓。臥客答曰：「姓張。」對曰：「妾亦姓張，合是妹。」遽拜之 (C)愛太傷／不愛最大／請人間蒸發／月光下／有的王子／原來是青蛙／愛錯又怎樣／難免會遇上／愛的黑魔法／我沒在怕／因為女生／越戰越堅強 (D)姨娘梳各式各樣的頭，什麼鳳凰髻、羽扇髻、同心髻、燕尾髻，常常換樣子，襯托著姨娘細潔的肌膚，嬝嬝婷婷的水蛇腰兒，越發引得父親笑瞇了眼 (E)秀潔沒有回答，金發伯也沒有繼續說下去，……她（秀潔）竟在一種自己無法控制的、莫名其妙的情緒下提高嗓門，朗聲答道：「你不要妄想！……就是你逼我唱，我死也不唱，看你這小小的開封府尹，又怎麼奈何得了本宮！」 </t>
  </si>
  <si>
    <t>BCE</t>
  </si>
  <si>
    <t>Multiple-Choice Score</t>
  </si>
  <si>
    <t>Multiple-Choice Total Score</t>
  </si>
  <si>
    <t>Multiple-Choice Percentage Score</t>
  </si>
  <si>
    <t xml:space="preserve">一、看圖寫作（占9分） 如果下圖中的人物穿越時空來到現代，你認為他正「低頭」做什麼？請從他的行為設想一個情境，並提出你的感受或看法。文長約100-150字（約5-7行）。     </t>
  </si>
  <si>
    <t xml:space="preserve">二、文章分析（占18分） 閱讀框線內文章後，回答問題。 
甲、蓋文章，經國之大業，不朽之盛事。年壽有時而盡，榮樂止乎其身，二者必至之常期，未若文章之無窮。是以古之作者，寄身於翰墨，見意於篇籍，不假良史之辭，不託飛馳之勢，而聲名自傳於後。（曹丕〈典論論文〉）
乙、回顧我的寫作經歷，可以說，文學就其根本乃是人對自身價值的確認，書寫其時便已得到肯定。文學首先誕生於作者自我滿足的需要，有無社會效應則是作品完成之後的事，再說，這效應如何也不取決於作者的意願。（高行健〈文學的理由〉）
 </t>
  </si>
  <si>
    <t xml:space="preserve">(一)為何人可以透過書寫而不朽？請依據甲段文字，闡釋曹丕的看法。 </t>
  </si>
  <si>
    <t>(二)就「書寫對寫作者個人的價值和意義」這個議題，你認為曹丕、高行健的觀點是否相同？請依據甲、乙二段文字，說明你的看法。 三、引導寫作（占27分） 在傳統價值中，總是鼓勵人們貢獻所能，分享所有。但兩人間的愛情承諾不容第三者分享，一向符合世道輿情；有些商家只讓會員獨享優惠，也有合理目的。此外，有些生活中的趣味本來就不需要、甚至無法與別人分享，例如：一杯啜飲咖啡的時光、一竿臨溪垂釣的等待、一路揮汗慢跑的苦練……，都可能如王維所說：「興來每獨往，勝事空自知」。 請以「獨享」為題，寫一篇文章，談論關於「獨享」的經驗、體會或反思，論說、記敘、抒情皆可，文長不限。</t>
  </si>
  <si>
    <t>三、引導寫 作 （占 27 分）</t>
  </si>
  <si>
    <t>Total Score</t>
  </si>
  <si>
    <t>2016_Questions</t>
  </si>
  <si>
    <t>1.	下列各組「」內的字，讀音相同的選項是︰ (A)惺「忪」／弦聲錚「鏦」	(B)「酖」毒／夫子「哂」之 (C)眼「瞼」／乘「蹇」驢來	(D)「掇」拾／夜「縋」而出</t>
  </si>
  <si>
    <t>2.	下列文句，完全沒有錯別字的選項是︰ (A)這件事情牽涉的層面很廣，我們最好不要插手，暫且作壁上觀 (B)你們彼此惡性競爭，最後可能讓他作收漁利，豈不是太不聰明 (C)他完成攀登聖母峰的壯舉，一時聲名大躁，不少節目競相邀約 (D)這件藝品材質不佳，雕工也很粗躁，絕沒有店家所聲稱的價值</t>
  </si>
  <si>
    <t>3.	依據下列林西莉《漢字的故事》的說明，「果」、「采」二字的造字方式應屬於：      
「果」字的現代字形，看起來是由「田」和「木」組成，但如果看一看古老的字形，就會一目了然。甲骨文表現一棵樹，樹枝的頂端結著圓圓的果實。
我們在甲骨文的「采」字看到相同的樹，也看到了伸向果實的一隻手。
(A)象形／指事	(B)象形／會意	(C)指事／會意	(D)會意／象形</t>
  </si>
  <si>
    <t>4.	下列文句「」內的詞，其意義和現今慣用詞語相同的選項是： (A)「小學」而大遺，吾未見其明也 (B)胡老爹，這個事須是這般，你沒奈何，「權變」一權變 (C)不費江東半分之力，已得十萬餘箭，明日即「將來」射曹軍 (D)今歲春雪甚盛，梅花為寒所勒，與杏、桃相次「開發」，尤為奇觀</t>
  </si>
  <si>
    <t>5.	下列各組「」內的字，前後意義相同的選項是： (A)不堪其苦，陰有歸「志」／費禕、董允等，此皆良實，「志」慮忠純 (B)其西南「諸」峰，林壑尤美／工之僑以歸，謀「諸」漆工，作斷紋焉 (C)往來桐城，必躬「造」左公第／洋洋乎與「造」物者遊，而不知其所窮 (D)見漁人，乃大驚，問所「從」來／余與「從」者後，五步之內，已各不相見</t>
  </si>
  <si>
    <t>6.	下列文句，最接近玉嬌龍與胡適二人所述意旨的選項是：        
玉嬌龍:師娘，徒弟十歲起就隨你祕密練功，你給了我一個江湖的夢，可是有一天，我發現我可以擊敗你，你不知道我心裡有多害怕。我看不到天地的邊，不知道該往哪裡去。我又能跟隨誰？
胡適:你也許不能全然了解，生活和工作在一個沒有高手也沒有對手的社會裡──一個全是侏儒的社會──是如何的危險！每一個人，包括你的敵人，都盲目的崇拜你。
既沒有人指導你，也沒有人啓發你。勝敗必須一人承擔。
(A)欲窮千里目，更上一層樓	(B)功名屬少年，知心惟杜鵑 (C)揀盡寒枝不肯棲，寂寞沙洲冷	(D)堪尋敵手共論劍，高處不勝寒</t>
  </si>
  <si>
    <t>7.	下列是一段現代散文，請依文意選出排列順序最恰當的選項： 港灣旗鼓相當的兩座小丘在風暴肆虐時， 甲、伴隨船尾翻騰灰色浪沫， 乙、彷彿為了取暖而互相移近一點， 丙、又把岬角對立的小丘推開了一些， 丁、雨雲稀散，燈塔發放霧粒的黃色光亮時， 戊、正好容納一艘巨大的黑色島嶼般的商船緩緩駛過， 是搧著神經質的尖長羽翼的小燕鷗群，跟在船後快速地飛掠水面。（洪素麗〈苕之華〉） (A)乙丁丙戊甲	(B)乙戊甲丙丁	(C)戊丁乙丙甲	(D)戊甲丙丁乙</t>
  </si>
  <si>
    <t>8.	閱讀下文，選出依序最適合填入□□□□內的選項： 甲、日光初照的晨曦，樹林裡殘餘的夜霧加速稀釋，□□□□，宛如是大地的調息。（黃錦樹《烏暗暝》） 乙、走到沙丘高處，遠眺月牙泉。遊客遠了，言語笑聲遠了，可以聽到□□□□，很細微的叮嚀，像一種頌讚，也像心事獨白。（蔣勳《此生──肉身覺醒》） 丙、我們買了三株幼苗，沿著籬笆，種了一排。剛種下去，才三、四呎高，國祥預測：「這三棵柏樹長大，一定會超過你園中其他的樹！」果真，三棵義大利柏樹日後抽發得□□□□，成為我花園中的地標。（白先勇〈樹猶如此〉） (A)蒼茫游移／風中鳴沙／層巒疊嶂	(B)蒼茫游移／孤雁哀啼／傲視群倫 (C)氤氳吞吐／孤雁哀啼／層巒疊嶂	(D)氤氳吞吐／風中鳴沙／傲視群倫 9-10為題組 閱讀下文，回答9-10題。 謠言揭露祕密，這一點不可多得，故而珍貴異常。然而這雖是謠言的價值來源之一，卻不能解釋謠言為什麼流傳。黃金也因為稀有而珍貴，但人們卻不是使之流通，而是將它儲存起來。黃金和謠言有一個根本的差異——謠言的可信度並非永遠不變，萬一某個謠言被公眾確認為「謊言」，它便會壽終正寢，因此，謠言必須儘快使用，趁它尚有價值之際，從中獲取利益。事實上，當傳播者推心置腹地吐露隱情，與人分享祕密，他的形象便如同一位掌握了珍貴知識的人，在謠言的接收者眼中，散發出美妙的光輝。 儘管謠言總有其源頭，但推動謠言的力量還是在聽到謠言並且傳播謠言的人身上。謠言的說服力是隨著它接觸到的人越多而越加增強的。人們聽到謠言，常會從自己的角度來豐富謠言，甚至提供其他的論據來證實謠言。在這個「滾雪球」效應裡，人們把謠言變成自己的，在裡面投進自己的想像和幻覺。（改寫自〔法〕讓‧諾埃爾‧卡普費雷《謠言——世界最古老的傳媒》）</t>
  </si>
  <si>
    <t xml:space="preserve">9-10為題組
閱讀下文，回答9-10題。
謠言揭露祕密，這一點不可多得，故而珍貴異常。然而這雖是謠言的價值來源之一，卻不能解釋謠言為什麼流傳。黃金也因為稀有而珍貴，但人們卻不是使之流通，而是將它儲存起來。黃金和謠言有一個根本的差異——謠言的可信度並非永遠不變，萬一某個謠言被公眾確認為「謊言」，它便會壽終正寢，因此，謠言必須儘快使用，趁它尚有價值之際，從中獲取利益。事實上，當傳播者推心置腹地吐露隱情，與人分享祕密，他的形象便如同一位掌握了珍貴知識的人，在謠言的接收者眼中，散發出美妙的光輝。
儘管謠言總有其源頭，但推動謠言的力量還是在聽到謠言並且傳播謠言的人身上。謠言的說服力是隨著它接觸到的人越多而越加增強的。人們聽到謠言，常會從自己的角度來豐富謠言，甚至提供其他的論據來證實謠言。在這個「滾雪球」效應裡，人們把謠言變成自己的，在裡面投進自己的想像和幻覺。（改寫自〔法〕讓‧諾埃爾‧卡普費雷《謠言——世界最古老的傳媒》）
</t>
  </si>
  <si>
    <t xml:space="preserve">9. 依據上文，選出符合作者想法的選項：
(A)謠言因揭人隱私而為人所憎，故無法如黃金般保值
(B)即使被證實為虛構，謠言仍會如滾雪球般繼續傳播
(C)謠言傳播者未必心懷惡意，大多只想藉此贏得注目
(D)人們常透過謠言製造幻覺，藉以掩飾對真相的恐懼
</t>
  </si>
  <si>
    <t xml:space="preserve">10.下列甲、乙兩項推斷，符合上文論述邏輯的選項是：
甲、傳播者的形象越好，謠言的可信度越高。
乙、傳播者的人數越多，謠言的說服力越低。
(A)甲、乙皆正確 (B)甲、乙皆錯誤
(C)甲錯誤，乙無法判斷 (D)甲無法判斷，乙錯誤
</t>
  </si>
  <si>
    <t xml:space="preserve">11-12為題組
閱讀下文，回答11-12題。
羿在垃圾堆邊懶懶地下了馬，家將們便接過繮繩和鞭子去。他剛要跨進大門，低頭看看掛在腰間的滿壺的簇新的箭和網裡的三隻烏老鴉和一隻射碎了的小麻雀，心裡就非常躊躕。但到底硬著頭皮，大踏步走進去了，箭在壺裡豁朗豁朗地響著。剛到內院，他便見嫦娥在圓窗裡探了一探頭。他知道她眼睛快，一定早瞧見那幾隻烏鴉的了，不覺一嚇，腳步登時也一停——但只得往裡走。使女們都迎出來，給他卸了弓箭，解下網兜。他彷彿覺得她們都在苦笑。「太太……」他擦過手臉，走進內房去，一面叫。嫦娥正在看著圓窗外的暮天，慢慢回過頭來，似理不理地向他看了一眼，沒有答應。這種情形，羿倒久已習慣的了，至少已有一年多。他仍舊走近去，坐在對面的鋪著脫毛的舊豹皮的木榻上，搔著頭皮，支支吾吾地說——「今天的運氣仍舊不見佳，還是只有烏鴉……」「哼！」嫦娥將柳眉一揚，忽然站起來，風似地往外走，嘴裡咕嚕著，「又是烏鴉的炸醬麵！又是烏鴉的炸醬麵！你去問問去，誰家是一年到頭只吃烏鴉肉的炸醬麵的？」（魯迅〈奔月〉）
</t>
  </si>
  <si>
    <t>11.	文中羿與嫦娥言語失和的原因，最可能的選項是： (A)羿不務正業，只知狩獵遊樂而不照顧嫦娥 (B)羿的狩獵成果，無法滿足嫦娥的生活所需 (C)嫦娥不想再過僕傭簇擁的生活，羿卻不然 (D)嫦娥掌握家中大權，把羿當成僕傭來使喚</t>
  </si>
  <si>
    <t>12.	下列關於文中描寫的敘述，不恰當的選項是： (A)嫦娥「風似地往外走」，意在強調嫦娥的輕盈敏捷 (B)「羿在垃圾堆邊懶懶地下了馬」，暗喻羿的困頓處境 (C)木榻「鋪著脫毛的舊豹皮」，暗指羿被現實生活不斷消磨 (D)「她們（使女）都在苦笑」，其實是羿個人內心感受的投射 13-14為題組 閱讀下文，回答13-14題。 山東人娶蒲州女，（蒲州女）多患癭，其妻母項癭甚大。成婚數月，婦家疑婿不慧。婦翁置酒，盛會親戚，欲以試之。問曰：「某郎在山東讀書，應識道理。鴻鶴能鳴，何意？」曰：「天使其然。」又曰：「松柏冬青，何意？」曰：「天使其然。」又曰：「道邊樹有骨  ，何意？」曰：「天使其然。」婦翁曰：「某郎全不識道理，何因浪住山東？」因以戲之，曰：「鴻鶴能鳴者，頸項長；松柏冬青者，心中強；道邊樹有骨  者，車撥傷。豈是天使其然？」婿曰：「請以所聞見奉酬，不知許否？」曰：「可言之。」婿曰：「蝦蟆能鳴，豈是頸項長？竹亦冬青，豈是心中強？夫人項下癭如許大，豈是車撥傷？」婦翁羞愧，無以對之。（侯白《啟顏錄》）</t>
  </si>
  <si>
    <t xml:space="preserve">13-14為題組
閱讀下文，回答13-14題。
山東人娶蒲州女，（蒲州女）多患癭，其妻母項癭甚大。成婚數月，婦家疑婿不慧。婦翁置酒，盛會親戚，欲以試之。問曰：「某郎在山東讀書，應識道理。鴻鶴能鳴，何意？」曰：「天使其然。」又曰：「松柏冬青，何意？」曰：「天使其然。」又曰：「道邊樹有骨  ，何意？」曰：「天使其然。」婦翁曰：「某郎全不識道理，何因浪住山東？」因以戲之，曰：「鴻鶴能鳴者，頸項長；松柏冬青者，心中強；道邊樹有骨  者，車撥傷。豈是天使其然？」婿曰：「請以所聞見奉酬，不知許否？」曰：「可言之。」婿曰：「蝦蟆能鳴，豈是頸項長？竹亦冬青，豈是心中強？夫人項下癭如許大，豈是車撥傷？」婦翁羞愧，無以對之。（侯白《啟顏錄》）
</t>
  </si>
  <si>
    <t xml:space="preserve"> </t>
  </si>
  <si>
    <t>13.	依據文意，選出敘述正確的選項： (A)岳父為了彰顯蒲州人的聰明博學，故刻意安排即興問答 (B)對岳父的問題，女婿皆以「天使其然」回應，故被嘲笑 (C)女婿四處漂泊，暫時寄居山東，故有「浪住山東」之說 (D)女婿舉出蝦蟆、竹子及新婚妻子為證，反駁岳父的戲謔</t>
  </si>
  <si>
    <t>14.	女婿面對岳父的戲謔，以岳父的思維模式加以回應，因而改變形勢。下列人物應答時使用的語言技巧，與文中女婿相同的選項是： (A)（馮諼）辭曰：「責畢收，以何市而反？」孟嘗君曰：「視吾家所寡有者。」 (B)諸葛令、王丞相共爭姓族先後，王曰：「何不言葛、王，而云王、葛？」令曰：「譬言驢、馬，不言馬、驢，驢寧勝馬邪？」 (C)賈母問他：「可扭了腰了不曾？叫丫頭們搥一搥。」劉姥姥道：「那裡說的我這麼嬌嫩了？那一天不跌兩下子，都要搥起來，還了得呢！」 (D)一個較有年紀的說：「該死的東西！到市上來，只這規紀亦就不懂？要做什麼生意？汝說幾斤幾兩，難道他的錢汝敢拿嗎？」「難道我們的東西，該白送給他的嗎？」參不平地回答</t>
  </si>
  <si>
    <t xml:space="preserve">15.	下列符合管仲對自己描述的選項是： 管仲曰：「吾始困時，嘗與鮑叔賈，分財利，多自與，鮑叔不以我為貪，知我貧也。吾嘗為鮑叔謀事，而更窮困，鮑叔不以我為愚，知時有利不利也。吾嘗三仕三見逐於君，鮑叔不以我為不肖，知我不遭時也。吾嘗三戰三走，鮑叔不以我為怯，知我有老母也。公子糾敗，召忽死之，吾幽囚受辱；鮑叔不以我為無恥，知我不羞小節，而恥功名不顯於天下也。生我者父母，知我者鮑子也！」。（《史記‧管晏列傳》） (A)治國才能不如鮑叔牙 (B)因鮑叔牙提拔而顯名 (C)謀大事難免不拘小節 (D)未因功名而不顧小節 </t>
  </si>
  <si>
    <t>第16題至第23題，每題有5個選項，其中至少有一個是正確的選項。</t>
  </si>
  <si>
    <t>16.	下列文句畫底線處的詞語，運用正確的選項是： (A)李博士的精采引言帶動與會者的熱烈討論，充分達到拋磚引玉的效果 (B)被告殺害父母，且全無悔意，檢察官認為他罪不容誅，主張求處死刑 (C)現正值流感高峰期，民眾風聲鶴唳，非萬不得已，都避免到公共場所 (D)陳伯伯和陳伯母鶼鰈情深，總是同進同出，形影相弔，真是令人歆羨 (E)當時警匪對峙，雙方皆子彈上膛，眼看槍戰一觸即發，情勢間不容髮</t>
  </si>
  <si>
    <t>ACE</t>
  </si>
  <si>
    <t>BE</t>
  </si>
  <si>
    <t>17.	右圖是一則戒菸廣告，「持槍」的剪影用來類比「持菸」的手勢，意謂兩者同具危險性。下列文句「；」的前後，具有類似表意方式的選項是： (A)居廟堂之高，則憂其民；處江湖之遠，則憂其君 (B)物不產於秦，可寶者多；士不產於秦，而願忠者眾 (C)欲流之遠者，必浚其泉源；思國之安者，必積其德義 (D)貨惡其棄於地也，不必藏於己；力惡其不出於身也，不必為己 (E)松柏後凋於歲寒，雞鳴不已於風雨；彼眾昏之日，固未嘗無獨醒之人也</t>
  </si>
  <si>
    <t>18.	文學作品常將個人的情感投射到外在景物，再透過對景物的狀寫，反映出人物的情思。例如〈聽海〉的歌詞：「聽海哭的聲音，嘆息著誰又被傷了心，卻還不清醒。……聽海哭的聲音，這片海未免也太多情，悲泣到天明。」表面上是海在悲泣，其實真正哭泣、嘆息的是聽海的人。下列文句，運用這種手法的選項是： (A)白雲迴望合，青靄入看無 (B)青青河畔草，綿綿思遠道 (C)紅燭自憐無好計，夜寒空替人垂淚 (D)千里鶯啼綠映紅，水村山郭酒旗風 (E)行宮見月傷心色，夜雨聞鈴腸斷聲</t>
  </si>
  <si>
    <t>19.	儒家認為人擁有主體性和道德意志，故能志學進德、踐仁臻聖；此亦孔子「仁遠乎哉？我欲仁，斯仁至矣」之意。下列文句，表達上述意涵的選項是： (A)里仁為美。擇不處仁，焉得智 (B)舜何人也？予何人也？有為者亦若是 (C)譬如為山，未成一簣，止，吾止也；譬如平地，雖覆一簣，進，吾往也 (D)輿薪之不見，為不用明焉；百姓之不見保，為不用恩焉。故王之不王，不為也，非不能也 (E)我未見好仁者、惡不仁者。好仁者，無以尚之；惡不仁者，其為仁矣，不使不仁者加乎其身。有能一日用其力於仁矣乎？我未見力不足者</t>
  </si>
  <si>
    <t>BCDE</t>
  </si>
  <si>
    <t>ABCDE</t>
  </si>
  <si>
    <t>20.	透過電腦演算搜集數據，已廣泛應用於各領域，對文獻研究也頗有助益。下列關於古代文獻和數據分析的敘述，正確的選項是： (A)透過北宋文人書信中出現的人名，可大致勾勒出他們的交友網絡 (B)統計南宋詞家所用的詞牌，可推論出南宋詞在敘寫內容上的特色和演變 (C)統計分析白居易詩的韻腳，有助於推斷白居易情感表達和韻腳運用的關係 (D)若以「人主」、「人臣」二詞搜尋先秦思想典籍，應該會有不少資料集中於《韓非子》 (E)舊說《紅樓夢》作者或非一人，若比較各回的遣詞風格，應可獲得討論作者問題的相關證據</t>
  </si>
  <si>
    <t>ACDE</t>
  </si>
  <si>
    <t>21.	閱讀下列二文，選出符合作者觀點的選項： 甲、藏書畫者，多取空名，偶傳為鍾、王、顧、陸之筆，見者爭售，此所謂「耳鑒」。又有觀畫而以手摸之，相傳以謂色不隱指者為佳畫，此又在耳鑒之下，謂之「揣骨聽聲」。（沈括《夢溪筆談》） 
鍾、王、顧、陸：指鍾繇、王羲之、顧愷之、陸探微等四人，皆魏晉南北朝書畫家。
乙、書畫之妙，當以神會，難可以形器求也。世之觀畫者，多能指摘其間形象、位置、彩色瑕疵而已，至於奧理冥造者，罕見其人。如彥遠《畫評》言：「王維畫物，多不問四時，如畫花，往往以桃、杏、芙蓉、蓮花同畫一景。」（沈括《夢溪筆談》）
色不隱指：意謂畫面視覺上看似立體，手指觸覺上卻是平滑。
(A)耳鑒經由名家認可，是評斷書畫作品優劣的重要參考 (B)耳鑒雖然是甄別畫作的好方法，但不如以手摸畫確實 (C)世人品鑒書畫，往往重視創作者的名聲及其表現技巧 (D)高妙的畫境可由創作者自由創造，不必符合真實情境 (E)畫作好壞關鍵在於形象是否逼肖、空間布置是否妥適</t>
  </si>
  <si>
    <t>CD</t>
  </si>
  <si>
    <t>22.	適當運用典故，可豐富文章內涵，也可使表意委婉含蓄。關於下列文句使用典故的目的，詮釋正確的選項是： (A)是以郢書燕說，猶存其名；晉乘楚杌，語多可採——連橫以燕相穿鑿附會郢人書信事，說明臺灣舊有史籍頗多誤謬闕漏 (B)釃酒臨江，橫槊賦詩；固一世之雄也，而今安在哉——客用曹孟德之典，意在強調年命雖不可永，但事功終不為人所忘 (C)故西伯幽而演易，周旦顯而制禮，不以隱約而弗務，不以康樂而加思——曹丕藉西伯、周旦二人之事，指出人的創作意識會隨境遇不同而調整修正 (D)聖人無常師。孔子師郯子、萇弘、師襄、老聃——韓愈引孔子之例，闡明「術業有專攻」、「師不必賢於弟子」，使士大夫恥於從師的觀念不攻自破 (E)蜀清守丹穴，利甲天下，其後秦皇帝築女懷清臺——歸有光藉巴蜀寡婦事，申明不甘久處於敗屋、終將有所為的抱負，同時表達對祖母、母親的感念</t>
  </si>
  <si>
    <t>DE</t>
  </si>
  <si>
    <t>AD</t>
  </si>
  <si>
    <t>23.	閱讀下列二詩，選出敘述正確的選項：             
李白〈聽蜀僧濬彈琴〉
蜀僧抱綠綺，西下峨眉峰。
為我一揮手，如聽萬壑松。
客心洗流水，餘響入霜鐘。
不覺碧山暮，秋雲暗幾重。
綠綺：琴名。
洛夫〈客心洗流水，餘響入霜鐘——贈李白〉
客人乘醉而去
心情寂寂如廊下羅列的空酒罈
洗手時驟然想起當年
流放夜郎的不甘不快以及一點點不在乎
水盆裡從此風波不息
餘年的豪情已化作煉丹爐中的裊裊
響亮的詩句如風鈴懸遍了尋常百姓的廊簷
入世出世豈在酒與月亮之辨
霜飛髮揚，最後他在
鐘聲裡找到赤裸的自己
(A)洛夫詩的「客人」和「他」，即李白詩的「蜀僧濬」 (B)洛夫詩以「廊下羅列的空酒罈」比喻李白懷才不遇的落寞 (C)李白詩的「暮」、「秋」和洛夫詩的「霜飛」，都含有對時間的感懷 (D)李白詩的「流水」和洛夫詩的「水盆風波不息」，都形容心情的洶湧紛亂 (E)洛夫詩借李白原詩的兩句加以延展，呈現李白的生命際遇和波折後的體悟</t>
  </si>
  <si>
    <t>※學校將舉辦一場學習成果展，主題為「改變與轉化」，以下第一、第二大題是你應完成的任務：</t>
  </si>
  <si>
    <r>
      <rPr>
        <sz val="11"/>
        <color rgb="FF000000"/>
        <rFont val="細明體"/>
        <family val="3"/>
        <charset val="136"/>
      </rPr>
      <t>一、候選素材說明（占</t>
    </r>
    <r>
      <rPr>
        <sz val="11"/>
        <color rgb="FF000000"/>
        <rFont val="Times New Roman"/>
        <family val="1"/>
      </rPr>
      <t>9</t>
    </r>
    <r>
      <rPr>
        <sz val="11"/>
        <color rgb="FF000000"/>
        <rFont val="細明體"/>
        <family val="3"/>
        <charset val="136"/>
      </rPr>
      <t>分）
宇宙及人世間許多現象呈現出改變和轉化的軌跡，如落花化作春泥、咖啡渣成為製衣的原料、老屋再生為新的文化空間、或是改變耕作方式，重新找回土地的生命</t>
    </r>
    <r>
      <rPr>
        <sz val="11"/>
        <color rgb="FF000000"/>
        <rFont val="Times New Roman"/>
        <family val="1"/>
      </rPr>
      <t>……</t>
    </r>
    <r>
      <rPr>
        <sz val="11"/>
        <color rgb="FF000000"/>
        <rFont val="細明體"/>
        <family val="3"/>
        <charset val="136"/>
      </rPr>
      <t>。請就相關知識或見聞，提出一項事例，並說明所選事例和成果展主題間的關聯，以參加甄選。文長約</t>
    </r>
    <r>
      <rPr>
        <sz val="11"/>
        <color rgb="FF000000"/>
        <rFont val="Times New Roman"/>
        <family val="1"/>
      </rPr>
      <t>100-150</t>
    </r>
    <r>
      <rPr>
        <sz val="11"/>
        <color rgb="FF000000"/>
        <rFont val="細明體"/>
        <family val="3"/>
        <charset val="136"/>
      </rPr>
      <t>字（約</t>
    </r>
    <r>
      <rPr>
        <sz val="11"/>
        <color rgb="FF000000"/>
        <rFont val="Times New Roman"/>
        <family val="1"/>
      </rPr>
      <t>5-7</t>
    </r>
    <r>
      <rPr>
        <sz val="11"/>
        <color rgb="FF000000"/>
        <rFont val="細明體"/>
        <family val="3"/>
        <charset val="136"/>
      </rPr>
      <t xml:space="preserve">行）。
</t>
    </r>
  </si>
  <si>
    <r>
      <rPr>
        <sz val="11"/>
        <color theme="1"/>
        <rFont val="細明體"/>
        <family val="3"/>
        <charset val="136"/>
      </rPr>
      <t>二、參展素材分析（占</t>
    </r>
    <r>
      <rPr>
        <sz val="11"/>
        <color theme="1"/>
        <rFont val="Times New Roman"/>
        <family val="1"/>
      </rPr>
      <t>18</t>
    </r>
    <r>
      <rPr>
        <sz val="11"/>
        <color theme="1"/>
        <rFont val="細明體"/>
        <family val="3"/>
        <charset val="136"/>
      </rPr>
      <t>分）
某組選擇琦君〈髻〉為素材，擬透過女子因青絲的改變，而心境有所轉化，來詮釋展覽主題。該組將根據框線內節錄的文字，說明：五叔婆、母親、姨娘的頭髮曾出現哪些生理上、髮式上的變化？其中反映出她們面對人生的哪些心態、感受，以及調適之道？你是該組成員，請協助完成分析。文長約</t>
    </r>
    <r>
      <rPr>
        <sz val="11"/>
        <color theme="1"/>
        <rFont val="Times New Roman"/>
        <family val="1"/>
      </rPr>
      <t>250-300</t>
    </r>
    <r>
      <rPr>
        <sz val="11"/>
        <color theme="1"/>
        <rFont val="細明體"/>
        <family val="3"/>
        <charset val="136"/>
      </rPr>
      <t>字（約</t>
    </r>
    <r>
      <rPr>
        <sz val="11"/>
        <color theme="1"/>
        <rFont val="Times New Roman"/>
        <family val="1"/>
      </rPr>
      <t>12-14</t>
    </r>
    <r>
      <rPr>
        <sz val="11"/>
        <color theme="1"/>
        <rFont val="細明體"/>
        <family val="3"/>
        <charset val="136"/>
      </rPr>
      <t>行）。
一到七月七，家家戶戶的女人都要有一大半天披頭散髮。比如我的五叔婆吧，她既矮小又乾癟，頭髮掉了一大半，卻用墨炭畫出一個四四方方的額角，又把樹皮似的頭頂全抹黑了。洗過頭以後，墨炭全沒有了，亮著半個光禿禿的頭頂，只剩後腦勺一小撮頭髮，飄在背上，在廚房裡搖來晃去幫我母親做飯。可是母親烏油油的柔髮卻像一匹緞子似的垂在肩頭，微風吹來，一綹綹的短髮不時拂著她白嫩的面頰。我心裡在想，如果爸爸在家，看見媽媽這一頭烏亮的好髮，一定會上街買一對亮晶晶的水鑽髮夾給她。父親不久回來了，沒有買水鑽髮夾，卻帶回一位姨娘。</t>
    </r>
    <r>
      <rPr>
        <sz val="11"/>
        <color theme="1"/>
        <rFont val="Times New Roman"/>
        <family val="1"/>
      </rPr>
      <t>……</t>
    </r>
    <r>
      <rPr>
        <sz val="11"/>
        <color theme="1"/>
        <rFont val="細明體"/>
        <family val="3"/>
        <charset val="136"/>
      </rPr>
      <t>我們全家搬到杭州以後，母親不必忙廚房，而且許多時候，父親要她出來招呼客人，她那尖尖的螺絲髻兒實在不像樣，所以父親一定要她改梳一個式樣。母親就請她的朋友張伯母給她梳了個鮑魚頭。在當時，鮑魚頭是老太太梳的，母親才過三十歲，卻要打扮成老太太，姨娘看了只是抿嘴兒笑，父親就直皺眉頭。</t>
    </r>
    <r>
      <rPr>
        <sz val="11"/>
        <color theme="1"/>
        <rFont val="Times New Roman"/>
        <family val="1"/>
      </rPr>
      <t>……</t>
    </r>
    <r>
      <rPr>
        <sz val="11"/>
        <color theme="1"/>
        <rFont val="細明體"/>
        <family val="3"/>
        <charset val="136"/>
      </rPr>
      <t>她（劉嫂）每天早上十點鐘來，給姨娘梳各式各樣的頭，什麼鳳凰髻、羽扇髻、同心髻、燕尾髻，常常換樣子，襯托著姨娘細潔的肌膚，嬝嬝婷婷的水蛇腰兒，越發引得父親笑瞇了眼。劉嫂勸母親說：「大太太，你也梳個時髦點的式樣嘛。」母親搖搖頭，響也不響。</t>
    </r>
    <r>
      <rPr>
        <sz val="11"/>
        <color theme="1"/>
        <rFont val="Times New Roman"/>
        <family val="1"/>
      </rPr>
      <t xml:space="preserve">……
</t>
    </r>
    <r>
      <rPr>
        <sz val="11"/>
        <color theme="1"/>
        <rFont val="細明體"/>
        <family val="3"/>
        <charset val="136"/>
      </rPr>
      <t>我長大出外讀書以後，寒暑假回家，偶然給母親梳頭，頭髮捏在手心，總覺得愈來愈少。想起幼年時，每年七月初七看母親烏亮的柔髮飄在兩肩，她臉上快樂的神情，心裡不禁一陣陣酸楚。在上海求學時，母親來信說她患了風溼病，手膀抬不起來，連最簡單的螺絲髻兒都盤不成樣，只好把稀稀疏疏的幾根短髮剪去了。不久，姨娘因事來上海。自從父親去世以後，母親和姨娘反而成了患難相依的伴侶，母親早已不恨她了。她穿著灰布棉袍，鬢邊戴著一朵白花，頸後垂著的再不是當年多采多姿的鳳凰髻或同心髻，而是一條簡簡單單的香蕉卷。她臉上脂粉不施，顯得十分哀戚。</t>
    </r>
    <r>
      <rPr>
        <sz val="11"/>
        <color theme="1"/>
        <rFont val="Times New Roman"/>
        <family val="1"/>
      </rPr>
      <t xml:space="preserve">……
</t>
    </r>
    <r>
      <rPr>
        <sz val="11"/>
        <color theme="1"/>
        <rFont val="細明體"/>
        <family val="3"/>
        <charset val="136"/>
      </rPr>
      <t xml:space="preserve">來臺灣以後，姨娘已成了我唯一的親人，當年如雲的青絲，如今也漸漸落去，只剩了一小把，且已夾有絲絲白髮。
</t>
    </r>
  </si>
  <si>
    <r>
      <rPr>
        <sz val="11"/>
        <color theme="1"/>
        <rFont val="細明體"/>
        <family val="3"/>
        <charset val="136"/>
      </rPr>
      <t>三、引導寫作（占</t>
    </r>
    <r>
      <rPr>
        <sz val="11"/>
        <color theme="1"/>
        <rFont val="Times New Roman"/>
        <family val="1"/>
      </rPr>
      <t>27</t>
    </r>
    <r>
      <rPr>
        <sz val="11"/>
        <color theme="1"/>
        <rFont val="細明體"/>
        <family val="3"/>
        <charset val="136"/>
      </rPr>
      <t xml:space="preserve">分）
</t>
    </r>
    <r>
      <rPr>
        <sz val="11"/>
        <color theme="1"/>
        <rFont val="Times New Roman"/>
        <family val="1"/>
      </rPr>
      <t>104</t>
    </r>
    <r>
      <rPr>
        <sz val="11"/>
        <color theme="1"/>
        <rFont val="細明體"/>
        <family val="3"/>
        <charset val="136"/>
      </rPr>
      <t>年</t>
    </r>
    <r>
      <rPr>
        <sz val="11"/>
        <color theme="1"/>
        <rFont val="Times New Roman"/>
        <family val="1"/>
      </rPr>
      <t>8</t>
    </r>
    <r>
      <rPr>
        <sz val="11"/>
        <color theme="1"/>
        <rFont val="細明體"/>
        <family val="3"/>
        <charset val="136"/>
      </rPr>
      <t>月</t>
    </r>
    <r>
      <rPr>
        <sz val="11"/>
        <color theme="1"/>
        <rFont val="Times New Roman"/>
        <family val="1"/>
      </rPr>
      <t>8</t>
    </r>
    <r>
      <rPr>
        <sz val="11"/>
        <color theme="1"/>
        <rFont val="細明體"/>
        <family val="3"/>
        <charset val="136"/>
      </rPr>
      <t xml:space="preserve">日，蘇迪勒颱風來襲，臺北市龍江路有兩個郵筒遭強風吹落的招牌砸歪，因而被戲稱為「歪腰郵筒」。由於歪腰郵筒姿勢可愛，民眾紛紛到該地拍照，使「受災」郵筒意外產生療癒功效。此一新聞甚至引起外國媒體注意，美、日皆對臺灣人民在天災及苦悶的生活中所展現出的幽默感印象深刻。稍後，中華郵政更推出特製郵戳（右圖）及「人生嘛，歪腰也無妨」等一系列主題式明信片，頗受歡迎。
請就上述新聞事件，以「我看歪腰郵筒」為題，寫一篇完整的文章，陳述你的看法、感想、或評論，內容須切合「歪腰郵筒」所引發的現象或迴響，文長不限。
</t>
    </r>
  </si>
  <si>
    <t>2017_Questions</t>
  </si>
  <si>
    <t>1.	下列「」內的字，讀音正確的選項是︰ (A)「戛」然而止：ㄍㄚ	(B)犬吠狼「嗥」：ㄒㄧㄠ (C)「岬」灣海岸：ㄒㄧㄚˊ	(D)平野廣「袤」：ㄇㄠˋ</t>
  </si>
  <si>
    <t>2.	下列是某生抄錄的2016年藝文紀事，用字完全正確的選項是： (A)《暗戀桃花源》在睽違十年後，第五度在臺巡迴演出，堪稱戲劇界盛事 (B)透過深度的社群經營，電視劇《一把青》善用行銷，逆勢諦造收視佳績 (C)為紀念莎士比亞逝世四百週年，倫敦環球劇場提供嶄新風貌的視覺餉宴 (D)美國歌手巴布狄倫獲諾貝爾文學獎，反映當代「文學」定義已漸驅改變</t>
  </si>
  <si>
    <t>3.	閱讀下列新詩，選出依序最適合填入□□內的選項： 甲、	大麗花／開在後院裡／月亮□□籬笆時／順手帶走一絲春天殘餘的香氣（洛夫〈花落無聲〉） 乙、鳥聲在漢城各座宮殿庭院內□□／如密密雨點落在鬼面瓦上／一處處都是回響……（蓉子〈古典留我〉） 丙、一口老甕／裝著全家人的／心，放在屋漏的地方／接水／□□一家人的／辛酸……（林煥彰〈雨天〉） (A)翻過／滴落／彈唱	(B)翻過／流淌／記錄 (C)駐足／流淌／彈唱	(D)駐足／滴落／記錄</t>
  </si>
  <si>
    <t>4.	下列是一段現代散文，請依文意選出排列順序最恰當的選項： 我這個暗光鳥，如此近距離的觀看暗光鳥：黑冠麻鷺、蜥蜴、大蜘蛛。 甲、而我在初春裡，南方佳木之城 乙、彷彿也有了坐擁山林的丘壑之心了 丙、植物園裡的牠，習得不動聲色的禪學功夫 丁、我想當我離開嘉義時，只消在心頭種上一株植物 戊、大蜘蛛編織著巨網，懸在兩棵大樹之間，優雅的殺手 就會遙想起整個南方，整個城市的亞熱帶風情。（鍾文音〈甜蜜亞熱帶〉) (A)甲乙丙戊丁	(B)乙戊丙丁甲	(C)丙戊丁乙甲	(D)戊丙甲乙丁</t>
  </si>
  <si>
    <t>5.	某校為弘揚儒家、墨家思想，特將新建的兩棟大樓命名為「歸仁堂」、「兼愛樓」，若欲彰顯命名宗旨，則川堂懸掛的字幅依序應是： (A)士不可以不弘毅，任重而道遠／仁者，人也，親親為大 (B)愛人利人以得福，惡人賊人以得禍／人不獨親其親，不獨子其子 (C)非禮勿視，非禮勿聽，非禮勿言，非禮勿動／視人之國若視其國，視人之家若視其家，視人之身若視其身 (D)己欲立而立人，己欲達而達人／人之於身也，兼所愛；兼所愛，則兼所養也。無尺寸之膚不愛焉，則無尺寸之膚不養也</t>
  </si>
  <si>
    <t>6.	下列元曲運用一連串比喻，所要嘲諷的對象是： 奪泥燕口，削鐵鍼頭，刮金佛面細搜求。無中覓有。鵪鶉膆裡尋豌豆，鷺鷥腿上劈精肉，蚊子腹內刳脂油。虧老先生下手。（佚名〈醉太平〉） (A)汲汲名利，奔走鑽營者	(B)百般挑剔，吹毛求疵者 (C)貪圖小利，極力刻剝者	(D)興風作浪，無中生有者</t>
  </si>
  <si>
    <t xml:space="preserve">7.	依以下蘇先生的看法，滁州瑯琊山可能是「瑯琊閣」的發想來源，其所持的理由是：      
滁州瑯琊山之得名，或謂司馬伷曾暫駐於此，或謂司馬睿曾避亂於此。司馬伷是司馬懿之子，封瑯琊王，率兵平吳時接受吳主孫皓的投降。司馬睿是司馬伷之孫，十五歲襲瑯琊王爵位，西元318年在江東重建晉朝。二人皆與六朝都城金陵關係密切。電視劇《瑯琊榜》中，則有個與此山同名的組織「瑯琊閣」，攪動了大梁帝都金陵的風雲。因此，若要說劇中「瑯琊閣」的發想可能來自瑯琊山，是有跡可尋的。
 (A)曾有兩位瑯琊王對金陵政局產生影響 (B)滁州瑯琊山上有晉代所興建之瑯琊閣 (C)瑯琊山是西晉伐吳與東晉重建的據點 (D)「瑯琊閣」藉瑯琊王之名在金陵為亂 </t>
  </si>
  <si>
    <t>8-9為題組 閱讀下文，回答8-9題。 德國作家赫塞曾把孤獨比喻為「荒野之狼」，文學家用來形容孤獨的意象無疑都非常有力，只可惜太個人化了，我想尋找更具普遍性的意象。 孤獨的面貌並非只有悲傷，它也可以是欣然而美好的；事實上，孤獨乃是人必然的存在狀態，也是一種回歸和自由，且常存於深刻的互動中。我在中國哲學裡找到一個簡潔有力的「太極圖」，很適合說明孤獨的特質。太極圖由陰陽（黑白）兩個對稱而對立的半部所組成。如果把陰比為孤獨，把陽比為交會的話，非常能說明孤獨和交會的關係。首先，陰陽兩個半部裡各自包含著對方顏色的若干細線，這反映出：沒有所謂純粹的孤獨，也沒有所謂純粹的交會。其次，兩個半部間有一灰色的中間地帶，這和兩者互為對方底景的特質相似。最特別處是在陰的中央位置有個白點，在陽的中央位置有個黑點，這似乎意味著：在人我交會的極致中，人有可能會突然體驗到最深沉的孤獨，而在孤獨的極致中，人也可能會突然體驗到自我和天地、人際之間最深沉的交會。 用太極圖來象徵孤獨還有一個優點：它可反映出孤獨和群體生活二者對人同等重要，是體驗世界時不可偏廢的兩條路徑。（改寫自菲力浦‧科克《孤獨》）</t>
  </si>
  <si>
    <t>8.	下列敘述，符合上文文意的選項是： (A)文學家每為孤獨所困，但描繪的內容都是個人化的經驗，難以引起讀者共鳴 (B)孤獨和交會的關係就好比陰、陽，二者互滲於對方之中，不可能真正的獨存 (C)要完整體驗世界必須同時過著孤獨和群體生活，讓自己處於灰色的中間地帶 (D)太極圖中的白點象徵在孤獨中能安慰我們的朋友，黑點象徵人心深處的黑暗面</t>
  </si>
  <si>
    <t>9.	下列文字，最能表現上文畫底線處情況的選項是： (A)臘月既望，館人奔告：「玉山見矣！」時旁午，風靜無塵，四宇清澈 (B)壬戌之秋，七月既望，蘇子與客泛舟遊於赤壁之下。清風徐來，水波不興 (C)明日拉顧君偕往，坐莽葛中，命二番兒操楫。緣溪入，溪盡為內北社，呼社人為導 (D)人知從太守遊而樂，而不知太守之樂其樂也。醉能同其樂，醒能述以文者，太守也</t>
  </si>
  <si>
    <t>10-11為題組 閱讀下文，回答10-11題。 少壯時不喜住在固定的地方。當遊覽名山勝水，發現一段絕佳風景時，我定要叫著說：「喔，我們若能在這裡造屋子住多好！」。忘記哪位古人有這麼一句好詩，也許是吾家髯公吧？「湖山好處便為家」。行腳僧煙簑雨笠，到處棲遲，我常說他們的生活富有詩意。程垓《書舟詞》中，有我欣賞不已的一首〈滿江紅〉：「葺屋為舟，身便是煙波釣客；況人間原是浮家泛宅。秋晚雨聲篷背穩，夜深月影窗櫺白，滿船詩酒滿船書，隨意索。也不怕雲濤隔，也不怕風帆側，但獨醒還睡，自歌還歇。臥後從教鰍鱔舞，醉來一任乾坤窄。恐有時撐向大江頭，占風色。」詞中的舟並非真舟，不過想像他所居的屋為舟，以遣煙波之興而已。我有時也想假如有造屋的錢，不如拿來造一隻船，三江五湖，隨意遨遊，豈不稱了我「湖山好處便為家」的心願。不過船太小了，那幾本書先就愁沒處安頓；太大了，惹人注目，先就沒膽量開到太湖，不能擘破三萬六千頃青琉璃，周覽七十二峰之勝，就失卻船的意義了。（改寫自蘇雪林〈家〉）</t>
  </si>
  <si>
    <t>10.	下列文句的說明，正確的選項是： (A)「行腳僧煙簑雨笠，到處棲遲」描述行腳僧失意飄泊而浪跡天涯 (B)「滿船詩酒滿船書，隨意索」說明作者好客，詩、酒及書任人索取 (C)「獨醒還睡，自歌還歇」描寫眾人皆醉我獨醒與漁歌唱和的情景 (D)「擘破三萬六千頃青琉璃」意謂行船於澄碧的太湖之中</t>
  </si>
  <si>
    <t xml:space="preserve">11.	作者引述髯公詩與程垓詞的用意是： (A)表達依江山勝景而居的嚮往	(B)流露出無處不可為家的豁達 (C)慨嘆屋狹而不能滿室詩酒書	(D)惋惜不能以船為家任意遨遊 </t>
  </si>
  <si>
    <t>12-13為題組 閱讀下文，回答12-13題。 達爾文在《人和動物的情緒表達》中指出：人類和較低等動物主要的情緒表達並非經由學習，而是來自天生或遺傳，越是相近的物種，情緒表達就越相似。例如許多動物在面對危險時會毛髮豎立，以使自己看來更威武、兇猛；人類的雞皮疙瘩其實正是汗毛豎立的輕微現象，也是哺乳類親戚表情的遺跡。 稍後的學者繼續探討此議題。多人主張情緒可分基本情緒和非基本情緒：前者如恐懼、快樂、驚訝、憤怒等，為生物的基礎反應；後者是由基本情緒混合而成的高階情緒，如恐懼和驚訝會混合為警覺，而恐懼和快樂則易混合為罪惡感。高階情緒通常被認為是認知的運作，比基本情緒更能顯示出物種和個體間的差異。 臉部表情、肢體動作和言行舉止都是情緒的表達方式，且有其展示規則。學者艾克曼表示：情緒的表達方式會受到學習和文化的影響而變弱、增強或以其他方式加以遮掩。「展示規則」界定了人可以在何時何地對何對象展示何種情緒，以及可以展示的方式和程度，這是社會化的一部分。（改寫自約瑟夫‧李竇《腦中有情》）</t>
  </si>
  <si>
    <t>12.	下列敘述，符合上文文意的選項是： (A)達爾文認為人和較低等動物的情緒表達完全相同，但稍後的學者修正該主張 (B)達爾文認為人類雞皮疙瘩的反應，乃哺乳類動物面對危險時情緒表現的遺留 (C)人和動物擁有同樣的基本情緒，但動物的認知能力較弱，無法擁有高階情緒 (D)高階情緒來自認知與學習，高階情緒越多的人，說明其表達力和道德感越高</t>
  </si>
  <si>
    <t>13.	下列畫線人物的情緒表達方式基於「展示規則」而進行調整，以致其言行舉止呈現了前後差異的選項是： (A)到了年關，掌櫃取下粉板說：「孔乙己還欠十九個錢呢！」到第二年端午，又說：「孔乙己還欠十九個錢呢！」 (B)轎夫擡進後堂，月香見了鍾離義，還只道萬福。張婆在旁道：「這就是老爺了，須下箇大禮。」月香只得磕頭 (C)范進因這一個嘴巴，卻也打暈了，昏倒於地。眾鄰居一齊上前，替他抹胸口，捶背心，舞了半日，漸漸喘息過來，眼睛明亮，不瘋了 (D)王戎七歲嘗與諸小兒遊，看道邊李樹多子折枝，諸兒競走取之，唯戎不動。人問之，答曰：「樹在道邊而多子，此必苦李。」取之信然</t>
  </si>
  <si>
    <t>14-15為題組 閱讀下文，回答14-15題。 子思見老萊子，老萊子聞穆公將相子思，老萊子曰：「若子事君，將何以為乎？」子思曰：「順吾性情，以道輔之，無死亡焉。」老萊子曰：「不可順子之性也，子性剛而傲不肖，又且無所死亡，非人臣也。」子思曰：「不肖，故人之所傲也。夫事君，道行言聽，則何所死亡？道不行，言不聽，則亦不能事君，所謂無死亡也。」老萊子曰：「子不見夫齒乎？雖堅剛，卒盡相摩；舌柔順，終以不弊。」子思曰：「吾不能為舌，故不能事君。」（《孔叢子‧抗志》）</t>
  </si>
  <si>
    <t>14.	關於子思「不能事君」的原因，下列敘述錯誤的選項是： (A)不能順己性情	(B)不願愚忠枉死	(C)無法為民喉舌	(D)難以道行言聽</t>
  </si>
  <si>
    <t xml:space="preserve">15.	依據上文，最符合老萊子之意的選項是： (A)君使臣以禮，臣事君以忠 (B)堅強者死之徒，柔弱者生之徒 (C)名不正則言不順，言不順則事不成 (D)行一不義，殺一不辜，而得天下，皆不為也 </t>
  </si>
  <si>
    <t>二、多選題：第16題至第23題，每題有5個選項，其中至少有一個是正確的選項。</t>
  </si>
  <si>
    <t>16.	下列各組文句「」內的字，前後意義相同的選項是： (A)北通巫峽，南「極」瀟湘／意有所「極」，夢亦同趣 (B)「比」及三年，可使足民／孟嘗君曰：為之駕，「比」門下之車客 (C)史公治兵，往來桐城，必「躬」造左公第／臣本布衣，「躬」耕於南陽 (D)文非一體，鮮能「備」善／朱、林以下，輒啟兵戎，喋血山河，藉言恢復，而舊志亦不「備」載也 (E)我居北海君南海，寄雁傳書「謝」不能／王果去牆數步，奔而入，及牆，虛若無物，回視，果在牆外矣。大喜，入「謝」</t>
  </si>
  <si>
    <t>AC</t>
  </si>
  <si>
    <t>17.	「一分耕耘，一分收穫」之語意關係可以是「如有一分耕耘，則得一分收穫」，下列文字前後句具有相同語意關係的選項是： (A)怨不在大，可畏惟人	(B)聞道有先後，術業有專攻 (C)若亡鄭而有益於君，敢以煩執事	(D)斧斤以時入山林，材木不可勝用也 (E)人之不廉而至於悖禮犯義，其原皆生於無恥也</t>
  </si>
  <si>
    <t>CDE</t>
  </si>
  <si>
    <t>18.	閱讀下文，選出敘述正確的選項： 
名片的種類式樣之多，就如同印名片的人一樣。有足以令人發笑的，有足以令人駭怕的，也有足以令人哭不得笑不得的。若有人把各式的名片聚集起來，恐怕比香菸裡的畫片還更有趣。 官僚的名片，時行的是單印名姓，不加官銜。其實官做大了，人就自然出名，官銜的名片簡直用不著。惟獨有一般不大不小的人物，印起名片來，深恐自己的姓名太輕太賤，壓不住那薄薄的一張紙，於是把古往今來的官銜一齊的印在名片上，望上去黑糊糊的一片，就好像一個人的背上馱起一塊大石碑。 身通洋務，或將要身通洋務的先生，名片上的幾個英文字是少不得的，「湯姆」、「查利」都成，甚而再冠上一個聲音相近的外國姓。因為名片也者，乃是一個人的全部人格的表現。（梁實秋〈名片〉）
畫片：早期菸商為宣傳產品並防止香菸折損，在菸盒中放置的小圖片。
 (A)單印名姓而不加官銜的名片，表示名片主人並不看重外在的虛名 (B)有些人無法自我肯定，只能用層層疊疊的官銜來證明自己的存在 (C)作者將名片上的官銜喻為大石碑，暗指為官者應知任重道遠之意 (D)作者對於通洋務者必在名片加上英文姓名，語帶嘲諷，不以為然 (E)名片比畫片有趣之因，在於可從中看出各種不同的人格表現方式</t>
  </si>
  <si>
    <t>BDE</t>
  </si>
  <si>
    <t>ABDE</t>
  </si>
  <si>
    <t>ABE</t>
  </si>
  <si>
    <t>19.	傳統文人常針對畫作題詠。下列詩句，意在強調畫作逼真的選項是： (A)嬋娟不失筠粉態，蕭颯盡得風煙情。舉頭忽看不似畫，低耳靜聽疑有聲 (B)興來寫菊似塗鴉，誤作枯藤纏數花。筆落一時收不住，石棱留得一拳斜 (C)北苑時翻硯池墨，疊起烟雲隱霹靂。短縑尺楮信手揮，若有蛟龍在昏黑 (D)名工繹思揮彩筆，驅山走海置眼前。滿堂空翠如可掃，赤城霞氣蒼梧烟 (E)峰頭黛色晴猶濕，筆底春雲暗不開。墨花淋漓翠微斷，隱几忽聞山雨來</t>
  </si>
  <si>
    <t>20.	閱讀下列二文，選出敘述正確的選項：
 甲、詩是心聲，不可違心而出，亦不能違心而出。功名之士，決不能為泉石淡泊之音；輕浮之子，必不能為敦龐大雅之響。故陶潛多素心之語，李白有遺世之句，杜甫興「廣廈萬間」之願，蘇軾師「四海弟昆」之言。凡如此類，皆應聲而出。（葉燮《原詩》） 
乙、詩文之所以代變，有不得不變者。一代之文沿襲已久，不容人人皆道此語。今且千數百年矣，而猶取古人之陳言一一而摹仿之，以是為詩，可乎？故不似則失其所以為詩，似則失其所以為我。李、杜之詩所以獨高於唐人者，以其未嘗不似，而未嘗似也。知此者，可與言詩也已矣。（顧亭林《日知錄》） 
(A)甲文主張詩歌是作者主體情感的自然流露，不可虛矯造作 (B)乙文主張創作既要接續傳統，又要開創出自我獨特的面貌 (C)甲文著重文學與時代的關聯，乙文留意作品與情志的聯結 (D)二文論及李白與杜甫詩作，皆著眼於二人雄渾高遠的詩境 (E)二文皆主張詩文本於心性，故當先涵養心性後再專研詩藝</t>
  </si>
  <si>
    <t>AB</t>
  </si>
  <si>
    <t>21.	閱讀下列小說，依文意選出解讀恰當的選項：
 鬧新房的人圍著打趣，七巧只看了一看便出來了。長安在門口趕上了她，悄悄笑道：「皮色倒還白淨，就是嘴唇太厚了些。」七巧把手撐著門，拔下一只金挖耳來搔搔頭，冷笑道：「還說呢！你新嫂子這兩片嘴唇，切切倒有一大碟子。」旁邊一個太太便道：「說是嘴唇厚的人天性厚哇！」七巧哼了一聲，將金挖耳指住了那太太，倒剔起一隻眉毛，歪著嘴微微一笑道：「天性厚，並不是什麼好話。當著姑娘們，我也不便多說—但願咱們白哥兒這條命別送在她手裡！」七巧天生著一副高爽的喉嚨，現在因為蒼老了些，不那麼尖了，可是扁扁的依舊四面刮得人疼痛，像剃刀片。這兩句話，說響不響，說輕也不輕。人叢裡的新娘子的平板的臉與胸震了一震—多半是龍鳳燭的火光的跳動。（張愛玲〈金鎖記〉） 
(A)七巧進了洞房，「只看了一看便出來」，顯示七巧對白哥兒的新娘不甚喜歡 (B)一旁的太太搭腔：「嘴唇厚的人天性厚」，是接續七巧的話對新娘落井下石 (C)七巧說：「天性厚，並不是什麼好話」，是要一旁的太太勿用反話譏諷新娘 (D)「像剃刀片」既形容七巧的嗓音扁利刺耳，也形容七巧的言語風格尖酸刻薄 (E)「火光的跳動」表面上描繪燭火光影，實暗指新娘因話中的刀光劍影而心驚</t>
  </si>
  <si>
    <t>22.	閱讀下文，選出填入後敘述正確的選項： 
學測以日常用語為考試素材，除了想讓考生懂得在社交場合善用既有的文雅詞彙，例如 (A) ；也希望考生能自行應用學理來分析新的語言現象，例如之前考外來語「純音譯」和「音義兼譯」， (B) ，乃是外來語進入中文的常見形態。有些新詞頗富修辭趣味，例如「秒殺」形容掃奪之快，「神回應」形容答覆之妙， (C) 。又「天兵」代指少根筋、常壞事之人，「天菜」代指無法抗拒的傾慕對象，但 (D) 。字義轉變最受矚目者莫如「囧」字。此字在古代是「明亮」之意，但因狀似張著口、皺著八字眉的臉，遂出現「爸媽囧很大」、「人在囧途」這類新用法，義或略通於「窘」， (E) 。 
(A)尊稱他人的母親為「令堂」，謙稱自己的提問為「垂詢」 (B)時下捕捉精靈寶貝追求升級的手機遊戲「寶可夢」（Pokémon）即屬前者，以「粉絲」（fans）指稱對某人事物的熱愛者則屬後者 (C)「秒」和「神」均帶有誇飾的效果 (D)前者的「天」是「天生的」，後者的「天」是「天真的」，意思大不相同 (E)這使原來只是基於字體形貌所產生的借用，恰好可用同音諧義來聯想</t>
  </si>
  <si>
    <r>
      <rPr>
        <sz val="11"/>
        <color theme="1"/>
        <rFont val="PMingLiu"/>
        <family val="1"/>
        <charset val="136"/>
      </rPr>
      <t>23.	言談中有時會透過「吃虧讓步」的態度或方式表達善意，以求達成良好的互動。下列畫底線處的對話，運用此一言談技巧的選項是： (A)太公道：「師父請吃些晚飯，不知肯吃葷腥也不？」魯智深道：「</t>
    </r>
    <r>
      <rPr>
        <b/>
        <u/>
        <sz val="11"/>
        <color theme="1"/>
        <rFont val="新細明體"/>
        <family val="1"/>
        <charset val="136"/>
      </rPr>
      <t>洒家不忌葷酒</t>
    </r>
    <r>
      <rPr>
        <b/>
        <sz val="11"/>
        <color theme="1"/>
        <rFont val="新細明體"/>
        <family val="1"/>
        <charset val="136"/>
      </rPr>
      <t>，遮莫甚麼渾清白酒都不揀選，牛肉、狗肉，但有便吃</t>
    </r>
    <r>
      <rPr>
        <sz val="11"/>
        <color theme="1"/>
        <rFont val="新細明體"/>
        <family val="1"/>
        <charset val="136"/>
      </rPr>
      <t xml:space="preserve">。」
 (B)帝顫慄不已。只見階下披甲持戈數百餘人，皆是魏兵。帝泣謂群臣曰：「朕願將天下禪於魏王，幸留殘喘，以終天年。」賈詡曰：「魏王必不負陛下。」 
(C)誠實的參，亦就掛上稱仔稱一稱說：「大人，真客氣啦！才一斤。」「不錯罷？」巡警說。「不錯，本來兩斤足，因是大人要的……」參說。這句話是平常買賣的口吻，不是贈送的表示
(D)「這個舞我不會跳了。」那個年輕的男人說道。他停了下來，尷尬的望著金大班，樂隊剛換了一支曲子。金大班凝望了他片刻，終於溫柔的笑了起來，說道：「不要緊，這是三步，最容易，你跟著我，我來替你數拍子。」 
(E)母親才過三十歲，卻要打扮成老太太，姨娘看了只是抿嘴兒笑，父親就直皺眉頭。我悄悄地問她：「媽，你為什麼不也梳個橫愛司髻，戴上姨娘送你的翡翠耳環呢？」母親沉著臉說：「你媽是鄉下人，那兒配梳那種摩登的頭，戴那講究的耳環呢？」 </t>
    </r>
  </si>
  <si>
    <t xml:space="preserve">一、文章解讀 
閱讀下文後，請依據作者的引述與闡釋，說明當人發揮自己的天賦時，如何能產生「自由與踏實的感受」。文長約100-150字（約5-7行）。
年輕人要清楚自己的志向，不讓他人的噪音壓過自己的心聲。當你找到自己的天賦時，會有一種如英國教育改革家肯‧羅賓森所說的「歸屬於天命」的狀態：「歸屬於天命，有跡可循，最明顯的就是自由與踏實的感受。當你從事自己熱愛又擅長的工作，才可能覺得活出了真實的自我。你覺得自己做著天生該做的事，也成為你天生該成為的人。」
但我們常常提到「讓天賦自由」，我很擔心這會造成一種誤解，以為找到「天賦」就自由了，可以放羊吃草、閒散度日。天賦，不是偷懶的藉口，沒有一個天才可以光靠天賦扶搖直上。正好相反，天賦是由一種不得不然的熱情所驅動，你熱愛一件事，熱愛到足以打死不退，全身有一股強烈飢渴往前追尋的力量。因此，任何天賦都需要回到「紀律」的堅持上。（改寫自嚴長壽《教育應該不一樣》）
</t>
  </si>
  <si>
    <t xml:space="preserve">Part 2: Article Analysis
Read the excerpt below from “The Red Whiskered Hero” describing Hongfu fleeing at night to join Li Jing, and answer the questions. Clearly label your answers as (1) and (2). Write about 250–300 Chinese characters (approximately 12–14 lines).
(1) Analyze Li Jing’s emotional changes throughout the incident.
(2) Explain how Hongfu uses speaking strategies to persuade Li Jing to accept her seeking refuge with him.
</t>
  </si>
  <si>
    <t xml:space="preserve">Part 3: Guided Writing (27 points)
Having experience and lacking experience each have their own advantages and disadvantages. Whether they become strengths or weaknesses, obstacles or help, depends on the nature of the event, how the situation develops, and how the person involved views it. Likewise, so-called good experiences and bad experiences may carry different meanings and effects.
Write a complete essay titled “N Ways of Thinking About Experience,” combining examples and your own viewpoints. Length is not limited.
</t>
  </si>
  <si>
    <t>2018_Questions</t>
  </si>
  <si>
    <t>1.	下列「」內字音前後相同的是： (A)「簪」纓世族／浸潤之「譖」	(B)若「垤」若穴／藩籬「桎」梏 (C)財匱力「絀」／正身「黜」惡	(D)「檣」傾楫摧／稼「穡」之道</t>
  </si>
  <si>
    <t xml:space="preserve">C </t>
  </si>
  <si>
    <t>2.	下列文句，用字完全正確的是： (A)	慢不經心的求學態度，將連帶降低學習成效 (B)	謾罵與善意批評本質有別，二者心態也不同 (C)	他的建築設計作品響譽國際，堪稱當代巨擘 (D)	伴隨一晌貪歡而來的，常是慘不忍堵的代價</t>
  </si>
  <si>
    <t xml:space="preserve">B </t>
  </si>
  <si>
    <t>3.	閱讀下列新詩，最適合填入□內的詞依序是： 甲、山稜劃開暗夜／□□洩漏下來（瓦歷斯‧諾幹〈拆信刀〉） 乙、路在前面／伸著／長長的舌頭／把一雙雙的腳／□了進去（向明〈七孔新笛〉） 丙、最後一隻高音階的LA／還來不及出現／夕陽以吸塵器的速度／將這一切□□乾淨（顏艾琳〈夕陽前發生的事〉） 丁、我撐傘走過老樹下／已不見它那灰白蒼老的影子／年輕的翠綠承受細雨的彈珠／調皮的□□在傘上（陳秀喜〈復活〉） (A)誓言／舔／沖刷／丟擲	(B)誓言／捲／吞沒／流洩 (C)祕密／舔／吞沒／丟擲	(D)祕密／捲／沖刷／流洩</t>
  </si>
  <si>
    <t>4.	閱讀下文，最適合填入□□□□內的語詞依序是： 葉石林《避暑錄話》中多精語。其論人才曰：「唐自懿、僖以後，人才日削，至於五代，謂之□□□□可也。然吾觀浮屠中乃有雲門、臨濟、德山、趙州數十輩人，卓然超世，是可與扶持天下，配古名臣。然後知其散而橫潰者，又有在此者也」云云。此論天下人才有定量，不出於此則出於彼，學問亦然。元明二代，於學術蓋無可言，至於詩文，亦不能出唐宋範圍，然書畫大家□□□□。國朝則學盛而藝衰。物莫能兩大，亦自然之勢也。（王國維《東山雜記》） (A)空國無人／沒沒無聞	(B)空國無人／接武而起 (C)人才輩出／沒沒無聞	(D)人才輩出／接武而起</t>
  </si>
  <si>
    <t>5.	下列是一段現代散文，依據文意，甲、乙、丙、丁、戊排列順序最恰當的是： 四面街角至少有幾百個人焦躁地等著過街，也有些人和我們一樣在等計程車。……每逢紅綠燈轉換時，一大波傘海會像激流般沖往對岸，不斷有人踩進了積水的坑洞而驚呼。 甲、能抓住車門的手	乙、留在路旁的是有增無減的等車的人 丙、一大群人擁上去	丁、真是令人羨慕的幸運之手 戊、偶有一輛空車亮著頂燈在車陣中出現 那些人的臉上似乎有一種強勝弱敗的神色，很快融入車海。（齊邦媛〈失散〉） (A)乙戊甲丙丁	(B)乙戊丙甲丁	(C)戊丙甲丁乙	(D)戊丙丁甲乙</t>
  </si>
  <si>
    <t>6.	下列是仁欣醫院在進行手術治療前，提供給患者的麻醉風險等級表，依據表中的資訊，敘述錯誤的是：
麻　醉　風　險　等　級　表
級別 病人狀態 死亡率
1 健康 0.06～0.08%
2 有輕微的全身性疾病，但無功能上的障礙 0.27～0.4%
3 有中度至重度的全身性疾病，且造成部分功能障礙 1.8～4.3%
4 有重度的全身性疾病，具有相當程度的功能障礙，且時常危及生命 7.8～23%
5 瀕危，無論是否接受手術治療，預期在24小時內死亡 9.4～51%
 (A)	第1、2級死亡率約為0.06%至0.4%，可見麻醉雖有風險但危險程度低 (B)	第3、4級風險程度增高，乃因病人患有全身性疾病，且伴隨功能障礙 (C)	第5級死亡率可高達1/2，但在不開刀的情形下，可能一天內結束生命 (D)	麻醉風險與患者的健康狀況密切相關，死亡率由高至低依序為1至5級</t>
  </si>
  <si>
    <t xml:space="preserve">D </t>
  </si>
  <si>
    <t>7.	依據下文，作者「對蚊子絕不排斥」，最可能的原因是： 過了一天非人的生活，到了夜晚想做一件人做的事：睡覺。但是，不忙著睡，寶貝蚊子來了。雙方的工作不外下列幾種：（一）蚊子奏細樂。（二）我揮手致敬。（三）樂止。（四）休息片刻。（五）是我不當心，皮膚碰了蚊子的嘴，奇痛。（六）蚊子奏樂。（七）我揮手送客。清晨醒來，察視一夜工作的痕迹，常常發現腿部作玉蜀黍狀。有時候面部略微改變一點形狀，例如：嘴唇加厚，鼻樑增高。據腦筋靈敏的人說，若備一床帳子，則蚊子自然不作入幕之賓。但我已太太商量就緒，在下月發薪之前，無論如何，我們仍然要保持大國民的態度，對蚊子絕不排斥。（改寫自梁實秋〈蚊子與蒼蠅〉） (A)蚊子能增添生活樂趣	(B)擁有慈悲為懷的精神 (C)喜好觀察自然界細物	(D)貧窮生活的自我解嘲</t>
  </si>
  <si>
    <t>8.	依據下文，最符合作者理想的文藝評論是： 評論家最好能具備這樣幾個美德：首先是言之有物，但不能是他人之物，尤其不可將西方的當令理論硬套在本土的現實上來。其次是條理井然，只要把道理說清楚就可以了，不必過分旁徵博引，穿鑿附會，甚至不厭其煩，有如解答習題一般，一路演算下來。再次是文采斐然，不是寫得花花綠綠，濫情多感，而是文筆在暢達之中時見警策，知性之中流露感性，遣詞用字，生動自然，若更佐以比喻，就更覺靈活可喜了。最後是情趣盎然，這當然也與文采有關。一篇上乘的評論文章，也是心境清明，情懷飽滿的產物，雖然旨在說理，畢竟不是科學報告，因為它探討的本是人性而非物理，犯不著臉色緊繃，口吻冷峻。（余光中《從徐霞客到梵谷‧自序》） (A)	關注本土現實，不與西方理論進行比較 (B)	能針對作品闡述己見，不刻意逞詞炫學 (C)	用比喻解讀作品的內蘊，安頓讀者心靈 (D)	以感性情味為尚，避免因知性而顯枯燥</t>
  </si>
  <si>
    <t>9.	依據下文，作者對於歷史書寫「覺得恐懼」，最可能的原因是： 血管賁張的想像，都在史料閱讀之際平息下來，過多的熱情也被迫必須冷卻。歷史的想像，在古典顏色的紙頁之間穿梭，以求得假想中的一個事實。但是，在千錘百鍊的考據下獲得的事實，果真是屬於事實？頹然坐在浩瀚的史書之前，忽然覺悟所謂事實不都是解釋出來的？史料與史料的銜接，如果需要人工著手構築，如何證明事實值得信賴？歷史想像求得的事實，如何不是想像的延伸？內心自我提問的過程，一旦陷入之後，時間之旅便無窮無盡。對於歷史書寫，越來越覺得恐懼。（陳芳明〈書寫就是旅行〉） (A)史料龐雜因而無法盡讀	(B)想像延伸因而血脈賁張 (C)事實因解釋而無窮無盡	(D)熱情因閱讀而頹然冷卻</t>
  </si>
  <si>
    <t>10.	依據下文，最能與文旨呼應的是： 豚澤之人養蜀雞，有文而赤翁。有群雓周周鳴。忽晨風過其上，雞遽翼諸雓，晨風不得捕，去。已而有烏來，與雓同啄。雞視之兄弟也，與之下上，甚馴。烏忽銜其雓飛去。雞仰視悵然，似悔為其所賣也。（宋濂《燕書》） 
赤翁：紅色頸毛。
雓：ㄩˊ，小雞。
周周：同「啁啁」。
晨風：猛禽名。
(A)	螳螂捕蟬，黃雀在後 (B)	鳥盡弓藏，兔死狗烹 (C)	福生於畏，禍起於忽 (D)	失之東隅，收之桑榆</t>
  </si>
  <si>
    <t>12-14為題組 閱讀韓愈〈師說〉中甲、乙二段，回答12-14題。 甲 古之學者必有師。師者，所以傳道、受業、解惑也。人非生而知之者，孰能無惑？惑而不從師，其為惑也終不解矣！生乎吾前，其聞道也，固先乎吾，吾從而師之；生乎吾後，其聞道也，亦先乎吾，吾從而師之。吾師道也，夫庸知其年之先後生於吾乎？是故無貴、無賤、無長、無少，道之所存，師之所存也。 乙 聖人無常師：孔子師郯子、萇弘、師襄、老聃。郯子之徒，其賢不及孔子。孔子曰：「三人行，則必有我師」。是故弟子不必不如師，師不必賢於弟子。聞道有先後，術業有專攻，如是而已。</t>
  </si>
  <si>
    <t>12.	依據上文，下列闡釋正確的是： (A)	「人非生而知之者，孰能無惑」，謂人皆不免有惑，故須從師以解惑 (B)	「吾師道也，夫庸知其年之先後生於吾」，謂無論少長均應學習師道 (C)	「聖人無常師」，謂聖人的教育方法異於一般教師，因此能啟迪後進 (D)	「郯子之徒，其賢不及孔子」，謂郯子等人的學生不如孔子弟子優秀</t>
  </si>
  <si>
    <t xml:space="preserve">A </t>
  </si>
  <si>
    <t>13.	依據上文，最符合韓愈對「學習」看法的是： (A)	只要有心一定能聞道，學習永遠不嫌遲 (B)	智愚之別會影響學習，故聞道有先有後 (C)	學無止境，自少至長都應該精進地學習 (D)	尊重專業，擇師學習不需計較身分年齡</t>
  </si>
  <si>
    <t>14.	下列文句，與「惑而不從師，其為惑也終不解矣」同樣強調運用資源以追求成長的是： (A)	君子生非異也，善假於物也 (B)	梓匠輪輿，能與人規矩，不能使人巧 (C)	君子博學而日參省乎己，則知明而行無過 (D)	日知其所亡，月無忘其所能，可謂好學也已矣</t>
  </si>
  <si>
    <t>15-16為題組 閱讀下文，回答15-16題。 在發現澳洲之前，舊世界的人相信所有的天鵝都是白的—這個想法其實沒有錯，因為它和實證現象完全吻合。但只要一隻黑天鵝，便足以讓一個基於白天鵝被看到千萬次所形成的認知失效。 出乎意料的黑天鵝事件，說明了人們從觀察或經驗所學到的事物往往有其侷限。人們無力預測黑天鵝事件，也顯示了人們無從預測歷史發展。但黑天鵝事件發生後，人們又會設法賦予它合理的解釋，好讓它成為是可預測的。因此，許多學說總在黑天鵝事件後出現。 雖然令人難以置信的黑天鵝事件經常衝擊現有的局勢，但我們如果願意反知識操作，或許可以從中僥倖獲利。事實上，在某些領域—例如科學發現和創業投資，來自未知事件的報酬非常大。發明家和企業家往往注意雞毛蒜皮的小事，並在機會出現時認出機會。（改寫自Nassim Nicholas Taleb《黑天鵝效應‧前言》）</t>
  </si>
  <si>
    <t>15.	下列敘述，符合作者看法的是： (A)	黑天鵝事件向來離奇，人類的經驗難以理解 (B)	留意細微徵兆，有助於防範黑天鵝事件發生 (C)	投資致富的關鍵，便是懂得避開黑天鵝事件 (D)	科學研究若出現黑天鵝事件，可能翻轉知識</t>
  </si>
  <si>
    <t>16.	下列作品中人物始料未及之事，最接近黑天鵝事件的是： (A)	《三國演義》：曹操沒料到，赤壁在冬天會吹東南風 (B)	《儒林外史》：胡屠戶沒料到，女婿范進能鄉試中舉 (C)	〈燭之武退秦師〉：鄭伯沒料到，鄭國能倖免於秦晉聯軍 (D)	〈馮諼客孟嘗君〉：孟嘗君沒料到，薛地百姓會夾道相迎</t>
  </si>
  <si>
    <t xml:space="preserve">17-18為題組 閱讀下列歷史人物遊戲說明書與五張牌卡，回答17-18題。
歷　史　人　物　遊　戲　說　明　書
基本規則 
①共有99張牌，牌號大者為大（99＞98＞97＞96＞……＞2＞1）。
②每一局，各家分到11張牌，最先將手中的牌出盡者為冠軍。
③局中各輪，下家皆須按上家的牌型出牌（每輪可出牌型如下）。手中無相同牌型可出者，該輪棄權；手中有相同牌型但不想出者，該輪也可棄權。
④該輪勝出者（每輪決勝方式如下），取得下一輪的攻牌權。
每輪可出牌型 依照牌上詩句所吟詠的人物，可出以下牌型：
【出1張（X）】
【出2張（X＋Y）】：這2張牌所吟詠的人物，須是同一人。
【出3張（X＋Y＋Z）】：這3張牌所吟詠的人物，須是同一人。
每輪決勝方式 
①各家按該輪牌型循序出牌，以出最大牌號的一家為勝出。
②若甲家所出的牌型，其他家皆棄權，則該輪由甲家勝出。
42: 天亡非戰罪，末路困英雄。氣盡虞同死，司晨笑沛公。
43: 世間快意寧有此，亭長還鄉作天子。沛宮不樂復何為，諸母父兄知舊事。
</t>
  </si>
  <si>
    <t>17.	假設某局你的手中尚餘如上「42」、「43」、「66」、「98」、「99」五張牌卡，下列組合，符合「可出牌型」的是： (A)42＋99	(B)66＋98 (C)42＋98＋99	(D)43＋66＋98</t>
  </si>
  <si>
    <t xml:space="preserve">18.	假設在本輪時，你的手中尚餘如上五張牌卡，上一家以【出1張】的牌型打出「55」這張牌，接著由你出牌。若你想取得此局冠軍，下列預想的出牌策略，符合「正確、快速、穩妥」條件的是： (A)	①本輪：先出66，再出98，再出99，取得攻牌權；②末輪：出42＋43 (B)	①本輪：出99，取得攻牌權；②末輪：先出42，再出43，再出66，再出98 (C)	①本輪：出98，取得攻牌權；②次輪：出42＋99，取得攻牌權；③末輪：出43＋66 (D)	①本輪：出99，取得攻牌權；②次輪：出43＋66＋98，取得攻牌權；③末輪：出42 </t>
  </si>
  <si>
    <t>19-20為題組 閱讀下文，回答19-20題。 煙絡橫林，山沉遠照，邐迤黃昏鐘鼓。燭映簾櫳，蛩催機杼，共苦清秋風露。不眠思婦，齊應和，幾聲砧杵。驚動天涯倦宦，駸駸歲華行暮。 當年酒狂自負，謂君，以春相付。流浪征驂北道，客檣南浦。幽恨無人晤語，賴明月曾知舊遊處。好伴雲來，還將夢去。（賀鑄〈天香〉）
蛩：ㄑㄩㄥˊ，蟋蟀。
駸駸：ㄑ一ㄣ  ㄑ一ㄣ，急速。
驂：ㄘㄢ，駕車時在兩側的馬，此處指車馬。</t>
  </si>
  <si>
    <t>19.	關於本闋詞的敘述，正確的是： (A)	通篇傳達孤老無依、大限將至的悲涼 (B)	上片描寫秋夜清冷蕭索和羈旅獨居的悲愁 (C)	下片慨歎己身生涯坎坷，自責愧對妻兒子女 (D)	以蛩聲、鐘鼓聲、砧杵聲寄寓對家事、國事、天下事的關懷</t>
  </si>
  <si>
    <t>20.	關於本闋詞的理解，不恰當的是： (A)	「煙絡橫林，山沉遠照，邐迤黃昏鐘鼓」為詞人遠眺所見所聞 (B)	「燭映簾櫳，蛩催機杼，共苦清秋風露」描繪詞人與思婦共感淒風寒露之苦 (C)	「流浪征驂北道，客檣南浦」對比「當年酒狂自負」，營造失落之感 (D)	「明月」象徵國君，「幽恨無人晤語」表達作者懷才不遇的感傷</t>
  </si>
  <si>
    <t>21-24為題組 閱讀下文，回答21-24題。 陶醉於田園的陶潛，是否曾為他決定隱居後悔過？是否有時候也想過另外一種生活？清代以降的批評家已開始質疑陶潛作為一個隱士的「單純性」—詩人龔自珍就把陶潛當成有經世抱負的豪傑之士，可與三國時代的諸葛亮相比擬：「陶潛酷似臥龍豪，萬古潯陽松菊高。莫信詩人竟平淡，二分梁甫一分騷。」很顯然，龔自珍並沒有把陶潛當作一個平淡的人。對龔氏及其同時代的人而言，陶潛代表了一個典型的知識分子，有出仕的凌雲之志卻扼腕而棄之—因為生不逢時。 其實早在唐代，詩人杜甫便已經對陶潛作為一個恬然自樂的隱士形象提出質疑。杜甫在其〈遣興〉一詩中說：「陶潛避俗翁，未必能達道。觀其著詩集，頗亦恨枯槁。」學者李華認為杜甫所要傳遞的訊息是：「陶淵明雖然避俗，卻也未能免俗。何以知之？因為從陶潛詩集來看，其中很有恨自己一生枯槁之意。」李華將杜甫詩中的「枯槁」解作「窮困潦倒」是很有理由的，因為陶潛〈飲酒〉第十一首用了同一個詞來形容孔子得意門生顏回的窘迫：「顏生稱為仁，榮公言有道。屢空不獲年，長飢至於老。雖留後世名，一生亦枯槁……」。我們自然可以聯想到當杜甫試圖揭開清貧隱士陶潛的面具時，實際上也是自我示現。浦起龍在評解杜甫〈遣興〉時，便指出：「嘲淵明，自嘲也。假一淵明為本身象贊」。由此，也就解釋了為什麼杜甫詩作中一再提到陶潛。而實際上，杜甫正是第一個將陶潛提升到文學經典地位的人。 然而在過去的數世紀內，批評家一直誤讀杜甫，或者可以說是對杜甫解讀陶潛的誤讀。由於批評家常將「枯槁」解作「風格上的平淡」，自然而然會認定杜甫以其〈遣興〉一詩來批評陶潛的詩風。這種誤解導致明代學者胡應麟在其《詩藪》中以為「子美之不甚喜陶詩，而恨其枯槁也」。後來朱光潛也沿襲了胡應麟的說法。這一有趣的誤讀實例證實了：經典化的作者總是處於不斷變化的流程中，是讀者反饋的產物。（改寫自孫康宜〈揭開陶潛的面具〉）</t>
  </si>
  <si>
    <t>21.	下列敘述，符合文中龔自珍對陶潛看法的是： (A)	陶潛一生固窮守節，為傳統知識分子的典型 (B)	陶潛與屈原、諸葛亮相同，均懷有濟世之志 (C)	陶潛才德堪比諸葛亮，竟自甘於平淡，令人惋惜 (D)	陶詩風格平淡，實受〈梁甫吟〉、〈離騷〉影響</t>
  </si>
  <si>
    <t>22.	作者認為歷來批評家對杜甫〈遣興〉一詩，所產生的誤讀是： (A)	以為杜甫嘲諷陶潛猶未能達道 (B)	以為杜甫批評陶潛的詩風枯槁 (C)	認為杜甫質疑陶潛的隱士形象 (D)	認為杜甫藉陶潛自嘲窮困潦倒</t>
  </si>
  <si>
    <t>23.	依據上文，作者所不認同的前人論述是： (A)	杜甫對陶潛詩的詮釋 (B)	龔自珍對陶潛的評論 (C)	浦起龍對杜詩的詮釋 (D)	胡應麟對杜甫的評論</t>
  </si>
  <si>
    <t xml:space="preserve">24.上文認為「經典化的作者，是讀者反饋的產物」，圖像也是讀者反饋的一種形式。甲、乙二圖皆以陶潛的歸隱生活為背景，下列敘述，最無法從圖中獲悉的是： (A)	甲圖藉「採菊東籬」、「見南山」表現陶潛的閒適 (B)	乙圖用飢餓難耐、流眼淚顛覆陶潛清貧自守的形象 (C)	甲圖描繪陶潛功成不居，乙圖則描繪陶潛樂極生悲 (D)	對陶潛形象的詮釋，甲圖重精神面，乙圖重物質面 </t>
  </si>
  <si>
    <t>25-26為題組 閱讀下文，回答25-26題。 東坡在黃州與蜀客陳季常為友，不過登山玩水、飲酒賦詩，軍務民情，秋毫無涉。光陰迅速，將及一載。時當重九之後，連日大風。一日風息，東坡兀坐書齋，忽想：「定惠院長老曾送我黃菊數種，栽於後園，今日何不去賞玩一番？」足猶未動，恰好陳季常相訪。東坡大喜，便拉陳慥同往後園看菊。到得菊花棚下，只見滿地鋪金，枝上全無一朵，嚇得東坡目瞪口呆。陳慥問道：「子瞻見菊花落瓣，緣何如此驚詫？」東坡道：「季常有所不知。平常見此花只是焦乾枯爛，並不落瓣，去歲在王荊公府中，見他〈詠菊〉詩二句道：『西風昨夜過園林，吹落黃花滿地金。』小弟只道此老錯誤了，續詩二句道：『秋花不比春花落，說與詩人仔細吟。』卻不知黃州菊花果然落瓣！此老左遷小弟到黃州，原來使我看菊花也。」陳慥笑道：「古人說得好：廣知世事休開口，縱會人前只點頭。假若連頭俱不點，一生無惱亦無愁。」東坡道：「小弟初然被謫，只道荊公恨我摘其短處，公報私仇。誰知他倒不錯，我倒錯了。真知灼見者，尚且有誤，何況其他！吾輩切記，不可輕易說人笑人，正所謂        耳。」（改寫自《警世通言‧王安石三難蘇學士》）</t>
  </si>
  <si>
    <t>25.	依據上文，關於東坡在黃州的情況，敘述正確的是： (A)時就陳慥共議軍務民情	(B)季常贈菊數種以供賞玩 (C)驚見定惠院中菊瓣遍地	(D)領會荊公詠菊所言不虛</t>
  </si>
  <si>
    <t>26.	依據上文，最適合填入        內的是： (A)經一失長一智	(B)人不可以貌相 (C)五十步笑百步	(D)聰明被聰明誤</t>
  </si>
  <si>
    <t>27-30為題組 閱讀下列甲、乙二文，回答27-30題。 
甲 利未亞州東北厄日多國産魚，名喇加多，約三丈餘。長尾，堅鱗甲，刀箭不能入。足有利爪，鋸牙滿口，性甚獰惡。色黄，口無舌，唯用上齶食物。入水食魚，登陸每吐涎于地，人畜踐之即仆，因就食之。見人遠則哭，近則噬。冬月則不食物，睡時嘗張口吐氣。（南懷仁《坤輿圖說》） 
乙 莎士比亞的戲劇說：「那公爵如淌著眼淚的鱷魚，把善心的路人騙到嘴裡。」鱷魚眼睛所分泌的液體，有科學家曾經認為應是用來排出身體多餘的鹽分。許多生活在海裡的爬行動物，因為腎功能不如海生哺乳動物，故以鹽腺來恆定喝入海水後的體內離子。例如海龜的鹽腺位於淚腺中，海龜看似流眼淚，其實是讓鹽分藉此排出。海鬣蜥的鹽腺位在鼻腺中，牠們會從鼻孔排出結晶狀的鹽分。海蛇的鹽腺則在後舌下腺中。總之，鹽腺的位置是個別演化的，但功能相似。 目前已無生活於海中的鱷魚，但有些鱷魚仍棲息於河口或淺海。科學家後來發現，牠們的舌頭表面會流出清澈的液體，進而懷疑這才是鹽腺的分泌物。經過蒐集分析，果然其含鹽量比眼睛分泌物來得高。例如亞洲的鹹水鱷與美洲的美洲鱷，鹽腺都位在舌下腺中，牠們舌頭表面的孔洞會分泌出高鹽分的液體。至於同一屬的淡水表親，如澳洲淡水鱷，也有結構相同的舌下鹽腺，但效能就略遜一籌；同一科的西非狹吻鱷和西非矮鱷，情況也大致類似。但生活於淡水地區的短吻鱷科鱷魚，例如美洲短吻鱷和眼鏡凱門鱷，舌頭的孔洞都極小，前者的排鹽效率奇差，後者則完全不會排出鹽分。 鱷魚通常在陸地待了一段時間後，位於瞬膜的哈氏腺便會分泌鹹液潤滑眼睛。瞬膜是一層透明的眼瞼，除了滋潤眼睛外，當鱷魚潛入水中，閉上瞬膜，既能保護眼睛，又能看清水下情況。另有實驗發現，有些鱷魚會邊進食邊流淚，甚至眼睛冒出泡沫，推測可能是咬合時壓迫鼻竇的生理反應。（改寫自國家地理雜誌中文網）</t>
  </si>
  <si>
    <t>27.	下列關於甲文敘寫「喇加多」的分析，錯誤的是： (A)	先談外形，再寫習性；習性再分「獵食」、「避敵」兩線敘寫 (B)	以「利爪」、「鋸牙」襯托「獰惡」，以「刀箭不能入」強化「堅鱗甲」特徵 (C)	以「入水」、「登陸」的活動範圍，描述其生活特性，也寫獵食對象甚廣 (D)	藉「吐涎于地」和「遠則哭，近則噬」二事揭露其獵食技倆</t>
  </si>
  <si>
    <t>28.	甲文「人畜踐之即仆」的鱷魚涎液，若依乙文的看法，最可能的分泌來源是： (A)哈氏腺	(B)舌下腺	(C)淚腺	(D)鼻腺</t>
  </si>
  <si>
    <t>29.	甲文謂鱷魚「見人遠則哭」，若依乙文的看法，其主要原因應是： (A)引誘獵物	(B)排除鹽分	(C)哀傷憐憫	(D)潤滑眼睛</t>
  </si>
  <si>
    <t>30.	乙文第二段列舉數種鱷魚，最主要是為了說明： (A)	不同棲息地的鱷魚，鹽腺的效能也隨之有別 (B)	不同種類的鱷魚，鹽腺所在的位置也不相同 (C)	鱷魚鹽腺的位置，會隨棲地鹽分多寡而改變 (D)	鱷魚鹽腺的退化，係經過長時間的演化歷程</t>
  </si>
  <si>
    <t>31-32為題組 閱讀下文，回答31-32題。 惠子謂莊子曰：「人故无情乎？」莊子曰：「然。」惠子曰：「人而无情，何以謂之人？」莊子曰：「道與之貌，天與之形，惡得不謂之人？」惠子曰：「既謂之人，惡得无情？」莊子曰：「是非吾所謂情也。吾所謂无情者，言人之不以好惡內傷其身，常因自然而不益生也。」（《莊子‧德充符》）无：同「無」。</t>
  </si>
  <si>
    <t>31.	下列敘述，符合惠子、莊子二人對有情無情看法的是： (A)	惠子：人的形貌乃根源於無情 (B)	惠子：人既可無情亦可以有情 (C)	莊子：不因情傷天性是謂無情 (D)	莊子：順自然而無情不利養生</t>
  </si>
  <si>
    <t xml:space="preserve">32.	下列文句中的「與」，和上文「道與之貌」的「與」意思相同的是： (A)	選賢「與」能，講信修睦 (B)	可「與」言而不與之言，失人 (C)	人知之者，其謂「與」埳井之蛙何異 (D)	既以為人，己愈有；既以「與」人，己愈多 </t>
  </si>
  <si>
    <t>33-34為題組 閱讀下文，回答33-34題。 舂陵俗不種菊，前時自遠致之，植於前庭牆下。及再來也，菊已無矣。徘徊舊圃，嗟嘆久之。誰不知菊也，芳華可賞，在藥品是良藥，為蔬菜是佳蔬。縱須地趨走，猶宜徙植修養，而忍蹂踐至盡，不愛惜乎！於戲！賢士君子自植其身，不可不慎擇所處。一旦遭人不愛重如此菊也，悲傷奈何！於是更為之圃，重畦植之。其地近宴息之堂，吏人不此奔走；近登望之亭，旌旄不此行列。縱參歌妓，菊非可惡之草；使有酒徒，菊為助興之物。為之作記，以託後人；並錄藥經，列於記後。（元結〈菊圃記〉）於戲：同「嗚呼」</t>
  </si>
  <si>
    <t>33.	菊花在「前庭牆下」消失的原因，敘述最適當的是： (A)	菊花不如良藥、佳蔬用途廣大，因此遭眾人鄙薄厭棄 (B)	菊花係遠方品種，移植舂陵而不服水土，致枯萎凋零 (C)	菊花栽植於人來人往之處，被踩踏蹂躪，因而凋枯萎謝 (D)	菊花形貌樸素，雖非可惡之草，但不受人喜愛而遭棄養</t>
  </si>
  <si>
    <t xml:space="preserve">34.	作者藉種植菊花而感悟處世之理，下列敘述最適當的是： (A)	立身處世應具良禽擇木而棲的智慧 (B)	順境僅成就平凡而逆境可造就不凡 (C)	具備多元能力，可在競爭時代勝出 (D)	正直友可礪品格，酒肉交將招災禍 </t>
  </si>
  <si>
    <t>第35題至第42題多選題，每題有5個選項，其中至少有一個是正確的選項。</t>
  </si>
  <si>
    <t>35.	下列文句「」內的詞，屬於謙詞用法的是： (A)	一心抱「區區」，懼君不識察 (B)	鄰國之民不加少，「寡人」之民不加多，何也 (C)	「愚」以為營中之事，悉以咨之，必能使行陣和睦 (D)	中也養不中，才也養「不才」，故人樂有賢父兄也 (E)	「余」出官二年，恬然自安，感斯人言，是夕始覺有遷謫意</t>
  </si>
  <si>
    <t xml:space="preserve">BC </t>
  </si>
  <si>
    <t>36.	下列各組文句「」內的詞，前後意義相同的是： (A)	仁者播其惠，「信」者效其忠／足以極視聽之娛，「信」可樂也 (B)	以此伏「事」公卿，無不寵愛／遂散六國之從，使之西面「事」秦 (C)	工之僑以歸，「謀」諸漆工，作斷紋焉／持五十金，涕泣「謀」於禁卒，卒感焉 (D)	虎嘯風生，龍吟雲萃，「固」非偶然也／道士笑曰：我「固」謂不能作苦，今果然 (E)	常人貴遠賤近，「向」聲背實／始悟「向」之倒峽崩崖，轟耳不輟者，是硫穴沸聲也</t>
  </si>
  <si>
    <t xml:space="preserve">BCD </t>
  </si>
  <si>
    <t>BCD</t>
  </si>
  <si>
    <t>37.	下列文句畫底線處的詞語，運用恰當的是： (A)	獨特的室內空間規劃，必然能夠讓您的居室蓬蓽生輝 (B)	這次推出的新產品不慍不火，銷售未能達到預期目標 (C)	他的文章一氣呵成，文不加點，旁人難再有置喙餘地 (D)	低價促銷策略奏效，讓賣場天天魚游沸鼎，收入可觀 (E)	老張談吐幽默，往往讓同場聽者忍俊不禁，讚嘆不已</t>
  </si>
  <si>
    <t xml:space="preserve">CE </t>
  </si>
  <si>
    <t>38.「咬死了獵人的狗」是個歧義句，如右所示，是因為語法結構關係不同而造成了語義差異。下列文句，屬於此種歧義句的是：
●〔咬死了獵人／的／狗〕意謂：
「有隻狗咬死了獵人」。
●〔咬死了／獵人的狗〕意謂：
「某動物咬死了獵人所養的狗」。
 (A)	他沒有做不好的事情 (B)	他知道這件事不要緊 (C)	小明借來的字典沒用 (D)	王同學是轉學生，很多人不認識他 (E)	陳老師和李老師的學生，來自不同學校</t>
  </si>
  <si>
    <t xml:space="preserve">ABE </t>
  </si>
  <si>
    <t>39.	關於下列甲、乙二詩的解讀，正確的是： 
甲、獨有宦遊人，偏驚物候新。雲霞出海曙，梅柳渡江春。淑氣催黃鳥，晴光轉綠蘋。忽聞歌古調，歸思欲霑巾。 （杜審言〈和晉陵陸丞早春遊望〉） 
乙、城闕輔三秦，風煙望五津。與君離別意，同是宦遊人。海內存知己，天涯若比鄰。無為在歧路，兒女共霑巾。 （王勃〈送杜少府之任蜀州〉） 三秦：陝西關中一帶。五津：岷江中五個渡口。
(A)	甲詩藉由「淑氣催黃鳥，晴光轉綠蘋」，點出詩題的「早春」 (B)	乙詩藉由「城闕輔三秦，風煙望五津」，照應詩題的地理空間 (C)	二詩題材不盡相同，甲詩側重自然景物，乙詩則偏向人生際遇 (D)	二詩作者均因長期在外宦遊，故離愁別緒觸景而生，哀傷難抑 (E)	二詩皆以思鄉作結，且均藉「霑巾」抒寫遊子落葉歸根的期望</t>
  </si>
  <si>
    <t xml:space="preserve">ABC </t>
  </si>
  <si>
    <t>40.	下列詩句所歌詠的對象，正確的是： (A)	去來固無跡，動息如有情。日落山水靜，為君起松聲─雨 (B)	不是人間種，移從月窟來。廣寒香一點，吹得滿山開─桂 (C)	春紅始謝又秋紅，息國亡來入楚宮。應是蜀冤啼不盡，更憑顏色訴西風─楓 (D)	史氏只應歸道直，江淹何獨偶靈通。班超握管不成事，投擲翻從萬里戎─筆 (E)	千形萬象竟還空，映水藏山片復重。無限旱苗枯欲盡，悠悠閒處作奇峰─雲</t>
  </si>
  <si>
    <t xml:space="preserve">BDE </t>
  </si>
  <si>
    <t>41.	下列對古典文學的體制或發展，敘述正確的是： (A)	《詩經》分風、雅、頌三種文體，句子大致整齊，以四言為主；《楚辭》多寫楚地風物，句子多參差不齊 (B)	五言古詩產生於漢代，句數不拘，亦不刻意求對仗，平仄、用韻皆較近體詩自由 (C)	古文經中唐韓愈、柳宗元大力提倡與實踐，風行一時，至晚唐、五代式微，復於北宋歐陽脩再興 (D)	晚明小品題材趨於生活化，反映文人特有的生命情調和審美趣味，歸有光、袁宏道為代表作家 (E)	《儒林外史》、《紅樓夢》、《聊齋誌異》皆為章回小說，對八股取士的科舉制度均有所批判</t>
  </si>
  <si>
    <t>42.	文章敘寫感懷時，感懷者有時一方面看著眼前的人，一方面回想起此人的過往。下列文句，使用此種「今昔疊合」手法的是： (A)	他喝完酒，便又在旁人的說笑聲中，坐著用這手慢慢走去了。自此以後，又長久沒有看見孔乙己。到了年關，掌櫃取下粉板說，「孔乙己還欠十九個錢呢！」到第二年的端午，又說「孔乙己還欠十九個錢呢！」到中秋可是沒有說，再到年關也沒有看見他 (B)	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 (C)	這麼多年了，我已經習慣於午夜就寢以前想她，坐在燈前，對著書籍或文稿，忽然就想到病了的母親。對著那些平時作息不可或無的書稿之類的東西，忽然看不見那些東西了，眼前只剩一片迷茫，好像是空虛，母親的面容和聲音向我呈現，寧靜超然，沒有特別什麼樣的表情，那麼沉著，安詳 (D)	來臺灣以後，姨娘已成了我唯一的親人，我們住在一起有好幾年。在日式房屋的長廊裡，我看她坐在玻璃窗邊梳頭，她不時用拳頭捶著肩膀說：「手痠得很，真是老了。」老了，她也老了。當年如雲的青絲，如今也漸漸落去，只剩了一小把，且已夾有絲絲白髮。想起在杭州時，她和母親背對著背梳頭，彼此不交一語的仇視日子，轉眼都成過去 (E)	金發伯站在稍遠的地方，木然地看著他們，他抽著菸，始終不發一語。天色漸自黯了，僅剩的那一點餘光照在他佝僂的身上，竟意外地顯出他的單薄來。秀潔從人與人之間的縫隙裡望過去，看到紙菸上那一點火光在他臉上一閃一滅，一閃一滅，那蒼老憂鬱而頹喪的神情便一下子鮮明起來，不由得想起以前教戲給她時的威嚴自信的臉色，兩相對照之下，使她內心悸動不已，便禁聲了</t>
  </si>
  <si>
    <t xml:space="preserve">DE </t>
  </si>
  <si>
    <t>2019_Questions</t>
  </si>
  <si>
    <t>1.	下列「」內的字，讀音前後相同的是： (A)詩詠關「雎」／「椎」心之痛	(B)葦「苕」繫巢／乘「軺」建節 (C)「綢」繆牖戶／「倜」儻佻達	(D)中道崩「殂」／自邇「徂」遠</t>
  </si>
  <si>
    <t>2.	下列文句，完全沒有錯別字的是： (A)公聽會上經過激烈討論後，結果依然莫衷一是 (B)出人意表、震憾人心的魔術表演，贏得滿堂彩 (C)社會教育淺移默化的習染力量，常常被人忽略 (D)再接再勵，抑或裹足不前，往往只在一念之間</t>
  </si>
  <si>
    <t>3.	下列是一段古文，依據文意，甲、乙、丙、丁排列順序最適當的是： 夫秦失其政，陳涉首難，豪傑蜂起， 甲、三年，遂將五諸侯滅秦	乙、分裂天下而封王侯，政由羽出 丙、相與並爭，不可勝數	丁、然羽非有尺寸，乘勢起隴畝之中 號為霸王。（《史記‧項羽本紀》） (A)甲丙丁乙	(B)乙丁丙甲	(C)丙丁甲乙	(D)丁乙丙甲</t>
  </si>
  <si>
    <r>
      <rPr>
        <sz val="11"/>
        <color theme="1"/>
        <rFont val="PMingLiu"/>
        <family val="1"/>
        <charset val="136"/>
      </rPr>
      <t xml:space="preserve">4.	下表摘自國家發展委員會於107年彙整的「107～109年重點產業人才供需調查及推估」報告。
國防類產業 新增需求人數
</t>
    </r>
    <r>
      <rPr>
        <b/>
        <sz val="11"/>
        <color theme="1"/>
        <rFont val="新細明體"/>
        <family val="1"/>
        <charset val="136"/>
      </rPr>
      <t xml:space="preserve">新增需求人數：
國防航太業：
</t>
    </r>
    <r>
      <rPr>
        <b/>
        <sz val="11"/>
        <color theme="1"/>
        <rFont val="新細明體"/>
        <family val="1"/>
        <charset val="136"/>
      </rPr>
      <t>107</t>
    </r>
    <r>
      <rPr>
        <b/>
        <sz val="11"/>
        <color theme="1"/>
        <rFont val="新細明體"/>
        <family val="1"/>
        <charset val="136"/>
      </rPr>
      <t>年新增</t>
    </r>
    <r>
      <rPr>
        <b/>
        <sz val="11"/>
        <color theme="1"/>
        <rFont val="新細明體"/>
        <family val="1"/>
        <charset val="136"/>
      </rPr>
      <t>696</t>
    </r>
    <r>
      <rPr>
        <b/>
        <sz val="11"/>
        <color theme="1"/>
        <rFont val="新細明體"/>
        <family val="1"/>
        <charset val="136"/>
      </rPr>
      <t xml:space="preserve">人
</t>
    </r>
    <r>
      <rPr>
        <b/>
        <sz val="11"/>
        <color theme="1"/>
        <rFont val="新細明體"/>
        <family val="1"/>
        <charset val="136"/>
      </rPr>
      <t>108</t>
    </r>
    <r>
      <rPr>
        <b/>
        <sz val="11"/>
        <color theme="1"/>
        <rFont val="新細明體"/>
        <family val="1"/>
        <charset val="136"/>
      </rPr>
      <t>年新增</t>
    </r>
    <r>
      <rPr>
        <b/>
        <sz val="11"/>
        <color theme="1"/>
        <rFont val="新細明體"/>
        <family val="1"/>
        <charset val="136"/>
      </rPr>
      <t>301</t>
    </r>
    <r>
      <rPr>
        <b/>
        <sz val="11"/>
        <color theme="1"/>
        <rFont val="新細明體"/>
        <family val="1"/>
        <charset val="136"/>
      </rPr>
      <t xml:space="preserve">人
</t>
    </r>
    <r>
      <rPr>
        <b/>
        <sz val="11"/>
        <color theme="1"/>
        <rFont val="新細明體"/>
        <family val="1"/>
        <charset val="136"/>
      </rPr>
      <t>109</t>
    </r>
    <r>
      <rPr>
        <b/>
        <sz val="11"/>
        <color theme="1"/>
        <rFont val="新細明體"/>
        <family val="1"/>
        <charset val="136"/>
      </rPr>
      <t>年新增</t>
    </r>
    <r>
      <rPr>
        <b/>
        <sz val="11"/>
        <color theme="1"/>
        <rFont val="新細明體"/>
        <family val="1"/>
        <charset val="136"/>
      </rPr>
      <t>113</t>
    </r>
    <r>
      <rPr>
        <b/>
        <sz val="11"/>
        <color theme="1"/>
        <rFont val="新細明體"/>
        <family val="1"/>
        <charset val="136"/>
      </rPr>
      <t xml:space="preserve">人
</t>
    </r>
    <r>
      <rPr>
        <b/>
        <sz val="11"/>
        <color theme="1"/>
        <rFont val="新細明體"/>
        <family val="1"/>
        <charset val="136"/>
      </rPr>
      <t>107</t>
    </r>
    <r>
      <rPr>
        <b/>
        <sz val="11"/>
        <color theme="1"/>
        <rFont val="新細明體"/>
        <family val="1"/>
        <charset val="136"/>
      </rPr>
      <t>至</t>
    </r>
    <r>
      <rPr>
        <b/>
        <sz val="11"/>
        <color theme="1"/>
        <rFont val="新細明體"/>
        <family val="1"/>
        <charset val="136"/>
      </rPr>
      <t>109</t>
    </r>
    <r>
      <rPr>
        <b/>
        <sz val="11"/>
        <color theme="1"/>
        <rFont val="新細明體"/>
        <family val="1"/>
        <charset val="136"/>
      </rPr>
      <t>年的平均需求為</t>
    </r>
    <r>
      <rPr>
        <b/>
        <sz val="11"/>
        <color theme="1"/>
        <rFont val="新細明體"/>
        <family val="1"/>
        <charset val="136"/>
      </rPr>
      <t>370</t>
    </r>
    <r>
      <rPr>
        <b/>
        <sz val="11"/>
        <color theme="1"/>
        <rFont val="新細明體"/>
        <family val="1"/>
        <charset val="136"/>
      </rPr>
      <t xml:space="preserve">人
國防船艦業：
</t>
    </r>
    <r>
      <rPr>
        <b/>
        <sz val="11"/>
        <color theme="1"/>
        <rFont val="新細明體"/>
        <family val="1"/>
        <charset val="136"/>
      </rPr>
      <t>107</t>
    </r>
    <r>
      <rPr>
        <b/>
        <sz val="11"/>
        <color theme="1"/>
        <rFont val="新細明體"/>
        <family val="1"/>
        <charset val="136"/>
      </rPr>
      <t>年新增</t>
    </r>
    <r>
      <rPr>
        <b/>
        <sz val="11"/>
        <color theme="1"/>
        <rFont val="新細明體"/>
        <family val="1"/>
        <charset val="136"/>
      </rPr>
      <t>183</t>
    </r>
    <r>
      <rPr>
        <b/>
        <sz val="11"/>
        <color theme="1"/>
        <rFont val="新細明體"/>
        <family val="1"/>
        <charset val="136"/>
      </rPr>
      <t xml:space="preserve">人
</t>
    </r>
    <r>
      <rPr>
        <b/>
        <sz val="11"/>
        <color theme="1"/>
        <rFont val="新細明體"/>
        <family val="1"/>
        <charset val="136"/>
      </rPr>
      <t>108</t>
    </r>
    <r>
      <rPr>
        <b/>
        <sz val="11"/>
        <color theme="1"/>
        <rFont val="新細明體"/>
        <family val="1"/>
        <charset val="136"/>
      </rPr>
      <t>年新增</t>
    </r>
    <r>
      <rPr>
        <b/>
        <sz val="11"/>
        <color theme="1"/>
        <rFont val="新細明體"/>
        <family val="1"/>
        <charset val="136"/>
      </rPr>
      <t>105</t>
    </r>
    <r>
      <rPr>
        <b/>
        <sz val="11"/>
        <color theme="1"/>
        <rFont val="新細明體"/>
        <family val="1"/>
        <charset val="136"/>
      </rPr>
      <t xml:space="preserve">人
</t>
    </r>
    <r>
      <rPr>
        <b/>
        <sz val="11"/>
        <color theme="1"/>
        <rFont val="新細明體"/>
        <family val="1"/>
        <charset val="136"/>
      </rPr>
      <t>109</t>
    </r>
    <r>
      <rPr>
        <b/>
        <sz val="11"/>
        <color theme="1"/>
        <rFont val="新細明體"/>
        <family val="1"/>
        <charset val="136"/>
      </rPr>
      <t>年新增</t>
    </r>
    <r>
      <rPr>
        <b/>
        <sz val="11"/>
        <color theme="1"/>
        <rFont val="新細明體"/>
        <family val="1"/>
        <charset val="136"/>
      </rPr>
      <t>95</t>
    </r>
    <r>
      <rPr>
        <b/>
        <sz val="11"/>
        <color theme="1"/>
        <rFont val="新細明體"/>
        <family val="1"/>
        <charset val="136"/>
      </rPr>
      <t xml:space="preserve">人
</t>
    </r>
    <r>
      <rPr>
        <b/>
        <sz val="11"/>
        <color theme="1"/>
        <rFont val="新細明體"/>
        <family val="1"/>
        <charset val="136"/>
      </rPr>
      <t>107</t>
    </r>
    <r>
      <rPr>
        <b/>
        <sz val="11"/>
        <color theme="1"/>
        <rFont val="新細明體"/>
        <family val="1"/>
        <charset val="136"/>
      </rPr>
      <t>至</t>
    </r>
    <r>
      <rPr>
        <b/>
        <sz val="11"/>
        <color theme="1"/>
        <rFont val="新細明體"/>
        <family val="1"/>
        <charset val="136"/>
      </rPr>
      <t>109</t>
    </r>
    <r>
      <rPr>
        <b/>
        <sz val="11"/>
        <color theme="1"/>
        <rFont val="新細明體"/>
        <family val="1"/>
        <charset val="136"/>
      </rPr>
      <t>年的平均需求為</t>
    </r>
    <r>
      <rPr>
        <b/>
        <sz val="11"/>
        <color theme="1"/>
        <rFont val="新細明體"/>
        <family val="1"/>
        <charset val="136"/>
      </rPr>
      <t>128</t>
    </r>
    <r>
      <rPr>
        <b/>
        <sz val="11"/>
        <color theme="1"/>
        <rFont val="新細明體"/>
        <family val="1"/>
        <charset val="136"/>
      </rPr>
      <t xml:space="preserve">人
航空業：
</t>
    </r>
    <r>
      <rPr>
        <b/>
        <sz val="11"/>
        <color theme="1"/>
        <rFont val="新細明體"/>
        <family val="1"/>
        <charset val="136"/>
      </rPr>
      <t>107</t>
    </r>
    <r>
      <rPr>
        <b/>
        <sz val="11"/>
        <color theme="1"/>
        <rFont val="新細明體"/>
        <family val="1"/>
        <charset val="136"/>
      </rPr>
      <t>年新增</t>
    </r>
    <r>
      <rPr>
        <b/>
        <sz val="11"/>
        <color theme="1"/>
        <rFont val="新細明體"/>
        <family val="1"/>
        <charset val="136"/>
      </rPr>
      <t>430</t>
    </r>
    <r>
      <rPr>
        <b/>
        <sz val="11"/>
        <color theme="1"/>
        <rFont val="新細明體"/>
        <family val="1"/>
        <charset val="136"/>
      </rPr>
      <t xml:space="preserve">人
</t>
    </r>
    <r>
      <rPr>
        <b/>
        <sz val="11"/>
        <color theme="1"/>
        <rFont val="新細明體"/>
        <family val="1"/>
        <charset val="136"/>
      </rPr>
      <t>108</t>
    </r>
    <r>
      <rPr>
        <b/>
        <sz val="11"/>
        <color theme="1"/>
        <rFont val="新細明體"/>
        <family val="1"/>
        <charset val="136"/>
      </rPr>
      <t>年新增</t>
    </r>
    <r>
      <rPr>
        <b/>
        <sz val="11"/>
        <color theme="1"/>
        <rFont val="新細明體"/>
        <family val="1"/>
        <charset val="136"/>
      </rPr>
      <t>440</t>
    </r>
    <r>
      <rPr>
        <b/>
        <sz val="11"/>
        <color theme="1"/>
        <rFont val="新細明體"/>
        <family val="1"/>
        <charset val="136"/>
      </rPr>
      <t xml:space="preserve">人
</t>
    </r>
    <r>
      <rPr>
        <b/>
        <sz val="11"/>
        <color theme="1"/>
        <rFont val="新細明體"/>
        <family val="1"/>
        <charset val="136"/>
      </rPr>
      <t>109</t>
    </r>
    <r>
      <rPr>
        <b/>
        <sz val="11"/>
        <color theme="1"/>
        <rFont val="新細明體"/>
        <family val="1"/>
        <charset val="136"/>
      </rPr>
      <t>年新增</t>
    </r>
    <r>
      <rPr>
        <b/>
        <sz val="11"/>
        <color theme="1"/>
        <rFont val="新細明體"/>
        <family val="1"/>
        <charset val="136"/>
      </rPr>
      <t>460</t>
    </r>
    <r>
      <rPr>
        <b/>
        <sz val="11"/>
        <color theme="1"/>
        <rFont val="新細明體"/>
        <family val="1"/>
        <charset val="136"/>
      </rPr>
      <t xml:space="preserve">人
</t>
    </r>
    <r>
      <rPr>
        <b/>
        <sz val="11"/>
        <color theme="1"/>
        <rFont val="新細明體"/>
        <family val="1"/>
        <charset val="136"/>
      </rPr>
      <t>107</t>
    </r>
    <r>
      <rPr>
        <b/>
        <sz val="11"/>
        <color theme="1"/>
        <rFont val="新細明體"/>
        <family val="1"/>
        <charset val="136"/>
      </rPr>
      <t>至</t>
    </r>
    <r>
      <rPr>
        <b/>
        <sz val="11"/>
        <color theme="1"/>
        <rFont val="新細明體"/>
        <family val="1"/>
        <charset val="136"/>
      </rPr>
      <t>109</t>
    </r>
    <r>
      <rPr>
        <b/>
        <sz val="11"/>
        <color theme="1"/>
        <rFont val="新細明體"/>
        <family val="1"/>
        <charset val="136"/>
      </rPr>
      <t>年的平均需求為</t>
    </r>
    <r>
      <rPr>
        <b/>
        <sz val="11"/>
        <color theme="1"/>
        <rFont val="新細明體"/>
        <family val="1"/>
        <charset val="136"/>
      </rPr>
      <t>443</t>
    </r>
    <r>
      <rPr>
        <b/>
        <sz val="11"/>
        <color theme="1"/>
        <rFont val="新細明體"/>
        <family val="1"/>
        <charset val="136"/>
      </rPr>
      <t>人
教育背景需求：
教育程度：
碩士以上占比</t>
    </r>
    <r>
      <rPr>
        <b/>
        <sz val="11"/>
        <color theme="1"/>
        <rFont val="新細明體"/>
        <family val="1"/>
        <charset val="136"/>
      </rPr>
      <t xml:space="preserve">41.0%
</t>
    </r>
    <r>
      <rPr>
        <b/>
        <sz val="11"/>
        <color theme="1"/>
        <rFont val="新細明體"/>
        <family val="1"/>
        <charset val="136"/>
      </rPr>
      <t>大專（大學專科）占比</t>
    </r>
    <r>
      <rPr>
        <b/>
        <sz val="11"/>
        <color theme="1"/>
        <rFont val="新細明體"/>
        <family val="1"/>
        <charset val="136"/>
      </rPr>
      <t xml:space="preserve">59.0%
</t>
    </r>
    <r>
      <rPr>
        <b/>
        <sz val="11"/>
        <color theme="1"/>
        <rFont val="新細明體"/>
        <family val="1"/>
        <charset val="136"/>
      </rPr>
      <t>高中以下占比為</t>
    </r>
    <r>
      <rPr>
        <b/>
        <sz val="11"/>
        <color theme="1"/>
        <rFont val="新細明體"/>
        <family val="1"/>
        <charset val="136"/>
      </rPr>
      <t xml:space="preserve">0.0%
</t>
    </r>
    <r>
      <rPr>
        <b/>
        <sz val="11"/>
        <color theme="1"/>
        <rFont val="新細明體"/>
        <family val="1"/>
        <charset val="136"/>
      </rPr>
      <t>學門需求：
工程及工程業占比</t>
    </r>
    <r>
      <rPr>
        <b/>
        <sz val="11"/>
        <color theme="1"/>
        <rFont val="新細明體"/>
        <family val="1"/>
        <charset val="136"/>
      </rPr>
      <t xml:space="preserve">56.5%
</t>
    </r>
    <r>
      <rPr>
        <b/>
        <sz val="11"/>
        <color theme="1"/>
        <rFont val="新細明體"/>
        <family val="1"/>
        <charset val="136"/>
      </rPr>
      <t>資訊通訊科技占比</t>
    </r>
    <r>
      <rPr>
        <b/>
        <sz val="11"/>
        <color theme="1"/>
        <rFont val="新細明體"/>
        <family val="1"/>
        <charset val="136"/>
      </rPr>
      <t xml:space="preserve">23.2%
</t>
    </r>
    <r>
      <rPr>
        <b/>
        <sz val="11"/>
        <color theme="1"/>
        <rFont val="新細明體"/>
        <family val="1"/>
        <charset val="136"/>
      </rPr>
      <t>商業及管理占比</t>
    </r>
    <r>
      <rPr>
        <b/>
        <sz val="11"/>
        <color theme="1"/>
        <rFont val="新細明體"/>
        <family val="1"/>
        <charset val="136"/>
      </rPr>
      <t xml:space="preserve">13.0%
</t>
    </r>
    <r>
      <rPr>
        <b/>
        <sz val="11"/>
        <color theme="1"/>
        <rFont val="新細明體"/>
        <family val="1"/>
        <charset val="136"/>
      </rPr>
      <t>法律及語文相關占比</t>
    </r>
    <r>
      <rPr>
        <b/>
        <sz val="11"/>
        <color theme="1"/>
        <rFont val="新細明體"/>
        <family val="1"/>
        <charset val="136"/>
      </rPr>
      <t xml:space="preserve">7.3%
</t>
    </r>
    <r>
      <rPr>
        <b/>
        <sz val="11"/>
        <color theme="1"/>
        <rFont val="新細明體"/>
        <family val="1"/>
        <charset val="136"/>
      </rPr>
      <t xml:space="preserve">工作經驗需求：
年資需求：
</t>
    </r>
    <r>
      <rPr>
        <b/>
        <sz val="11"/>
        <color theme="1"/>
        <rFont val="新細明體"/>
        <family val="1"/>
        <charset val="136"/>
      </rPr>
      <t>5</t>
    </r>
    <r>
      <rPr>
        <b/>
        <sz val="11"/>
        <color theme="1"/>
        <rFont val="新細明體"/>
        <family val="1"/>
        <charset val="136"/>
      </rPr>
      <t>年以上經驗需求占比</t>
    </r>
    <r>
      <rPr>
        <b/>
        <sz val="11"/>
        <color theme="1"/>
        <rFont val="新細明體"/>
        <family val="1"/>
        <charset val="136"/>
      </rPr>
      <t>38.5%
2</t>
    </r>
    <r>
      <rPr>
        <b/>
        <sz val="11"/>
        <color theme="1"/>
        <rFont val="新細明體"/>
        <family val="1"/>
        <charset val="136"/>
      </rPr>
      <t>～</t>
    </r>
    <r>
      <rPr>
        <b/>
        <sz val="11"/>
        <color theme="1"/>
        <rFont val="新細明體"/>
        <family val="1"/>
        <charset val="136"/>
      </rPr>
      <t>5</t>
    </r>
    <r>
      <rPr>
        <b/>
        <sz val="11"/>
        <color theme="1"/>
        <rFont val="新細明體"/>
        <family val="1"/>
        <charset val="136"/>
      </rPr>
      <t>年經驗需求占比</t>
    </r>
    <r>
      <rPr>
        <b/>
        <sz val="11"/>
        <color theme="1"/>
        <rFont val="新細明體"/>
        <family val="1"/>
        <charset val="136"/>
      </rPr>
      <t>46.1%
2</t>
    </r>
    <r>
      <rPr>
        <b/>
        <sz val="11"/>
        <color theme="1"/>
        <rFont val="新細明體"/>
        <family val="1"/>
        <charset val="136"/>
      </rPr>
      <t>年以下經驗需求占比</t>
    </r>
    <r>
      <rPr>
        <b/>
        <sz val="11"/>
        <color theme="1"/>
        <rFont val="新細明體"/>
        <family val="1"/>
        <charset val="136"/>
      </rPr>
      <t xml:space="preserve">12.8%
</t>
    </r>
    <r>
      <rPr>
        <b/>
        <sz val="11"/>
        <color theme="1"/>
        <rFont val="新細明體"/>
        <family val="1"/>
        <charset val="136"/>
      </rPr>
      <t>不限年資的需求占比</t>
    </r>
    <r>
      <rPr>
        <b/>
        <sz val="11"/>
        <color theme="1"/>
        <rFont val="新細明體"/>
        <family val="1"/>
        <charset val="136"/>
      </rPr>
      <t>2.6%</t>
    </r>
    <r>
      <rPr>
        <sz val="11"/>
        <color theme="1"/>
        <rFont val="新細明體"/>
        <family val="1"/>
        <charset val="136"/>
      </rPr>
      <t xml:space="preserve">
依據這份國防類產業需求調查，下列敘述最適當的是： (A)國防航太業的三年總需求量最大，但航空業有逐年增量的趨勢 (B)觀察107～109年的狀況，超過八成的應徵者具有兩年以上的工作年資 (C)教育程度均須具備大專以上，半數以上的職缺須具工程及工程業專長 (D)提供給商業管理、法律、語文科系畢業者的職缺較少，但年資門檻也較低</t>
    </r>
  </si>
  <si>
    <t>5.	依據下文，鄭板橋所「志」的「憤」最可能是： （鄭板橋）為秀才時，三至邗江，售書賣畫，無識者，落拓可憐。復舉於鄉，旋登甲榜，聲名大震。再至邗江，則爭索先生墨妙者，戶外履常滿。先生固寒士，至是益盛自寶重，非重價，不與索。沈凡民先生代鐫小印，文曰「二十年前舊板橋」，志憤也。（宣鼎〈雅賺〉） (A)世人盲從，唯重聲名	(B)小人當道，懷才不遇 (C)宦海浮沉，身不由己	(D)聲聞過實，浪得虛名</t>
  </si>
  <si>
    <t>6.	依據甲、乙二文，最符合文意的解說是： 甲、楊德祖為魏武主簿，時作相國門，始搆榱桷，魏武自出看，使人題門作「活」字便去。楊見，即令壞之。既竟，曰：「門中『活』，『闊』字，王正嫌門大也。」（《世說新語‧捷悟》） 乙、梁蕭琛醉伏於御筵，武帝以棗投之，琛取栗擲上，正中面。帝動色，琛曰：「陛下投臣以赤心，臣敢不報以戰慄。」上大悅。（《續世說‧捷悟》）榱桷：屋
 (A)楊德祖透過文字部件的組合方式，察覺魏武諷其好大喜功 (B)蕭琛運用諧音雙關，將宴會上失禮的行為解釋為恭敬之舉 (C)楊德祖與蕭琛皆善於揣摩逢迎，洞悉主上言行背後的暗示 (D)楊德祖急中生智未讓主上失望，蕭琛大智若愚令主上激賞</t>
  </si>
  <si>
    <t>7.	依據下文，不符合文意的解說是： 余嘗論畫，以為人禽宮室器用皆有常形。至於山石竹木、水波煙雲，雖無常形而有常理。常形之失，人皆知之。常理之不當，雖曉畫者有不知。故凡可以欺世而取名者，必託於無常形者也。雖然，常形之失，止於所失，而不能病其全，若常理之不當，則舉廢之矣。以其形之無常，是以其理不可不謹也。世之工人，或能曲盡其形，而至於其理，非高人逸才不能辨。(蘇軾〈淨因院畫記〉) (A)畫作成敗的關鍵，往往在於常理得當與否 (B)常形失誤，較常理失當容易被一般人發現 (C)欺世盜名的畫作，往往以無常形之物掩飾不足 (D)高逸者多繪山石竹木、水波煙雲，故能辨常理</t>
  </si>
  <si>
    <t>8.	下列敘述，最符合「破碎的雞蛋殼怎麼拼得圓滿光滑呢」的體會是： 馬勒的旋律哀傷又優美，A段完了換B段，B段完了換C段，再回到A或B，頂多稍微變化一下，不像貝多芬那樣苦心經營，一小段、一小段往前推，像數學證明題，一步錯不得。聽貝多芬，你不能分神，錯過一段都不行。聽馬勒，你可以隨時分神，隨時回來，因為每一段都很動人，而且每一段似乎都很熟悉。馬勒教導我們，不一定要貝多芬的邏輯和意義，生活可以每一段都很愉快，不一定死要逗成一整塊。我以前太愛逗了，逗來逗去，怎麼也拼不出一整塊來。破碎的雞蛋殼怎麼拼得圓滿光滑呢？（改寫自呂正惠〈馬勒拯救我於炎炎夏日〉）逗：接合、拼湊。
 (A)品味人生，無須求全	(B)寧為玉碎，不為瓦全 (C)破鏡難圓，殘缺不全	(D)一絲不苟，責備求全</t>
  </si>
  <si>
    <t>9-10為題組。閱讀下文，回答9-10題。 剛開始累積一塊錢、兩塊錢……時，我們很容易說出這筆錢的數目，但當它龐大到某一時點，便突然有了新的名稱—資本，這就是從量變到質變。 我將從「壹」到「多」的想法帶進報紙副刊和書籍的編輯工作。譬如出版書系，從「類型開展」起步，最終將可躍升到「領域占有」。一本《縱橫學讀本》孤零零地上市，和將它納入「實用歷史書系」，哪個生命力長遠？又如副刊總會刊登新詩，但所用版面很小，愛詩者每嫌其零星。於是我在主編某地區型報紙副刊時，便特別在每個月的最後一天，以整塊版面推出報紙副刊「有史以來第一份詩雜誌（刊中刊）」，這是大報副刊主編不敢做的。我以一年為期，懇託四位詩人出任每一季的主編，把不定期選刊的一首首小詩，改成在每月月底集中織成一幅詩繡。在副刊資源有限的情況下，同性質文稿由「壹」而「多」，反而別具一格，甚獲好評。（改寫自周浩正〈壹與多〉）</t>
  </si>
  <si>
    <t>9.	下列敘述，最符合上文觀點的是： (A)「壹」意謂專精於本業，「多」意謂多元化發展 (B)「壹」雖然單薄，其特色有時比「多」來得顯著 (C)在有限資源下，「壹」與「多」之間須尋求平衡 (D)由「壹」而「多」，易提高領域占有與品牌辨識</t>
  </si>
  <si>
    <t xml:space="preserve">10.	依據上文「多」的概念，下列事例最符合的是： (A)購物之前多比價，用最少金錢發揮最大的成本效益 (B)集中電子產品商家於帶狀街道，打造資訊文化園區 (C)申辦多張信用卡，以獲得不同發卡銀行提供的優惠 (D)擁有多個手機門號，供客戶以及群組朋友分別撥打 </t>
  </si>
  <si>
    <t>11-12為題組。閱讀下文，回答11-12題。 2018年9月5日，第278986號小行星正式以「陳樹菊」之名在天空閃耀。 小行星是沿橢圓軌道繞太陽運行的小天體，大小、形狀不一。一顆小行星被發現且確認後，會獲得一個臨時編號：發現年份加上英文字母。當小行星的運行軌道參數被精確測定後，便會獲得正式命名：永久編號加上名字。永久編號，是以小行星發現的順序編號，至於名字，小行星是目前唯一可由發現者命名並得到世界公認的天體。發現者擁有命名權，但須經「國際天文學聯合會」核准。 直到中央大學設立「鹿林天文臺」，臺灣才在2002年首度觀測到新的小行星。2007年，第145523號與145534號小行星分別命名為「鹿林」、「中大」，成為首度由臺灣發現並命名的小行星。目前鹿林天文臺已發現800多顆、正式命名90多顆小行星，如：吳大猷（2008年）、鄒族（2009年）、雲門（2010年）。 中央大學天文觀測員蕭翔耀為傳遞臺灣美善的人文價值，特別將他在2008年10月發現的小行星命名為Chenshuchu（陳樹菊姓名英譯），以表彰陳樹菊的善行義舉。從此，最美的人心將照亮世界。（改寫自中大新聞）</t>
  </si>
  <si>
    <t>11.	依據上文，不符合「陳樹菊」小行星的敘述是： (A)由蕭翔耀於「鹿林天文臺」觀測發現 (B)發現到正式核可命名，歷時大約10年 (C)永久編號為278986，名字是Chenshuchu (D)臺灣首顆以人名命名並經核可的小行星</t>
  </si>
  <si>
    <t xml:space="preserve">12.	依據上文，關於小行星命名的敘述，最適當的是： (A)在獲得正式命名前，會有一個以發現順序編碼的臨時編號 (B)運行軌道確認後，可獲得發現年份加英文字母的永久編號 (C)發現者如欲命名須經核准，且限用該國特殊貢獻人士之名 (D)145523號小行星由臺灣發現，2007年正式命名為「鹿林」 </t>
  </si>
  <si>
    <t>13-14為題組。閱讀甲、乙二文，回答13-14題。  
甲:我一面吸吮咀嚼那金色的甘芳，一面流下淚來。我家，因父親的關係，自民國42年至民國104年擁有一棟宿舍，我們在其間生活成長。然後，父母相繼棄世，我們必須還屋。把這棟曾在狂風驟雨之夜與我們相依為命的房舍繳交回國防部。而這芒果，就是我跑到屏東故宅─那棟不再屬於我的故宅─中去摘來的。 這是故宅院子裡西邊那棵樹上的。從前，母親身體安祥時，芒果季節我們若未回家，她常會打包寄來臺北。「臺北沒芒果賣了嗎？你就不能省點心嗎？」父親咕咕噥噥，然而母親還是照寄。 今朝晨涼中，趁我齒牙猶健，鼻舌尚敏，我來啖我昔日故園中的果實，來重溫我猶暖的對雙親的感念。（改寫自張曉風〈這些芒果，是偷來的嗎？〉）  
乙:余既為此志，後五年，吾妻來歸，時至軒中，從余問古事，或憑几學書。吾妻歸寧，述諸小妹語曰：「聞姊家有閤子，且何謂閤子也？」其後六年，吾妻死，室壞不修。其後二年，余久臥病無聊，乃使人復葺南閤子，其制稍異於前。然自後余多在外，不常居。 庭有枇杷樹，吾妻死之年所手植也，今已亭亭如蓋矣。（歸有光〈項脊軒志〉）</t>
  </si>
  <si>
    <t>13.	下列有關甲、乙二文中「故居」的敘述，最適當的是： (A)二文皆是作者離鄉多年後，偶爾回故居暫住的憶往之作 (B)二文皆透過作者與親人昔日在故居中的對話，表達對親人已逝的傷懷 (C)甲文的「重返故居」顯示思親之切，乙文的「室壞不修」暗示作者尚未走出喪妻之痛 (D)甲文直接指出作者與家人曾同住故居62年，乙文則以「五年」、「六年」揭示作者與妻曾同住故居11年</t>
  </si>
  <si>
    <t xml:space="preserve">14.	「樹」在甲、乙二文中的意義，最適當的解說是： (A)甲文的芒果樹象徵父母安康 (B)乙文的枇杷樹象徵思念長存 (C)二文作者皆於親人亡故後「植樹」紀念 (D)二文皆透過「樹在人去」領悟生死有命 </t>
  </si>
  <si>
    <t>15-17為題組。閱讀下文，回答15-17題。 文人達士，多喜言遊。遊未易言也，……淺遊不奇，便遊不暢，群遊不久，自非置身物外，棄絕百事，而孤行其意，雖遊猶弗遊也。余覽往昔諸名人遊記，驗諸目覩身經，知其皆嘗一臠，披一節，略涉門庭，鮮窺閫奧。……霞客之遊，在中州者無大過人；其奇絕者，閩粵楚蜀滇黔，百蠻荒徼之區，皆往返再四。其行不從官道，但有名勝，輒迂迴屈曲以尋之；先審視山脈如何去來，水脈如何分合，既得大勢後，一丘一壑，支搜節討。登不必有徑，荒榛密箐，無不穿也。……記文排日編次，直敘情景，未嘗刻畫為文。……故吾於霞客之遊，不服其闊遠，而服其精詳；於霞客之書，不多其博辨，而多其真實。……霞客果何所為？夫惟無所為而為，故志專；志專，故行獨；行獨，故去來自如，無所不達。意造物者不欲使山川靈異久祕不宣，故生斯人以揭露之耶？（潘耒〈徐霞客遊記序〉）</t>
  </si>
  <si>
    <t>15.	依據上文，不符合作者想法的是： (A)便遊、群遊與淺遊，屬嘗一臠披一節式的遊覽 (B)欣賞徐霞客的邊疆之記，更勝於他的中原之錄 (C)徐霞客按日期先後記錄，真實與精詳是其優點 (D)徐霞客以華藻曲筆狀寫情景，揭露造物的奇祕</t>
  </si>
  <si>
    <t>16.	下列文句，最符合上文「其行不從官道」、「登不必有徑」的是： (A)山行六七里，漸聞水聲潺潺，而瀉出於兩峰之間者，釀泉也。峰回路轉，有亭翼然臨於泉上者，醉翁亭也 (B)由斷橋至蘇堤一帶，綠煙紅霧，彌漫二十餘里。歌吹為風，粉汗為雨，羅紈之盛，多於堤畔之草，豔冶極矣 (C)今年九月二十八日，因坐法華西亭，望西山，始指異之。遂命僕過湘江，緣染溪，斫榛莽，焚茅茷，窮山之高而止 (D)暮春之初，會於會稽山陰之蘭亭，脩禊事也。群賢畢至，少長咸集。此地有崇山峻嶺，茂林脩竹，又有清流激湍，映帶左右</t>
  </si>
  <si>
    <t>17.	某旅行社打算推出仿徐霞客行旅的套裝行程，下列文案最接近其行遊精神的是： (A)一步一腳印走入隱世祕境，在人際交流中發現世界，盡嘗家與人情的味道 (B)沿縣道公路深入風景勝地，登高盡攬海天一色，文青族、背包客一網打盡 (C)世界上不缺少美，只是缺少發現，專業背包客帶您在田園裡與自我心靈對話 (D)專攻高端背包客，不走常規景點，壯遊千里探祕勝，在冒險中尋找自我肯定</t>
  </si>
  <si>
    <t>18-21為題組。閱讀下文，回答18-21題。 玉米是印地安人送給世界的禮物。歐洲人初抵美洲之際，那裡已有各型玉米作物。比起舊世界農作物，玉米恰好位於稻米和小麥的生長帶之間，在稻米嫌太乾或小麥嫌太濕的區域，皆有良好收成。玉米田單位面積產量幾乎是小麥田兩倍。少有作物及得上玉米，短短一個生長季就能提供大量碳水化合物和脂肪。 歐洲人接納玉米較晚，或許是1550年代至18世紀，歐洲進入一段相對寒冷期。也或許是多數歐洲人一向同意英國博物學家蓋瑞德的看法，他在1597年寫道：「雖然印地安民族迫於所需，認為玉米是很好的食物，但我們仍可輕易判定：它的營養成分有限，不易甚至不利消化，比較適合當豬食而不是給人食用。」 16世紀的歐洲有許多地方栽植玉米，但做為廣大地區的主食，大約已是下個世紀後期。約翰‧洛克在1670年代提到：「法國南部好幾處都有玉米田，農民稱之為『西班牙小麥』，他們告訴我這是給窮人做麵包吃的。」到了18世紀，玉米已經成為法國南部飲食的基本元素。我們姑且大膽猜測：或許它曾在法國人口重新成長的過程扮演重要角色—18世紀前數十年，法國人口曾明顯衰減。西班牙人口曾在17世紀減少，18世紀開始回增；在波河谷地種植玉米的義大利，17世紀下半期人口也曾衰減，之後又回增。這些地中海區人口的消長，應該和玉米有關。 今日，玉米對東南歐的重要性更勝於西南歐。隨著人口增加，玉米及其他美洲作物如馬鈴薯、美國南瓜的栽種也逐漸擴張。18世紀以前，玉米在羅馬尼亞並無地位，19世紀後幾十年，羅馬尼亞人投注心力和倚賴玉米幾乎不亞於墨西哥人。他們種小麥也種玉米，前者出口，後者自用。玉米和小麥搭配輪種，成效良好，使羅馬尼亞成為歐洲一大穀倉。 依賴玉米為主食的程度，正隨著人口壓力降低而一起減低，但過往的影響仍在。美國人類學者郝平恩在《塞爾維亞一村落》提到，奧拉撒奇當地比較窮困的農民還是吃玉米而非小麥做的麵包，他們僅有的幾畝地，也是種玉米而非小麥，因為　　　　　。順便一提：奧拉撒奇農家菜園裡那一畦畦的青椒、番茄、四季豆、美國南瓜，應該會讓印地安老兄備感親切。（改寫自克羅斯比《哥倫布大交換：1492年以後的生物影響和文化衝擊》）</t>
  </si>
  <si>
    <t>18.	依據上文，下列關於歐洲人栽種玉米的敘述，最適當的是： (A)法國栽種成功後才傳入西班牙	(B)早年被認為較適合作為動物飼料 (C)16世紀時已成為多數地區的主食	(D)羅馬尼亞由出口小麥轉為出口玉米</t>
  </si>
  <si>
    <t xml:space="preserve">19.	下列各圖中兩個變項所呈現的關係，最符合上文敘述的是： {
  "A": {
    "x軸": "玉米產量",
    "y軸": "人口數量",
    "描述": "玉米產量增加時，人口數量也隨之增加。"
  },
  "B": {
    "x軸": "玉米產量",
    "y軸": "小麥產量",
    "描述": "玉米產量增加時，小麥產量也呈現增加趨勢。"
  },
  "C": {
    "x軸": "產地面積",
    "y軸": "玉米產量",
    "描述": "產地面積增加時，玉米產量隨之增加。"
  },
  "D": {
    "x軸": "產地氣溫",
    "y軸": "玉米產量",
    "描述": "產地氣溫增加時，玉米產量呈現上升趨勢。"
  }
}
</t>
  </si>
  <si>
    <t>20.	依據上文，下列甲、乙兩項推斷，正確的是： 甲、新大陸發現之前，歐洲人的餐桌上不會有玉米、馬鈴薯。 乙、新大陸發現之後，美洲才開始種植青椒、番茄、四季豆。 (A)甲、乙皆正確	(B)甲正確，乙錯誤 (C)甲、乙皆無法判斷	(D)甲無法判斷，乙正確</t>
  </si>
  <si>
    <r>
      <rPr>
        <sz val="11"/>
        <color theme="1"/>
        <rFont val="PMingLiu"/>
        <family val="1"/>
        <charset val="136"/>
      </rPr>
      <t>21.	上文最後一段</t>
    </r>
    <r>
      <rPr>
        <u/>
        <sz val="11"/>
        <color theme="1"/>
        <rFont val="新細明體"/>
        <family val="1"/>
        <charset val="136"/>
      </rPr>
      <t xml:space="preserve">                 </t>
    </r>
    <r>
      <rPr>
        <sz val="11"/>
        <color theme="1"/>
        <rFont val="新細明體"/>
        <family val="1"/>
        <charset val="136"/>
      </rPr>
      <t>內最適合填入的是： (A)玉米是國家主要出口穀類	(B)玉米產量比小麥高出很多 (C)玉米可為小麥季預做準備	(D)玉米是印地安先祖所傳入</t>
    </r>
  </si>
  <si>
    <t>22-24為題組。閱讀下文，回答22-24題。 大多數的科學工作者和前輩大師有一種相當「疏離」的關係。有人會說，科學是以客觀的方法來發現潛藏真理、發明可用器物的一門學問，不應有感情色彩和私人成分。對於拉瓦謝，我們只要知道他以硃砂做實驗，將之加熱而獲得「更純淨、更適於呼吸」的空氣（即氧）的成果，知道他「燃燒不是假想的燃素之釋放，而是燃燒物質與氧的化合」之洞見就可以了。至於拉瓦謝是何方人士，他的童年生活、求學經過、有沒有結婚生子……，都跟氧氣無關。在科學的殿堂裡，若談拉瓦謝在法國大革命期間因受誣告而被送上斷頭臺，不僅無補於科學，而且是「搞錯了方向」。於是，一個化學系學生和拉瓦謝的關係成了「他跟氧氣」的關係，「人」與「人」的關係在不知不覺間被「人」與「物」的關係所取代。 文學藝術工作者則是一種完全不同的取向。不少人在讀過《紅樓夢》後，因深受感動而想去了解「是什麼樣一個人，在什麼樣的情況下，竟然能創造出這樣的不朽傑作？」他的好奇很快就能獲得滿足，因為早有同好寫了很多關於曹雪芹生平及其家族的專書，有些學者甚至從研究《紅樓夢》轉而研究曹雪芹「這個人」。如果讀者渴望親臨現場，也有「曹雪芹紀念館」或「紅樓夢之旅」供人流連憑弔。這完全得助於將「創造者」（作家）置於「創造物」（作品）之上的心思。 學科學的我若能參加「相對論之旅」，希望能探訪愛因斯坦不同階段所停留過的地方，特別想看看他心愛的小提琴，至於它是不是愛因斯坦用的那把並不重要，重要的是它所代表的人味和精神。（改寫自王溢嘉〈一般人物兩樣情〉）</t>
  </si>
  <si>
    <t>22.	下列關於上文「」所強調的意思，說明最適當的是： (A)有一種相當「疏離」的關係：強調一般人不易理解科學知識 (B)而且是「搞錯了方向」：強調科學人才的培育應重視基礎研究 (C)成了「他跟氧氣」的關係：強調科學家的貢獻常取代對科學家的認識 (D)轉而研究曹雪芹「這個人」：強調《紅樓夢》研究的真正核心課題所在</t>
  </si>
  <si>
    <t>23.	關於科學工作者和文學藝術工作者的差異，最符合上文觀點的是： (A)文學藝術工作者敬重前輩大師，科學工作者通常不然 (B)科學工作者追求以「物」取代「人」，文學藝術工作者通常不然 (C)科學工作者注重「創造物」的客觀考證，文學藝術工作者通常不然 (D)文學藝術工作者留意「創造者」的創作心靈活動，科學工作者通常不然</t>
  </si>
  <si>
    <t>24.	今年是工業革命代表人物瓦特（James Watt）逝世200周年，下列是某高中紀念展覽的內容，其中與作者期待參加的「相對論之旅」理念最接近的選項是： 甲、「瓦特」是國際單位制的功率單位	乙、瓦特是蘇格蘭造船工人之子 丙、瓦特在格拉斯哥大學開的小修理店	丁、瓦特設計的蒸汽機運轉模型 戊、瓦特與英格蘭製造商博爾頓長期合作	己、瓦特如何阻止他人獲得專利 (A)甲乙丙戊	(B)乙丙戊己	(C)甲丁戊己	(D)乙丙丁己</t>
  </si>
  <si>
    <t>25-27為題組。閱讀下文，回答25-27題。 西方的傳統戲劇多透過具象而逼真的動作與場景，才能達成對真實的模擬與再現。而中國戲曲的舞臺時空，卻是要以抽象化的象徵手法「虛擬」實境，從服裝、道具、舞臺裝置到人物塑造，都是一以貫之的虛實相生，讓「心境」永遠比「物境」重要，「情境」比「環境」重要，「意境」比「實境」重要。故而《牡丹亭》的寫景傳情、依心取境的美學形式，本身就是「虛構」大於「現實」，包括舞臺設計、服飾道具，也包括演員的唱作念打。因此演員的年齡與角色的年齡，就有更為流動開放的虛擬表現空間，年齡不再是單點直線的真實數字，反倒是多點如星群散布的生命樣態，「心境」、「情境」與「意境」的交疊組合。 看老演員「虛擬」杜麗娘才真是難得，老則老矣，神韻動人，比看年輕演員演出的「懷春慕色之情」，更讓人動容。對年輕的演員而言，她們的青春不是夢而是現實，只有對生理年齡不再年輕的演員而言，她們的青春才是夢，是綺夢迷夢春夢，一場虛實難分、惺忪難醒、纏綿難捨的遊園驚夢。杜麗娘的一縷幽魂附在她們身上，像是前世今生的輪迴與翻轉，讓她們的表演具有層次。小兒女的青澀嬌態疊印在成熟風華的唱腔與身段上，她們是女人與女孩的綜合體。時間不再是線性，青春總不曾消逝，只是悄悄折疊進身體的記憶裡，呼之欲出。看她們的表演讓人覺得驚心動魄，不是因為歲月不饒人，而是深深感念那藏在女人身體中的女孩，從來不曾死去。在《牡丹亭》中生而復死、死而復生的，不僅只是愛情，更是青春。（改寫自張小虹〈我們都是青少年〉）</t>
  </si>
  <si>
    <t>25.	依據上文，下列甲、乙兩項關於《牡丹亭》演出的推斷，正確的是： 甲、因「心境」比「物境」重要，舞臺不必然出現代表男主角柳夢梅的梅樹。 乙、因「意境」比「實境」重要，杜麗娘的深情不必以服裝和唱作念打表達。 (A)甲、乙皆正確	(B)甲、乙皆錯誤 (C)甲正確，乙錯誤	(D)甲錯誤，乙正確</t>
  </si>
  <si>
    <t>26.	上文提及「年齡不再是單點直線的真實數字，反倒是多點如星群散布的生命樣態」，下列關於這句話的解說，最適當的是： (A)透過象徵化的表演，演員與角色的生命交織，展現歲月與技藝的淬鍊 (B)不同年齡層演員相互切磋，突破生理年齡限制，讓戲劇演出發光發熱 (C)演員實際年齡象徵飽經世事的成熟，由其演出的角色將如星芒般耀眼 (D)演員能揣摩各種表演藝術，跨越年齡侷限，將實境與物境提升至意境</t>
  </si>
  <si>
    <t xml:space="preserve">27.	上文以「我們都是青少年」作為篇名的理由，最可能是： (A)老演員逝去的青春因杜麗娘而被喚醒，觀眾內心的青春悸動也甦醒過來 (B)舞臺時空虛實相生的效果，讓觀眾得以一代一代延續杜麗娘的青春綺夢 (C)《牡丹亭》的青春特質不分你我，可藉由戲劇的感染力開拓新的觀眾群 (D)《牡丹亭》藉杜麗娘還魂，召喚演員與觀眾靈魂裡不曾有過的青春情懷 </t>
  </si>
  <si>
    <t>28-30為題組。閱讀下文，回答28-30題。 1982到1985年是羅大佑的「黑潮時期」，那個一頭捲髮、黑衣墨鏡的孤傲身影，以一人之力把臺灣流行音樂從「天真」帶向「世故」。他的歌充滿時代感，沉鬱滄桑的歌詞語言，一洗「校園民歌」的學生腔、文藝腔，展示著一個深沉抑鬱的「大人世界」，從青春情愛到歷史國族，勾引了所有自命早熟的青年。他對歌詞與旋律的「咬合」極為在意，常說「歌是語言的花朵」，文字化為唱詞，在唇齒舌間吞吐滾動，必須與旋律的收放起伏密密吻合。 就在羅大佑掀起「黑色旋風」的時刻，另一位出身「校園民歌」的音樂人李宗盛也嶄露頭角。情歌向來是歌壇主流，一不小心，便會跌入陳腔濫調、無病呻吟的醬缸。李宗盛擅以作論方式寫歌，總能找到獨特的切入角度，短短篇幅便唱盡你堵在心頭的感歎。1986年的個人專輯《生命中的精靈》，是華語樂壇少見的「內省」之作，深深挖掘生命內在的惶惑與悲歡，坦誠真摯。他對歌詞意象結構之銳意經營，對詞曲咬合之殫精竭慮，簡直有鐘錶師傅般的耐心。他獨特的語言質地，直白而不失詩意，語感鮮活，乍看像散文，唱起來卻句句都會發光。 羅大佑始終沉鬱而孤傲，時時把整個時代挑在肩上，連情歌都滿是滄桑的傷痕。李宗盛則擅長從柴米油鹽的日常生活提煉詩意，煽情卻不濫情，輕盈卻不輕佻。他們二人示範了創作、製作的精湛手藝。羅大佑的歌承載著大時代的悲壯情緒，和那個集體主義、理想主義的時代有著千絲萬縷的糾纏。李宗盛的歌則幾乎都是個人主義式的內省，那些百轉千迴的辯證同樣只屬於「大人世界」，你得見識過江湖風雨才能體會。羅大佑的滄桑尚屬於一個猶然年輕的時代，李宗盛的世故則是一代人集體告別青春期的儀式。（改寫自馬世芳〈煙花與火焰的種子〉）</t>
  </si>
  <si>
    <t>28.	依據上文，關於羅、李二人歌曲的內容，敘述不適當的是： (A)羅大佑的歌，反映理想主義時代對歷史國族的關切，深沉抑鬱 (B)李宗盛的歌，往往契入人心，讓聽者的悲喜彷彿都能獲得傾吐 (C)羅大佑的「大人世界」，把整個時代挑在肩上，省視個人生命內在的惶惑 (D)李宗盛的「大人世界」，擅長從柴米油鹽的日常中，提煉老於世故的省察</t>
  </si>
  <si>
    <t>29.	依據上文，關於羅、李二人的歌詞創作，敘述最適當的是： (A)二人均銳意經營歌詞的意象結構，直白而不失詩意 (B)二人均極為在意歌詞與旋律的「咬合」，故精心琢磨 (C)羅大佑擅長以「校園民歌」的文藝腔，寫作沉鬱滄桑的歌詞，充滿時代感 (D)李宗盛長於以作論方式寫歌，將邏輯辯證融入詩化的語言中，煽情而輕盈</t>
  </si>
  <si>
    <t xml:space="preserve">30.	下列羅、李二人歌詞中，最符合上文所謂「歷史國族」情懷的是： (A)黃色的臉孔有紅色的污泥／黑色的眼珠有白色的恐懼／西風在東方唱著悲傷的歌曲 (B)我所有目光的焦點／在你額頭的兩道弧線／它隱隱約約它若隱若現／襯托你／襯托你靦腆的容顏 (C)不捨你那黑白分明亮亮的眼睛／只是你年紀還小／無從明瞭我的心情／時間不停／時間不停／原諒我依然決定遠行 (D)烏溜溜的黑眼珠和你的笑臉／怎麼也難忘記你容顏的轉變／輕飄飄的舊時光就這麼溜走／轉頭回去看看已匆匆數年 </t>
  </si>
  <si>
    <t>31-32為題組。閱讀下文，回答31-32題。 越巫自詭善驅鬼物。人病，立壇場，鳴角振鈴。跳擲叫呼，為胡旋舞，禳之。病幸已，饌酒食，持其貲去，死則諉以它故，終不自信其術之妄。恆誇人曰：「我善治鬼，鬼莫敢我抗。」惡少年慍其誕，瞷其夜歸，分五六人棲道旁木上，相去各里所，候巫過，下砂石擊之。巫以為真鬼也，即旋其角，且角且走，心大駭，首岑岑加重，行不知足所在。稍前，駭頗定，木間砂亂下如初，又旋而角；角不能成音，走愈急。復至前，復如初，手慄氣懾不能角，角墜；振其鈴，既而鈴墜，惟大叫以行。行聞履聲及葉鳴谷響，亦皆以為鬼號，求救於人甚哀。夜半抵家，大哭叩門，其妻問故，舌縮不能言，惟指床曰：「亟扶我寢，我遇鬼，今死矣！」扶至床，膽裂，死，膚色如藍。巫至死不知其非鬼。（方孝孺〈越巫〉）禳：祈福消災。　瞷：窺伺。　岑岑：煩悶。</t>
  </si>
  <si>
    <t>31.	依據上文，對於越巫形象的描寫，最適當的是： (A)仗恃靈力，脅制鄉里	(B)惡行易改，心魔難除 (C)設壇召魅，作法自斃	(D)無知自是，誤人害己</t>
  </si>
  <si>
    <t xml:space="preserve">32.	關於上文的寫作手法與文意，敘述最適當的是： (A)以「相去各里所」暗示少年們對越巫心存畏怯，彼此守望照應 (B)以「即旋其角」、「角不能成音」、「手慄氣懾不能角」描寫越巫因又懼又急而法力愈加減弱 (C)以「且角且走」、「角墜；振其鈴，既而鈴墜，惟大叫以行」表現越巫從試圖自欺到心神失控的狼狽 (D)以「行聞履聲及葉鳴谷響，亦皆以為鬼號」凸顯越巫仍想藉由周遭聲響研判鬼的行蹤，求得活命機會 </t>
  </si>
  <si>
    <t>33-34為題組。閱讀下文，回答33-34題。 上蔡先生云：「透得名利關，方是小歇處。今之士大夫何足道，真能言之鸚鵡也。」朱文公曰：「今時秀才，教他說廉，直是會說廉；教他說義，直是會說義。及到做來，只是不廉不義。」此即能言鸚鵡也。夫下以言語為學，上以言語為治，世道之所以日降也。而或者見能言之鸚鵡，乃指為鳳凰、鸑鷟，唯恐其不在靈囿間，不亦異乎!（羅大經〈能言鸚鵡〉）</t>
  </si>
  <si>
    <t>33.	依據上文，今日世風之弊在於： (A)豢養珍禽，玩物喪志	(B)模仿剽竊，寡廉鮮恥 (C)蔽於表象，不辨虛實不務踐履	(D)器識褊狹，唯學鸚鵡不慕鳳凰</t>
  </si>
  <si>
    <t xml:space="preserve">34.	下列文句，最能呼應上文觀點的是： (A)君子欲訥於言而敏於行 (B)寡言者可以杜忌，寡行者可以藏拙 (C)言行，君子之樞機，樞機之發，榮辱之主也 (D)聽言觀行，不以功用為之的彀，言雖至察，行雖至堅，則妄發之說也 </t>
  </si>
  <si>
    <t>35.	下列各組文句「」內的詞，前後意義相同的是： (A)「去」國懷鄉，憂讒畏譏／欲呼張良與俱「去」 (B)斫而「為」琴，弦而鼓之／何故深思高舉，自令放「為」 (C)「叩」而與語，理甚玄妙／「叩」之寺僧，則史公可法也 (D)蘇子愀然，正襟「危」坐而問客／念高「危」，則思謙沖而自牧 (E)奢貴自「奉」，禮異人臣／離散天下之子女，以「奉」我一人之淫樂</t>
  </si>
  <si>
    <t xml:space="preserve">AE </t>
  </si>
  <si>
    <t>36.	下列文句畫底線處的詞語，運用恰當的是： (A)經歷過落後地區窮形盡相的生活，他比以往更積極投入公益 (B)他在人群中一向表現得諱莫如深，沒有人真正知曉他的心思 (C)實力堅強的球隊卻場場皆輸，慘遭淘汰，戰績如此差強人意 (D)小李無法兌現對好友的承諾，一直耿耿於懷，始終無法放下 (E)巷口小吃店熬過慘澹經營期，目前已是近悅遠來、門庭若市</t>
  </si>
  <si>
    <t>37.〈馮諼客孟嘗君〉：「梁使三反，孟嘗君固辭不往也」，前、後句有「縱使……卻依然……」的語意邏輯關係，意指「孟嘗君固辭不往」這件事，縱使「梁使三反」也不會改變。下列文句畫　　　與　　　處，具有相同語意邏輯關係的是： (A)天地有好生之德，人心無不轉之時 (B)此五子者，不產於秦，而繆公用之 (C)松柏後凋於歲寒，雞鳴不已於風雨 (D)（連）橫不敏，昭告神明，發誓述作，兢兢業業，莫敢自遑 (E)朱鮪涉血於友于，張繡剚刃於愛子，漢主不以為疑，魏君待之若舊</t>
  </si>
  <si>
    <t>38.	關於下列陸游《老學庵筆記》二則引文，敘述適當的是： 甲、田登作郡，自諱其名，觸者必怒，吏卒多被榜笞。於是舉州皆謂燈為火。上元放燈，許人入州治遊觀，吏人遂書榜揭於市曰：「本州依例放火三日。」 乙、今人謂賤丈夫曰漢子，蓋始於五胡亂華時。北齊魏愷自散騎常侍遷青州長史，固辭之。宣帝大怒，曰：「何物漢子，與官不受！」此其證也。承平日，有宗室名宗漢，自惡人犯其名，謂漢子曰兵士，舉宮皆然。其妻供羅漢，其子授漢書，宮中人曰：「今日夫人召僧供十八大阿羅兵士，大保請官教點兵士書。」都下鬨然傳以為笑。 (A)「吏卒多被榜笞」，是違反田登禁忌的下場 (B)書榜「本州依例放火三日」，表示吏人已經避開田登名諱 (C)宗漢不喜他人觸犯名諱，乃因「漢子」一詞在當時含有貶義 (D)「舉州皆謂燈為火」、「舉宮皆然」，顯示州民、宮人欣然認同避諱 (E)選用避諱之例，如「放火」、「十八大阿羅兵士」、「兵士書」，應寓有嘲諷之意</t>
  </si>
  <si>
    <t xml:space="preserve">ABCE </t>
  </si>
  <si>
    <t>39.	關於下列甲、乙二詩的詩意或作法，敘述適當的是： 甲、臺城六代競豪華，結綺臨春事最奢。萬戶千門成野草，只緣一曲後庭花。(劉禹錫〈臺城〉) 乙、鹿耳潮落吼聲遲，閱盡興亡眼力疲。惆悵騎鯨人去後，江山今又屬阿誰。(謝鯉魚〈鹿耳門懷古〉) 臺城：宮禁所在地。騎鯨：相傳鄭成功騎乘白鯨轉世。
(A)甲詩譏刺君王耽溺享樂，導致國破家亡 (B)乙詩藉由自然景觀，寄寓歷史滄桑之感 (C)二詩均以景物今昔的變化，強化懷古的感傷 (D)二詩均運用典故，使意象更鮮明、情感更深刻 (E)二詩均透過刻畫景物，具體呈現詩人移動的蹤跡</t>
  </si>
  <si>
    <t xml:space="preserve">ABD </t>
  </si>
  <si>
    <t>40.	國文課堂上，學生想嘗試從「詞」的文學知識解說：「五代之詞，止於嘲風弄月，懷土傷離，節促情殷，辭纖韻美。入宋則由令化慢，由簡化繁，情不囿於燕私，辭不限於綺語，上之可尋聖賢之名理，大之可發忠愛之熱忱。」下列解說，適當的是： (A)五代詞以私情綺語擅場，宋代詞家不復纖辭美韻，崇尚思理，風格弘闊 (B)五代詞因篇幅短而合音節，宋代詞則因篇幅長而音節漸失，難於演唱 (C)李煜詞在亡國前多「嘲風弄月」，亡國後則多「懷土傷離」 (D)蘇軾的詞，可視為「情不囿於燕私，辭不限於綺語」的代表 (E)在辛棄疾的詞作中，可找到「大之可發忠愛之熱忱」的例子</t>
  </si>
  <si>
    <t xml:space="preserve">CDE </t>
  </si>
  <si>
    <t>41.	韓愈〈師說〉：「孔子師郯子、萇弘、師襄、老聃」，相傳孔子曾問「禮」於老聃。閱讀下列有關老子、孔子論「禮」以及後學的相關討論，選出解釋適當的敘述：               
老子：道而後德，失德而後仁，失仁而後義，失義而後禮。夫禮者，忠信之薄而亂之首
孔子：禮云禮云，玉帛云乎哉？樂云樂云，鐘鼓云乎哉？
吳子良(宋代學者)：蓋聃之於禮，尚其意不尚其文，然使文而可廢，則意亦不能獨立矣。此（指「禮者忠信之薄而亂之首」）老子鑑文之弊，而矯枉過正之言也。
朱熹學生：「夫禮，忠信之薄而亂之首」，孔子又卻問禮於他，不知何故？
朱熹：他曾為柱下史，故禮自是理會得，所以與孔子說得如此好。只是他又說這箇物事不用得亦可，一似聖人用禮時反若多事，所以如此說。〈禮運〉中「謀用是作，而兵由此起」等語，便自有這箇意思。
 (A)依老子的看法，人間若有「道」，便無須用「禮」 (B)孔子「玉帛云乎哉」的看法，即憂心「禮」僅「尚其意不尚其文」 (C)吳子良認為：「禮」的形式與內在應為一體，老子有矯枉過正之弊 (D)吳子良和朱熹都認為：老子對「禮」缺乏深度認知，故評論有失偏頗 (E)朱熹認為：〈禮運〉所云：「謀用是作，而兵由此起」，與老子對「禮」的看法相似</t>
  </si>
  <si>
    <t xml:space="preserve">ACE </t>
  </si>
  <si>
    <t>42.	「純貴妃不認為自己的『雅』會輸給魏瓔珞的『俗』，卻又無可奈何。她發現弘曆留在鍾粹宮的日子越來越少，去延禧宮的日子越來越多，就好像世間一切俗人，偶爾管弦絲竹，但多數時候還是要柴米油鹽。」這段文字既揭示「雅」、「俗」對比，也運用「管弦絲竹」、「柴米油鹽」的比喻強化語意。下列文句，使用比喻方式強化對比作用的是： (A)我曾見過二人手談，起先是坐著，神情瀟灑，望之如神仙中人，俄而棋勢吃緊，兩人都站起來了，劍拔弩張，如鬥鵪鶉 (B)就在那光與色的動晃中，忽然那太陽，像巨大的蛋黃，像橘紅淋漓的一團烙鐵漿，蹦跳而出，雲彩炫耀。世界彷彿一時間豁然開朗，山脈谷地於是有了較分明的光影 (C)你的書齋也許是明窗淨几，雕金飾玉，也許案頭有一盆古梅，壁間懸有名人的書畫，但比起我面前壯大的山河，深邃悠遠的藍天，阡陌橫斜的田野，就顯得那麼渺小寒酸，俗不可耐 (D)蟬聲亦有甜美溫柔如夜的語言的時候，那該是情歌吧，總是一句三疊，像那傾吐不盡的纏綿。而蟬聲的急促，在最高漲的音符處突地戛然而止，更像一篇錦繡文章被猛然撕裂，散落一地的鏗鏘字句，擲地如金石聲 (E)父親不久回來了，沒有買水鑽髮夾，卻帶回一位姨娘。她的皮膚好細好白，一頭如雲的柔髮比母親的還要烏，還要亮。兩鬢像蟬翼似的遮住一半耳朵，梳向後面，挽一個大大的橫愛司髻，像一隻大蝙蝠撲蓋著她後半個頭</t>
  </si>
  <si>
    <t xml:space="preserve">AD </t>
  </si>
  <si>
    <t>2020_Questions</t>
  </si>
  <si>
    <t>1.	下列「」內的字，讀音前後相同的是： (A)若分「畛」域／悉心問「診」	(B)靈「鼉」之鼓／木雕神「龕」 (C)莫得「遯」隱／鯨「豚」保育	(D)妝「奩」冠鏡／輕「謳」微吟</t>
  </si>
  <si>
    <t>2.	下列文句，完全沒有錯別字的是： (A)合唱團員準備就序，天籟般的歌聲隨琴音揚起，全場立即鴉雀無聲 (B)花博開放參觀首日，遊客蜂擁而至，人人磨肩接踵，場面熱鬧非凡 (C)戰爭片中，只見硝煙四起，一幕幕喋血山河的畫面，令人怵目驚心 (D)即使是浮光略影的人生片段，若能靜心觀照，亦可萃取出生活意義</t>
  </si>
  <si>
    <t>3.	下列是一段散文，依據文意，甲、乙、丙、丁、戊排列順序最適當的是： 我喜歡敘舊。 甲、在我驚嘆光陰對他們做了這麼多的同時 乙、自己若是不清楚歲月對自己做了些什麼 丙、他們也會讓我知道 丁、只要與久別重逢的舊友一敘便知 戊、自己在他們的眼中又是如何了（李黎〈別後我城〉） (A)乙丙戊甲丁	(B)乙丁甲丙戊	(C)丁甲戊乙丙	(D)丁乙丙甲戊</t>
  </si>
  <si>
    <t>4.	下列對聯□內最適合填入的字詞依序是： 甲、書從疑處□成悟，文到窮時自有神 乙、除卻詩書□所癖，獨於山水不能廉 丙、使我開懷□夜月，令人滌省是晨鐘 (A)何／惟／翻	(B)何／翻／惟	(C)翻／惟／何	(D)翻／何／惟</t>
  </si>
  <si>
    <t>5.	若孫悟空完成取經任務後回到花果山，想聯絡師父唐三藏和其他幾位師弟，下列敘述最適當的是︰ (A)向唐三藏問安的書信，開頭提稱語可用「如晤」 (B)邀豬八戒餐敘的柬帖，可寫「敬備菲酌，恭候　台光」 (C)祝賀沙悟淨生日的卡片，內文署名宜用「兄悟空惠鑒」 (D)給白龍馬的明信片，寄件人住址之後宜寫「孫悟空緘」</t>
  </si>
  <si>
    <t>6.	現代詩中的景物常隱含另一層意蘊，下列敘述最不適當的是： (A)〈狼之獨步〉中，詩人以「我乃曠野裡獨來獨往的一匹狼」表現其特立獨行 (B)〈再別康橋〉中「我揮一揮衣袖／不帶走一片雲彩」，「雲彩」象徵詩人的漂泊不定 (C)〈錯誤〉中「恰若青石的街道向晚」，「向晚」除了實寫，也隱含一日將盡，歸人卻仍未歸來的失落 (D)〈雁〉中「我們仍然活著。仍然要飛行／在無邊際的天空」，以排成「人」字的雁群不斷飛行，象徵人的某種堅持</t>
  </si>
  <si>
    <t>7.	依據下文，最符合作者「自己一個人唱歌」的敘述是： 一個人唱歌，可真奇怪。有時是下意識，自己竟不知不覺地唱起歌來，當發現自己不停地哼唱著喜歡的那一支歌的時候，也不知已唱了多久，之後不但沒停，還把歌詞一個字、一個字咬得清清楚楚。這樣無我地唱歌，起先是旋律讓他飄飄然，意識清醒後就被歌詞感動。如此一合，好像一個人扮起雙重唱，又扮聽眾陶醉。這種情形往往發生在一個人心情愉快時，歌一上口，一次一次又一次地重複不停；特別是別無他人在旁，例如洗澡、上廁所、騎機車或一個人在家等等，有時閉著嘴用鼻子哼，有時張口用「啊」字啊到底，哼唱久了，下顎還會微感痠痠的。要不是遇到有人來、忙著談事情，或是吃飯等其他事情來打斷的話，這種愉快的心情，就好像中了邪一樣。（黃春明〈心裡的桃花源〉）
 (A)心情愉悅時，便會咬字清楚地哼唱出喜歡的歌詞來 (B)四下無人之時，才能在無意識之中清楚地唱出歌詞 (C)無我地哼唱時，往往一開始會不自覺沉浸在旋律中 (D)意識清楚之時，喜歡用「啊」字一次次地重複哼唱</t>
  </si>
  <si>
    <t>8.	依據下文，最符合「康德看法」的敘述是： 有人天生熱愛助人，他們有慈悲心，因助人而得到快樂。康德卻認為，出於慈悲心的行善，不論如何正確或如何溫柔敦厚，都沒有道德價值。這似乎違反一般見解。助人為快樂之本不是很好嗎？康德會說沒錯，他當然不覺得憑著慈悲心行事有何不對。他只是區別出助人的兩種動機，一是為了讓自己快樂，一是視為義務。康德堅持，只有視為義務的動機才具道德價值，助人為快樂之本的慈悲心是值得稱讚和鼓勵，卻不值得尊敬。（改寫自邁可‧桑德爾著、樂為良譯《正義：一場思辨之旅》） 
(A)助人為樂涵具道德價值	(B)只要行善助人就具有道德價值 (C)出於慈悲心的行善不值得鼓勵	(D)值得尊敬的行善動機是出於義務</t>
  </si>
  <si>
    <t>9.	依據下文，□□內最適合填入的詞語依序是： 甲、因聞得鹽政欲聘一□□，雨村便相托友力，謀了進去，且作安身之計。（《紅樓夢》第2回） 乙、空著我埋怨爹娘，選揀□□，相貌堂堂，自一夜花燭洞房，怎提防這一場。（元雜劇《秋胡戲妻》） 丙、周公行政七年，成王長，周公反政成王，□□就群臣之位。（《史記‧周本紀》）
 (A)西賓／東床／北面	(B)西賓／西席／南面 (C)東道／東床／南面	(D)東道／西席／北面</t>
  </si>
  <si>
    <t>10.	依據下文，最符合主旨的是： 人生而有欲，欲而不得，則不能無求。求而無度量分界，則不能不爭；爭則亂，亂則窮。先王惡其亂也，故制禮義以分之，以養人之欲，給人之求。（《荀子》）
 (A)王道無偏	(B)無欲則治	(C)爭起於分界	(D)禮源於治亂</t>
  </si>
  <si>
    <t>11.	某秀才參加鄉試，題目出自「四書」。他在文中闡釋題意：「人不能不與世為酬酢，言色恭行焉。情之不可已，本自有當然之則也。乃巧好為言，容悅為色，周旋舉止，悉邪為之。」則試卷題目最可能是： (A)色厲而內荏	(B)一言可以興邦 (C)巧言令色足恭	(D)名不正則言不順</t>
  </si>
  <si>
    <t>12.	關於下文陶、馬二人的對話，敘述最適當的是： 陶一日謂馬曰：「君家固不豐，僕日以口腹累知交，胡可為常？為今計，賣菊亦足謀生。」馬素介，聞陶言，甚鄙之，曰：「僕以君風流高士，當能安貧。今作是論，則以東籬為市井，有辱黃花矣。」陶笑曰：「自食其力不為貪，販花為業不為俗。人固不可苟求富，然亦不必務求貧也。」（《聊齋誌異‧黃英》） (A)陶以馬未能安貧為恥	(B)馬希望陶能自食其力 (C)陶與馬商議賣菊維生	(D)馬怕家貧而有辱於陶</t>
  </si>
  <si>
    <t xml:space="preserve">13.	關於詩中石蒼舒之「病」，敘述最適當的是： 人生識字憂患始，姓名粗記可以休。何用草書誇神速，開卷惝怳令人愁。我嘗好之每自笑，君有此病何能瘳。自言其中有至樂，適意無異逍遙遊。近者作堂名醉墨，如飲美酒消百憂。乃知柳子語不妄，病嗜土炭如珍羞。（節錄自蘇軾〈石蒼舒醉墨堂〉） 
惝怳：惆悵,瘳：病癒,柳子：柳宗元
(A)石蒼舒醉心翰墨成疾仍不改其樂，蘇軾擔心他過度沉迷而招禍 (B)石蒼舒嗜書與柳子嗜土炭如珍饈之病，蘇軾認為皆蘊不遇之憾 (C)蘇軾好書藝而與石蒼舒同病，但自慚不及石神速，故開卷惝怳 (D)蘇軾消遣石蒼舒病重難癒，意在稱美其癡迷書藝而能逍遙自樂 </t>
  </si>
  <si>
    <t>14-15為題組。閱讀下文，回答14-15題。 一系列華美的修辭被時尚工業與大眾媒體用以頌揚牛仔褲─「自由無拘」、「簡單率直」、「獨立反叛」……甚至有學術作品形容它是民主普及、平等擁有的意義載體。牛仔褲的特別，大概在於擁有某種難以駕馭、持續自我定義的矛盾性。20世紀初的美國，牛仔褲被打造成「新平民」階級的大眾認同，既依賴左派意象，卻又是流行商品；屬於普羅階級，卻訴諸個體叛逆。牛仔褲逐漸打破既定的衣著邏輯，既是流行裝扮但又隨意邋遢。如今，牛仔褲繼續自體矛盾、增生。在空間面向上，巴黎舞臺的走秀名模、倫敦廣場的抗議人士、紐約華爾街的小開、東京秋葉原的駭客都穿著它，各取所需，各盡所能；在時間面向上，即使不能穿的二手破褲，也擁有驚人的市場價值。（改寫自李明璁〈牛仔褲〉）</t>
  </si>
  <si>
    <t>14.	下列關於牛仔褲的敘述，最符合上文內容的是： (A)難以駕馭的時尚衣著	(B)凸顯特異的小眾精神 (C)蘊含豐富的意義詮解	(D)追求品味的設計質感</t>
  </si>
  <si>
    <t>15.	下列各組概念，最不適合用來解釋上文所指「牛仔褲的矛盾性」的是： (A)左派意象／流行商品	(B)普羅階級／個體叛逆 (C)流行裝扮／隨意邋遢	(D)新平民階級／大眾認同</t>
  </si>
  <si>
    <t>16-18為題組。閱讀下文，回答16-18題。   
甲:
陸游粥品私房筆記:
烏豆粥
用新好大烏豆一斤，炭火鬻一日，當糜爛。（此時）可作三升米粥，至極熟，下豆，入糖一斤和勻，又入細生薑棊子四兩。
地黃粥
用地黃二合，候湯沸，與米同下。別用酥二合、蜜一合，炒令香熟，貯器中，候粥欲熟乃下。
枸杞粥
用紅熟枸杞子，生細研，淨布捩汁，每粥一椀用汁一盞，加少煉熟蜜乃鬻。
乙:
陸游是一位高壽的詩人，注重養生。他主張「若偶食一物多，則當減一物以乘除之，如湯餅稍多，則減飯」，又認為「養生所甚惡，旨酒及大肉」，提倡「食淡百味足」。不過，陸游的體質並不好，他曾提到自己「不堪酒渴兼消渴」。古人所說的消渴，即今日所稱的糖尿病。陸游的牙齒也不好，有〈齲齒〉等一百多首與牙病相關的詩。其實，血糖控制不好的人，不但容易蛀牙，也會增加牙周破壞的程度，陸游晚年詩句「一齒屢搖猶決肉」、「欲墮不墮齒更危」，顯示他可能深為牙周病所苦。或許正因如此，陸游特別喜歡吃粥。他在〈薄粥〉詩力讚食粥能讓「饑腸且免轉車輪」，又於〈食粥〉詩說：「世人個個學長年，不晤長年在目前。我得宛丘平易法，只將食粥致神仙」。「宛丘」即蘇門四學士之一的張耒，寫過一篇〈粥記贈潘邠老〉，認為食粥可以延年。據說陸游晚年起床後第一件事就是熬粥，熬好後喝一碗，再睡個回籠覺，「粥在腹中，暖而宜睡，天下第一樂也」。（改寫自譚健鍬《史料未及的奪命內幕》）
丙:
掌握低GI飲食，遠離糖尿病！升糖指數（GI 是指食用 食物 後 2小時內血糖增加值 與基本值的比較。它 顯示食物經 腸胃 道消化後產生的 醣 分所造成血糖上升的速度快慢。食物的 GI值愈高會讓血糖上升的速度愈快。
影響食物GI的因素
食物營養素:蛋白質或脂肪類食物消化程序較複雜，GI值通常較精緻澱粉類低。
食物型態:稀爛、切碎的食物容易吸收，GI值較高。
纖維含量:纖維量愈高，GI值愈低。
烹調方式:澱粉經長時間烹煮而糊化，GI值較高。水煮的 GI值低於炒、煎。
食物搭配 :高GI食物和低GI食物搭配食用，可平衡GI
食物的高GI（Glycemic Index, 升糖指數）與低GI對血糖值變化的影響，並且隨時間推移的趨勢。圖中的Y軸代表「血糖值」，X軸代表「餐後時間（小時）」，展示的是在進食後，血糖值隨著時間的變化。
高GI：圖中高GI的曲線較為陡峭，表示進食高GI食物後，血糖值迅速升高，並在大約1小時達到峰值，然後迅速下降。
低GI：圖中的低GI曲線較為平緩，說明進食低GI食物後，血糖值緩慢上升，並保持較長時間的平穩，下降速度也較為緩慢。
這表明高GI食物會引起較快速的血糖上升和下降，而低GI食物則可以讓血糖較為穩定，對血糖管理更有利。</t>
  </si>
  <si>
    <t>16.	依據資料甲，關於陸游的煮粥祕訣，下列敘述最適當的是： (A)煮粥時間長短，依序為地黃粥＞烏豆粥＞枸杞粥 (B)以烏豆、枸杞煮粥，烏豆和枸杞均須預先處理備用 (C)以地黃、枸杞煮粥，均須在起鍋後另加以蜜炒製的配料 (D)烏豆當於冷水時與米同煮，地黃則須待水沸後方與米入鍋</t>
  </si>
  <si>
    <t>17.	依據資料甲、乙、丙，關於陸游食粥與健康的敘述，最適當的是： (A)陸游曾向張耒求得煮粥筆記，鑽研粥品養生之道 (B)陸游吃粥雖可使牙齒免於咀嚼，卻不利於血糖控制 (C)吃粥兩小時內血糖波動小，能讓陸游的回籠覺睡得安穩 (D)加糖會讓陸游的粥品GI值上升，但長時間熬煮可減低粥品GI值</t>
  </si>
  <si>
    <t xml:space="preserve">18.	若陸游想控制血糖，則依據資料丙，對、兩項調整方式，最適當的判斷是： 每餐多吃一碗白飯，少吃一碗塊狀肉類。 每餐少吃一碗清粥，多吃一碗高纖蔬菜。 (A)、皆正確	(B)無法判斷，正確 (C)錯誤，正確	(D)錯誤，無法判斷 </t>
  </si>
  <si>
    <t>19-21為題組。閱讀下文，回答19-21題。 電影《駭客任務》（The Matrix）票房大熱，故事源於一個簡單的設想：人們眼中千真萬確、堅不可摧的世界是由一個電腦程式虛擬而來，設計者想阻止人們去接觸真實的世界。電影有眩目的特技效果、帥氣的皮質戲服和精彩武打場面，配合深具新時代靈修意蘊的對白，背後的訊息只有一個：人們感知的世界，不論從宏觀或微觀而言，都在日漸偏離傳統定義或概念中的真實世界；人們看到的世界，猶如投向岩壁的光影，依稀可見片刻實景，卻看不到紋理痕跡，更深層的真相也藏在陰影之下。 主要經濟指標（例如：國民生產毛額、國民幸福指數……）也是人為的建構，是數字的駭客帝國。經濟指標構築出一個虛擬世界，裡面由數字定義一切，現實會得到局部呈現，也會變得模糊扭曲。貿易數據無法準確記錄蘋果公司產品的生產過程，就是最好的例子。失業不是真實的狀態而是統計的產物（如果你沒有工作，但因市面上沒有合適的工作而不去求職，就不算「失業」），也是有力的說明。 但這麼說也不對。主要經濟指標構築的世界不完全是虛假的幻象；激進分子總執意懷疑政府有意操縱經濟指標，也是過慮的想法。經濟指標的產生，確實是為了理解和處理經濟調控的複雜問題，本身帶有美好願望，只是它們也有局限，未必能指引我們。 《駭客任務》的大英雄尼歐看穿了虛擬世界，還在幾個平行空間中穿梭遊走，試圖破解迷陣。現實世界沒有這種戲劇色彩，但不少人已意識到，所謂「經濟」是由經濟指標所塑造，只是反映現實的版本之一。目前，本土和全球經濟發展都一日千里，謎團也越滾越大，「經濟」卻只能提供一種描述，而且未必準確。於是，一群經濟創意大師正努力改變人們認識世界的視角，竭力幫助人們看清經濟指標所掩蓋的事實。這群統計界的英雄尼歐，正是我們的希望所在。（改寫自扎卡里‧卡拉貝爾著、葉家興、葉嘉譯《當經濟指標統治我們》）</t>
  </si>
  <si>
    <t>19.	依據上文，下列關於電影《駭客任務》的敘述，最適當的是： (A)票房大賣之因在於主角尼歐以高超的技術駭進國家電腦系統，取得貿易數據 (B)故事背景是人們處於由電腦程式所構築出的虛擬世界，和真實世界日漸偏離 (C)劇中藉充滿靈修意蘊的對白，表達人類的感知能力因沉溺電腦而退化的隱憂 (D)電影將國家的經濟指標暗喻為數字的駭客帝國，為大眾揭開經濟指標的面紗</t>
  </si>
  <si>
    <t>20.	下列敘述，符合上文對「主要經濟指標」看法的是： (A)透過統計數字，構建關於經濟發展的片面描述 (B)所建構的並非真實世界，而是不存在的虛假幻象 (C)以統計數字定義一切，是政府和激進分子的人為建構 (D)為理解和處理經濟調控的複雜問題，提供完整的準確數據</t>
  </si>
  <si>
    <t>21.	關於上文的書寫策略，下列敘述最適當的是： (A)舉《駭客任務》對經濟指標的反省為例，以支持論點，增加說服力 (B)以《駭客任務》的寓意，帶出作者對經濟指標的觀察，並吸引讀者 (C)先描述《駭客任務》的劇情，再指出電影的寓意在於影射經濟指標 (D)藉比較《駭客任務》和經濟指標之異同，感慨經濟大師未破解迷陣</t>
  </si>
  <si>
    <t>22-23為題組。閱讀下文，回答22-23題。 孔子有言：「知之者不如好之者，好之者不如樂之者。」彷彿以為知、好、樂是三層事，一層深一層；其實在文藝方面，第一難關是知，能知就能好，能好就能樂。知、好、樂三種心理活動融為一體，就是欣賞，而欣賞所憑的就是趣味。許多人在文藝趣味上有欠缺，大半由於在知上有欠缺。 有些人根本不知，當然不會觸感到趣味，看到任何好的作品都沒有感受，這是精神上的殘廢，犯這種毛病的人失去大部分生命的意味。有些人知得不正確，於是趣味低劣，缺乏鑒別力，只以需要刺激或麻醉，取惡劣作品療飢過癮，以為這就是欣賞文學。這是精神上的中毒，可以使整個的精神受腐化。有些人知得不周全，趣味就難免窄狹，往往囿於某一派別的傳統習尚，不能自拔。這是精神上的短視，「坐井觀天，誣天藐小」。 要診治這三種流行的毛病，唯一的方劑是擴大眼界，加深知解。一切價值都由比較得來，生長在平原，你說一個小山坡最高，你可以被原諒，但其實你錯了。「登東山而小魯，登泰山而小天下」，那「天下」也只是孔子所能見到的天下。要把山估計得準確，你必須把世界名山都遊歷過，測量過。研究文學也是如此，你玩索的作品愈多，種類愈複雜，風格愈紛歧，你的比較資料愈豐富，透視愈正確，你的鑒別力（這就是趣味）也就愈可靠。（改寫自朱光潛〈文學的趣味〉）</t>
  </si>
  <si>
    <t>22.	下列詞語，最能呼應上文所剖析「在知上有欠缺」的是： (A)扣槃捫燭	(B)巧拙有素	(C)含糊其辭	(D)匪夷所思</t>
  </si>
  <si>
    <t xml:space="preserve">23.	下列文句，最適合說明上文主旨的是： (A)聞道有先後，術業有專攻 (B)操千曲而後曉聲，觀千劍而後識器 (C)恆患意不稱物，文不逮意；蓋非知之難，能之難也 (D)常人貴遠賤近，向聲背實，又患闇於自見，謂己為賢 </t>
  </si>
  <si>
    <t>24-25為題組。閱讀下文，回答24-25題。 莊子行於山中，見大木，枝葉盛茂，伐木者止其旁而不取也。問其故，曰：「無所可用。」莊子曰：「此木以不材得終其天年。」夫子出於山，舍於故人之家。故人喜，命豎子殺雁而烹之。豎子請曰：「其一能鳴，其一不能鳴，請奚殺？」主人曰：「殺不能鳴者。」明日，弟子問於莊子曰：「昨日山中之木，以不材得終其天年；今主人之雁，以不材死；先生將何處？」莊子笑曰：「周將處乎材與不材之間。材與不材之間，似之而非也，故未免乎累。若夫乘道德而浮遊則不然。無譽無訾，一龍一蛇，與時俱化，而無肯專為；一上一下，以和為量，浮遊乎萬物之祖；物物而不物於物，則胡可得而累邪！」（《莊子‧山木》）</t>
  </si>
  <si>
    <t>24.	下列敘述，最符合上文所欲表達觀點的是： (A)與時俱化，不拘執於為龍或為蛇的價值思考 (B)死生有命，富貴亦身外之物，毋須為此傷神 (C)天生我材必有用，自當逍遙浮遊於大化之間 (D)世人囿於俗見，渾然不知無用之用方為大用</t>
  </si>
  <si>
    <t xml:space="preserve">25.	下列文句，最符合上文中「道德」意涵的是： (A)順任自然，虛靜無為	(B)居仁由義，存理去欲 (C)道之以德，齊之以禮	(D)海納百川，有容乃大 </t>
  </si>
  <si>
    <t>26-28為題組。閱讀下文，回答26-28題。  中國人是極重歷史的民族，透過對於歷史的不斷詮釋與建構，進行著當代的反省。因而，歷史的意義從來都是流動的，不同的歷史事件也在不同的時代發生著不同的效用。在抒情言志的傳統下，古人古事不但時時在詩作中現身，詠史與懷古更成為詩歌中有關歷史題材的兩大類別，「詠史」是詩人以歷史人物或事件為對象抒詠個人的觀感進而寄寓情志；「懷古」則有著緬懷古跡的意味，從而在漫長的時間之流中框限出史蹟作為空間範疇，以地域為觸媒展開歷史漫遊，抒詠情志。無論從「詠」或「懷」都可得知，這類詩作雖與所謂客觀的歷史關係密切，卻畢竟是詩人主觀意念的投影，重點既不在敘事，也不在論古；舉凡人事的懷想、史蹟的憑弔，無非是一種以史抒情的憑藉。詩人徘徊於漫長的時空隧道，反思著人類的經驗與命運，也思忖著自身的定位。（蔡瑜《中國抒情詩的世界》）  伊呂兩衰翁，歷徧窮通。一為釣叟一耕傭。若使當時身不遇，老了英雄。　湯武偶相逢，風虎雲龍。興王祇在笑談中。直至如今千載後，誰與爭功！（王安石〈浪淘沙令〉）  峰巒如聚，波濤如怒，山河表裡潼關路。望西都，意躊躕。　傷心秦漢經行處，宮闕萬間都做了土。興，百姓苦；亡，百姓苦！（張養浩〈山坡羊〉）</t>
  </si>
  <si>
    <t>26.	下列敘述，最符合甲文觀點的是： (A)歷史題材現身於古典詩歌中，主要目的在展現文人的博覽積學 (B)詩人常藉由歷史題材的書寫，以省視當代的情境或自身的定位 (C)詠史、懷古詩皆以歷史為媒介抒情言志，所抒發的皆是家國之情 (D)古人解讀歷史往往有所傳承，故詩人對特定人與事的詮釋，常呈現穩定性</t>
  </si>
  <si>
    <t>27.	關於乙、丙二詩的詩意或作法，下列敘述最適當的是： (A)乙詩引述伊尹、呂望二人事蹟，旨在說明自古英雄出少年 (B)丙詩感慨當世兵連禍結，不復秦漢之盛，故百姓生活困苦 (C)二詩均在敘寫史事或史蹟之後，描摹當世的情境，並藉古今對照以興發議論 (D)乙詩設想古人際遇，並對照事實而有所托寓；丙詩藉行經古跡所見，引發感慨</t>
  </si>
  <si>
    <t xml:space="preserve">28.	依據甲文觀點，下列對乙、丙二詩的解讀，最適當的是： (A)乙詩藉伊尹、呂望興王之功，投射個人期望君臣相得，以建功立業的心志 (B)丙詩藉遙望西都，懷想宮闕隨王朝盛衰而興廢，揭示朝代興衰無常的規律 (C)乙詩詠史，丙詩懷古，均透過對歷史的詮釋，闡述遭逢明君盛世的重要性 (D)二詩均以史抒情，乙詩寄寓民胞物與的襟懷，丙詩寄寓以天下自任的抱負 </t>
  </si>
  <si>
    <t>29-30為題組。閱讀下文，回答29-30題。 中國古代對於一日時間的分段，只能從有最早文字記載的商代談起。從卜辭知分段的名稱雖早晚稍有改變，其日間的主要段落為：旦、大采、大食、日中、昃、小食、小采或暮或昏。重要的定點都是以太陽在天空變動的位置取名的。其習慣一直保持到漢代或更晚。太陽剛從地平線升起來的時候為「旦」。甲骨文「旦」字作太陽升到某種東西之上的樣子。與金文字形相比較，它或許表示剛升自海上之景，與海面還未完全脫離；或象太陽映照於海面之景。商朝人發源於東方，對於海上早晨的景色還不致陌生。次一階段是「大采」。甲骨文的采字作以手摘取樹上的果葉之狀。采假借為光彩，大采就是太陽大放光彩的時候，是太陽已升到高空，視線清楚的時候了。不久就要吃一頓豐盛的早飯，以補充一清早在田地勞動所消耗的體力的時候，故叫做「大食」。接著不久就是「日中」或「中日」，是太陽高懸天頂的中午時段。這個時間過了便是「昃」。甲骨文的昃字，作太陽把人照得有斜長陰影之狀。它是太陽開始西下的時候。過後是「小食」，這時會吃較簡單的下午飯。吃完飯，整理一些用具，太陽也已西下，光彩大減，只剩微光浮於天際，故叫「小采」，這時或稱「莫」。甲骨文莫字作日已沒入林中之意，光線透出林隙已甚微弱，「莫」後來被借用為否定詞，故又加日而成「暮」字。這段時間也叫作「昏」，甲骨文的昏字大概表示太陽已降到人身高以下的高度之狀。（改寫自許進雄《中國古代社會─文字與人類學的透視》）</t>
  </si>
  <si>
    <t>29.依據上文，下列敘述最不適當的是： (A)由時間的分段推測，商代的人至少一日吃兩餐飯 (B)「日中則昃」的現象可引申出「盛極而衰」之意 (C)「大食」是依據太陽在天空變動的位置命名，通常為吃中餐時間 (D)甲骨文「昃」、「昏」的造字，都以人為參照點表示太陽的位置</t>
  </si>
  <si>
    <t xml:space="preserve">30.	下列「」中的字，與該字的甲骨文字形本義最接近的是： (A)（項脊軒）又北向，不能得日，日過午已「昏」 (B)天下有公利而「莫」或興之，有公害而莫或除之 (C)俄而文皇來，精「采」驚人，長揖就坐，神清氣朗 (D)臣歷觀前王嗣位之初，莫不躬勤庶政，坐以待「旦」 </t>
  </si>
  <si>
    <t>31-32為題組。閱讀甲、乙二文，回答31-32題。  
甲:
秦香蓮此時原本應該在公堂上的，只因剛才吉仔啼哭，慌忙下臺去了。金發伯眼看臺上沒有了秦香蓮，戲無法演下去，不由得怒火中燒，面向後臺大喝一聲：「來人啊！傳秦香蓮！」 不見動靜。只有鑼鼓有一搭沒一搭的敲著。隔了一會兒，又叫一次。王朝從後臺跑上來，挨近包大人，低聲說：「阿旺嫂帶伊的囝仔，去店仔吃冰！」 臺上的人都哭笑不得，大家看著臺下的觀眾，他們仍在那裡談得高興，根本不管臺上的事。秀潔隱約間好像聽到包大人一聲歎息，又好像沒有，鑼鼓聲把一切細微的聲息都壓下去了。 只聽包大人有氣無力地傳下令來：「來人啊！將那陳世美搭在鍘口上！」聲音有些含糊，像喉裡有痰。於是秀潔便被推著搡著，往戲臺前方左角上走，她雖作勢掙扎，卻也顯出懶散。（洪醒夫〈散戲〉）  
乙:
正當客人們互相推讓間，余參軍長已經擁著蔣碧月走到胡琴那邊，然後打起丑腔叫道：「啟娘娘，這便是百花亭了。」 蔣碧月雙手摀著嘴，笑得前俯後仰，兩隻腕上幾個扭花金鐲子，錚錚鏘鏘的抖響著。客人們都跟著喝采，胡琴便奏出了「貴妃醉酒」裡的四平調。蔣碧月身也不轉，面朝了客人便唱了起來。唱到過門的時候，余參軍長跑出去托了一個朱紅茶盤進來，上面擱了那隻金色的雞缸杯，一手撩了袍子，在蔣碧月跟前做了個半跪的姿勢，效那高力士叫道：「啟娘娘，奴婢敬酒。」 蔣碧月果然裝了醉態，東歪西倒的做出了種種身段，一個臥魚彎下身去，用嘴將那隻酒杯啣了起來，然後又把杯子噹啷一聲擲到地上，唱出了兩句：「人生在世如春夢，且自開懷飲幾盅。」（白先勇〈遊園驚夢〉）</t>
  </si>
  <si>
    <t>31.	下列敘述，最符合以上二文故事內容的是： (A)甲文中，帶阿旺嫂孩子去吃冰的秀潔最後還是被推回舞臺，繼續表演 (B)乙文中，蔣碧月不情願的被飾演高力士的余參軍長推上舞臺扮演貴妃 (C)戲劇演出時，甲文的舞臺是臨時搭建的，乙文則是在設備豪華的劇院 (D)觀看演出時，甲文中的觀眾是心不在焉，乙文中的觀眾則是興味盎然</t>
  </si>
  <si>
    <t>32.	關於以上二文的敘事手法，描述最適當的是： (A)甲文交錯敘寫臺上和臺下，倍顯人物在戲劇表演時的無力感 (B)乙文藉由「貴妃醉酒」的戲碼，呈現表演者借酒裝瘋的樣態 (C)二文都透過戲劇臺詞，暗示所有演員在現實中的人品和際遇 (D)二文都著力於描寫表演者的心理活動，以凸顯其幕後的辛酸</t>
  </si>
  <si>
    <t>33-34為題組。閱讀下文，回答33-34題。 「鬼」／「歸」是古字源學中的歸「去」，也是通俗觀念中的歸「來」。《爾雅》：「鬼之為言歸也。」「歸」意味「返其家也」。但這「返回」與「家」的意思與一般常人的想法有所不同。歸是離開塵世，歸向大化。死亡亦即回到人所來之處。《禮記》：「眾生必死，死必歸土：此之謂鬼。」《左傳‧昭公七年》：「鬼有所歸，乃不為厲，吾為之歸也。」如果歸指歸去（大化），那麼潛藏的另一義應是離開─離開紅塵人間。通俗的詮釋則往往顛倒了此一鬼與歸的意涵。 鬼之所以有如此魅惑力量，因為它代表了我們對大去與回歸間，一股徘徊懸宕的欲念。有生必有死固然是人世的定律，但好生懼死也是人之常情。鬼魅不斷回到（或未曾離開）人間，是因為不能忘情人間的喜怒哀樂，鬼的「有無」因此點出了我們生命情境的矛盾。 以〈楊思溫燕山逢故人〉為例，鄭意娘回到世間，是因為念念不忘夫君，以及他們在汴京共享的歲月。但意娘的「回來」卻凸顯了陰陽永隔、人鬼殊途。「故」人與「故」國再也不能喚回。生與死被一層神祕的時空縫隙隔開，是在此一縫隙間，不可思議、言傳的大裂變─國破、家亡、夫妻永訣─發生了。此生的紛亂無明與他生的神祕幽遠何其不同，而在兩個境界間，但見新魂舊鬼穿梭徘徊，不忍歸去，不能歸來。（改寫自王德威《歷史與怪獸：歷史，暴力，敘事》）</t>
  </si>
  <si>
    <t>33.	下列敘述，符合文中經籍與通俗對「鬼」與「歸」詮釋的是：
(A) 經箸的註釋是「人乘世歸返大化即為鬼」，通俗的註釋是「鬼不能忘情而歸返人間」。
(B) 經箸的註釋是「鬼不能忘情而歸返人間」，通俗的註釋是「人乘世歸返大化即為鬼」。
(C) 經箸的註釋是「鬼有所歸仍然可能為厲」，通俗的註釋是「鬼不能忘情而歸返人間」。
(D) 經箸的註釋是「人乘世歸返大化即為鬼」，通俗的註釋是「鬼有所歸仍然可能為厲」。</t>
  </si>
  <si>
    <t xml:space="preserve">34.	關於上文對「鬼」的看法，下列敘述最不適當的是： (A)人生而不免於死，鬼的存在，揭示生與死之間的時空分界 (B)鬼的重返人世，反而說明陰陽永隔的生命裂變，不可回復 (C)鬼顯現了人在此生與他生、大去與回歸間懸宕矛盾的欲念 (D)為等待來世為人，新魂舊鬼穿梭徘徊於陰陽的時空縫隙中 </t>
  </si>
  <si>
    <t>35.	下列各組文句「」內的詞義，前後相同的是： (A)「陟」罰臧否，不宜異同／又「陟」一小巔，覺履底漸熱 (B)呼曰：入之！王「面」牆，不敢入／呈卷，即「面」署第一 (C)齊「放」其大臣君於諸侯／或因寄所託，「放」浪形骸之外 (D)男有「分」，女有歸／君之職「分」，則唐、虞之世，人人能讓 (E)此人一一為「具」言所聞／項伯乃夜馳之沛公軍，私見張良，「具」告以事</t>
  </si>
  <si>
    <t>36.	下列文句畫底線處的詞語，運用適當的是： (A)緊繃的壓力使現代人比以往更焦躁，常見有人因毫髮不爽就大動干戈 (B)因德軍俘虜許多英軍，英國投鼠忌器，不敢對德國軍營展開轟炸行動 (C)家母身為教師，總戰戰兢兢，危言危行，深怕不能給學生良好的身教 (D)家父因工作須至各地出差，常東西奔波，南轅北轍，難得能全家共餐 (E)為搶到週年慶特價商品，百貨公司一開門，我就首當其衝，直奔專櫃</t>
  </si>
  <si>
    <t>37.	關於下文，適當的解說是： 蔣子曰：「蚊亦知夫秦與清乎？暴者如斯，而未嘗安也；受虧者如彼，而卒莫不興也。蓋將自其暴者而觀之，則其位曾不能以悠久也；自其受虧者而觀之，則仁與義皆無盡也，而又何悲乎！且夫天地之間，人各有權。茍非法文所許，雖一毫而莫侵。惟無額之給俸，與出張之旅費，爾得之而為產，民出之而甘心，取之無抗，徵之不拒，是島民者之無盡藏也，而任與你之所剝削。」蚊喜而笑，停足壁上。更夜已深，各自安眠，相與枕藉乎牢中，不知東方之既白。（蔣渭水〈入獄賦〉） (A)套用蘇軾〈赤壁賦〉句型，並襲用文中盛衰無常的旨意 (B)以秦、清兩朝終至覆滅的史實，推知剝削人民的執政者不能久存 (C)藉受虧者的遭遇為誡，指出人民若一味姑息暴政，不足憐恤 (D)「且夫天地之間，人各有權」意謂人民應有受法律保障的權利 (E)「任與你之所剝削」是諷刺統治階層聚斂不已，人民莫可奈何</t>
  </si>
  <si>
    <t>38.	某篇討論唐代商業與文學的文章提到：「白居易的文壇聲譽，是商業市場的有用資本」。下列文句，可佐證此一觀點的是： (A)開成中，物價至賤，村路賣魚肉者，俗人買以胡綃半尺，士大夫買以樂天詩 (B)〈長恨歌〉一篇，……文人學士既嘆為不可及，婦人女子亦喜聞而樂誦之，是以不脛而走 (C)有軍使高霞寓者欲聘倡伎，伎大誇曰：「我誦得白學士〈長恨歌〉，豈同他伎哉？」由是增價 (D)樂天〈秦中吟〉、〈賀雨〉、〈諷諭〉等篇，……繕寫模勒衒賣於市井，或持之以交酒茗者，處處皆是 (E)唐中葉，長安惡少年多以詩句鑱涅肌膚（即「刺青」），……至有周身用白樂天詩意刺涅，人呼為白舍人行詩圖</t>
  </si>
  <si>
    <t xml:space="preserve">ACD </t>
  </si>
  <si>
    <t>39.	文學作品中，常以反問的形式來加強論述或自抒懷抱，例如「人生自古誰無死？留取丹心照汗青」。下列文句，運用此文學手法的是： (A)醉能同其樂，醒能述以文者，太守也。太守謂誰？廬陵歐陽脩也 (B)寧赴湘流，葬於江魚之腹中；安能以皓皓之白，而蒙世俗之塵埃乎 (C)況為大臣而無所不取，無所不為，則天下其有不亂，國家其有不亡者乎 (D)且君嘗為晉君賜矣，君焦、瑕，朝濟而夕設版焉，君之所知也。夫晉，何厭之有 (E)昔楚襄王從宋玉、景差於蘭臺之宮，有風颯然至者，王披襟當之，曰：快哉此風！寡人所與庶人共者耶</t>
  </si>
  <si>
    <t>40.	孔子曾慨嘆「道不行，乘桴浮於海」，莊子則以為隱逸之士心無所求，「飽食而敖遊，汎若不繫之舟」，二者均以舟船暗指隱逸遁世。下列詩詞，用舟船意象暗指隱逸遁世的是： (A)欲濟無「舟楫」，端居恥聖明。坐觀垂釣者，徒有羨魚情 (B)抽刀斷水水更流，舉杯銷愁愁更愁。人生在世不稱意，明朝散髮弄「扁舟」 (C)跡不趨時分不侯，功名身外最悠悠。聽君總畫麒麟閣，還我閒眠「舴艋舟」 (D)細草微風岸，危檣獨夜「舟」。星垂平野闊，月湧大江流。名豈文章著，官應老病休。飄飄何所似，天地一沙鷗 (E)「綵舟」載得離愁動，無端更借樵風送。波渺夕陽遲，銷魂不自持。　良宵誰與共，賴有窗間夢。可奈夢回時，一番新別離</t>
  </si>
  <si>
    <t>41.	韓非認為君臣之間充滿利害算計，主張君王須大權獨攬，以威勢和刑賞駕馭臣下。下列文句，符合韓非思想的是： (A)臣盡死力以與君市，君垂爵祿以與臣市，君臣之際，非父子之親也 (B)若使天下兼相愛，國與國不相攻，……君臣父子皆能孝慈，若此則天下治 (C)人主之患在於信人，信人則制於人。人臣之於其君，非有骨肉之親也，縛於勢而不得不事也 (D)君之視臣如手足，則臣視君如腹心；君之視臣如犬馬，則臣視君如國人；君之視臣如土芥，則臣視君如寇讎 (E)臣閉其主，則主失位；臣制財利，則主失德；臣擅行令，則主失制；臣得行義，則主失名；臣得樹人，則主失黨</t>
  </si>
  <si>
    <t>42.	關於古典散文，下列敘述適當的是： (A)《左傳》擅於敘事及刻劃人物，尤其長於以應對辭令描繪人物性格、鋪陳故事發展，標誌著先秦時期敘事散文的高度成就 (B)先秦諸子散文富涵哲理，長於論辯。《孟子》善於運用譬喻和寓言來加強論述；《荀子》據題抒論，長於說理，皆是議論散文的出色之作 (C)《史記》的文筆雄奇雅健，後世奉為散文的典範，為魏晉時期文人的師法對象，曹丕〈典論論文〉中的「書論宜理」，即是以《史記》為代表 (D)韓愈、柳宗元提倡古文運動，革新六朝文風，宋代歐陽脩、王安石、曾鞏、三蘇等人繼起，主張文道並重，成就斐然，後人譽為「唐宋八大家」 (E)晚明時期，篇幅短小、風格自由活潑、強調抒寫情性的小品文蔚為風潮，袁宏道即代表作家之一</t>
  </si>
  <si>
    <t xml:space="preserve">ABDE </t>
  </si>
  <si>
    <t>2021_Questions</t>
  </si>
  <si>
    <t>1.	下列「」內的字，讀音前後相同的是： (A)「賚」賞諸徒／「齎」志以歿	(B)「阡」陌交通／惹禍招「愆」 (C)「餔」糟歠釃／「仆」地哭號	(D)「矜」寡孤獨／罪無可「逭」</t>
  </si>
  <si>
    <t>2.	下列文句，完全沒有錯別字的是： (A)集中營裡的迫害手段聳人聽聞，諸多相關照片更是令人不忍卒睹 (B)這齣動畫電影劇情緊湊，妙趣恆生，締造本年度最高的票房紀錄 (C)李老師為學校架設的圖書網站正式起用，校方特頒獎狀以致謝忱 (D)大家對聚餐地點莫衷一是，經投票後，決定到牛排餐廳大塊朵頤</t>
  </si>
  <si>
    <t>3.	依據文意，甲、乙、丙、丁、戊排列順序最適當的是： 牠哭起來固然一片悽慄， 甲、這時貓頭鷹「嘿嘿──嘿嘿──嘿嘿──嘿嘿」一波又一波的笑聲 乙、特別入秋以後，夜涼如水　　　　　丙、一輪明月把人幾乎拋入冰河之中 丁、尖冷到直直地透進人的骨髓　　　　戊、笑起來更帶給人無限尖冷 就老吏斷獄那樣地凌遲著整個世間，讓每一個人的再多麼神祕的隱私都沒有地方隱遁起來。（尉天驄〈眾鳥之什〉） (A)乙甲丁戊丙	(B)乙丙甲戊丁	(C)戊乙丁甲丙	(D)戊丁乙丙甲</t>
  </si>
  <si>
    <t>4.	閱讀下文，最適合填入□□內的詞依序是： 甲、當你工作時，你是一管蘆笛，通過笛心，將時光的□□演奏成樂音。（紀伯倫《先知》） 乙、山坡上偶爾有幾隻黑白相間的花牛和綿羊，在從容□□草野的空曠。（余光中〈風吹西班牙〉） 丙、植物的緘默總包含千言萬語，但又可以將世間無盡喧囂，□□為深沉的靜謐。（徐國能〈蒲葵〉） (A)歌唱／呼吸／幻化	(B)歌唱／咀嚼／收攏 (C)呢喃／咀嚼／收攏	(D)呢喃／呼吸／幻化</t>
  </si>
  <si>
    <t>5.	關於下文意象，說明最適當的是： 在每一個烈陽如漿的白日裡，祖母在田畝中佝僂耕種。在每一節翻土、播種、除草、施肥的動作間，揮汗如雨。強大的日光，攫取祖母髮中的黑色素與汗水蘸成墨汁下嚥，經過時間的消化後排泄出來，叫做黑夜。 濃稠的黑夜在暗中默默的成長，流淌於小溪庭院、穀倉柴坊、豬舍雞寮，並不斷的擴張向田畝間的菜圃和水塘。夜色如墨，團團緊緊的包圍村莊，但它卻鎭不住祖母的雙腳，她背負著浩大的夜色，如同白日頂著烈陽，仍不斷的在田畝間穿梭，在豬舍雞寮間忙碌著。（葉國居〈髻鬃花〉） (A)烈陽如漿：形容祖母對子孫們的深厚關愛，彷如陽光般溫暖 (B)髮中的黑色素與汗水蘸成墨汁：暗喻祖母勞動且漸老的身影 (C)濃稠的黑夜：凸顯祖母農務負擔沉重，不敢寄望光明的未來 (D)背負著浩大的夜色：對比祖母日夜忙碌，卻收成有限的辛酸</t>
  </si>
  <si>
    <t>6.	依據下文，最符合作者對「心結」看法的是： 人都說，心結宜解不宜結。又說，解開心結就是海闊天空。可是，人生怎麼少得了心結？一旦海闊天空，人心又將空懸何處？ 許多人心裡都有心結的場所，例如：故鄉的母校──初戀、體罰、模擬考，都在那裡發生。有些人每次回到故鄉，就一定要去母校走走；有些人卻一定要避開母校。心結可能是甜美的，也可能是痛苦的。不管心結的場所被珍愛，還是被憎惡，此等強烈的愛憎情緒，都證明了心結有多要緊。心結的場所，是數學X軸Y軸交叉的原點，有了原點，我們才知自己置身哪一個座標格子裡，才覺得踏實。 心結是一支大頭針，可以把一張地圖釘在牆上。如果大頭針掉失了，牆上的地圖也就垮下來。（改寫自紀大偉〈心結〉） (A)心結或甜美或痛苦，美者宜留，苦者宜解 (B)產生心結的場所總令人卻步，不願再接近 (C)人生因心結而有支點、能定著，不致虛空 (D)生命不斷前行，無須回首心結，自招煩惱</t>
  </si>
  <si>
    <t>7.	關於下列新詩，解讀最不適當的是： 孤獨的小舟都是歪斜地擱著／全世界的沙灘都是如此的／而如同歪斜的頭／裡面充盈著悲哀（方旗〈小舟〉） (A)以「舟」喻人，凸顯生命被擱淺的悲哀 (B)用「沙灘」的單調，暗喻生活千篇一律 (C)「都是如此的」強調人舟孤獨的普遍性 (D)兩次「歪斜」描寫人舟頹然無力的姿態</t>
  </si>
  <si>
    <t>8.	下文　　內最適合填入的詞語依序是： 甲、上書陳事，起自戰國，逮於兩漢，風流彌廣。原其體度：攻人主之長短，　　之徒也；訐群臣之得失，訟訴之類也；陳國家之利害，　　之伍也；帶私情之與奪，　　之儔也。總此四塗，賈誠以求位，鬻言以干祿，或無絲毫之益，而有不省之困。（顏之推《顏氏家訓》） 乙、大凡為文，須要有溫和敦厚之氣，　　告君文字，蓋尤不可無也。（吳訥《文章辨體序》） (A)諫諍／對策／遊說／章疏	(B)諫諍／章疏／遊說／對策 (C)遊說／對策／諫諍／章疏	(D)遊說／諫諍／章疏／對策</t>
  </si>
  <si>
    <t>9.	「……者，……也」是古文判斷句的典型結構，例如「南冥者，天池也」，即「所謂南冥就是天池」。下列文句，不是表達判斷語意的是： (A)望之蔚然而深秀者，琅邪也 (B)以為凡是州之山水有異態者，皆我有也 (C)夫史者，民族之精神，而人群之龜鑑也 (D)鄭、衛、桑間、韶虞、武象者，異國之樂也</t>
  </si>
  <si>
    <t>10.	關於下文〈烏鵲歌〉的解釋，最適當的是： 韓憑，戰國時為宋康王舍人。妻何氏美，王欲之，捕舍人，築青陵台。何氏作〈烏鵲歌〉以見志，遂自縊死：「南山有烏，北山張羅。烏自高飛，羅當奈何。烏鵲雙飛，不樂鳳凰。妾是庶民，不樂宋王。」（《九國志》） (A)以「烏」暗指宋康王的邪惡	(B)以「羅」比喻利誘韓憑的圈套 (C)以「高飛」凸顯何氏的自主意志	(D)以「鳳凰」形容韓憑夫婦情意堅貞</t>
  </si>
  <si>
    <t>11.	依據下文，最符合主旨的敘述是： 天下有可為其半而不可為其全者，偏枯之藥可以治偏枯，倍其偏枯之藥不可以起死人也。天下有可為其全而不可為其半者，樵夫擔薪兩鈞，捷步以趨，去其半而不能行，非力不足，勢不便也。（章學誠《文史通義》） (A)再珍貴的藥材亦無法起死回生，面對死生窮達，當樂天知命 (B)行百里者半九十，不能成事者多因半途而廢，並非力不能及 (C)應世處事不能拘執一方，必須衡量狀況，審時度勢以制其宜 (D)完滿或缺殘非由表象判斷，而是取決於主體如何處理和定義</t>
  </si>
  <si>
    <t>12.	關於下文王若虛的論述方式，說明最適當的是： 「郊寒白俗」，詩人類鄙薄之。然鄭厚評詩，荊公、蘇、黃輩曾不比數，而云：「樂天如柳陰春鶯，東野（郊）如草根秋蟲，皆造化中一妙」，何哉？哀樂之真，發乎情性，此詩之正理也。(王若虛《滹南詩話》） (A)運用對比映襯以凸顯詩人品格上的差異 (B)藉物象之喻強調詩人長於自然草蟲之詠 (C)先述習見論評，再引前人說法表達觀點 (D)先分述各家短長，再總論詩歌創作之道</t>
  </si>
  <si>
    <t>13.	施先生參加朋友舉辦的宴會，贈詩一首：「桂已飄香菊作花，門前遙駐七香車。競傳丰度誠端好，定卜咸宜到室家。」依據詩意，最適合這場宴會的題辭是： (A)珠聯璧合	(B)椿萱並茂	(C)君子攸居	(D)望重桑梓</t>
  </si>
  <si>
    <t>14.	依據下表的故事角色設定，推斷古代經典中的人物關係，最適當的敘述是： 
導師（①是必備條件）①博學知識或技能，主角因此獲得啟發。㑂㑂②有時會贈予主角重要或救命之物。③不拘年紀，也可能是平庸、無德之人。
夥伴（①是必備條件）①忠於主角，值得信賴。②目標與主角相同，但地位或能力不如主角。③有時會質疑主角，在衝突中提供建議。
(A)《史記》中，樊噲是劉邦的伙伴 (B)《楚辭》中，漁父是屈原的導師 (C)《紅樓夢》中，薛寶釵是林黛玉的伙伴 (D)《儒林外史》中，胡屠戶是范進的導師 15-17為題組。閱讀下列詞選資料，回答15-17題。</t>
  </si>
  <si>
    <t>15-17為題組 。閱讀下列詞選 資料，回答 15-17題。
南宋時期：
《梅苑》選錄了1位女詞人，共有18首作品。
《樂府雅詞》選錄了2位女詞人，共有33首作品。
《草堂詩餘》選錄了3位女詞人，共有13首作品。
《唐宋諸賢絕妙詞選》選錄了10位女詞人，共有29首作品。
明代時期：
《頻編草堂詩餘》選錄了3位女詞人，共有15首作品。
《詞綜》選錄了6位女詞人，共有18首作品。
《花草粹編》選錄了52位女詞人，共有147首作品。
《古今詞統》選錄了30位女詞人，共有62首作品。
備註：
諸書選錄到的總作數/女詞人總數分別為：421首/82人，923首/95人。
李清照和朱淑真詞作有時有缺篇數：
李清照：在《題扇》1卷中入選。
《李》收錄了2首詞。
其他《李》版本則收錄了更多首詞（例如9首、6首等）。</t>
  </si>
  <si>
    <t>15.	關於上表內容的探究，最適當的是： (A)從四本明代詞選的備註「#」可知，部分繫名為李清照的詞作，真正作者是朱淑真 (B)南宋詞選偏好孫夫人、魏夫人詞作的情況，到明代有所轉變，二位詞人的地位改由朱淑真取代 (C)《唐宋諸賢絕妙詞選》肯定女詞人，「閨秀」卷共收錄十位女詞人詞作，每位至少選錄二首作品 (D)參考備註「*」推算《梅苑》、《樂府雅詞》中每位詞人的獲選作品平均量，可對照出李清照詞頗受二書青睞</t>
  </si>
  <si>
    <t>16.	若以上表為研判依據，關於甲、乙兩項推論，最適當的是： 甲、《花草粹編》選錄的詞人總數、詞作總數，均比《樂府雅詞》超出許多。 乙、《類編草堂詩餘》僅調整《草堂詩餘》的分類方式，未更動收錄的詞作。 (A)甲正確，乙錯誤	(B)甲錯誤，乙正確 (C)甲無法判斷，乙錯誤	(D)甲正確，乙無法判斷</t>
  </si>
  <si>
    <t xml:space="preserve">17.	上表中的詞選多有收錄李清照〈武陵春〉。關於此詞的解讀，最不適當的是： 風住塵香花已盡，日晚倦梳頭。物是人非事事休，欲語淚先流。　　聞說雙溪春尚好，也擬泛輕舟。只恐雙溪舴艋舟，載不動、許多愁。 (A)藉由「花已盡」、「日晚」象徵美好事物的凋逝和歲月的滄桑 (B)以「倦梳頭」、「淚先流」表現物是人非、世事無常的無力感 (C)以「聞說」、「也擬」、「只恐」層遞表現出愈益濃烈的遊興 (D)藉由「舴艋舟」之「載不動」，述說自我承受不住憂愁之深重 </t>
  </si>
  <si>
    <t>18-19為題組。閱讀下文，回答18-19題。  
甲:
人之所以異於禽獸者，幾希。庶民去之，君子存之。舜明於庶物，察於人倫，由仁義行，非行仁義也。（《孟子》）  
乙:
「幾希」，言幾於無也，乃一線之象，非一點之象，凡事俱異。凡事之異無多，稍一差錯，則墮入彼中。如禽獸亦未嘗不知「庶物」，只是不「明」；亦未嘗不有「倫類」，只是不「察」；未嘗不有所愛，而不能「行仁」；未嘗不求所宜，而不能「行義」。舉凡日用飲食，俱有異處，而俱差不遠，此其所以必戰兢惕厲，無念無事不思求其所以「異」也。「存之」，謂存其所以異者，以要言之，謂之人道。（《四書箋解》）</t>
  </si>
  <si>
    <t>18.	下列敘述，最符合乙文對甲文「人禽之辨」詮釋的是： (A)人禽在道德意識和日用飲食等各方面，都有很大差異 (B)禽獸亦具對外在事物的認知能力，且擁有情感和好惡 (C)人只要稍有過錯，在價值層次上，即墮入禽獸的範疇 (D)禽獸未嘗無仁義之心，但缺乏追求仁義的意志和智力</t>
  </si>
  <si>
    <t xml:space="preserve">19.	依據甲、乙二文，君子面對「幾希之異」的態度是： (A)嚴別差異，彰示人道的尊嚴和價值 (B)存同去異，建立物我共同遵循的仁義準則 (C)異中求同，探索萬物在紛殊表象下的共同本質 (D)尊重差異，體認萬物平等，脫離以人為本位的思考 </t>
  </si>
  <si>
    <t>20-21為題組。閱讀下文，回答20-21題。 我曾開玩笑說，專業經理人像哈士奇，吃的是每個月主人給的飼料；創業家像狼，必須聞得到血的味道，捕不到獵物就無法生存。哈士奇的時間是主人的，沒有了主人，他的時間就沒有價值，狼的時間則屬於自己。出售有限的時間，是上班族哈士奇的獲利模式。狼的視野不一樣，他們不會單獨行動，因為狩獵靠的是狼群，所以狼懂得購買別人的時間來做事。 哈士奇的時間如何計價？價格通常來自價值，而「to be（你是誰）」的價值比「to do（做的內容）」高很多。以演講為例，如果會製作精美的簡報，可能一小時計價千元；如果內容很有用，可能一小時值萬元。不過，如果請林志玲演講，企業願意付更高費用的理由，不是簡報精美或內容有用，而是因為演講者是林志玲。 雖然有血統的哈士奇比會看家的土狗值錢，但不斷學習成長的土狗，當他的價值被公司過度低估，那就是他出走的時候。出走的頂尖土狗沒有主人的飼料，很快就會變成狼。（改寫自盧希鵬《為什麼員工都是哈士奇，狼呢？》）</t>
  </si>
  <si>
    <t>20.	下列敘述，最符合上文觀點的是： (A)創業家全憑視野，不需有專業經理人的學養 (B)人才若形成品牌，便難以用一般標準衡量其價值 (C)狼具有侵略性，迫使哈士奇以販售時間交換生計 (D)土狗靠出走成為狼，哈士奇靠時間熬得久而成為狼</t>
  </si>
  <si>
    <t>21.	依據上文，關於甲、乙兩項推論，最適當的研判是： 甲、〈諫逐客書〉中李斯對秦王說：「今逐客以資敵國，損民以益讎，內自虛而外樹怨於諸侯，求國無危，不可得也。」──李斯是價值被低估而想出走的土狗。 乙、〈虬髯客傳〉中虬髯對李靖說：「某本欲於此世界求事，或當龍戰三二十載，建少功業。今既有主，住亦何為？太原李氏，真英主也。三五年內，即當太平。李郎以英特之才，輔清平之主，竭心盡善，必極人臣。」──虬髯是希望保有自己時間的狼，期許李靖成為優秀的哈士奇。 (A)甲、乙皆正確	(B)甲、乙皆錯誤 (C)甲正確，乙錯誤	(D)甲錯誤，乙正確</t>
  </si>
  <si>
    <t>22-23為題組。閱讀下文，回答22-23題。 臺北是我出生、成長，居住了三十年的地方，卻不是我的家。因為，比起臺北人，他們更喜歡叫我原住民。 「107-2-8號。」監考人員盯著我的族語准考證，「請坐到那邊第三臺電腦。」捏著准考證，我逐步邁向祖靈的召喚。這是一間新穎的電腦教室，日光燈照亮了每一個本該陰暗的角落。側身越過喃喃背誦族語的考生，他們大部分是孩子，稚嫩的臉龐，埋藏著對繁華都市的無限想像。其中少數幾位，是看起來不大適應電腦設備的長輩，眼神中透露出一絲溫柔的倔強。雖然只是在七樓，             ，在這之前，我不曾在臺北遇過這麼多族人齊聚一堂，更從未在他們臉上看見如此戒慎恐懼的模樣。按監考人員指示，我坐入指定位置，左右張望，這所歷史悠久的女校，此刻被賦予傳承臺灣千年傳統文化的神聖使命，而呆坐在試場中心，戶籍設在臺北市的我，卻是整個歷史洪流中的盲點。 「請檢查桌上貼紙，確認是你的位置。」我是否在正確的位置？成長過程中，常有人問我「妳從哪裡來？」若誠實回答臺北，總不免換來「我指的是妳──真正──從哪裡來？」配上自認與我心有靈犀的挑眉。無奈的是，這類拒絕接受真相的提問總以千變萬化的形式反覆出現──「妳什麼時候過年？我指的是──真正──的豐年祭。」或是「妳叫什麼名字？我指的是妳──真正──的名字。」 「請戴上耳機測試麥克風，確認音量。」監考人員喚回我紛亂的思緒。 「Ciwas lalu mu.」我小心翼翼托著麥克風，謹慎地咬字。Ciwas是我「真正」的名字──真正沒人稱呼的名字。（改寫自游以德〈族語認證〉）</t>
  </si>
  <si>
    <t>22.	依據文意脈絡，文中             內最適合填入的文句是： (A)教室裡彷彿散發著遼闊原野的綠草香味 (B)試場中似乎吹拂著來自海洋的湛藍氣息 (C)闈場內依稀湧動著一縷篝火的熾焰氣味 (D)考場中隱約瀰漫著一股高海拔的芬多精</t>
  </si>
  <si>
    <t xml:space="preserve">23.	上文反覆提及「真正」一詞，關於此詞所表達的境況或心情，最不適當的敘述是： (A)茫然於自己在歷史洪流中的存在位置，並展開對身分歸屬的叩問與追尋 (B)成長過程中，常因他人的刻板印象而被貼上制式標籤，區劃為不同族群 (C)「是我『真正』的名字」語帶無奈和自嘲，因自己真實的名字竟須由旁人認定 (D)呼應首段「不是我的家」，表達雖生於臺北，仍心繫祖靈，無法接受繁華都城 </t>
  </si>
  <si>
    <t xml:space="preserve">24-25為題組。閱讀下文，回答24-25題。  
甲:
壹山澤，則惡農、慢惰、倍欲之民無所於食；無所於食則必農，農則草必墾矣。貴酒肉之價，重其租，令十倍其樸；然則商賈少，農不能喜酣奭，大臣不為荒飽。商賈少，則上不費粟；民不能善酣奭，則農不慢；大臣不荒，則國事不稽，主無過舉。（《商君書》）   
壹山澤：由國家統管山澤之利 。
樸：原價。
酣奭：暢飲縱情。
稽：延宕 。
乙:
慶曆中，議弛茶鹽之禁及減商稅，范文正以為不可：茶鹽、商稅之入，但分減商賈之利耳，行於商賈未甚有害也。今國用未減，歲入不可闕，既不取之於山澤及商賈，須取之於農；與其害農，孰若取之於商賈？今為計莫若先省國用，國用有餘，當先寬賦役，然後及商賈，弛禁非所當先也。其議遂寢。（沈括《夢溪筆談》）
</t>
  </si>
  <si>
    <t>24.	關於甲、乙二文對商賈和山澤之利的態度，敘述最適當的是： (A)甲文主張調漲酒肉價格，提高商賈獲利，以活絡經濟 (B)乙文中，范文正認為維持茶鹽之禁，並不會危及商賈 (C)甲文主張由國家統管山澤之利，將獲利分配給飢乏的百姓 (D)乙文中，范文正認為歲入短缺時，不應取之於山澤及商賈</t>
  </si>
  <si>
    <t xml:space="preserve">25.	關於甲、乙二文對農業和農民的態度，敘述最適當的是： (A)甲文主張減少農民酒肉之樂的機會，使其專注於農作 (B)乙文中，范文正主張給予農民賦稅優惠，以獎勵務農 (C)二文皆認為執政者的驕荒怠惰是造成農業不振的主因 (D)二文皆認為農民是經濟上的弱勢族群，應該予以保護 </t>
  </si>
  <si>
    <t>26-28為題組。閱讀下文，回答26-28題。  
甲:
一般人不瞭解文字和思想情感的密切關係，以為更改個字不過是要文字順暢些或是漂亮些。其實更動了文字，就同時更動了思想情感，內容和形式是相隨而變的。例如韓愈在月夜裡聽賈島吟詩，有「鳥宿池邊樹，僧推月下門」兩句，韓愈建議「敲」字為佳。這段文字因緣傳為美談，於今要把咬文嚼字的意思說得好聽一點，都說「推敲」。古今人也都讚賞「敲」字比「推」字下得好，其實這不僅是文字上的分別，同時也是意境上的分別。 「推」固然顯得魯莽一點，但是它表示孤僧步月歸寺，門原來是他自己掩的，於今他「推」。他須自掩自推，足見寺裡只有他孤零零的一個和尚。在這冷寂的場合，他有興致出來步月，興盡而返，獨往獨來，自在無礙。他也自有一副胸襟氣度。「敲」就顯得他拘禮些，也就顯得寺裡有人應門。他彷彿是乘月夜訪友，自己不甘寂寞，那寺裡假如不是熱鬧場合，至少也有些溫暖的人情。比較起來，「敲」的空氣沒有「推」那麼冷寂。就上句「鳥宿池邊樹」看來，「推」似乎比「敲」要調和些。「推」可以無聲，「敲」就不免剝啄有聲，驚起了宿鳥，打破了岑寂，也似乎平添了攪擾。 所以我很懷疑韓愈的修改是否真如古今所稱賞的那麼妥當。究竟哪一種意境是賈島當時在心裡玩索而要表現的，只有他自己知道。「推」字和「敲」字哪一個比較恰當，關鍵在於哪種境界是他當時所要說的且與全詩調和的。在文字上推敲，骨子裡是在思想情感上「推敲」。（改寫自朱光潛《談文學》）  
乙:
王夫之《薑齋詩話》云：「『僧敲月下門』，只是妄想揣摩，如說他人夢。縱令形容酷似，何嘗毫髮關心？知然者，以其沉吟『推』、『敲』二字，就他作想也。若即景會心，則或推或敲，必居其一。因景因情，自然靈妙，何勞擬議哉？」王夫之以為詩中佳境，對詩人而言，不可「預擬」，初無定景，初非想得，否則，「只是措大燈窗下鑽故紙物事」，或者「妄想揣摩，如說他人夢了」。佳句乃當時情景，即詩人「即景會心」、「因景因情」時所拾得，「何勞擬議哉」？（改寫自蕭馳《聖道與詩心》）</t>
  </si>
  <si>
    <t>26.	甲文朱光潛「懷疑韓愈的修改是否真如古今所稱賞的那麼妥當」的理由是： (A)用「敲」字不能展現詩人的胸襟氣度 (B)用「推」字與全詩冷寂的氛圍更相應 (C)「敲」字有聲響感，攪擾寺內的莊嚴氣氛 (D)「推」字雖魯莽，但能表達僧人訪友心情</t>
  </si>
  <si>
    <t>27.	乙文中，王夫之認為「或推或敲，必居其一」的原因是： (A)若韓愈有近似的經驗，就無須揣摩賈島的實際狀況，可直接選出推或敲 (B)若韓愈能從全詩調和的情境來考慮，就能知道用推或敲，何者意境較佳 (C)若賈島能從傳統佳作中鍛鍊用字技巧，就能輕易選定推或敲，不必詢問他人 (D)若賈島能依據真實經驗，寫出當時景物及內在情感，就能清楚應選擇推或敲</t>
  </si>
  <si>
    <t>28.	依據甲、乙二文，下列敘述最不適當的是： (A)朱光潛強調文字上的斟酌與推敲，其實更動後表現的是不同的思想情感 (B)王夫之認為在文字上沉吟推敲，即使最終文辭巧妙，仍非出自真實情感 (C)朱光潛懷疑僧敲月下門未必比僧推月下門更好，王夫之則未做高下評判 (D)王夫之、朱光潛均認為推敲文字首重全詩情調一致，才能臻至自然靈妙</t>
  </si>
  <si>
    <t>29-30為題組。閱讀下文，回答29-30題。 人能藉手語溝通，可知語音並非語言的必要因素。小鳥啁啾、海豚吱吱，都近似人類語言的溝通系統，可見動物的溝通系統和人類語言的不同，絕非在於缺少語音。 動物能在聲音上模仿人類的話語，並不表示牠們擁有語言。會說話的鳥並不會把牠們模仿的聲音切成獨立的單位，而人類語言的特質之一，則是語音或手勢單位的獨立性，單位之間有次序，可重新排序，可合併也可分開。總之，鸚鵡只會說人家教牠或牠所聽到的，再無其他。 很多種鳥的叫聲的確具有溝通功能，且同一種鳥可能也有「方言」之別。鳥語（bird calls）是包括一聲或一聲以上的短叫聲，傳達和環境相關的訊息，例如危險、餵食、築巢、群聚等等；鳥鳴（bird songs）則是較為複雜的鳴叫形態，用來宣示勢力範圍，並可吸引配偶。這些鳥叫聲看不出任何內在的結構，也不能像人類語言能分出獨立具有意義的單位。一篇有關知更鳥勢力圈鳴聲的研究中發
現：敵對的知更鳥只注意高頻和低頻聲的轉換，何者在前何者在後，其實無關緊要。訊息內容的差異，也只限於這些知更鳥對牠的東西擁有慾多強或牠的抵抗決心多高，以及在勢力圈內築巢的意志多強等等。因此，高、低頻的轉換，只是表達不同感受程度而已。知更鳥的創造力，在於能用不同方式做相同訊息的鳴叫，但牠不能利用各種單位作不同組合，表達不同訊息。（改寫自V. Fromkin等著，黃宣範譯《語言學新引》）</t>
  </si>
  <si>
    <t>29.	依據上文，下列對於鳥叫聲的敘述，最適當的是： (A)可藉其內在的結構，表達不同程度的感受 (B)以短叫聲來表達欲望、意志和決心的強弱 (C)能夠多樣組合各種意義單位，藉以表達不同的訊息 (D)知更鳥能以不同頻率的鳴叫轉換，傳達相同的訊息</t>
  </si>
  <si>
    <t xml:space="preserve">30.	依據上文，關於動物與人類的語言，推論最適當的是： (A)鸚鵡經由良好的訓練，可以理解沒聽過的人類話語 (B)動物沒有語言能力，關鍵在於缺少人類的發音器官 (C)人類語言與其他動物溝通系統的相異，在於複雜的語法結構 (D)學習新語言多從發音開始，可知語音是人類語言的必要元素 </t>
  </si>
  <si>
    <t>31-32為題組。閱讀下文，回答31-32題。 夫足下之書，始所云者欲至乎道也，而所質者則辭也，無乃務其淺，忘其深，當急者反徐之歟！夫道之大歸非他，欲其得諸心，充諸身，擴而被之國家天下而已，非汲汲乎辭也。其所以不已乎辭者，非得已也。孟子曰：「          」此其所以為孟子也。今足下其自謂已得諸心、充諸身歟？擴而被之國家天下而有不得已歟？不然，何遽急於辭也？（曾鞏〈答李沿書〉）</t>
  </si>
  <si>
    <t>31.	上文          內最適合填入的文句是： (A)予豈好辯哉？予不得已也	(B)無辭讓之心，非人也 (C)不以文害辭，不以辭害志	(D)盡信書，則不如無書</t>
  </si>
  <si>
    <t xml:space="preserve">32.	依據上文，曾鞏主要是想提醒李沿： (A)治天下應恤民重諾	(B)寫文章應深入淺出 (C)讀書不宜欲速躁進	(D)為學不宜捨本逐末 </t>
  </si>
  <si>
    <t>33-34為題組。閱讀下文，回答33-34題。 魏王欲攻邯鄲，季梁聞之，中道而反。衣焦不申，頭塵不去，往見王曰：「今者臣來，見人於大行，方北面而持其駕，告臣曰：『我欲之楚。』臣曰：『君之楚，將奚為北面？』曰：『吾馬良。』臣曰：『馬雖良，此非楚之路也。』曰：『吾用多。』臣曰：『用雖多，此非楚之路也。』曰：『吾御者善。』此數者愈善，而離楚愈遠耳。今王動欲成霸王，舉欲信於天下；恃王國之大、兵之精銳，而攻邯鄲，以廣地尊名。王之動愈數，而離王愈遠耳，猶至楚而北行也。」（《戰國策》）</t>
  </si>
  <si>
    <t>33.	上文特意描繪季梁往見魏王時「衣焦不申，頭塵不去」的形象，主要在凸顯： (A)個性率真，不重外貌衣著	(B)君臣親密，不拘繁文縟節 (C)事態緊急，不暇梳洗更衣	(D)旅途艱辛，不辭跋山涉水</t>
  </si>
  <si>
    <t>34.	下列敘述，最符合上文所欲表達觀點的是： (A)前車之鑑，可以為師	(B)欲速不達，弄巧成拙 (C)緣木求魚，徒勞無功	(D)駑馬十駕，功在不舍</t>
  </si>
  <si>
    <t>35.下列各組「」內的詞語，意義前後相同的是： (A)山川相繆，鬱乎「蒼蒼」／兩鬢「蒼蒼」十指黑 (B)無「惛惛」之事者，無赫赫之功／心神恍惚，「惛惛」如醉 (C)今君有「區區」之薛，不拊愛子其民／奚必於「區區」耳目之所及，度量世外事乎 (D)自余為僇人，居是州，恆惴慄。其隟也，則「施施」而行／達官坐享俸祿，「施施」自得 (E)吾諸兒「碌碌」，他日繼吾志事，惟此生耳／軾也，遠方之鄙人，家居「碌碌」，無所稱道</t>
  </si>
  <si>
    <t>36.	對偶有「正對」、「反對」之別。「正對」的特徵是事異義同，上下句意思雷同，例如「木受繩則直，金就礪則利」；「反對」的特徵是藉由異質或相反事物的並列對照，凸顯意旨，例如「棄燕雀之小志，慕鴻鵠以高翔」。下列對偶的歸類，完全符合上述定義的是：
(A)正對：日星隱耀，山岳潛形,反對：西伯幽而演易，周旦顯而制禮
(B)正對：物窮必變，慘極知悔,反對：受任於敗軍之際，奉命於危難之間
(C)正對：塞客衣單，孀閨淚盡,反對：桃李春風一杯酒，江湖夜雨十年燈
(D)正對：位卑則足羞，官盛則近諛,反對：麝蘭芳靄斜陽院，杜若香飄明月洲
(E)正對：一死生為虛誕，齊彭殤為妄作,反對：竭誠則胡越為一體，傲物則骨肉為行路</t>
  </si>
  <si>
    <t>37.	古文表達兩事物相比較時，常運用「形容詞＋於＋名詞」的句型，例如：「羅紈之盛，多於堤畔之草」，「多於堤畔之草」即「比堤畔之草多」的意思。下列含有「於」的句子，屬於此種表意方式的是： (A)松柏後凋於歲寒 (B)此非孟德之困於周郎者乎 (C)沛公曰：孰與君少長？良曰：長於臣 (D)是故弟子不必不如師，師不必賢於弟子 (E)秦、晉圍鄭，鄭既知亡矣。若亡鄭而有益於君，敢以煩執事</t>
  </si>
  <si>
    <t xml:space="preserve">CD </t>
  </si>
  <si>
    <t>38.	下列文句畫底線處的詞語，運用適當的是： (A)終場哨聲響起前，林書豪以一記強弩之末的絕殺球，助球隊逆轉勝 (B)多年未見的同學在小陳的婚宴上歡聚，筵席上觥籌交錯，熱鬧無比 (C)面對錯綜複雜的國際局勢，須具縱橫捭闔、折衝樽俎的智慧和能力 (D)小華遭指控偷竊金錢，因此深感憤怒，極力申辯此為絕無僅有之事 (E)老張八面玲瓏，不輕易表露真實想法，總是首鼠兩端，誰也不得罪</t>
  </si>
  <si>
    <t>39.	關於下列小說中文句的解讀，適當的是： 鄭大全覺得一腔內臟都餓得亂拱，發出很醜惡的聲響。他想，把這樁推銷做成，馬上去吃個九角九的漢堡。 茉莉並沒察覺鄭大全的笑與搭腔都是在為他下一次進攻做準備。她只認為這推銷員的笑十分友善體貼。已經很久沒有這麼一張臉如此近地對著她，容她盡興地東拉西扯。 鄭大全急得盜了汗，卻怎樣也插不上嘴。老婦人的話似乎是堵在肚中的棉花絮，此刻全從嘴紡出線來。有的紡呢。妻子這時一定邊做活邊看天色，一分一秒地在巴望他。妻子七月身孕就那麼墜在大腿上，拼裝出上百件塑料玩具，直到腿腫得如兩截橡皮筒。他非讓這老洋婆子買下一張床，她已經耗掉他四小時了！（嚴歌苓〈茉莉的最後一日〉） (A)「發出很醜惡的聲響」表現鄭大全對茉莉的不耐和厭惡，覺得她聲音難聽刺耳 (B)「為下一次進攻做準備」描寫鄭大全雖滿臉堆笑，其實只在盤算如何打動茉莉 (C)「堵在肚中的棉花絮」敘寫茉莉心中積累許多話語，也表現她期待傾吐的心情 (D)「此刻全從嘴紡出線來」形容茉莉口才便給，可以將尋常事物描繪得引人入勝 (E)「拼裝出上百件塑料玩具」描繪鄭大全妻想像孩子出世後，和孩子玩耍的情景</t>
  </si>
  <si>
    <t>40.	依據下文，符合故事內容的敘述是： 晉國苦盜。有郄雍者，能視盜之貌，察其眉睫之間，而得其情。晉侯使視盜，千百無遺一焉。晉侯大喜，告趙文子曰：「吾得一人，而一國盜為盡矣，奚用多為？」文子曰：「吾君恃伺察而得盜，盜不盡矣。且郄雍必不得其死焉。」俄而群盜謀曰：「吾所窮者，郄雍也。」遂共盜而殘之。晉侯聞而大駭，立召文子而告之曰：「果如子言，郄雍死矣！然取盜何方？」文子曰：「周諺有言：『察見淵魚者不祥，智料隱匿者有殃。』且君欲無盜，莫若舉賢而任之，使教明於上，化行於下，民有恥心，則何盜之為？」於是用隨會知政，而群盜奔秦焉。（《列子》） (A)郄雍善於鑒人，能由人物的面目氣質判斷其是否為盜賊 (B)郄雍善於察盜，晉侯大喜而授以專權，晉國亦因而大治 (C)郄雍的表現引起同儕的嫉妒而遭殺害，符合文子的預言 (D)文子認為過於善察和用智並非好事，將會為己招來災禍 (E)文子將善於教化百姓的隨會推薦給晉侯，盜賊因而遷善</t>
  </si>
  <si>
    <t>41.	依據下文，關於背景知識的敘述，適當的是： 背景知識就像個篩網，網越細密，新知識越不會流失；例如同樣去聽一場演講，有人獲益良多，有人一無所獲，最主要的原因是語音像一陣風，只有綿密的網才可以兜住它。背景知識又像個架構，有了架子，新進來的知識才知道往哪兒安放，當每個格子都放滿了，一個完整的圖形就會顯現出來，一個新的概念於焉誕生。心理學有個著名的實驗：把一盤殘棋給西洋棋生手看二分鐘，然後要他把這盤棋重新排出來，他無法做到；但是給西洋棋大師看同樣長的時間，則能正確地將棋子重新排出來。是大師的記憶力比較好嗎？當然不是，因為當我們把一盤隨機安放的棋子給大師看，請他重排時，他的表現就跟生手一樣了。大師和生手唯一的差別就在於有背景知識，使得殘棋變得有意義，意義度減輕了記憶的負擔。背景知識所建構出的基模會主動去搜尋已存的有用資訊，將新獲得的知識放在適當的位置上，組合成有意義的東西，一個沒有意義的東西會很快就淡出我們的知覺系統。（改寫自洪蘭《哈啦與抓虱的語言‧序》） (A)背景知識可以增強主體的記憶力，使主體的知覺系統更加敏銳 (B)專門領域的大師和生手之異，在於是否具備多種類的背景知識 (C)背景知識的多寡，會影響主體對新知識的接受程度和理解速度 (D)背景知識越豐富者，越能為新資訊找到適當的連結，並使它具備意義 (E)背景知識建構了主體的認知模型，讓主體有主動向外搜尋資料的能力</t>
  </si>
  <si>
    <t>42.	下列甲、乙二詩都以「考試」為寫作題材，關於二詩的解讀，敘述適當的是：  
甲:
然則作為一個籃框／就是要被命中的／我們都曾經來到其下／等待過一次／最美的跳投 高高地／它懸在那裡／像極了一個天使的光環／發亮的手銬／像極了／所謂的永遠（陳雋弘〈籃框──與我的學生們一起倒數，七十六天〉） 
乙:
填完這些空白／就要和這一類的紙張告別了／語言如蚊蚋／每一個字／都刺痛紙上的肌膚 我們以油墨／撫慰紙張的傷口／等到油墨吸乾文字後／我們就和今天的自己／告別（簡政珍〈畢業考〉）
(A)甲詩與乙詩中的「等」，皆形容考前長期準備的焦慮 (B)甲詩以「光環」、「手銬」為喻，表達既期待又欲擺脫的複雜心情 (C)乙詩中的「空白」既指考卷上待填的答案，也暗喻因考試留白的青春 (D)甲詩以「籃框」暗指考生的才能難以發揮，乙詩以「油墨」暗指考生的答案千篇一律 (E)甲詩題目中的「倒數」和乙詩中的「告別」，皆暗指考試是進入人生下一階段的轉折</t>
  </si>
  <si>
    <t xml:space="preserve">BCE </t>
  </si>
  <si>
    <t>2022_Questions</t>
  </si>
  <si>
    <t>1.	下列「」內的字，讀音前後相同的是： (A)既瘖且「痺」／彈箏搏「髀」	(B)不「忮」不求／「庋」藏字畫 (C)「攢」蹙累積／踰牆「鑽」穴	(D)「剜」肉補瘡／壯士斷「腕」</t>
  </si>
  <si>
    <t>2.	下列文句，完全沒有錯別字的是： (A)觀音山，故名思義是因遠眺貌似觀音躺臥而得名 (B)清晨的山谷中，不見遊客聚集，萬物靜寂，闃然無聲 (C)年終特賣會，在買一送一的強力促銷下，驅之若鶩者多 (D)有些人誤以為投資一本萬利，因而錯判形勢，終至傾家盪產</t>
  </si>
  <si>
    <t>3.	下列文句畫底線處的詞語，運用不適當的是： (A)世事變化無常，有如白駒過隙，總讓人感觸良多 (B)一味索求而不節制，無疑是竭澤而漁，自斷後路 (C)依循既往，墨守成規，很難在文創產業頭角崢嶸 (D)他們陷入進退維谷的狀態，心慌意亂，難以抉擇</t>
  </si>
  <si>
    <t>4.	依據下列框內資訊，關於斯卡羅族的敘述，最適當的是：       
學者甲:
斯卡羅族居住於海拔三百公尺以下，在清代已接觸較多漢人文化；在臺灣接受日本統治後，即以和平、合作的態度迅速成立國語傳習所。同化的程度越深，自我的認知越淡，族群離散也越快。
學者乙:
據大正六年調查，斯卡羅族豬朥束社僅八十九戶，連同射麻里社十九戶、龍鑾社二十一戶、貓仔社十多戶，即使加上已移住他鄉的族人，也不過二一〇戶，約一千人。到了昭和五年至七年臺北帝國大學調查時，只剩五百人左右。
(A)漢人文化對傳統習俗造成強烈衝擊，導致族人避居外地 (B)低海拔地區的生活條件不良，使族人的向心力日益淡薄 (C)族人響應日人政策設校學日語，間接導致族群日趨式微 (D)大正六年，已有逾半戶數移住他鄉，且多遷居豬朥束社</t>
  </si>
  <si>
    <t>5.	依據下文，關於文中所論不求甚解的讀書態度，敘述最適當的是： 讀書不求甚解的態度之一，是服膺高度的審美能力，要求讀書引發一種渾成的心智，如同詩的境遇，它雖借助於文字符號的撩撥，但讀書者實際所取得的，是自我的美經驗之誕甦。其中經不起任何外力挑剔，或慎思明辨等等反省解釋來「徒亂人意」。（改寫自王夢鷗《傳統文學論衡‧自序》） (A)毋須經由純理性的知解鍛造	(B)僅適於閱讀感性的詩歌作品 (C)不需要理解文字符號的涵義	(D)應契合社會公認的審美內涵</t>
  </si>
  <si>
    <t>6.	閱讀下列杜詩，依據詩意與格律，□□內最適合填入的詞語依序是： 甲、灩澦既沒孤根深，西來水多愁太陰。江天□□鳥雙去，風雨□□龍一吟。
（杜甫〈灩澦〉） 乙、舍西柔桑葉可拈，江畔細麥復□□。人生幾何春已夏，不放香醪如蜜甜。
（杜甫〈絕句漫興九首〉其八） (A)漠漠／瑟瑟／亭亭	(B)漠漠／時時／纖纖 (C)朗朗／時時／亭亭	(D)朗朗／瑟瑟／纖纖</t>
  </si>
  <si>
    <t>7.	依據下文，關於不龜手之藥的敘述，最適當的是： 宋人有善為不龜手之藥者，世世以洴澼絖為事。客聞之，請買其方百金。聚族而謀曰：「我世世為洴澼絖，不過數金；今一朝而鬻技百金，請與之。」客得之，以說吳王。越有難，吳王使之將，冬與越人水戰，大敗越人，裂地而封之。（《莊子‧逍遙遊》） (A)宋人認為它實際價格為百金	(B)它功能單一卻帶來不同效益 (C)越人用它來治療洴澼絖之害	(D)吳王為爭奪它派遣軍隊攻越</t>
  </si>
  <si>
    <t>8.	依據下文，關於曹操所頒布的經濟紓困方案與背景，敘述最適當的是： 王（曹操）令曰：「去冬天降疫癘，民有凋傷，軍興於外，墾田損少，吾甚憂之。其令吏民男女：女年七十已上無夫子，若年十二已下無父母兄弟，及目無所見，手不能作，足不能行，而無妻子父兄產業者，廩食終身，幼者至十二止。貧窮不能自贍者，隨口給貸。老耄須待養者，年九十已上，復不事，家一人。」（陳壽《三國志‧魏書》） (A)因疫癘橫行與軍隊大肆劫掠，帶來大量人民死亡，影響經濟生產甚鉅 (B)家無財產，亦無親屬可照顧之身體殘疾者，國家將其列入需紓困對象 (C)國家給予七十歲以上的老婦與幼兒終身照顧，後者滿十二歲即不適用 (D)貧窮到無法自給之人與九十歲以上待養的長者，適用同樣的紓困方案</t>
  </si>
  <si>
    <t>9-11為題組。閱讀下文，回答9-11題。 記得小學四年級以前寫自己的名字是「楨」，導師說我是女生，應改成「嫃」，從此我寫自己的名字都是「嫃」。直到高中入學被一位大嬸譏笑：「連自己的名字都寫錯。」此生第一次翻看戶口名簿，果然是「媜」。 可惜因多次播遷，已無任何文件可以證明我的名字曾寫成「楨」與「嫃」。日前查詢國小國中名冊，所留檔案皆是「媜」，戶政單位手抄戶籍登記簿上也是「媜」，並無改名註記。 姓名乃標示「我是誰」之首端。「媜」字神祕莫測，《康熙字典》才找得到，讀音如「爭」非「真」。折騰到十七歲，字寫對了，會念了，但不知是什麼意思。……大學時上聲韻學，得知「媜」字確實念「爭」，義為「女字」，女子名字。撰聯名家張佛千先生曾以我名為題賜下一聯：「文章高詣貴在簡，女子美字古曰媜。」蘊涵勉勵之意。女子美字，既云女子有個美好的名字，又可衍義為寫得一手好字，再撮要假借為博得「文章美名」的女子，誰云不宜。 貞，會意字，甲骨文字形似一口寶鼎加上一支神杖「卜」形，相合而為：依據鼎內火炙變化而察看神跡。遠古殷商，無事不占卜，貞人即卜人，卜者釋義需求正確、堅定，故衍生貞定、堅貞、貞節之辭，所指皆是不可動搖的精神境界。《康熙字典》收有「媜」字，自字面推想，从女从貞，寓意品德貞潔女子，然我更愛這麼想：一個善占卜的女巫。而「簡」本是遠古用來書寫的狹長竹片，既簡且媜，一個聚精會神觀察大鼎內火炙變化再將占卜結果寫在竹片上的女巫形象，躍然而出。（改寫自簡媜〈迷霧中，呼喚我的名字〉）</t>
  </si>
  <si>
    <t>9.	依據上文，關於「媜」字的說明，最適當的是： (A)與「楨、嫃」二字讀音相同	(B)在甲骨文中象徵占卜的女巫 (C)可以被聯想成品德貞潔的女子	(D)《康熙字典》釋為女子寫得一手好字</t>
  </si>
  <si>
    <t>10.	依據上文，有關作者名字的敘述，最不符合文意的是： (A)作者初次翻看戶口名簿，才發現一直寫錯名字 (B)上高中前，作者一直將自己的名字寫成「嫃」 (C)作者不但曾將自己的名字寫錯，讀音也不正確 (D)相較於从女从貞的寓意，作者更喜愛女巫形象</t>
  </si>
  <si>
    <t xml:space="preserve">11.	右框中的六組詞語，前三組取自上文，後三組取自高中教材。其中畫底線的詞，位置都在「數詞」與「名詞」之間。關於這些詞的用法，敘述最適當的是：
一位大嬸
一手好字
一口寶鼎
一棵稻仔
一艘星輝
一碟茴香豆
 (A)對於後面所接的名詞，能提供形貌的訊息 (B)意思相當於「個」，其後皆為可數的名詞 (C)除了外，其餘與後面的名詞間，均可加「的」 (D)若不出現，亦可清楚表達而不影響語意 </t>
  </si>
  <si>
    <t>12-13為題組。閱讀下文，回答12-13題。 雞鳴枕上，夜氣方回，因想余生平，繁華靡麗，過眼皆空，五十年來，總成一夢。……遙思往事，憶即書之，持向佛前，一一懺悔。不次歲月，異年譜也；不分門類，別志林也。偶拈一則，如遊舊徑，如見故人、城郭、人民，翻用自喜，真所謂癡人前不得說夢矣。昔有西陵腳夫，為人擔酒，失足破其甕，念無以償，癡坐佇想曰：「得是夢便好。」一寒士鄉試中式，方赴鹿鳴宴，恍然猶意非真，自嚙其臂曰：「莫是夢否？」一夢耳，惟恐其非夢，又惟恐其是夢，其為癡人則一也。余今大夢將寤，猶事雕蟲，又是一番夢囈。（張岱《陶庵夢憶‧自序》）</t>
  </si>
  <si>
    <t>12.	依據上文，關於張岱撰《陶庵夢憶》，敘述最適當的是： (A)內容是對五十年人生的回憶 (B)對信手拈來的寫法感到欣喜 (C)常於深夜寫書，至雞鳴破曉時才肯擱筆 (D)早年已悟繁華如夢，遂於書中深自懺悔</t>
  </si>
  <si>
    <t xml:space="preserve">13.	關於上文「腳夫」、「寒士」的敘述，最適當的是： (A)腳夫和寒士能以豁達心境待人接物 (B)腳夫和寒士各有其專注執著的興趣 (C)腳夫失足破甕，無法承受突發逆境，憾其非夢 (D)寒士名落孫山，對於學識缺乏信心，疑其是夢 </t>
  </si>
  <si>
    <t>14-17為題組。閱讀下文，回答14-17題。 
甲:
人為萬物之靈，志有萬端之異。學琴學詩均從所好，工書工畫各有專長，是故咳唾珠玉，謫仙闢詩學之源；節奏鏗鏘，蔡女撰胡笳之拍，此皆不墮聰明，而有志竟成者也。若夫銀鈎鐵畫，固屬難窺；儷白妃青，亦非易事。余因停機教子之餘，調藥助夫之暇，竊慕管夫人之墨竹，紙上生風；敢藉陶彭澤之黃花，圖中寫影。庶幾秋姿不老，四座流芬，得比勁節長垂，千人共仰，竟率意而鴉塗，莫自知其鳩拙云爾！（張李德和〈畫菊自序〉） 
乙:
茲就詞章論，世多訾女子之作，大抵裁紅刻翠，寫怨言情，千篇一律，不脫閨人口吻者。予以為抒寫性情，本應各如其分，惟須推陳出新，不襲窠臼，尤貴格律雋雅，情性真切，即為佳作。詩中之溫、李，詞中之周、柳，皆以柔豔擅長，男子且然，況於女子寫其本色，亦復何妨？（呂碧城〈女界近況雜談〉）呂碧城（1883～1943），被譽為近三百年來最後一位女詞人。</t>
  </si>
  <si>
    <t>14.	依據甲文，關於作者自述「莫自知其鳩拙云爾」的心態，最不可能的是： (A)無法預先了解後人對自己畫作的評價，也就不在意任何評論 (B)既然有志於丹青之道，總要努力以赴，愚拙與否便毋須介懷 (C)只能利用相夫教子以外的時間從事創作，故自婉言技巧尚拙 (D)以率意塗抹謙稱自己的畫作，凸顯想要創作的欲望非常強烈</t>
  </si>
  <si>
    <t>15.	依據乙文，敘述最適當的是： (A)為推陳出新，不襲窠臼，男女皆應拋棄格律的束縛 (B)詞章以閨人口吻成其本色，故男女表現宜各如其分 (C)女子習寫詞章，可模仿以柔豔詩詞著稱的男性作家 (D)女子創作可不忌裁紅刻翠，但直寫自己的真誠感受</t>
  </si>
  <si>
    <t>16.	關於甲、乙二文所蘊含的創作觀念，下列推論最不適當的是： (A)甲文的「之餘、之暇」透露出張李德和的創作並未違背傳統性別角色規範 (B)乙文認為「閨人」與「柔豔」皆為女性創作本色，女性其實不必引以為非 (C)甲文「志有萬端之異」與乙文「情性真切」，都從性別角度論證創作合宜性 (D)乙文所舉前輩作家，較甲文所舉前輩作家更具破除當時性別刻板印象的意味</t>
  </si>
  <si>
    <t xml:space="preserve">17.	下列詩詞與乙文所提及的柔豔風格，最相近的是： (A)世機消已盡，巾屨亦飄然。一室故山月，滿瓶秋澗泉 (B)朔雁傳書絕，湘篁染淚多。無由見顏色，還自託微波 (C)灞橋雪。茫茫萬徑人蹤滅。人蹤滅。此時方見，乾坤空闊 (D)游宦成羈旅。短檣吟倚閑凝竚。萬水千山迷遠近，想鄉關何處 </t>
  </si>
  <si>
    <t>18-19為題組。閱讀下文，回答18-19題。 周厲王使芮伯帥師伐戎，得良馬焉，將以獻於王。芮季曰：「不如捐之。王欲無厭，而多信人之言。今以師歸而獻馬焉，王之左右必以子獲為不止一馬，而皆求於子。子無以應之，則將嘵於王，王必信之。是賈禍也。」弗聽，卒獻之。榮夷公果使有求焉，弗得，遂譖諸王曰：「伯也隱。」王怒逐芮伯。君子謂芮伯亦有罪焉。爾知王之瀆貨而啟之，芮伯之罪也。（劉基《郁離子‧獻馬》）</t>
  </si>
  <si>
    <t>18.	下列文句的「厭」，與「王欲無厭，而多信人之言」的「厭」意義相同的是： (A)學而不「厭」，誨人不倦，何有於我哉 (B)館人「厭」之，忍弗言。將行，贈之以狗 (C)君子之道：淡而不「厭」，簡而文，溫而理 (D)近世「厭」常而反古，專尚奇麗。吾為衣食所迫，不能免俗</t>
  </si>
  <si>
    <t xml:space="preserve">19.	依據上文，關於文中人物對獻馬的看法，敘述最適當的是： (A)芮季和榮夷公相同，都想從芮伯那裡獲得一匹良馬 (B)榮夷公和周厲王相同，都認為芮伯不應只獻一匹馬 (C)榮夷公和君子相同，都認為芮伯隱藏了其他的良馬 (D)芮季和君子相同，都認為芮伯之舉使王想得更多馬  20-22為題組。 </t>
  </si>
  <si>
    <t>20-22為題組。閱讀下文，回答20-22題。
墓碑部分文字:
{
  "title": "皇清誥贈",
  "content": [
    {
      "line1": "通奉大夫顯祖",
      "line2": "考祀鄉賢祠鄭公"
    },
    {
      "line1": "二品大夫人",
      "line2": "姚鄭門陳大夫人合葬佳城"
    },
    {
      "line1": "四大房孫男",
      "line2": "如琳 如棟 如闐 如雲等謹重修"
    }
  ]
}
甲部分：國定古蹟鄭崇和墓及墓介紹（位於苗栗縣後龍鎮）墓始建於道光7 年，規制悉依《大清會典事例》，占地廣大，
氣勢宏偉，又於同治6 年重修。鄭崇和生於乾隆21 年，卒於道光7 年。康熙年間，始祖鄭懷仁自福建漳州遷入金門（浯江）。乾隆40 年，三世長子鄭國周率四弟國唐、五弟國慶及國唐四子崇和來臺，定居後龍。鄭崇和少時好讀書，但屢試不第，後來捐為監生。他先在後龍教書，後遷至竹塹。鄭家因從事土地開墾，遂成為竹塹鉅富。鄭崇和生活儉約，厚待親族，也留心公共事務，濟助鄉里，義行深受肯定，去世後即獲朝廷同意入祀鄉賢祠。鄭崇和先是收養大哥鄭崇聰之子用鍾，後生三子：用錫、用錦、用銛。用鍾雖無功名，但以經營實業著稱。用錦是秀才，用銛是歲貢生，用錫是道光3 年進士，官至禮部員外郎。鄭崇和父以子貴，去世後也獲誥贈。鄭崇和之妻卒於道光25 年，原葬寶斗仁山，後移葬與鄭崇和同穴。在臺灣現存古墓中，鄭崇和墓規模僅次於嘉義王得祿（一品官）墓，與新竹鄭用錫墓相似。
乙部分：鄭崇和墓前文代
作善降祥，作惡降殃，天之理也。吾見今人受祖父生前蔭庇，歿後又妄信風水，乞靈枯骨，不亦慎乎﹖吾歿後，爾輩勿惑堪輿家言，貪尋吉地，為福利計。吾後龍山中田有老屋地焉，營而葬之，吾願足矣。將來為吉為凶，爾輩自取之，何與墳塋？
丙部分：古蹟指定及廢止審查辦法
古蹟之指定，應符合下列基準之一：
一、具高度歷史、藝術或科學價值者。
二、表現各時代營造技術流派特色者。
三、具稀少性，不易再現者。國定古蹟之指定基準，係擇前項已指定之古蹟中較具重要、保存完整並為各時代或某類型之典範者。</t>
  </si>
  <si>
    <t>20.	依據資料甲，下列關於鄭崇和的敘述，最適當的是： (A)十九歲時，隨祖父、父親、叔叔遷居後龍 (B)生前即因兒子們功名有成，晉升為通奉大夫 (C)長子由大房過繼，是鄭家家業發達關鍵人物之一 (D)妻子姓陳，仙逝較早，故於鄭崇和過世後才同葬</t>
  </si>
  <si>
    <t>x</t>
  </si>
  <si>
    <t>21.	依據資料甲、乙，下列關於鄭崇和墓的敘述，最適當的是： (A)鄭崇和雖自認深受祖先陰宅風水庇蔭而富裕，但不願子孫迷信擇地求福之說 (B)鄭用錫等雖按鄭崇和遺願將其葬於老家山中，但鄭如椿等仍另外擇吉地遷葬 (C)最初形制簡約，後因鄭用錫中進士並授官，始據《大清會典事例》擴大規模 (D)「祀鄉賢祠」記於墓碑，可見既是當時官方認可功績，家族也視為無上光榮</t>
  </si>
  <si>
    <t xml:space="preserve">22.	資料丙《古蹟指定及廢止審查辦法》為民國108年修訂版，若以資料丙審視資料甲，關於、兩項推論的研判，最適當的是： 鄭用錫墓展現清代「營造技術流派特色」，而列為國定古蹟。 王得祿墓的歷史價值，可能是被列入古蹟的條件之一。 (A)、皆正確	(B)正確，錯誤 (C)無法判斷，錯誤	(D)無法判斷，正確 </t>
  </si>
  <si>
    <t xml:space="preserve">23-25為題組。閱讀下文，回答23-25題。
甲:
《論語》原文:子曰：「君子有三畏：畏天命，畏大人，畏聖人之言。小人不知天命，而不畏也，狎大人，侮聖人之言。」
  朱熹的解說
① 「大人」不止有位者，是指有位、有齒、有德者。
②畏天命」三字好。是理會得道理，便謹去做，不敢違，便是畏之也。如非禮勿視聽言動，與夫戒慎恐懼，皆所以畏天命也。
③ 要緊全在知上。纔知得（天命），便自不容不畏。
乙:
《孟子》原文:說大人，則藐之，勿視其巍巍然。堂高數仞，榱題數尺，我得志，弗為也；食前方丈，侍妾數百人，我得志，弗為也；……在彼者，皆我所不為也；在我者，皆古之制也。吾何畏彼哉！
  朱熹的解說:
① 這為世上有人把大人許多崇高富貴當事，有言不敢出口，故孟子云爾。
②《論語》說「畏大人」，此卻說「藐大人」。大人固當畏，而所謂「藐」者，乃不是藐他，只是藐他許多「堂高數仞，榱題數尺」之類。
榱題：屋椽的兩端之處。
</t>
  </si>
  <si>
    <t>23.	下列敘述，不符合資料甲意旨的是： (A)君子得識天命所歸，遂謹於視聽言動 (B)小人處懵然狀態，故不知且不畏天命 (C)君子須知得天命，天命可知遂不可畏 (D)小人不畏天命，遂輕慢位高權重之人</t>
  </si>
  <si>
    <t>24.	下列人物及其言行表現，與孟子所藐的「大人」最接近的是：
(A) 鄭文公 無禮於晉，且武於楚也
(B) 項羽 （擬嗔）睨目視項王，......項王按劍而跽曰：「客何為者？」
(C) 劉備 （劉備）每與臣（諸葛亮）論此事，未嘗不嘆息痛恨於桓、靈也
(D) 楊素 着員自奉，禮異人臣。每公卿人言，賓客上諫，未嘗不躡床而見</t>
  </si>
  <si>
    <t>25. 下列關於資料甲、乙的敘述，最適當的是： (A)小人所狎，是那些徒有高位，但非齒、德兼備的大人 (B)彼等小人專為狎大人、侮聖人之事，因此無法知天命 (C)合於古制的大人，當不為孟子所藐，且同於孔子所畏 (D)孟子提出藐大人的說法，是因自己本無意於大人之位  二、多選題（占28分） 說明：第26題至第32題，每題4分。</t>
  </si>
  <si>
    <t>二、多選題（占28分） 說明：第26題至第32題，每題4分。第26題至第30題多選題。</t>
  </si>
  <si>
    <t>26.	下列各組「」內的詞，意義前後相同的是： (A)吾十「有」五而志於學，三十而立／男「有」分，女有歸 (B)使吏召諸民當償者，「悉」來合券／吾之所有，「悉」以充贈 (C)小學而大遺，吾未「見」其明也／眾視三人，坐月中飲，鬚眉畢「見」 (D)向使四君卻客而不「內」，疏士而不用／距關，毋「內」諸侯，秦地可盡王也 (E)庭中始為籬，「已」為牆，凡再變矣／昔之所謂鹿港飛帆者，「已」不概見矣</t>
  </si>
  <si>
    <t xml:space="preserve">BD </t>
  </si>
  <si>
    <t>27.	下列法律判決文的語意邏輯關係，是由「條件」與在此條件下所產生的「結果」所構成。依據文意，解讀適當的是： 除了兩造另有協議及放假日外，親子能以電話、視訊聯絡的時間為每週一、三、五晚上7時至8時之間，且每日（含放假日）合計不得超過30分鐘。 (A)判決文的「條件」是指「除了兩造另有協議及放假日外」 (B)每週二、四兩日，為自由聯繫時間，不受每日30分鐘之限制 (C)除非另有協議，某方能與孩子聯繫的時間僅為每週一、三、五晚上 (D)假如每週一、三、五遇放假日，也須比照平日一、三、五的約定計算時長 (E)條件制約的「結果」為「每週一、三、五晚上7時至8時之間，且每日（含放假日）合計不得超過30分鐘」</t>
  </si>
  <si>
    <t xml:space="preserve">ADE </t>
  </si>
  <si>
    <t>28.	關於下文對孤崖之花的描述及其寓意，敘述適當的是： 行山道上，看見崖上一枝紅花，豔麗奪目，向路人迎笑。詳細一看，原來根生於石罅中，不禁嘆異。想宇宙萬類，應時生滅，然必盡其性。花樹開花，乃花之性，率性之謂道，有人看見與否，皆與花無涉。故置花熱鬧場中花亦開，甚至使生於孤崖頂上，無人過問花亦開。拂其性，禁之開花，則花死。有話要說必說之，乃人之本性，即使王廷廟廡，類已免開尊口，無話可說，仍會有人跑到山野去向天高嘯一聲；屈原明明要投汨羅，仍然要哀號太息。古人著書立說，皆率性之作。當經濟文章無補於世時，古人也會不甘寂寞，去著小說，自有不說不快之勢。這也是屬於孤崖一枝花之類。（改寫自林語堂〈孤崖一枝花〉） (A)花朵扎根於堅硬的石縫裡，故能避風躲雨，綻放光彩 (B)花朵之生滅既取決於栽植環境，也受到栽植方法影響 (C)花朵以其美麗引人目光，卻非為了迎合路人方始盛開 (D)花開喻指為社會奉獻的志意，孤崖喻指忘懷得失的人格 (E)花開喻指忠實展現自我，孤崖喻指不被他人理解的處境</t>
  </si>
  <si>
    <t>29.	某導演想籌拍一部年代設定在南宋且符合歷史真實的才子佳人古裝劇，男、女主角皆來自書香門第。下列編劇初擬的幾個構想中，時代與敘述都正確的是： (A)依序在書架上排列《詩經》、《楚辭》、《世說新語》和《杜工部集》，顯示女主角能掌握文學發展的歷史順序 (B)安排男主角自述認同的對象為：寫〈五柳先生傳〉的陶潛、〈愛蓮說〉的周敦頤，以表現不慕榮利、高潔雅致的性格 (C)女主角以流水對（上、下句具因果、連貫、轉折等關係）考較男主角，男主角能以「欲窮千里目，更上一層樓」正確回應 (D)女主角引用元稹、白居易所寫入樂的「新樂府」詩，強調詩歌反映民瘼的寫實諷諭精神，規勸男主角別盡是吟風弄月 (E)安排男主角臨江翻閱《三國演義》，誦讀卷首的〈臨江仙〉：「滾滾長江東逝水，浪花淘盡英雄」，以烘托劇中的歷史蒼茫之感</t>
  </si>
  <si>
    <t xml:space="preserve">30.	關於下文的寫法與文意，敘述適當的是： 新雨後，綠蕪如髮，園蔬葉葉，青滿畦徑。啟扉視之，知一年春事又將爛漫矣。家人間擷作羹，劣得一飽。野香拂拂，從匕箸間出，誠有如子瞻所謂飽霜雪之精、味含土膏者。獨憐此物沒蓬蒿中，與貧士為伍，寒窗一嚼，勝十日太牢，甚不可進於達官貴人、鐘鳴鼎食、芍藥饌、朱砂羹之口。今中原嗷嗷，道殣相屬，雁糞榆皮，所在仰以為命。甚且折骨解肢，與烏鳶爭攫啄之利。吁，可悲也！彼達官貴人日啖醲鮮，當翠袖奉卮，華茵度夢時，亦曾念及野人藜藿不繼無耶？昔人曰：民不可有此色，士大夫不可無此味。知言哉！（龔鼎孳〈吃野菜說〉） (A)本文先敘眼中所見春景，繼而談及野菜之味，接著再論心中所感，最後歸結到對士大夫的期許 (B)作者援引蘇軾之文，表達野菜飽含天地精華，並認為對未得功名的寒士而言，野菜的滋味勝過太牢之饌 (C)文中提到「中原」的現況是：發生饑荒，路有餓莩，而烏鳶甚至還與饑民搶食其賴以維生的雁糞、榆皮 (D)本文出現兩次「達官貴人」，前次意指野菜不可能入其華宴，第二次批判他們對於下層人民生活的漠然 (E)「不可有」，意指不可讓人民有如菜的面色；「不可無」，指士大夫須食野菜，方能回歸素樸自然之味 </t>
  </si>
  <si>
    <t>31-32為題組。閱讀下文，回答31-32題。 讀書以過目成誦為能，最是不濟事。眼中了了，心下匆匆，方寸無多，往來應接不暇，如看場中美色，一眼即過，與我何與也。千古過目成誦，孰有如孔子者乎？讀《易》至韋編三絕，不知翻閱過幾千百遍來，微言精義，愈探愈出，愈研愈入，愈往而不知其所窮。雖生知安行之聖，不廢困勉下學之功也。東坡讀書不用兩遍，然其在翰林讀〈阿房宮賦〉至四鼓，老吏苦之，坡洒然不倦，豈以一過即記，遂了其事乎！惟虞世南、張睢陽、張方平，平生書不再讀，迄無佳文。且過輒成誦，又有無所不誦之陋。即如《史記》百三十篇中，以〈項羽本紀〉為最，而〈項羽本紀〉中，又以鉅鹿之戰、鴻門之宴、垓下之會為最。反覆誦觀，可欣可泣，在此數段耳。若一部《史記》，篇篇都讀，字字都記，豈非沒分曉的鈍漢！（鄭燮〈濰縣署中寄舍弟墨第一書〉）</t>
  </si>
  <si>
    <t>31.	上文對「讀書」一事的舉證與說明，敘述適當的是： (A)以孔子讀《易》韋編三絕為例，說明孔子讀書有過目成誦的本領 (B)以蘇軾讀〈阿房宮賦〉為例，說明夜闌人靜時更能領略讀書況味 (C)以孔子和蘇軾為例，說明讀書貴在鑽研不懈，而非只是迅速瀏覽 (D)以虞世南書不再讀而迄無佳文為例，說明盡信書不如無書的道理 (E)以〈項羽本紀〉的內容情節為例，說明讀書必須懂得慎擇和精讀</t>
  </si>
  <si>
    <t xml:space="preserve">32.	書信語言必須考慮寫信人與收信人的身分、關係。若依據上文鄭燮寫信給堂弟鄭墨的情境，適當的「信封啟封詞／提稱語／結尾頌詞」是： (A)大啟／左右／大安	(B)台啟／足下／近安 (C)敬啟／惠鑒／文安	(D)鈞啟／如晤／勛安 (E)收啟／壇席／福安  </t>
  </si>
  <si>
    <t xml:space="preserve">AB </t>
  </si>
  <si>
    <t>33-34為題組。閱讀下文，回答33-34題。 
甲:
道士笑曰：「我固謂不能作苦，今果然。明早當遣汝行。」王曰：「弟子操作多日，師略授小技，此來為不負也。」道士問：「何術之求？」王曰：「每見師行處，牆壁所不能隔，但得此法足矣。」道士笑而允之。乃傳以訣，令自咒畢，呼曰：「入之！」王面牆不敢入。又曰：「試入之。」王果從容入，及牆而阻。道士曰：「俯首輒入，勿逡巡！」王果去牆數步，奔而入，及牆，虛若無物，回視，果在牆外矣。大喜，入謝。道士曰：「歸宜潔持，否則不驗。」遂助資斧遣之歸。抵家，自詡遇仙，堅壁所不能阻。妻不信。王效其作為，去牆數尺，奔而入；頭觸硬壁，驀然而踣。妻扶視之，額上墳起如巨卵焉。妻揶揄之。王慚忿，罵老道士之無良而已。（蒲松齡《聊齋志異・勞山道士》）  
乙:
奇門遁甲之書，所在多有，然皆非真傳。真傳不過口訣數語，不著諸紙墨也。德州宋先生清遠言：曾訪一友，友留之宿，曰：「良夜月明，觀一戲劇可乎？」因取凳十餘，縱橫布院中，與清遠明燭飲堂上。二鼓後，見一人踰垣入，環轉階前，每遇一凳，輒蹣跚，努力良久，乃跨過。始而順行，曲踊一二百度；轉而逆行，又曲踊一二百度。疲極踣臥，天已向曙矣。友引至堂上，詰問何來。叩首曰：「吾實偷兒，入宅以後，惟見層層皆短垣，愈越愈不能盡，窘而退出，又愈越愈不能盡，故困頓見擒，死生惟命。」友笑遣之。謂清遠，曰：「昨卜有此偷兒來，故戲以小術。」問：「此何術？」曰：「奇門法也。他人得之，恐召禍；君真端謹，如願學，當授君。」清遠謝不願。友太息曰：「願學者不可傳，可傳者不願學，此術其終絕矣。」意若有失，悵悵送之返。（紀昀《閱微草堂筆記・如是我聞二》）</t>
  </si>
  <si>
    <t>33.	上引甲、乙二文皆以記敘為主。關於文中運用的寫作手法，敘述最適當的是：（占2分，單選題） (A)甲文從頭至尾順時敘寫；乙文「二鼓後，……友笑遣之」則是在順時敘寫之外插補的追憶 (B)甲文未見作者現身說法；乙文則隱然有作者身影，且於述說宋清遠及其友人的故事前表達看法 (C)甲文的「牆」是王生的學習場所，也象徵王生的心理障礙；乙文的「短垣」是偷兒的關卡，也象徵宋清遠畏苦怕難 (D)甲文藉妻「揶揄」與王生「慚忿」的對比，凸顯王生的愧疚；乙文藉宋清遠「謝」與友人「悵然」的對比，凸顯宋清遠的清高</t>
  </si>
  <si>
    <t xml:space="preserve">34.{
  "題目": "請依據提示，完成表格內容。（1）請抄錄甲文文句，作答字數：10字以內。（2）請先寫出「條件」再「抄錄甲文或乙文文句」，建議兩者間以分號區隔（如條件；文句）作答字數：15字以內。）",
  "對話": {
    "學生": "師父，學法術的條件是什麼？",
    "師父": "條件一當然是要通過考驗。條件二是無畏，只學口訣而不敢嘗試，怎學得會？條件三最重要，它是避免稱善或法術墮險的保證。"
  },
  "條件列表": {
    "條件一": {
      "描述": "耐勞苦",
      "對應文句": "(1)"
    },
    "條件二": {
      "描述": "有勇氣",
      "對應文句": "倚首靡入，勿逡巡"
    },
    "條件三": {
      "描述": "（空白）",
      "對應文句": "(2)"
    }
  }
}
</t>
  </si>
  <si>
    <t>1:能作苦。或：我固謂不能作苦。或：我固謂不能作苦，今果然 。
2德行好；（君真）端謹 。或：心思純淨；（歸宜）潔持。</t>
  </si>
  <si>
    <t>(1) 操作多日；(2) 歸宜潔持，否則不驗        對應耐勞苦與潔持條件的文句。</t>
  </si>
  <si>
    <t>(1) 根據甲文，道士對王生說「我固謂不能作苦，今果然。」表示王生缺乏耐勞苦的精神，對應條件一的「耐勞苦」。
(2) 條件三是「潔持」，避免稱善或法術墮險的保證，對應道士提醒王生的話：「歸宜潔持，否則不驗。」</t>
  </si>
  <si>
    <t>條件一        耐勞苦        弟子操作多日
條件二        有勇氣        倚首輒入，勿逡巡
條件三        保持潔持        歸宜潔持，否則不驗</t>
  </si>
  <si>
    <t>34（1）：我固謂不能作苦   34（2）：端謹；君真端謹</t>
  </si>
  <si>
    <t>(1) 不能作苦（以此反襯需耐苦）(2) 品德端謹；歸宜潔持</t>
  </si>
  <si>
    <t>35-37為題組。閱讀下文，回答35-37題。 卡夫卡說：「世上有無窮的希望，只是不屬於我們。」他筆下的人物，都致力於看似可及的目標，卻始終搆不到成功的邊。在這驟然黯淡的世界，把卡夫卡的話反過來講好像也通：「世上毫無希望，除了屬於我們的希望。」 我講的是氣候變遷。人們絞盡腦汁想控制碳排放，實在頗有卡夫卡小說的氣氛。我常聽人說：只要眾志成城，就能「解決」氣候變遷問題—在1988年有科學證據時，這可能是事實，但過去三十年，排放到大氣中的碳，卻相當於兩百年來工業化社會的碳排放量。 科學家研判：倘若全球平均溫度上升超過2℃，大勢將無可挽回。「政府間氣候變遷專門委員會」的說法是：要把上升溫度控制在2℃以內，必須在「下一個」三十年間，把淨排放降到零。 決策人士所提的解方，在我看來應有幾個先決條件。首先，製造汙染的國家得關閉大部分能源與運輸的基礎設施。根據《自然》期刊某篇論文的說法，現有全球基礎設施倘若運作到正常壽命終止，碳排放量將超出大災難來臨前所能接受的限額—這還不包括數千個施工中和已規劃的計畫。其次，應有周全的能源政策。說到這裡，不得不提個笑話—歐盟使用生質燃料，卻使印尼因種植油棕樹、採收棕櫚油而加速濫伐。最後，人人對受限的生活必須照單全收，為後世、為遠方受威脅的國家忍受不便。 你可以說我悲觀，但我實在不覺得人們能在短期內貫徹解方。有些行動派人士主張，若公開承認問題無法解決，會降低大眾採取改善行動的意願。這讓我想到某些宗教領袖，生怕大眾若少了永遠得救的保證，就懶得循規蹈矩。我因此很好奇，倘若我們決定告訴自己真相，接下來會如何？ 長遠來說，當溫度越過無法回頭的點，我們只能接受世界的變化。但短期來看，碳排放減半，多少可延緩面對臨界點的時間。宗教改革時有個教義問題：行善是因為能進天堂？或單純因為行善是好事？如今儘管「天堂」是個問號，你還是很清楚，如果人人行善，世界就可能更好。（改寫自強納森‧法蘭岑〈倘若我們不再假裝〉）</t>
  </si>
  <si>
    <t>35.	上文是以議論為主的散文。請就文中觀點，回答下列問題： （1）	依文意推敲篇名〈倘若我們不再假裝〉，人們一直假裝能做到什麼事？（占2分，作答字數：20字以內。） （2）	文中認為第（1）題所指的事情不易達成，所依據的期刊論文內容為何？（占4分，作答字數：40字以內。）</t>
  </si>
  <si>
    <t>1:解決氣候變遷問題。或： 把上升溫度控制在 2 C 以內 。或： 控制碳排放量 。或： 把淨排放降到零 。或： 解決暖化問題
2:現有全球基礎設施倘若運作到正常壽命終止，碳排放量將超出大災難前所能接受的限額。或：現有的全球基礎設施如果運作到無法使用，碳排放量將會超出所能接受的限額。</t>
  </si>
  <si>
    <t>(1) 完全解決氣候變遷問題；(2) 現有基礎設施若正常運作至終止，排放量將超出限額</t>
  </si>
  <si>
    <t>35(1)        人們一直假裝能夠解決氣候變遷問題        根據文中觀點，作者指出人們假裝只要眾志成城，就能「解決」氣候變遷問題，但實際上這已很難達成。
35(2)        因為現有基礎設施若運作至壽命終止，碳排放量將超過大災難前可接受限額，且不含施工中及規劃計畫        根據《自然》期刊的論文，現有全球基礎設施的碳排放量已超出可接受範圍，因此要在短期內解決氣候變遷問題非常困難。</t>
  </si>
  <si>
    <t>35.1答案：假裝能夠有效控制氣候變遷
原因：篇名〈倘若我們不再假裝〉指人們一直假裝能夠有效解決氣候變遷問題。
35.2答案：現有基礎設施繼續運作將超出碳排放限額
原因：文中引用《自然》期刊的論文指出，現有基礎設施若繼續運作，將導致碳排放超出可接受的限額。</t>
  </si>
  <si>
    <t>35（1）：假裝人類還能徹底解決氣候變遷            35（2）：現有設施若運轉到壽命終止，排碳已超過限額</t>
  </si>
  <si>
    <t>（1）人們一直假裝能做到什麼事？答案： 假裝氣候變遷是可以被徹底「解決」的。
（2）文中所依據的期刊論文內容為何？答案： 現有基礎設施運作至壽命終止，碳排放量即超出災難來臨前可接受的限額。</t>
  </si>
  <si>
    <t>36.	請就上文藉「宗教」闡明觀點的部分，回答下列問題： 
（1）	倒數第二段提及「某些宗教領袖」所怕的事，作者以此說明什麼主張？（占2分，作答字數：20字以內。） 
（2）	最後一段透過宗教改革的「教義問題」，表達了作者希望在氣候變遷問題上，人們應有怎樣的認識及作法？（占4分，作答字數：40字以內。）</t>
  </si>
  <si>
    <t>1:如果知道氣候問題無法解決，就不想減碳。
2:就算知道氣候變遷的問題無法解決，我們還是應該為繼續減碳而努力。
或：
雖然不知道是否真能解決氣候變遷的問題，我們還是應該為繼續減碳而努力。</t>
  </si>
  <si>
    <t>(1) 即使難解，也需告知真相以促行動；(2) 人們應採取行動，因行動本身為善，而非為結果        宗教觀點說明行動應出於善行而非為獲得回報，對應氣候行動的必要性。</t>
  </si>
  <si>
    <t>36(1)        應誠實面對問題，不因真相殘酷而隱瞞        作者透過宗教領袖的例子，強調即使問題無法解決，也應告訴大眾真相，不應隱瞞事實以免影響行動意願。
36(2)        即使無法確定能解決問題，仍應採取減碳行動，因為這是正確之舉，能讓世界更好        作者借用宗教改革的教義問題，表達行善應該是因為其本身就是好事，類推到氣候變遷，人們應該減少碳排放，即使結果未知，仍應行動。</t>
  </si>
  <si>
    <t>36.1答案：說明人們需要希望來激勵行動
原因：作者提及宗教領袖怕失去大眾行動意願，意在說明希望對於激勵人們行動的重要性。
36.2答案：人們應認真面對真相，基於善意行動
原因：通過宗教改革的教義問題，作者希望人們在氣候變遷問題上能真實認識並基於善意採取行動。</t>
  </si>
  <si>
    <t>36（1）：即使問題難解，仍應誠實面對真相  36（2）：即使未必成功，仍應減排，因為這本來就是對的</t>
  </si>
  <si>
    <t>(1)公開承認問題無法解決，會降低大眾行動意願。36(2)        認清問題雖難徹底解決，仍應本於行善是好事的初衷，盡力減碳以延緩惡化</t>
  </si>
  <si>
    <t xml:space="preserve">37. 下列2021年的新聞，能印證作者「悲觀面」想法的是：（占2分，單選題）
1.已開發國家承諾於2023年前，每年提供1000億美元協助開發中國家因應氣候變遷
2.英、美等國承諾，2022年底前終止海外未減排化石燃料的直接投資，日、韓等大金主國未加入連署
3.懸宕多年的《巴黎協定》全球碳交易市場規則，於氣候峰會確立架構，有助於政府與企業交換碳權
4.印度提議將氣候峰會協定的措辭，由碳排放「逐步淘汰」改為「逐步減少」，獲中國、伊朗、南非等國支持
(A)13        (B)24        (C)134        (D)124
</t>
  </si>
  <si>
    <t>2023_Questions</t>
  </si>
  <si>
    <t>1.	下列「」內的字，讀音前後相同的是： (A)胡「笳」之拍／僧侶「袈」裟	(B)釁起「鬩」牆／傲「睨」萬物 (C)驀然而「踣」／「掊」擊對手	(D)「吁」嗟而去／「迂」談闊論</t>
  </si>
  <si>
    <t>2.	下列文句，完全沒有錯別字的是： (A)收藏家的稀世珍品樣樣價格不斐 (B)這起工安意外明顯是人謀不彰所導致 (C)叔叔感慨從小命蹇時乖，一路工讀自學 (D)天燈乘載大家的願望，在歡呼聲中冉冉升空</t>
  </si>
  <si>
    <t>3.	下列文句畫底線處的詞語，運用最適當的是： (A)這宗懸案經專案小組擘肌分理，已掌握部分有利線索 (B)經理很欣賞這名愛將，但也常愛屋及烏地袒護其過失 (C)新品銷量短期內便來者可追，超越廣受好評的老品牌 (D)闖過準決賽就能占到得隴望蜀的位置，可望角逐冠軍</t>
  </si>
  <si>
    <t>4.	關於表一、表二，最適當的解讀是： 
表一：五位詩人所寫「同輩及想親友詩」統計
孟浩然：178 人，255 首詩，92.73% 占現存詩總量，共現存 182 首詩。
王昌齡：104 人，114 首詩，62.64% 占現存詩總量，共現存 182 首詩。
王維：159 人，247 首詩，65.34% 占現存詩總量，共現存 376 首詩。
李白：333 人，460 首詩，43.27% 占現存詩總量，共現存 1063 首詩。
杜甫：110 人，743 首詩，50.48% 占現存詩總量，共現存 1472 首詩。
表二：五位詩人（橫軸）述及其他四人的詩數
孟浩然在詩中提及王維 3 次，提及李白 5 次，提及杜甫 2 次，但未提及王昌齡。
王昌齡提及孟浩然 4 次，提及王維 1 次，提及杜甫 2 次，未提及李白。
王維提及孟浩然 2 次，提及王昌齡 1 次，提及杜甫 3 次，未提及李白。
李白未提及孟浩然、王昌齡和王維，但提及杜甫 13 次。
杜甫提及王維和李白各 3 次，未提及孟浩然和王昌齡。
(A)孟浩然、王昌齡、杜甫皆認識王維，故於表一數字「159」中各計一次 (B)孟浩然較另四位詩人尤好寫詩交友，王昌齡給每名親友的詩至多兩首 (C)杜甫的親友比孟浩然少，他與孟浩然的熟識度，比與王維來得高 (D)李白有不少詩是因問候、懷想親友而寫，但對象不含王維</t>
  </si>
  <si>
    <t>5.溝通交涉時，說話者會自居某個角色，或讓受話者處於 某個角色，以利達成目的。下列關於甲、乙的解說，最適當的是：
甲、燭之武謂秦穆公：「且君嘗為晉君賜矣，許君焦、瑕，朝濟而夕設版焉，君之所知
也。夫晉，何厭之有？既東封鄭，又欲肆其西封。若不闕秦，將焉取之？」
乙、樊噲謂項羽：「今沛公先破秦，入咸陽，毫毛不敢有所近，封閉宮室，還軍霸上，
以待大王來。故遣將守關者，備他盜出入與非常也。勞苦而功高如此，未有封侯之
賞，而聽細說，欲誅有功之人，此亡秦之續耳。」
(A)甲：說話者自居旁觀者的角色 ;乙：說話者自居當事者的角色
(B)甲：說話者自居訴人情的角色; 乙：說話者自居訴公道的角色
(C)甲：受話者處於被嫉妒的角色; 乙：受話者處於嫉妒人的角色
(D)甲：受話者處於被責負的角色; 乙：受話者處於責負人的角色</t>
  </si>
  <si>
    <t>6.	依據下文，□□內最適合填入的詞語依序是： 紇妻纖白，甚美。其部人曰：「將軍何為挈麗人經此？地有神，善竊少女，而美者□□□□，宜謹護之。」紇甚□□，夜勒兵環其廬，匿婦密室中，謹閉甚固，而以女奴十餘□□之。爾夕，陰風晦黑，至五更，寂然無聞。守者怠而假寐，忽若有物驚寤者，即已失妻矣。（〈補江總白猿傳〉） (A)其來有自／疑懼／迎候	(B)其來有自／倨傲／伺守 (C)尤所難免／倨傲／迎候	(D)尤所難免／疑懼／伺守</t>
  </si>
  <si>
    <t xml:space="preserve">7.	關於下文「做菜」與「作文」之間的譬喻，說明最適當的是： 滿洲菜多燒煮，漢人菜多羹湯，童而習之，故擅長也。漢請滿人，滿請漢人，各用所長之菜，轉覺入口新鮮，不失邯鄲故步。今人忘其本分，而要格外討好。漢請滿人用滿菜，滿請漢人用漢菜，反致依樣葫蘆，有名無實，畫虎不成反類犬矣。秀才下場，專作自己文字，務極其工，自有遇合。若逢一宗師而摹仿之，逢一主考而摹仿之，則掇皮無真，終身不中矣。（袁枚《隨園食單》） (A)學做料理須知各地菜餚特色，習文當須辨宗門流派 (B)做菜須向前輩方家學習以精進，為文當須追摹宗師 (C)漢人未自幼學習而做不好滿菜，學寫文章亦宜趁早 (D)料理講究發揮個別的特長，作文亦以呈顯本色為尚 </t>
  </si>
  <si>
    <t>8-9為題組。閱讀下文，回答8-9題。 經保育人士多年努力，黃石公園終於在1995年放生14隻灰狼。灰狼進入生態系統後，開始獵捕加拿大馬鹿。鹿群為了生存，便減少出現在河谷。當河谷的植物不再成為鹿群的盤中飧，就逐漸恢復原先的茂盛，有些樹甚至以五倍速度成長。環境學家蒙比爾特在YouTube介紹上述這一連串的改變，並指出因鹿減少而增生的植被，使河岸不易被沖刷成曲折的模樣。 2010年有研究發現：雖然鹿在幾年內減少60%，但樹木從未迅速長高，且鹿仍到狼群出沒頻繁的區域覓食，因為牠們在遼闊的黃石公園裡相遇機率極低。動物學家米德爾頓引述這項研究，認為狼群絕跡確實衝擊黃石公園生態，但過去因此而產生的巨變，不可能藉狼群重返而在短時間內復原。生態學家麥可奈第也指出，鹿的減少確實讓樹木變多，但1990年代蒙大拿州已開放獵捕加拿大馬鹿，而黃石公園的美洲獅與灰熊也對鹿群減少有所貢獻。所以，他認為「『狼改變了河流』，　　　　　　　　。」此外，米德爾頓承認這個案例讓大家意識到肉食動物對生態系統的重要，但他強調，提供正確訊息仍是環境學家的職責。（改寫自〈「改變美國自然生態的狼英雄」是事實還是神話？〉）</t>
  </si>
  <si>
    <t>8.	上文　　　　　　　　內，最適合填入的文句是： (A)其中雖有些許真相，但似乎過於誇大 (B)是不折不扣的假新聞，完全缺乏實證 (C)將來可能推翻，但在目前可信度最高 (D)不可等閒視之，而是應該追蹤的警訊</t>
  </si>
  <si>
    <t xml:space="preserve">9.	「三位學者的言談」是上文重要素材。關於此素材的運用手法，最適當的敘述是： (A)引述三人對「狼英雄」的看法時，僅敘述其論點而省略論據 (B)先綜述各方對「狼英雄」反應，再以三人為代表分述其觀點 (C)以訪談形式呈現三人對「狼英雄」的看法，使讀者有參與感 (D)以三人觀點的出現順序，隱然表達對製造「狼英雄」的質疑 </t>
  </si>
  <si>
    <t>10-12為題組。閱讀下文，回答10-12題。 2020年壓軸的天文現象是木星合土星。從地球看，兩顆星在12月21日的視覺距離僅約6.5角分，幾乎黏在一起。由於木星繞太陽一周將近12年，土星則要29.5年，因此平均約20年才會兩星相合。 古人稱一個運動中的天體逼近另一天體曰「犯」，所以史書記載這兩星相合為「歲星（木星）犯填星（土星）」。但哪顆星犯哪顆星，是如何判斷呢？ 以公轉速度而言，木星比土星跑得快。但因地球軌道短於外側行星的軌道，所以從地球上看V星的運動（如右圖），會發生順行（如A1→A2）、逆行（如A2→A3）的變化。而當木星在順逆行轉換、看似靜止不動時（古人稱為「留」），視覺上便可能土星快於木星。例如西元828年11月5日到21日，明顯是木星順行衝向土星，但21到25日，卻是土星以反方向接近木星，跑了2.2角分，但順行的木星只跑了1角分。以現代天文學看，木星每天頂多移動0.2度，小於宋元之際觀測誤差，約等於清代觀測誤差。如果真要依據這五天的變化寫誰犯誰，古人恐怕辦不到。 古代「填星犯某星」的記載很少，《明實錄》的「填星犯太白（金星）」，到正史中改為「太白犯填星」。又彙整唐代之前國運占星術的《開元占經》，雖有「歲星犯太白」的占辭，但史書向來寫「太白犯歲星」。故可確定快慢印象是判斷誰犯誰的依據。（改寫自歐陽亮〈都是星星惹的禍？木星合土星─歲星犯填星〉）</t>
  </si>
  <si>
    <t>10.	談論專業知識的文章，通常預設讀者具備相關背景知識，而不加以說明。下列四個已確知的天文學知識，未被上文預設為背景知識的是： (A)金星的公轉速度比土星快 (B)角分與度是測量角度的單位，1度＝60角分 (C)清代的觀測誤差，小於宋元之際的觀測誤差 (D)木星、土星與太陽的距離，較地球與太陽的距離遠</t>
  </si>
  <si>
    <t>11.	上文舉出西元828年的事例，主要是用來說明： (A)古代的天文記載常有國運占星色彩，故未必合乎事實 (B)古代觀測技術不如現代精密，但保存的史料有利考證 (C)古人無法完全依據木星、土星的移動速度判斷誰犯誰 (D)古人只知木星、土星同向移動，不知二者會逆向靠近</t>
  </si>
  <si>
    <t xml:space="preserve">12.	上文若要介紹「古人如何從木星合土星占驗未來」，並援引下列史事，印證《開元占經》收錄的某項預言，則此預言最可能是： （東晉）咸安二年正月己酉，歲星犯填星。……七月，帝疾甚，詔桓溫曰：「少子可輔者，輔之；如不可，君自取之。」賴侍中王坦之毀手詔，改使如王導輔政故事。溫聞之大怒，將誅坦之等。 (A)填星與歲星合，相犯為內亂 (B)填星所在，歲星從之，伐者利 (C)填星與歲星合，有軍在外，戰不勝，失地 (D)歲星與填星鬥，此謂離德，不出三月，必有亡國 </t>
  </si>
  <si>
    <t>13-14為題組。閱讀下文，回答13-14題。 枯山枯水庭園以砂石為主，但是幾乎每一方石庭都缺少不了綠色的點綴。談及日本庭園之綠意，除了草木之外，青苔也是構成的一大要素， 甲 ，尤其是京都的庭園，如果沒有青苔，勢將減色不少。苔本是繁殖於地面的一種蘚類植物，只要氣候低濕，可以不種自衍。但是日本的庭園崇尚蒼老之美， 乙 ，因此它也就變成了代表庭園歷史的一種標誌了。由於苔本身具有一種厚重的質感，其色雖濃翠，卻不綺豔， 丙 ，加以苔本身所給予人時間之聯想， 丁 ，所以在文學上，任何一個名詞，只要冠以「苔」字，立刻能造成蒼涼悲寂的效果，如「苔階」、「苔徑」、「苔井」、「苔池」。而當你面對京都的苔庭時，這蒼涼悲寂的情調就更具體的呈現在眼前了。（改寫自林文月〈京都的庭園〉）</t>
  </si>
  <si>
    <t>13.	依據文意，「而青苔非歷時長久不能蔓衍」應填入： (A)甲	(B)乙	(C)丙	(D)丁</t>
  </si>
  <si>
    <t>14.上文有關「苔」的敘述，最適當的是： (A)庭園設計者藉衍生的文學意象營造悲戚感 (B)容易生長因而成為打造庭園最主要的元素 (C)經過氣候與時間醞釀，形成庭園蒼寂的況味 (D)濃翠亮麗點綴暗沉砂石，凸顯庭園色澤對比</t>
  </si>
  <si>
    <t>15-17為題組。閱讀下文，回答15-17題。 我果戰士有勇，大將有謀，成算在胸，地利足恃，猶不如誘之登岸而設伏殲之。不然，汪洋海上以數百人操一舟，東馳西突，以角逐於勝負不可知之地，我即無恙，而彼之所挾者小，我之所勞者大，設防設守，形勢不亦懣乎！然誘之上岸，非有成算，則斷不可。蓋敵一登陸，民心易動，軍心易震，非宿將強兵不能得手也。生，臺人也，為臺灣計，臺北可誘之近岸，臺南則不可。蓋臺北港道深通而有屏蔽，彼之駐輪甚便；若登岸，則反失所恃。臺南則港門雖深，風浪甚苦，四圍無山，港中非可駐輪；彼不登岸，不能久居也。若臺中諸港，沙線淺灘，難駛鐵船。然澎湖不守，則敵人得之，安穩收泊。有時展輪四掠，有時載小艇窺闖，臺中難防，臺南、北亦可慮。（洪繻〈籌海議〉）</t>
  </si>
  <si>
    <t>15.        關於上文對清末臺灣攻守情勢的分析，敘述最適當的是： (A)基於後勤準備已充足而可誘敵深入 (B)由海戰與陸戰兩方面揭示敵我利弊 (C)因船艦操作耗人力而主張放棄海戰 (D)從軍民齊心的優勢判斷可無懼陸戰</t>
  </si>
  <si>
    <t>16.	關於①、②是否符合上文看法，最適當的研判是： ①應加強澎湖海防，避免敵軍入侵臺北、臺中、臺南三地。 ②依臺北、臺南地形評估，引誘敵軍自臺北登岸，是可行的戰略。 (A)①、②皆符合	(B)①符合，②不符合 (C)①符合，②無法判斷	(D)①無法判斷，②符合</t>
  </si>
  <si>
    <t>17.若依據上文設計一款戰爭攻略遊戲「海戰1894」，遊戲腳本中，根據不同的項目，會讓敵我雙方戰力值互有增減。設計者為此遊戲設定的戰力值項目最不可能出現： (A)將士經驗	(B)地理環境 (C)攻守路線	(D)外援力量</t>
  </si>
  <si>
    <t>18-20為題組。閱讀下文，回答18-20題。 李丈參政罷政歸鄉里時，某年二十矣。時時來訪先君，劇談終日。每言秦氏，必曰「咸陽」，憤切慨慷，形於色辭。一日平旦來共飯，謂先君曰：「聞趙相過嶺，悲憂出涕。僕不然，謫命下，青鞋布襪行矣，豈能作兒女態耶！」方言此時，目如炬，聲如鐘，其英偉剛毅之氣，使人興起。後四十年，偶讀公家書，雖徙海表，氣不少衰，叮嚀訓誡之語，皆足垂範百世，猶想見其道青鞋布襪時也。淳熙戊申五月己未，笠澤陸某題。（陸游〈跋李莊簡公家書〉）</t>
  </si>
  <si>
    <t>18.	關於文中李參政的敘述，最適當的是： (A)少年得志，但因個性耿介，二十歲便罷政而歸鄉里 (B)常至陸游家，議論秦朝暴政虐民、聚斂咸陽的史事 (C)雖貶謫海表而坦然赴任，未嘗悲憂，英氣絲毫不減 (D)訓誨陸游之言響若鐘鳴，示現剛毅氣節，令人激昂</t>
  </si>
  <si>
    <t>19.	關於文中陸游的行為或感懷的敘述，最適當的是： (A)相隔四十年後，因重讀李莊簡公來信而為文回覆 (B)採用書序體書寫方式，闡述自己撰作本文的動機 (C)憶及青鞋布襪之言而連結今昔，流露對李公的欽仰 (D)追述昔日共聚議事的情景，感嘆故人遠謫而難再見</t>
  </si>
  <si>
    <t>20.	上文藉細節描述，展現李參政的人格特質。下列文句，亦透過書寫細節以呈現人物性格特質的是： (A)將軍向寵，性行淑均，曉暢軍事，試用於昔日，先帝稱之曰「能」 (B)樊噲側其盾以撞，衛士仆地，噲遂入。披帷，西嚮立，瞋目視項王 (C)行次靈石旅舍，既設床，爐中烹肉且熟，張氏以髮長委地，立梳床前 (D)三人移席，漸入月中。眾視三人坐月中飲，鬚眉畢見，如影之在鏡中</t>
  </si>
  <si>
    <t>21-22為題組。閱讀下文，回答21-22題。 《論語》是對我平生影響最大，使我受益最多的一本書。 早年我所受的傳統教育，以熟讀背誦為主。故所讀的書，無論懂與不懂，都深深地印入腦中。《論語》既是我最早背誦的一本書，也是我最為熟記的一本書。抗戰後期在北平淪陷區，雖然不得不穿著補丁的衣服，吞食難以下嚥的混合麵，我也能不以為苦。因為當面臨這些情境時，《論語》中「        」等語句立即湧現，給予我精神力量，使我可以不復介意。且經由在貧苦中如何自處的反思，進而聯想到「四書」中的其他語句。這種融會貫通的聯想和體悟，應該正是孔子極為重視的一種教學方式。 在詩歌教學中，這種聯想作用尤為可貴。子貢從孔子談做人修養的「貧而樂，富而好禮」，聯想到《詩經》的「如切如磋，如琢如磨」，而被孔子讚美是「可與言詩」的人。孔門論詩，特別注重「興」，因此，我日後教授詩詞，也特別注重詩歌中的興發感動。而這種感發，往往與人生之體驗和修養關係密切。 我平生讀書的最大樂趣，就是從書中去體會一份活潑的、可以提昇人精神的力量。正是從這一點來說，《論語》是對我影響最大，使我受益最多的一本書。（改寫自葉嘉瑩《論語百則・前言》）</t>
  </si>
  <si>
    <t>21.	依據文意，最適合填入上文        處的文句是： (A)食夫稻，衣夫錦，於女安乎 (B)士志於道而恥惡衣惡食者，未足與議也 (C)色惡不食，臭惡不食，失飪不食，不時不食 (D)菲飲食，而致孝乎鬼神；惡衣服，而致美乎黻冕</t>
  </si>
  <si>
    <t>22.	下列敘述，最符合上文體會或想法的是： (A)熟誦經典可將文章的深意烙印腦中，是對當代學子有益的教育方式 (B)《論語》與《詩經》、「四書」中的語句，可透過聯想體悟相印證 (C)孔門教學注重興發，子貢因以修養之道闡明詩句涵義而受孔子讚賞 (D)讀書之樂來自探求作品真實體驗，進而連結經典以形成興感的力量</t>
  </si>
  <si>
    <t>23-25為題組。閱讀下文，回答23-25題。 
甲:
嶺南人認為檳榔可以解瘴癘之氣，蘇東坡入境隨俗，大嚼大噉，至汗出且面紅如醉，還特地寫詩歌詠檳榔：「能消瘴癘暖如薰」。南宋羅大經《鶴林玉露》中說自己初至嶺南，對檳榔敬謝不敏；過了一段時間，才敢稍微嘗試；住了一年多後，卻「不可一日無此君矣」。南宋周去非《嶺外代答》則寫道：「有嘲廣人曰：『路上行人口似羊。』言以蔞葉雜咀，終日噍飼也，曲盡噉檳榔之狀矣。每逢人，則黑齒朱唇；數人聚會，則朱殷遍地，實可厭惡。」言詞中極盡輕蔑。（改寫自黃楷元〈陪蘇東坡一起吃檳榔〉）  
乙:
檳榔原產於馬來西亞，名稱源自馬來語pinang。臺灣的檳榔品質佳，從前除了日常嚼食，也用來待客。 李時珍《本草綱目》說：「嶺南人以檳榔代茶禦瘴，其功有四：一曰醒能使之醉，蓋食之久，則醺然頰赤，若飲酒然，蘇東坡所謂『經潮登頰醉檳榔』也。二曰醉能使之醒，蓋酒後嚼之，則寬氣下痰，餘酲頓解，朱晦庵所謂『檳榔收得為祛痰』也。三曰飢能使之飽。四曰飽能使之飢。蓋空腹食之，則充然氣盛如飽；飽後食之，則飲食快然易消。又且賦性疏通而不泄氣，稟味嚴正而更有餘甘。」 檳榔果實含多酚類化合物、檳榔素、檳榔鹼，會影響大腦、交感神經及副交感神經作用，提高警覺度，刺激腎上腺素分泌。世界衛生組織證實：檳榔素、檳榔鹼具潛在致癌性，檳榔所添加的石灰則會破壞口腔黏膜的表皮細胞，導致細胞增生變異。 嚼食經驗令我覺得檳榔很容易成癮，戒除甚難，但不知它的成癮機轉。它迷惑人，卻極具危險，像不正常的親密關係，像禁忌的遊戲，嚼多了會有墮落感、罪惡感。可它又那麼清香，那麼容易上癮。（改寫自焦桐〈禁忌的親密關係〉）</t>
  </si>
  <si>
    <t>23.	綜合甲、乙二文，關於檳榔的功效或危害，說明最適當的是： (A)賦性疏通而不泄氣，有益調節呼吸系統，嶺南用以對抗瘴氣 (B)李時珍認同朱晦庵檳榔可祛痰的看法，咀嚼檳榔有助於醒酒 (C)所含多酚類化合物具雙向調節的作用，既可充飢又可助消化 (D)世界衛生組織證實檳榔鹼會刺激腎上腺素分泌，致食用成癮</t>
  </si>
  <si>
    <t>24.	關於甲、乙二文的寫作方式，說明最適當的是： (A)甲文就歷史發展評論，認為嚼檳榔有礙觀瞻而不鼓勵食用 (B)乙文兼論檳榔功效與危害，呼籲人們抗拒檳榔的危險誘惑 (C)二文皆引述相關的文學創作與醫療知識，呈現檳榔多面性 (D)二文皆提及食用者親身經驗，點出嚼食檳榔後的成癮現象</t>
  </si>
  <si>
    <t xml:space="preserve">25.	下列詩句畫線處所敘述的檳榔作用，甲文或乙文中未提及的是： (A)登頰紅潮增嫵媚，潤脾津液益精神 (B)一抹腮紅還舊好，解紛惟有送檳榔 (C)有時食鮆苦羶腥，也須細嚼淨口舐 (D)淡可療飢醫苦口，津能分潤滴枯腸  </t>
  </si>
  <si>
    <t>第26題至第30題多選題。</t>
  </si>
  <si>
    <t>26.	下列各組「」內的詞，意義前後相同的是： (A)克己「復」禮為仁／師道之不「復」可知矣 (B)微夫人之力不「及」此／奔而入，「及」牆，虛若無物 (C)蓋藏「既」富，絃誦興焉／「既」親其所親，亦親其所疏 (D)為之躊躇滿志，「善」刀而藏之／（項伯）素「善」留侯張良 (E)余時為桃花所戀，「竟」不忍去湖上／久不見若影，何「竟」日默默在此</t>
  </si>
  <si>
    <t>27.	「稍微哭一下，就不得了啦，戲也不演啦」，句中「稍微」用來修飾動詞「哭」，表示哭的程度。下列文句「」內的詞，用來修飾動詞，表示動作程度的是： (A)侍婢羅列，「頗」僭於上 (B)漁人「甚」異之，復前行 (C)滿目蕭然，感「極」而悲者矣 (D)蓋追先帝之「殊」遇，欲報之於陛下也 (E)行「略」定秦地，函谷關有兵守關，不得入</t>
  </si>
  <si>
    <t>28.	關於「祕密」的看法，符合下文敘述的是： 當祕密出現在親近的人際關係中，每個人都覺得刺目─我隱匿了最後也可能是最重要的一條線索，阻止你順暢讀取我全部的檔案。那對愛是多大的殺傷力！這個世界於是鼓勵坦白，彷彿只要開誠布公，必能互相理解，擁抱，痛哭流涕地和解。但祕密卻固執地打破了理性架構的神話，讓人類理解語言的限制，發現自己畢竟掙脫不了那些幽暗的本能，及孤獨如何成為每個人真正的生命基調。 害怕孤獨的人為了裝作一無所瞞，以爭取想像中的友誼，於是開始訴說祕密。祕密換祕密，那是朋友的定情儀式，但我們不說自己的祕密。訴說別人祕密是一種無本生意，也是一種聲東擊西的詭計。當所有人都忙著訴說其他人的祕密，自己的祕密就擺脫了被刺探的危險。想要掩人耳目，是另一個人祕密開始出土的原因。（改寫自胡晴舫〈祕密〉） (A)人類幽暗不安是因為背地裡訴說別人的祕密 (B)交換祕密揭示人們畏懼孤獨而有相互取暖的需求 (C)訴說他人祕密既能滿足好奇窺探，又可掩藏自己的祕密 (D)保有祕密，拒絕他人全面讀取自己，反映孤獨的生命基調 (E)祕密的存在，乃因語言不可盡意的限制，阻隔了人際關係的親密</t>
  </si>
  <si>
    <t>29.	關於「夫餘國王」的事蹟，符合下文敘述的是： 北夷橐離國王侍婢有娠，王欲殺之。婢對曰：「有氣大如雞子，從天而下，我故有娠。」後產子，捐於豬溷中，豬以口氣噓之不死；復徙置馬欄中，欲使馬藉殺之，馬復以口氣噓之不死。王疑以為天子，令其母收取奴畜之。名東明，令牧牛馬。東明善射，王恐奪其國也，欲殺之。東明走，南至掩淲水，以弓擊水，魚鱉浮為橋，東明得渡。魚鱉解散，追兵不得渡。因都王夫餘，故北夷有夫餘國焉。（王充《論衡》） (A)為橐離國王和侍婢所生，因其出生時間而被命名為東明 (B)曾被棄於豬圈馬槽，不僅未受傷害且受到豬馬呼氣照護 (C)其母為侍婢而被視為奴僕，後因善騎射被派去放牧牛馬 (D)為救母而謀反，事敗後南向逃至夫餘，於是成立夫餘國 (E)逃避追殺至河邊時，魚鱉浮出讓他踩踏而渡，得以免難</t>
  </si>
  <si>
    <t xml:space="preserve">BE </t>
  </si>
  <si>
    <t xml:space="preserve">30.        下列兩節現代詩，均以賴和為寫作題材。關於詩意的解讀，適當的是： 甲、販夫的賣菜聲／從泛黃的紙張中傳來／殖民的申誡／帝國的律令／不過是根被折斷的秤錘呀／在不等重的兩端／丈量用聽診器／也無法診療的喘鳴／沉吟為一位詩人（洪崇傑〈稱仔的彼端─致賴和〉） 乙、你與所有人／都曾摀著嘴、駝著背走過／日本軍警到處罰站的街頭／在你自己的彰化媽祖宮用聽診器／像順風耳般，聽竊所有在病人心房裡／癱瘓的故事與詩歌／住滿秦得參、林先生、添福、阿金、莫那魯道……／你堅決帶他們走出情節與格律／到軍刀與警棍林立的廣場大膽遊行／在文藝欄一遍遍排版複刻中／把他們供奉在文壇（解昆樺〈在囚獄中獲致潔淨的光〉） (A)甲詩「被折斷的秤錘」與乙詩「駝著背」，刻劃人民被拷打的形象 (B)二詩均以「聽診器」提示醫師的身分，暗指醫者仁心而能聽取民瘼 (C)甲詩的「喘鳴」與乙詩的「癱瘓」，均指日治時期民智仍屬蒙昧無知 (D)二詩均述及〈一桿稱仔〉，慶幸文字能在當時對抗威權且洗滌人民苦厄 (E)甲詩認為人民苦難讓詩人悲憫發聲，乙詩認為苦難的人民被書寫而銘刻 </t>
  </si>
  <si>
    <t>31-32為題組。閱讀下文，回答31-32題。 
甲:
菊花開，正歸來。伴虎溪僧鶴林友龍山客，似杜工部陶淵明李太白，有洞庭柑東陽酒西湖蟹。哎！楚三閭休怪。（〔元〕馬致遠〈撥不斷〉）  
乙:
長醉後妨何礙？不醒時有甚思？糟醃兩個功名字，醅渰千古興亡事，麴埋萬丈虹霓志。不達時皆笑屈原非，但知音盡說陶潛是。（〔元〕白樸〈寄生草〉）  
醅：沒過濾的酒。渰：同「淹」，淹沒。
丙:
屈原已經成為一個符號和象徵。 漢代，屈原的爭議主要落於「怨君」。儒家對情感表達的理想是「樂而不淫，哀而不傷」。肯定屈原的人以注解儒家經書的方式注《楚辭》，試圖建立其經典地位，認為屈原和《詩經》一樣「怨誹而不亂」，可與日月爭光。批評屈原的人認為屈原在〈離騷〉有著歌淚式的表達，甚至悲壯付出生命，與儒家中庸之道產生劇烈拉鋸。 宋朝遭外族侵門踏戶，激發民族情感。《楚辭》讀者對屈原情感表現的理解，不同於漢代只從忠君脈絡詮釋，轉而強調其愛國之心，以國家民族興亡的高度，將「當怨與否」的倫理內涵重新審視，由此確立屈原情感的正當性。 明代黃文煥因蒙冤下獄，對屈原不被理解的痛苦感同身受。在獄中著《楚辭聽直》，為屈原的忠義之心辯護，希望有人也能替他昭雪冤屈。 屈原之於現代讀者的意義，與社會文化語境相關，面對抗戰，屈原愛國的面向被重新加強。隨著端午節被確立為詩人節，學者開始思考「詩人何為」，從中探討文學與政治的關係。當個人理想遭遇挫折，就像屈原不被楚王了解，這時該不該執著？可藉由屈原「舉世皆濁我獨清」的心緒，思考理想和世界的衝突。（改寫自徐平〈一個屈原，各自表述—政大廖棟樑揭開屈原的百變面紗〉）</t>
  </si>
  <si>
    <t>31.	關於甲、乙二曲的寫作手法，敘述適當的是： (A)甲曲以「菊花開，正歸來」，點出當時非如屈原身處的亂世 (B)乙曲以糟醃、醅渰、麴埋，把萬事可隨一醉泯滅加以形象化 (C)甲曲在飲酒食蟹中流露閒居之趣，乙曲在醉醒間隱含矛盾之情 (D)二曲皆藉嘲諷屈原的結局，表現出滑稽幽默的輕鬆與玩世態度 (E)二曲皆以陶潛對比屈原，說明自身生命選擇或價值判斷的傾向</t>
  </si>
  <si>
    <t xml:space="preserve">32.	依據甲、乙二曲和丙文，關於歷代對屈原的看法，敘述適當的是： (A)漢代對屈原的爭辯，在其作品情感的表達方式是否優於《詩經》 (B)宋代時關注屈原愛國之心，從民族情操的角度使怨君問題合理化 (C)元代文人喜借用屈原典故，說明自己雖然歸隱卻待時而動的心境 (D)明代時有與屈原相似際遇的人，將自身認同投射到屈原的遭遇上 (E)現代的各種文化語境中，詮釋屈原既保有過去面向也有時代新意  </t>
  </si>
  <si>
    <t>33-35為題組。閱讀下文，回答33-35題。 
甲:
古典是穿越世代的共有智慧，也是橫跨國界的共享遺產。 在人文教育上，思想的開放是終極目標。文化應通過批判性地消化繼承，而不能全盤否定或粗暴對抗。美國獨立成功，文化上仍與英國文學緊密銜接。主張脫亞入歐的日本，從來就持續接納儒學的薰陶。 古典之成為古典，並不是因為年齡蒼老，而是因為它經過不同歷史階段的過濾與篩選，禁得起解釋、開發、創造。無論時代如何進步，只有人性是千古不變。即使是千年以前的《詩經》，在恰當時刻也能感發不同時代的心靈。 追求進步並非要摒棄古典，而應以開放的精神重新檢視。所有的古典，經過閱讀、解釋、再創造，就會變成當代價值的一部分。 經過閱讀與再閱讀，創造與再創造，古典就是永遠的現代。
（改寫自陳芳明〈古典是永遠的現代〉）  
乙:
古典不等於古文，年代也未必久遠。披頭四的歌曲迄今不過半世紀，但對後世音樂影響深遠；蘇聯導演艾森斯坦《波坦金戰艦》的蒙太奇手法，如今已是電影的基本文法。這些在當時展現新手法或開創新視野的作品，後人愈是追隨，愈能顯出其永恆的地位。 2006年，龜山郁夫新譯杜思妥也夫斯基1880年的《卡拉馬助夫兄弟們》，一出版即暢銷百萬冊。優秀的譯筆能賦予古典現代生命。 古典的耀眼光彩從不會因古老而褪色。《論語》提供的建言，到今日仍可為人生的困境解惑。古典有時理解不易，可參考專家的引導，但不要變成先入之見。正岡子規認為《古今和歌集》不及《萬葉集》，但他是為了替低迷的短歌灌注活力，才批判有貴族傾向的和歌，讀者不能斷章取義。（改寫自齋藤孝著，莊雅琇譯《古典力》）</t>
  </si>
  <si>
    <t>33.	請就甲、乙二文關於「古典」的敘述，回答下列問題： 
(1)	能成為古典的作品，在流傳過程中須具備什麼條件？又在創作當時可能具有什麼特徵？（占4分，作答字數：40字以內。） 
(2)	請說明乙文哪個例子，最適合印證甲文「人性是千古不變」？（占2分，作答字數：20字以內。）</t>
  </si>
  <si>
    <t>(1)在流傳過程中須經過不同歷史階段的過濾與篩選。在創作當時 展現新手法。或：在流傳過程中 須禁得起解釋、開發、創造。在創作當時 開創新視野。
(2)《論語》提供的建言，至今仍可為人生解惑。或：《論語》至今仍可為人生解惑。</t>
  </si>
  <si>
    <t>經歷歷史篩選，具人性普遍性；創作當時能開創新視野        古典須具普遍性及經得起歷史考驗，創作當時應能反映或開創新時代意義。
《論語》的建言        乙文提到《論語》至今可解人生困境，最能印證甲文提到「人性是千古不變」。</t>
  </si>
  <si>
    <t>原因：甲文指出古典之所以成為古典，是因為經過不同歷史階段的過濾與篩選，禁得起解釋、開發、創造，能感發不同時代的心靈。乙文提到，當時展現新手法或開創新視野的作品，後人愈是追隨，愈能顯示其永恆的地位。
原因：因為甲文提到「只有人性是千古不變」，而乙文舉例《論語》的建言至今仍能解惑，體現了人性的永恆不變，最能印證甲文的觀點。</t>
  </si>
  <si>
    <t>33.1 經過歷史篩選具永恆價值；創作新穎具時代特色        古典需經歷不同時期的過濾與篩選，創作時具備創新特徵。
33.2  該例顯示人性不變，符合甲文「人性是千古不變」的觀點。</t>
  </si>
  <si>
    <t>33(1)        須經歷代淘洗仍禁得起反覆詮釋與再創造；創作當時常有開創性的新手法或新視野。   33(2)《論語》至今仍能為人生困境解惑，最能說明人性古今相通。</t>
  </si>
  <si>
    <t>(1) 條件與特徵：
須經歷歷史篩選、禁得起再創造；特徵為展現新手法或開創新視野。（32字）
(2) 印證人性的例子：
《論語》提供的建言，至今仍可為人生困境解惑。（19字）</t>
  </si>
  <si>
    <t>34.	關於古典的閱讀策略，最符合甲、乙二文敘述的是：（占2分，單選題） (A)甲文指出廣泛接受並適當批判古典，可讓思想開闊深厚 (B)乙文強調閱讀古典應從庶民角度出發，以了解時代脈動 (C)甲文認為應獨自體會深思，乙文認為不妨倚賴專家引導 (D)二文皆主張藉由同情共感的體證，可消解字面理解障礙</t>
  </si>
  <si>
    <t xml:space="preserve">35.	甲、乙二文均認為古典具有永恆性。明代許潮《赤壁遊》雜劇，對蘇軾〈赤壁賦〉既有承繼又有創新，請依下列引文回答問題：            
〔生 〕今山水星月，相照若昔，而英雄何寥寥也！吾四人遊賞於此，幸各能詩。可將曹孟德、孫仲謀、劉玄德、周公瑾，寫作四鬮，各拈取一鬮，吟詩一首，以見弔古斷案。 〔眾 〕最好！最好！ 〔 生 〕我等吟詠已完，可斟酒來。各照題目，嘆他一番。 黃鶯兒 〔 生 〕躍馬意何長，視東吳已入囊， 舳艫千里旌旗望。橫槊時氣揚，釃酒時態狂，誰知一火把神魂喪！〔 合 〕嘆興亡，江山如故，何處覓曹郎？ 祝英台 〔 生 〕把古今愁，廊廟悶，聊付與滄浪。
生:劇中扮演蘇軾。眾指蘇軾外的 黃庭堅、佛印、漁父。黃鶯兒、祝英台：皆曲牌名 。
(1) 舟中四人抽籤後，賦詩的規則為何？（占2分，作答字數：20字以內，不可抄錄原文。）
(2) 劇曲中，唱詞常表述人物的心聲。請問：①眾人〔合〕唱，除表達物是人非的喟嘆，更反映出世人對個體生命有什麼「共同的焦慮」？②許潮藉東坡之口道出：「聊付與滄浪」，對此一焦慮所持的態度是什麼？（①占2分，作答字數：10字以內；②占2分，作答字數：10字以內）
(1)	舟中四人抽籤後，賦詩的規則為何？（占2分，作答字數：20字以內，不可抄錄原文。） (2)	劇曲中，唱詞常表述人物的心聲。請問：①眾人〔合〕唱，除表達物是人非的喟嘆，更反映出世人對個體生命有什麼「共同的焦慮」？②許潮藉東坡之口道出：「聊付與滄浪」，對此一焦慮所持的態度是什麼？（①占2分，作答字數：10字以內；②占2分，作答字數：10字以內）  第二題（占8分） </t>
  </si>
  <si>
    <t>(1)各就所抽中的人物，賦詩一首歌詠。或： 吟詠所抽中的人物。或：各就所抽中的人物，賦詩一首來懷古 。
(2)
①生命有限。或： 死亡不可抗拒 。或： 人終有一死。
②隨任自然 。或： 曠達。 或： 釋懷 。</t>
  </si>
  <si>
    <t>根據抽籤結果，各自賦詩題詠歷史人物        劇中規則為抽籤分配題目後，對應人物作詩，藉此追思古人興亡。
①對生命無常的無力感；②超脫世俗、寄情自然        合唱反映出對無常的共同焦慮；「聊付與滄浪」則表達了以灑脫態度面對此無力感，轉而寄情自然。</t>
  </si>
  <si>
    <t>(1) 四人各抽一歷史人物，依題吟詩弔古。
① 對人生短暫、英雄不再的焦慮。
② 超然釋懷，隨遇而安的態度。</t>
  </si>
  <si>
    <t>根據引文，四人抽籤後，各自吟詩以致哀古人。
① 世人對興亡變遷有共同焦慮；② 「聊付與滄浪」表示釋然放下。</t>
  </si>
  <si>
    <t>35(1)        各抽一位三國人物，賦詩評論其興亡功過。
35(2)①        生命短暫，功業難留。
35(2)②        付諸自然，曠達自適。</t>
  </si>
  <si>
    <t>(1) 賦詩規則：
抽取英雄人物題目，並以此為題各寫一首詩。（18字）
(2) 心聲分析：
① 共同焦慮： 生命短促、終將被遺忘。（9字）
② 持有的態度： 豁達、隨緣、不執著。（9字）</t>
  </si>
  <si>
    <t>36-37為題組。閱讀下文，回答36-37題。 能實現新奇構想的原創者，可能比想像中謹慎保守。要實現原創構想，通常意謂挑戰現狀，所以原創者更懂得透過溝通爭取認同。例如好萊塢編劇的劇本能否開拍，往往取決於能否說服高層主管。1990年代早期，一群迪士尼編劇希望片廠不要繼續改編「灰姑娘」、「白雪公主」等故事，而能接受嶄新的《獅子王》。他們最初是以「把鹿換成獅子的非洲版小鹿斑比」介紹給片廠主管，未脫動物對抗人類的基調。經過修改，才讓老獅王木法沙、小獅王辛巴、大反派叔父刀疤，接近莎士比亞《哈姆雷特》的主要角色─叔父殺死了身為國王的父親，兒子為父親復仇。同時，發覺來自莎劇「To be or not to be」的困惑，反映了人性現實，相信能獲得普遍回響。最終，片廠支持這個由獅子演出《哈姆雷特》的構想，創下動畫電影史上的票房紀錄。 在這個案例中，新奇固然是原創性的關鍵，但也是一項挑戰。當編劇提出《獅子王》類似《哈姆雷特》時，這個熟悉感有助於高層主管把新奇的大草原腳本和經典故事連結起來。絕對的原創性有時並不讓人放心，畢竟高層主管需要參考座標，找到向觀眾行銷的著力點。（改寫自亞當‧格蘭特著，黃翫譯《作個原創者》）</t>
  </si>
  <si>
    <t>36.	依據上文，原創者「可能比想像中謹慎保守」，乃因他們對原創構想的處理方式通常是： (A)提高接受程度，降低實現阻力	(B)刪減奇趣異想，符合經典宗旨 (C)延長醞釀時間，不求搶先曝光	(D)瞄準市場需求，審慎投注資源
（占 2分，單選題）</t>
  </si>
  <si>
    <t>37.        上文認為，《獅子王》的創造來自《哈姆雷特》的再閱讀。請參考右圖「創意技能金字塔」，就文中觀點回答下列問題：         
(1)        《獅子王》的編劇將構想連結《哈姆雷特》後，自認能達金字塔「識別好點子」階段的主要理由是什麼？（占2分，作答字數：20字以內。） 
(2)        當《獅子王》構想進到金字塔的「爭取支持」階段，《哈姆雷特》能對高層主管產生說服作用，是基於哪二個理由？（占4分，作答字數：40字以內。）</t>
  </si>
  <si>
    <t>(1)反映人性現實。或： 哈姆雷特反映的人性現實能獲得普遍回響。
(2)高層主管對新故事有熟悉感提供行銷的參考座標。或：能和經典故事連結 找到向觀眾行銷的著力點。</t>
  </si>
  <si>
    <t>建立在經典《哈姆雷特》的基礎上，具備可接受性        《哈姆雷特》的經典地位為《獅子王》提供可信的構思來源，易於識別為好點子，增加接受度。
具經典性；能產生共鳴        《哈姆雷特》作為經典文本，既能增加創意的可信度，又能打動高層，讓他們認為觀眾會與其情感產生共鳴，為爭取支持提供有力理由。</t>
  </si>
  <si>
    <t>(1) 因連結《哈姆雷特》，故事反映人性現實，能引起共鳴。
(2) 第一個理由：
《哈姆雷特》是經典故事，熟悉感降低高層主管對全新構想的不安。
第二個理由：
經典連結提供行銷著力點，便於向觀眾推廣。</t>
  </si>
  <si>
    <t>利用經典故事基礎創造新意
熟悉感助說服，高層認可經典價值</t>
  </si>
  <si>
    <t>37(1)       因《哈姆雷特》的人性困惑具普遍共鳴。
37(2)        一是提供熟悉參照，讓主管能理解新構想；二是提供行銷座標，便於判斷如何打動觀眾。</t>
  </si>
  <si>
    <t>(1) 識別好點子的理由：
反映人性現實，相信能獲得大眾普遍回響。（18字）
(2) 說服高層的兩個理由：
提供熟悉感與經典連結，並作為行銷大眾的參考座標。（23字）</t>
  </si>
  <si>
    <t>2024_Questions</t>
  </si>
  <si>
    <t>1.	下列「」內的字，讀音前後相同的是： (A)排「闥」而去／同聲「撻」伐	(B)「篙」工撐棹／「蒿」目時艱 (C)桂「棹」蘭槳／「踔」厲奮發	(D)切勿「逡」巡／為惡不「悛」</t>
  </si>
  <si>
    <t>2.	下列文句，完全沒有錯別字的是： (A)德國隊蟬聯冠軍，呼聲最高，卻止步四強 (B)昨夜賓客蒞臨，主人倒屜相迎，賓主盡歡 (C)這棟大樓落實綠建築理念，設計不落巢臼 (D)離鄉背井的學子負趿北上，在外租屋不易</t>
  </si>
  <si>
    <t>3.	依據下文，對孔子來說，困難的是： 
孔子為這個弟子與眾不同的難馴感到驚訝。單是好勇厭柔，不少人也是如此，但像子路一樣輕蔑事物形式的人卻很罕見。「禮」雖然最終歸結於精神，卻必須從形式進入。「禮云禮云，玉帛云乎哉？樂云樂云，鐘鼓云乎哉？」當孔子這麼講時，他非常樂意傾聽，但一說明禮樂細則，他立刻顯得一臉無趣。一邊要與這種逃避形式主義的本能搏鬥，一邊又要傳授他禮樂，即使對孔子來說，也是困難重重。（改寫自中島敦〈弟子〉） 
(A)調整傳統講授方式，引導缺乏耐性的子路接觸禮樂 (B)自己雖也不喜歡禮樂形式，卻得想辦法讓子路接受 (C)讓子路理解禮樂的精神固然重要，形式也不可或缺 (D)以禮樂形式中所隱含的精神，改變子路的浮躁好勇</t>
  </si>
  <si>
    <t>4.	下文      處應填入可總括文中所舉四項事例的文句，最適合填入的是： 。是以雞知將旦，不能究陰陽之曆數；鵠識夜半，不能極晷景之道度；山鳩知晴雨於將來，不能明天文；蛇螘知潛泉之所居，不能達地理。（《抱朴子》） 
螘:小蟲 。短疢：缺點。
(A)英逸之才，非淺短所識 (B)官達者，才未必當其位 (C)小疵不足以損大器，短疢不足以累長才 (D)偏才不足以經周用，隻長不足以濟眾短</t>
  </si>
  <si>
    <t xml:space="preserve">5.	下列是一段古文，依據文意，甲、乙、丙、丁排列順序最適當的是： 昔周公之相也， 甲、皆諸侯卿相之人也 乙、是以俊義滿朝，賢智充門 丙、謙卑而不鄰，以勞天下之士 丁、孔子無爵位，以布衣從才士七十有餘人 況處三公之尊以養天下之士哉？(《鹽鐵論》)鄰：通 「吝」， 吝惜。
 (A)甲乙丁丙	(B)甲丙乙丁	(C)丙甲丁乙	(D)丙乙丁甲  
</t>
  </si>
  <si>
    <t>6-8為題組。閱讀下文，回答6-8題。 中國湖南省江永地區，一種神祕的菱形文字—女書—悄悄流傳超過百年。它是一種使用當地方言，須以「唱誦」方式表達與理解的表音文字。女人用它來自傳訴情、互通心跡、結交姊妹、祝禱祈願、傳說紀聞……。 江永是典型的農業社會，女孩從小「不得亂步出娘房」，因此未嫁的女兒稱作「樓中女」。未嫁的女兒在娘樓做女紅時，邊唱歌、邊學認女書、寫女書、織女書字，進入正統教育體系之外的知識系統，且因熱愛女書而結為姊妹。當有姊妹出嫁，每個姑娘從婚前幾天便開始哭嫁，餽贈女書留念，感懷女性身不由己的共同命運，娘樓是她們建立封閉又親密的女性空間，但事實上又是「無常」的象徵。 在以哭嫁為主題的女書作品中，常常描述父系社會婚姻將女人從原生土壤連根剜起的滋味，顯示哭嫁不僅是少女面對未知命運的恐懼，更是女人剪斷血緣、地緣與人緣臍帶時的哀號。但也由於有女書，因而婚後她們並不像其他文盲婦女喪失向外通訊、結盟的能力。姊妹們的通信中苦多樂少，但總是盡心相勸、彼此扶持。她們透過女書，在社會現實與磨難中掙扎、拉鋸、妥協，尋找生存之道。甚至在書寫過程中，執筆者也不止於代書，悲憐勸解的同時，常將自己的身世寫了進去，形成風格特殊的「參與寫作」。 關於女書的起源至今仍是個謎，江永女性發明了世界上獨一無二的女書，但因以土話為音，加上地方阻隔，僅局限於江永一帶流傳。也由於女性死後女書多作為殉葬而被焚毀，以及隨著教育的普及、傳統習俗、社會情境的改變等因素，女書逐漸式微。然而，女書的研究與應用方興未艾，尤其是在消費時代裡，女書反成為一種時尚符號，常出現在文創設計中。（改寫自鄭至慧、劉斐玟等相關研究報告）</t>
  </si>
  <si>
    <t>6.	關於上文「娘樓」與江永女性的關係，說明最適當的是：
(A)婚前：娘家禁鋼女性青春 婚後：娘家因鎖女性夢想
(B)婚前：女性於娘家交流心事 婚後：女性於娘家處理夫家家務
(C)婚前：女性在娘家企盼美好姻緣 婚後：女性因哭嫁禁忌不得重返娘家
(D)婚前：娘家是女性接受體制外知識之處 婚後：娘家是女性情感寄託的依戀</t>
  </si>
  <si>
    <t>7.	依據上文，關於女書的說明，不適當的是： (A)女書是婦女可掌握自我話語權的發聲筒，也是姊妹相濡以沫情誼的表現 (B)以女書書寫他人故事，常在他人生命中照見自己，而融入個人身世感懷 (C)女書是江永婦女的生命刻痕，而今江永女性為復甦女書多投身文創設計 (D)藉由女書音聲與表意的交織，女性藉以面對現實困境、悲訴社會的不公</t>
  </si>
  <si>
    <t xml:space="preserve">8.	下列女書作品，不是表現「女性婚後的失落」的是： (A)將說嫁奩兩半分，又氣淚流難一字。吃盡千般鹽香味，做盡媳婦一字難 (B)粗字粗針到貴府，只望姑娘請諒寬。不比貴家禮義全，你在高堂好過日 (C)十八歲女三歲郎，夜間洗腳抱上床。睡到五更索奶吃，我是寒妻不是娘 (D)他娘心中用計策，暗中叫子到別州。瞞起台身不知得，不知丈夫到哪方 </t>
  </si>
  <si>
    <t>9-10為題組。閱讀下文，回答9-10題。 大多數機場的指標都使用黑體字，因為它給人乾淨簡潔的現代感。若使用新細明體，由於筆畫很細，一段距離外就不易閱讀，甚至連發現它都有困難。新細明體的橫筆設計得偏細，不適合使用在距離讀者較遠的指標上。而黑體橫筆夠粗，就有良好的「易視性」。 新細明體在80年代曾是新潮設計，但時過境遷，難免審美疲乏，是想改變中文字型設計現狀者要革新的對象。高解析度螢幕時代，它更難以勝任螢幕上的閱讀。但只要它是系統內建的首要字型，就會是大多數人的首選。如此一來，文字風景的基本面一時難有什麼變化。 新細明體是專門用在「紙本」上的，離讀者眼前不遠，可能是放在桌上、捧在手上讀。這種字體我們稱為「內文」。通常，內文字體會設計得讓人感覺變化不大，沒有張狂的造型，像喝水那樣素然無味。但這樣「無聊」的體驗，反而有助於專心吸收資訊。新細明體是很普遍的內文字體，因而有學院指定報告使用新細明體，以減輕教授閱讀的負擔。（改寫自柯志杰、蘇煒翔《字型散步》）</t>
  </si>
  <si>
    <t>9.	上文認為「文字風景的基本面一時難有什麼變化」的主要原因是： (A)新細明體的識讀性高	(B)新細明體取得較方便 (C)人們習慣近距離閱讀	(D)人們不在意字型美醜</t>
  </si>
  <si>
    <t xml:space="preserve">10.	關於中文字型，最符合上文觀點的是： (A)新細明體宜運用在近距離閱讀的紙本，而不適用於指標 (B)以黑體字製作機場指標，主要因其變化不大而利於辨識 (C)用高解析度螢幕閱讀而想專心吸收資訊，宜選用新細明體 (D)撰寫學術報告為彰顯專業且予人簡淨的感受，宜選用黑體 </t>
  </si>
  <si>
    <t>11-12為題組。閱讀下文，回答11-12題。 《盲目》是1998年諾貝爾文學獎得主薩拉馬戈最廣為人知的小說。在一個不知名的城市裡，莫名其妙地出現了一種「白盲症」，患者會突然失明，眼前一片渾白。只有一人奇蹟般倖免，但也為此承受更多的責任與壓力。 此書除想像奇幻，敘事也別具特色。書中人物完全無名無姓，只以特徵或職業稱呼─如第一個盲人和妻子、眼科醫生、戴墨鏡的女孩、斜眼的男孩等。全書對話不用引號，也未特別分段，迫使讀者放慢速度，乃至再三重讀，以確定說話者。如同盲人在缺乏指引下，須費力摸索，才能確認當前的位置。 白盲症為全書最重要的象徵。薩拉馬戈設計了多條線索以供解讀。如白盲症使人彼此疑懼，生活脫軌，但患者間也能相互合作，尋求一己和團體的利益。唯一未染疫者固然有諸多方便與更大能力助人，但也因「眾人皆盲我獨明」，而看清人心險惡，甚至為了護衛夥伴安全，不得不手刃施暴者。從而感慨：「如果你看得到我被迫看到的景象，你會情願失明。」白盲症突然消失後，盲而復明者的一番體悟也引人深思：「我覺得我們並沒有失明，我認為我們本來就是『盲目』的。」（改寫自單德興〈瘟疫的文學再現與生命反思〉）</t>
  </si>
  <si>
    <t>11.	依據上文，關於《盲目》的書寫特色，說明最適當的是： (A)將故事場景設定在不知名的城市，顯現疫病蔓延的嚴重 (B)用特徵或職業稱呼角色，呈現人際關係因疫情而徹底崩壞 (C)以缺乏指引方式敘寫對話，形成類近盲者摸索前行的閱讀感受 (D)藉陳述感染者與未感染者的體悟，隱含盲與不盲無須分辨的論述</t>
  </si>
  <si>
    <t>12.	關於①、②是否符合上文內容，最適當的研判是： ①盲者、不盲者的處境，帶出「眼不見為患」與「眼不見為淨」的辯證。 ②眼盲隱喻心盲，既揭示人本身的盲目，又呈現人性的沉淪。 (A)①、②皆符合	(B)①符合，②不符合 (C)①不符合，②無法判斷	(D)①無法判斷，②符合</t>
  </si>
  <si>
    <t>13-15為題組。閱讀下文，回答13-15題。 周處生時或死後沒有多久，便有關於他的軼聞流傳。 甲 如孔約《志怪》云：「義興有邪足虎，溪渚長橋有蒼蛟，並大啖人，並郭西周，時謂郡中三害。周即處也。」又如祖台之《志怪》所述：「義興郡溪渚長橋下有蒼蛟吞啖人，周處執劍橋側伺。久之，遇出，於是懸自橋上投下蛟背而刺蛟，數創，流血滿溪，自郡渚至太湖句浦乃死。」 乙 兩書均成於東晉時期，時間相近。同一件事，何以在記述上各有其偏重之處？ 丙 《世說新語》則結合「三害」與「斬蛟」，並增加「殺虎」情節，使傳說更為完整： 周處年少時，兇彊俠氣，為鄉里所患。又義興水中有蛟，山中有白額虎，並皆暴犯百姓。義興人謂為「三橫」，而處尤劇。或說處殺虎斬蛟，實冀三橫唯餘其一。處即刺殺虎，又入水擊蛟。蛟或浮或沒，行數十里，處與之俱。經三日三夜，鄉里皆謂已死，更相慶。竟殺蛟而出，聞里人相慶，始知為人情所患，有自改意……處遂改勵，終為忠臣孝子。 丁 固定了「義興三害→周處射虎斬蛟→周處幡然悔悟、改過自新」的情節單元，成為後世「周處除三害」傳說的「基型」。（改寫自羅景文〈周處傳說探究〉）</t>
  </si>
  <si>
    <t>13.	上文有甲、乙、丙、丁四處標記。依據文意，「蓋由民間口傳，各記見聞，彼此歧異，故是尋常事。」句應填在： (A)甲	(B)乙	(C)丙	(D)丁</t>
  </si>
  <si>
    <t>14.	關於文中引述的三則周處傳說，說明不適當的是： (A)孔約提及義興時有三害，周處為其一，而未述及周處的改過自新 (B)祖台之未提到義興三害，聚焦於周處斬蛟，敘述較孔約《志怪》生動 (C)《世說新語》渲染周處殺虎以見其兇彊，呈現與志怪相異的志人特質 (D)《世說新語》增加里人相慶、周處聞知情節，以突出周處悔悟自新的轉折</t>
  </si>
  <si>
    <t>15.	迷因（meme）是文化傳遞的微型單位，經由模仿、複製、改作，承載片段資訊或觀點，透過語文、圖片或影音等型態流傳，帶來影響。「周處除三害」即屬迷因，依據右列電影《周處除三害》簡介，關於其模仿、改作傳說，說明最適當的是：
電影《周處除三害》簡介亡命天涯的槍擊犯陳桂林，誤信醫師的診斷，以為自己身罹絕症。在醫師勸說 自首 後， 因為 不希望自己死後被別人遺忘，決定以惡制惡 ，追殺排名在他之前的二大通緝要犯。最後投案自首，接受槍決伏法。陳桂林自以為是現代周處，卻沒想到困住他，讓他逃無可逃的，從來都不是外在環境，而是內心的貪、嗔、痴 。
 (A)行為動機模仿傳說，陳桂林因欲「為民除害」，而向兩大通緝要犯下手 (B)故事結局模仿傳說，陳桂林悔悟後奮發向上，改造自己，最終盡除三害 (C)人物設計模仿傳說，均安排一關鍵角色，勸說主角在離世前為人間除惡 (D)三害概念模仿傳說，將猛虎惡蛟轉為兩大通緝要犯，並創發貪嗔痴的新義</t>
  </si>
  <si>
    <t>16-17為題組。閱讀下文，回答16-17題。 賈政這面鏡子，映照的性質和寶玉正相反。寶玉有來自上天的靈竅稟賦，賈政的鏡性卻來自人間現實環境。眾人都在做夢時，只有賈政是醒著的。小說家給予賈政重任，讓他興建家園、重整家園，在各種緊要關頭，起動警惕、總結、前瞻等作用。 賈政恨寶玉不務正，專在「濃詞豔賦上作工夫」。賈政打寶玉，是邊怒打邊流淚。賈政一路提醒寶玉什麼是現實生活，隨時鞭策寶玉，催促寶玉醒來，必須接受歷練而成長成熟，否則不能做好自己承繼賈府的準備。賈政是成人的標徵。作者肯定賈政，善待成年，成年在小說中不是罪過，反被認知成生命的必要階段。賈政其實是瞭解寶玉的，寶玉的詩文才情，大多要借和賈政對話的場合才更顯精神。在痛恨兒子是無用之人的同時，作父親的卻也一眼看得見他奇異天生。 我們終於明白了批評家脂硯齋所言─賈政之為人物，「有深意存焉」。是賈政，扶養寶釵母子；是賈政，攜賈母和黛玉等靈柩歸葬南鄉；是他，送別寶玉。只有賈政可以撫慰生者，安息逝者，讓離者心安地去了。如果寶玉是承盡了愛和哀，賈政則是擔盡了事和責。 即使是生命中不可能達致的，賈政依舊呵護成長尚未到來前的浪漫存在，嘗試建立人間樂園烏托之邦。寶玉是補天之石，支撐著現實人間的則是賈政。（改寫自李渝〈賈政不做夢〉）</t>
  </si>
  <si>
    <t>16.	依據上文，關於賈政與賈寶玉的父子關係，敘述最適當的是： (A)寶玉的哀在於雖發揮文學之才，而未準備好承擔賈政的責任 (B)寶玉被關愛，成長於賈政護守的人間樂園，享受青春的美好 (C)賈政擔負賈府事務，注重現實，故無法理解寶玉的浪漫性格 (D)賈政認為寶玉應該為家人興建與世無爭、遠離廟堂的烏托邦</t>
  </si>
  <si>
    <t>17.	依據上文，脂硯齋認為賈政此人物「有深意存焉」，此深意應是： (A)對比寶玉的靈竅天賦，並諷刺禮教使讀書人思維僵固 (B)體現人在歷練後，學會承擔才是成熟面對生活的態度 (C)凸顯賈政的守舊思維，隱喻家族未來必然會走向衰敗 (D)指出在現實人生中，可以選擇浪漫地或理性地過生活</t>
  </si>
  <si>
    <t>18-20為題組。閱讀下文，回答18-20題。 情緒訊號系統有個特色，就是它總是「開啟」的。情緒開始時，幾乎會立刻出現訊號。例如傷心時，眉毛內緣會向上拉，聲音會變得較輕柔低沉。最立即的情緒訊號是臉部表情。人們常把生氣、害怕、嫌惡、哀傷和輕蔑視為負面情緒，驚訝和愉快是正面情緒。這簡單的二分法有兩個問題，一是忽略所謂負面情緒並不總是令人不舒服，如許多人看了一場哀傷的電影後，喜歡大哭一場。二是被視為正向情緒的快樂，也可能很殘忍，如嘲笑別人。唯有檢視各種情緒事件的特性，才能分辨使人愉快還是不愉快。 聲音是另一種情緒訊號系統，與臉部表情有許多有趣的差別。臉部是可以觀察的，聲音則是時斷時續的，可以憑意志完全關閉。想隱藏表情，可能是人常以電話取代面對面溝通的原因。電子郵件甚至不需要說和聽，所以不會從聲音流露情緒。 身體動作也是情緒訊號：輕鬆時會出現放鬆身體的姿勢，輕蔑的動作是從上往下看對方，驚訝則是把注意力固定在產生情緒的對象。身體動作雖然像臉部和聲音的情緒訊號一樣是不由自主的，但對大多數人而言，控制身體的動作，比完全不露出臉部和聲音的情緒訊號更為容易。（改寫自保羅・艾克曼《心理學家的面相術》）</t>
  </si>
  <si>
    <t>18.	依據上文，關於情緒訊號的敘述，最適當的是： (A)正向情緒會使人露出笑容，總能帶給他人愉快 (B)臉部表情比身體動作情緒訊號，更易憑意志控制 (C)人們常以電話溝通，可能是因為聲音比表情容易隱藏情緒 (D)情緒訊號系統總是開啟的，通常從身體動作最先出現訊號</t>
  </si>
  <si>
    <t>19.	依據上文，下列文句畫線處所暗示的情緒訊號，解讀最適當的是： (A)其（嫦娥）聲清越，烈如簫管。歌畢，盤旋而起，躍登几上，驚顧之間，已復為箸─眾人臉上露出驚訝的表情而把目光集中在嫦娥身上 (B)客喜而笑，洗盞更酌。肴核既盡，杯盤狼藉。相與枕藉乎舟中，不知東方之既白─蘇軾與客藉著疏狂的身體姿態表達對人生苦短的感傷 (C)言訖，乘驢而去，其行若飛，回顧已失。靖與張氏且驚且喜，久之，曰：「烈士不欺人，固無畏！」促鞭而行─李靖二人快馬加鞭的身體動作，表現二人驚懼之下急於離開 (D)親賢臣，遠小人，此先漢所以興隆也；親小人，遠賢臣，此後漢所以傾頹也。先帝在時，每與臣論此事，未嘗不嘆息痛恨於桓、靈也─劉備低聲嘆息，凸顯其極力壓抑面部表情與聲調</t>
  </si>
  <si>
    <t>20.	某些心理學家認為：情緒調整模式可藉學習而來。下列最接近此一觀點的是： (A)人稟七情，應物斯感，感物吟志，莫非自然 (B)真者，所以受於天也，自然不可易也。故聖人法天貴真，不拘於俗 (C)登山則情滿於山，觀海則意溢於海，我才之多少，將與風雲而並驅矣 (D)聖人所以治人七情，修十義，講信修睦，尚辭讓，去爭奪，舍禮何以治之</t>
  </si>
  <si>
    <t>21-22為題組。閱讀下文，回答21-22題。 父子，人倫之大。父老而子不能事，則其罪在子；子幼而父不能養，則其責在父。劉珵為衡州知郡孫，有男元老，幼不撫養，而賣與鄉民鄭七。棄衣冠而服田畝，情亦可憐，此猶可諉也，曰劉珵一時為貧之故。已而，元老不安於鄭七家，逃歸本父，劉珵固宜復回天理，自子其子矣，乃復以元老賣與程十乙，則其意安在哉？可謂敗人倫、滅天理之已甚者！今鄭七入詞，欲取回元老於已去三年後，此決無復合之理。……劉珵兩將元老賣弄，為父不父，本合勘杖，且與從蔭，決小杖二十。元老牒押往族長劉萬二宣教宅，聽從收養。觀此子情貌奸狡，兼所習已乖，請萬二宣教嚴與鈐束，庶免墮落下流，為衣冠之玷，亦一美事。（《名公書判清明集》）入詞
具 文陳述。 宣 教：宣教郎，官名。
當代判決書的要項
◎
當事人：起訴（原告）與被訴
（被告）兩造 。
◎
事實：訴訟雙方主張的事實，
非法官採認的事實。
◎
主文：法官對該訴訟的決定。
◎
理由：法官對為何這樣判決的
說明。</t>
  </si>
  <si>
    <t>21.	若依右框當代判決書要項，觀察上列古代判決書，最符合文中所述的是： (A)當事人：程十乙為原告，劉珵、鄭七為被告 (B)事實：鄭七有償獲得元老，自認有理由繼續保有養子 (C)主文：劉珵須賠償鄭七，並不得與元老恢復父子關係 (D)理由：鄭七已撫養元老三年；元老已對生父心懷不滿</t>
  </si>
  <si>
    <t xml:space="preserve">22.	下列敘述，最符合上文寫作方式的是： (A)全文大致先提出法律規定，再說明案件違背該法條，最後敘述判決結果 (B)說明案件時，先列被告自陳的事實，再敘原告的反駁，再舉證人的佐證 (C)以「其罪在子、其責在父」為綱領，依序指陳「子不子、父不父」之過 (D)時見教化口吻，除對悖倫者嚴辭訓斥，並期勉受託者負起維護禮教之責 </t>
  </si>
  <si>
    <t>23-24為題組。閱讀下文，回答23-24題。 唐代稱主掌考試為知貢舉。因知貢舉者有取捨大權，舉子便在考試前向其投詩獻文，以博得青睞，一旦登第，感恩終生，於是產生特有的「座主」與「門生」關係。柳宗元〈與顧十郎書〉中說：「凡號門生而不知恩之所自出者，非人也。」崔群的例子也反映了當時這種社會意識。崔群在中唐時被譽為賢士，韓愈盛讚他「考之言行而無瑕尤」，但他對座主與門生關係，卻表露出相當世俗的看法。《獨異志》云： 崔群為相，清名甚重。元和中，自中書舍人知貢舉，既罷，夫人李氏嘗勸其樹莊田以為子孫之計。笑答曰：「余有三十所美莊良田遍天下，夫人復何憂？」夫人曰：「不聞君有此業。」群曰：「吾前歲放春榜三十人，豈非良田耶？」夫人曰：「若然者，君非陸相門生乎？然往年君掌文柄，使人約其子（簡禮），不令就春闈之試。如君以為良田，則陸氏一莊荒矣。」群慚而退，累日不食。 以莊園比喻門生，極易為唐代人所接受。及第的舉子若違世俗，就是柳宗元指斥的「非人也」。（改寫自傅璇琮《唐代科舉與文學》）陸相：
陸贄 。</t>
  </si>
  <si>
    <t>23.	下列敘述，可藉由上文判斷確知的是： (A)韓愈、陸贄皆曾於唐代知貢舉 (B)柳宗元於顧十郎知貢舉時登榜及第 (C)韓愈肯定崔群言行，但不認同其拘守座主門生關係 (D)柳宗元、崔群對座主門生關係的認知，不脫時人之見</t>
  </si>
  <si>
    <t xml:space="preserve">24.	上文《獨異志》中的崔群之妻說「陸氏一莊荒矣」，最可能的原因是： (A)譏嘲陸贄未曾知貢舉，缺乏門生	(B)暗諷崔群受陸贄提拔，卻不報恩 (C)感嘆陸贄子孫不上進，門庭漸衰	(D)提醒崔群以陸贄為戒，買田躬耕   </t>
  </si>
  <si>
    <t>第25題至第31題多選題。</t>
  </si>
  <si>
    <t>25.	下列文句畫底線的詞語，運用適當的是： (A)就算勉強通過安全檢查，但心存僥倖的防災態度，仍不足為訓 (B)世事變化如白雲蒼狗，刻骨銘心的情感與誓約，已成過眼雲煙 (C)這篇文章見解獨特，不同流俗，有如空谷足音，是難得的佳作 (D)萊特兄弟是發明飛機的始作俑者，拜其所賜，才使天涯若比鄰 (E)小陳做事胸無城府欠缺規劃，同事常須為其善後，而心生抱怨</t>
  </si>
  <si>
    <t>26.	中文文句中的「以」，可用於某項作為之後，表示該作為的目的，例如「保持距離（作為），以策安全（目的）」。下列畫底線文句中的「以」，屬於此種用法的是： (A)垣牆周庭，以當南日 (B)願陛下託臣以討賊興復之效 (C)無求生以害仁，有殺身以成仁 (D)挾飛仙以遨遊，抱明月而長終 (E)余嘉其能行古道，作師說以貽之</t>
  </si>
  <si>
    <t>27.	下列各組「」內的詞，意義前後相同的是： (A)三五年內，即「當」太平／快意「當」前，適觀而已矣 (B)便扶「向」路，處處誌之／「向」時估帆所出入者，時已淤為沙灘 (C)爾其自戕「爾」手／蒙賜月明之照，乃「爾」寂飲，何不呼嫦娥來 (D)若亡鄭而有益於君，「敢」以煩執事／入咸陽，毫毛不「敢」有所近 (E)軒凡四遭火，「得」不焚，殆有神護者／「得」比勁節長垂，千人共仰</t>
  </si>
  <si>
    <t>28.	依據下文，關於臺灣的海洋歷史文化，敘述適當的是： 臺灣位處廣闊海洋中，島上不同族群，都有海洋活動的歷史經驗。部分史前族群和平埔族人駕駛側翼板的船隻配合洋流、季風遠航，卑南族有海祭祭典，達悟人更是典型的海洋民族。清帝國治臺期間，福建、廣東人民冒險渡過黑水溝來臺灣，其冒險打拚、追求「出頭天」的精神，成為臺灣強韌生命力的根源。1949年，大量移入的新住民，增加了臺灣社群構成的多樣性。兩波移民雖原籍地與背景不同，「過鹹水」則是共同的歷史記憶。 明、清時期的閩南移民，帶來冒險謀利的商業性格。臺灣從南到北港口林立，顯示蓬勃發展的生命力。大航海時代，東亞海域在國際貿易上的地位日漸重要，而臺灣因地處此一海域的交通要衝，遂成為各國進行商業交易的集散地。西班牙、荷蘭先後占領臺灣，將臺灣推向西方近代化的進程，也帶來商業文明的思維。回望歷史，中國、日本、南亞與西方國家的文化在此地交流，並融合原民的南島文化，形成特殊的臺灣文化。（改寫自戴寶村《臺灣的海洋歷史文化》） (A)「過鹹水」的經驗，是不同時代漢人移民相同的歷史記憶 (B)商業文明思維與近代化進程，奠基於兩波漢人移民的拓墾 (C)被近代西方列強占據後，海上貿易才蓬勃發展，因而港口林立 (D)因地理條件、南島民族、渡海移民及經貿活動，形成文化特色 (E)除融合原民、漢人文化，亦受到日本、南亞與西方文化的影響</t>
  </si>
  <si>
    <t xml:space="preserve">29.	關於硃砂（主成分為硫化汞），符合下列資料所述的是：  
行政院衛生署公告（署授藥字第 0940002424號主旨：自 94年 5月 1日起 禁止中藥用硃砂製造、調劑、輸入、輸出、販賣或陳列 。
中醫師：炮製藥材硃砂，須重視水飛法多次沉淀，拋棄費時多者未有效用以及機器研磨同樣會發生摻雜的問題。慢硃砂產生劇毒，一旦入藥，極其危險。」
巴泰娜清：「我家因硃砂礦業而致富。硃砂應視原料品質與加工目的，而有不同的處理方式。」
水飛法：
︿ 慎取好砂，軋碎如徵塵入缸注清水澄浸。
︿ 攪以重浊者，下沉，輕者上浮者不甚入藥。
︿ 傾入別缸，其他沉結者，曬乾即頭朱也。
升煉法：
︿ 去砂不入藥，作燒置砂於器中，下承以水，上覆以窯，器外加火，則煙旋熱上，水銀結於下。
︿ 有硃砂塵落下，入火則煉硃有毒，能殺人。
︿ 水銀形影消於間，因火燒丹或油，或加硃砂，轉而為鎏金，或加硃貴而為鎏朱。
(A)水飛法是將硃砂先以清水反覆淘洗，再曬乾研成粉末 (B)今日若以機器研磨取代水飛法，將因高溫使硃砂含有劇毒 (C)升煉法主要用於煉製水銀，水銀加入硫黃之後可再產生銀朱 (D)銀朱藉升煉獲得，不僅速度快，毒性也比水飛法獲得的頭朱低 (E)藥用硃砂若以安全方式炮製，非全不可用，但臺灣目前完全禁用 </t>
  </si>
  <si>
    <t>30-31為題組。閱讀下文，回答30-31題。  
甲:
鄭成功起兵荼毒濱海，民間患之。有問善知識云：「此何孽肆毒若是？」答曰：「乃東海大鯨也。」問何時而滅？曰：「歸東即逝。」凡成功所犯之處，如南京、溫、台並及臺灣，舟至海水為之暴漲。順治辛丑攻臺灣，紅毛先望見一人冠帶騎鯨，從鹿耳而入，隨後成功將舟由是港進。癸卯成功未疾時，轄下夢見前導稱成功至，視之，乃鯨首冠帶乘馬，由鯤身東入於外海。未幾，成功病卒，正符「歸東即逝」之語。（《重修福建臺灣府志・叢談》）  
乙:
鄭成功，倭產也。誕降之前一日，天晴霽無片雲。薄暮，忽有雷破土窟而出，煙霾漲天，人對面不可辨。少頃，狂風疾雨，拔古木且盡，屋瓦皆飛，平地水深數尺。正錯愕間，空中有聲，如天崩地裂，繞郭顛簸不止。眾相驚以地震，曰：「弗去懼壓。」則皆走，亟覓山村避之。天明，諜者言島中有鯨鯢長數十丈，夭矯起波間。金光閃爍，噓氣如雷鳴，風濤暴漲，隱隱有金戈鐵馬之聲不絕。舟航糜碎，溺入海盡死，竟夜哭聲震天。雞鳴，風始定，魚亦不見。相譁以為妖怪云。是夕，成功生，人奇之。 自成功生後，倭視翁氏禮加謹。及長，據金廈，兵敗勢蹙，將以海外為逋逃藪，乃決計東行。時臺地屬荷蘭左賢王，忽夜夢一偉人盛服騎鯨魚入鹿耳門，侍衛甲兵甚眾，道無阻者。及寤，異之。未幾，報鄭兵至矣。（《臺灣紀事‧鄭事紀略》）</t>
  </si>
  <si>
    <t>30.	關於甲、乙二文中鄭成功的事蹟，敘述適當的是： (A)出生之日傳說大鯨現身，引發巨浪破壞船隻 (B)出生後因降伏害人的大鯨，其母受倭人禮敬 (C)擁有騎鯨的天賦，因而率軍船征戰無往不利 (D)率兵剿滅海賊，解救了久被荼毒的濱海人民 (E)病死於臺灣，符應高僧大鯨歸東即逝的預言</t>
  </si>
  <si>
    <t xml:space="preserve">31.	關於甲、乙二文的寫作方式，敘述適當的是： (A)分從神異事蹟、中日混血角度，解釋鄭氏軍事才能卓越之因 (B)均藉描述海水暴漲，以凸顯鄭氏船隊之軍威浩大、軍容壯盛 (C)均記載鄭成功與鯨魚密切關聯的夢境，以凸顯鄭氏乃非常人 (D)皆敘寫鄭成功攻臺時獲神靈天助，登陸鹿耳門後，勢如破竹 (E)皆以清廷統治的觀點，看待鄭氏攻打荷人、占領臺灣的事蹟   </t>
  </si>
  <si>
    <t>32-36為題組。閱讀甲、乙、丙、丁文，回答32-36題。  
甲:
回憶一直是文學重要的題材和主題。在書寫回憶的文學作品裡，一般關注的是追憶的內容、方式以及其中的自我。沒有記憶，我們就不知道自己是誰，過去曾是什麼，未來又將有什麼樣的發展。我們是自我記憶的總和，記憶提供持續的自我意識，若改變記憶，就改變了那稱之為「我」的人。 引起回憶的事物，把我們的注意力引向不復存在的過往情景。這些事物就像是過去時光斷裂後餘存的碎片，出現在當下的現實，具有路標作用，引發我們向恢復整體的方向前進。一如《追憶似水年華》主角馬塞爾，因為椴花茶與瑪德蓮糕混融的氣味，喚醒童年和過去的記憶。 文學作品常見的回憶方式有二：一種是自主的回憶，一種是不由自主的回憶。前者是主動地重建過去，而後者則是在無預期的狀況下，透過某種感覺和提醒物（例如瑪德蓮糕），將早已遺忘了的往日時光，一下子召喚到眼前，從而湧現出失而復得的喜悅與幸福；同時，記憶中的往事，只是碎裂的斷片，其實無法完整恢復，從而讓人意識到時光的失落和自我的變化，於是懷舊、惆悵、感傷。
乙:
長期記憶分布在腦內各處，不像短期記憶一樣分布在某個專屬區域。因此，人不會突如其來地完全忘記某件事，而是在時光流逝中，對那件事的記憶逐漸喪失精準，逐漸失去細節。這個過程和照片褪色沒有太大不同：我們慢慢地、不知不覺地遺忘。 重啟感情記憶的開關，就在於各種感官體驗，尤其是難以關閉、無法拒絕的嗅覺。一般來說，人體接收感官訊息時，會經過大腦的視丘，再由視丘將訊息傳遞給大腦其他部位。而產生嗅覺的氣味因子則會繞過視丘直達杏仁核（負責處理情緒）與海馬迴（負責處理記憶），因此嗅覺與情感、記憶的連結，比其他感官更直接。所見所聽的可能旋即消失在短期記憶中，但嗅覺幾乎沒有短期記憶。大腦把這些氣味和情感融合在一起，從而在遙遠的未來，藉由氣味喚起深藏的記憶，掀起濃重的懷舊思緒。
（改寫自戴安・艾克曼《氣味、記憶與愛欲》）
丙:
簾外雨潺潺，春意闌珊。羅衾不耐五更寒。夢裡不知身是客，一晌貪歡。 獨自莫憑欄，無限江山，別時容易見時難。流水落花春去也，天上人間。（李煜〈浪淘沙〉）李煜南唐最後一任國君，在位十五年，國滅被俘入宋。
丁:
醉裡挑燈看劍，夢回吹角連營。八百里分麾下炙，五十絃翻塞外聲。沙場秋點兵。 馬作的盧飛快，弓如霹靂弦驚。了卻君王天下事，贏得生前身後名。可憐白髮生。（辛棄疾〈破陣子〉）
辛棄疾:生於北方，二十餘歲聚眾加入義軍抗金，後率軍投奔南宋。南歸後，為當權者所忌，或放廢家居，或沉淪下僚。</t>
  </si>
  <si>
    <t xml:space="preserve">32. 請依據甲文，回答下列問題：( 2+4)
（1） 琦君的〈髻〉是一篇回憶散文，由下框所示全篇的首段來看，該文屬於哪一種「文學作品常見的回憶方式」？（占2分，作答字數：10字以內。）      
（2） 回憶時，通常會因同時意識到昔日時光的哪些情況，從而引發了怎樣的感受？（占4分，作答字數：30字以內。）  </t>
  </si>
  <si>
    <t>(1)自主的回憶
(2)往日失而復得的喜悅；意識到往日已逝的感傷
或：往事再現的喜悅；時光流逝的懷舊感</t>
  </si>
  <si>
    <t>不由自主的回憶        琦君〈髻〉因特定情境或物品勾起過去的回憶，符合不由自主回憶的特徵。
時光失落與自我變化；懷舊、惆悵與感傷        回憶往事時，感知時光無法回復並意識到自我改變，導致懷舊、惆悵與感傷情緒湧現。</t>
  </si>
  <si>
    <t>不由自主的回憶
意識到時光的失落和自我的變化，引發懷舊、惆悵、感傷的感受。</t>
  </si>
  <si>
    <t>不由自主的回憶
意識到過去的斷裂和失落，引發懷舊、惆悵、感傷的情感</t>
  </si>
  <si>
    <t>32（1）不由自主的回憶（2）往事僅剩斷片、時光已失落，因而懷舊惆悵感傷。</t>
  </si>
  <si>
    <t>32(1)        不由自主的回憶   32(2)        往事破碎無法完整恢復</t>
  </si>
  <si>
    <t>33. 請 依據 甲、乙文 ，回答下列問題(4+2「感官 」與「大腦 」各占2分)
（1）甲文以「斷片」、乙文以「照片褪色」作譬喻，請說明二者分別形容記憶的什麼特徵？（ 占4分，作答字數：各10字以內。）
（2）依據乙文，甲文中《追憶似水年華》裡的馬塞爾，「喚起童年回憶」的生理路徑是什麼？（ 「感官 」與「大腦 」各占2分，作答字數：三處：各10字以內。）</t>
  </si>
  <si>
    <t>(1)「斷片」：不完整／無法完整恢復；「照片褪色」：逐漸喪失精準／逐漸失去細節
(2)「感官」：嗅覺（鼻子）；「大腦」：杏仁核海馬迴</t>
  </si>
  <si>
    <t>斷片：記憶不完整；褪色：記憶逐漸模糊        「斷片」形容回憶的片段性，「褪色」形容記憶隨時間模糊的特徵。
嗅覺→杏仁核→海馬迴        乙文指出氣味繞過視丘，直達杏仁核與海馬迴，從而喚起深層記憶。</t>
  </si>
  <si>
    <t>（1）甲文「斷片」：形容記憶的碎裂、不完整。乙文「照片褪色」：形容記憶逐漸模糊、失去細節。
（2）嗅覺感受氣味繞過視丘傳遞直達杏仁核、海馬迴</t>
  </si>
  <si>
    <t>甲：「斷片」形容記憶片段性。&lt;br&gt;乙：「照片褪色」形容記憶模糊化。
杏仁核、海馬迴、嗅覺中樞</t>
  </si>
  <si>
    <t>33（1）甲：記憶零碎不完整／乙：記憶逐漸模糊失真
33（2）嗅覺 → 杏仁核 → 海馬迴</t>
  </si>
  <si>
    <t>33(1)        破碎、模糊   33(2)        嗅覺、杏仁核、海馬迴</t>
  </si>
  <si>
    <t>34.	關於丙、丁二詞中的夢與現實，解讀最適當的是： (A)夢中皆突破局限，穿梭過去、現在與未來，虛實相生 (B)皆自歡快的夢境中醒來，從而生發想望落空的幻滅感 (C)李煜夢醒覺知「身是客」，辛棄疾夢中自憐「白髮生」 (D)夢醒後，對照夢境與當前的境遇，皆萌生壯志未酬之嘆</t>
  </si>
  <si>
    <t>35. 若綜合甲、乙、丙、丁文提出下列理解，對①、②是否適當的研判應是： ①丙詞以「一晌」形容「貪歡」，此歡樂既是片刻的，應屬於短期記憶。 ②丁詞寫吹角、塞外聲、點兵，融入年少抗金記憶的斷片，並潛藏夢想。 (A)①、②皆適當 (B)①、②皆不適當 (C)①適當，②不適當 (D)①不適當，②適當</t>
  </si>
  <si>
    <t>36.	若參照甲文理解丙、丁二詞，請回答下列問題： 
（1）丙詞以「天上人間」的對比表達感受，亦暗示作者意識到怎樣的「自我」的變化？（占2分，作答字數：20字以內。） 
（2）夢是文學家表述記憶的一種手法。假設丁詞「夢回」後所寫的夢境，屬於「不由自主的回憶」，詞中何者是「提醒物」？它與作者回憶起的往事有何關聯？（占4分，作答字數：30字以內。）</t>
  </si>
  <si>
    <t>(1)由帝王淪為囚徒或由生命的主人變成受人宰制的人
(2)劍；劍是他征戰沙場的工具或：劍；讓他想起曾馳騁於戰場</t>
  </si>
  <si>
    <t>從榮華到落魄的國破之身        「天上人間」對比，暗示作者從帝王榮耀到囚徒落魄的巨大自我變化。
提醒物：吹角聲；回憶抗金沙場        「吹角聲」觸發辛棄疾對年少抗金的回憶，表現其壯志與沙場場景。</t>
  </si>
  <si>
    <t>（1）意识到自己从帝王到囚徒的身份巨变。（20字）
（2）提醒物是“剑”；它引发作者对年轻时抗金沙场经历的回忆。（30字）</t>
  </si>
  <si>
    <t>意識到身分變遷，從國君到俘虜的失落感。
提醒物為「吹角連營」，喚起年少沙場奮戰的記憶。</t>
  </si>
  <si>
    <t>36（1） 由國君淪為亡國被俘之人
36（2）提醒物：劍。關聯：由眼前之劍，喚起昔日軍旅抗金、沙場點兵的往事。</t>
  </si>
  <si>
    <t>36(1)   意識到自我的變化： 從尊貴的一國之君，轉變為卑微的亡國俘虜。
36(2)    提醒物： 劍。關聯： 劍是沙場兵器，藉由看劍喚醒昔日抗金的軍旅記憶。</t>
  </si>
  <si>
    <t>2015_Questions</t>
    <phoneticPr fontId="21" type="noConversion"/>
  </si>
  <si>
    <t xml:space="preserve">11. 下引文句之學派歸屬，排列順序正確的是： 甲、古者以天下為主，君為客，凡君之所畢世而經營者，為天下也；今也以君為主，天下為客，凡天下之無地而得安寧者，為君也。是以其未得之也，屠毒天下之肝腦，離散天下之子女，以博我一人之產業，曾不慘然！ 乙、凡將立國，制度不可不察也，治法不可不慎也，國務不可不謹也，事本不可不摶也。制度時，則國俗可化，而民從制。治法明，則官無邪。國務壹，則民應用。事本摶，則民喜農而樂戰。 丙、處大國不攻小國，處大家不篡小家，強者不劫弱，貴者不傲賤，多詐者不欺愚。此必上利於天，中利於鬼，下利於人。三利，無所不利，故舉天下美名加之，謂之聖王。 (A)法家／道家／墨家        (B)法家／儒家／道家 (C)儒家／法家／墨家        (D)儒家／墨家／道家 </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</si>
</sst>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2"/>
      <color theme="1"/>
      <name val="PMingLiu"/>
      <family val="1"/>
      <charset val="136"/>
    </font>
    <font>
      <sz val="11"/>
      <color theme="1"/>
      <name val="PMingLiu"/>
      <family val="1"/>
      <charset val="136"/>
    </font>
    <font>
      <sz val="11"/>
      <color theme="1"/>
      <name val="Calibri"/>
      <family val="2"/>
    </font>
    <font>
      <b/>
      <sz val="11"/>
      <color theme="1"/>
      <name val="PMingLiu"/>
      <family val="1"/>
      <charset val="136"/>
    </font>
    <font>
      <sz val="11"/>
      <color rgb="FF000000"/>
      <name val="PMingLiu"/>
      <family val="1"/>
      <charset val="136"/>
    </font>
    <font>
      <sz val="11"/>
      <color rgb="FF000000"/>
      <name val="Calibri"/>
      <family val="2"/>
    </font>
    <font>
      <sz val="11"/>
      <name val="Calibri"/>
      <family val="2"/>
    </font>
    <font>
      <sz val="12"/>
      <color rgb="FF3F3F76"/>
      <name val="PMingLiu"/>
      <family val="1"/>
      <charset val="136"/>
    </font>
    <font>
      <sz val="11"/>
      <color rgb="FF000000"/>
      <name val="Times New Roman"/>
      <family val="1"/>
    </font>
    <font>
      <sz val="11"/>
      <color theme="1"/>
      <name val="Times New Roman"/>
      <family val="1"/>
    </font>
    <font>
      <sz val="10"/>
      <color theme="1"/>
      <name val="Arimo"/>
    </font>
    <font>
      <sz val="13"/>
      <color theme="1"/>
      <name val="MingLiu"/>
      <family val="3"/>
      <charset val="136"/>
    </font>
    <font>
      <sz val="11"/>
      <color theme="1"/>
      <name val="MingLiu"/>
      <family val="3"/>
      <charset val="136"/>
    </font>
    <font>
      <sz val="13"/>
      <color theme="1"/>
      <name val="PMingLiu"/>
      <family val="1"/>
      <charset val="136"/>
    </font>
    <font>
      <sz val="11"/>
      <color rgb="FF000000"/>
      <name val="細明體"/>
      <family val="3"/>
      <charset val="136"/>
    </font>
    <font>
      <sz val="11"/>
      <color theme="1"/>
      <name val="細明體"/>
      <family val="3"/>
      <charset val="136"/>
    </font>
    <font>
      <b/>
      <u/>
      <sz val="11"/>
      <color theme="1"/>
      <name val="新細明體"/>
      <family val="1"/>
      <charset val="136"/>
    </font>
    <font>
      <b/>
      <sz val="11"/>
      <color theme="1"/>
      <name val="新細明體"/>
      <family val="1"/>
      <charset val="136"/>
    </font>
    <font>
      <sz val="11"/>
      <color theme="1"/>
      <name val="新細明體"/>
      <family val="1"/>
      <charset val="136"/>
    </font>
    <font>
      <u/>
      <sz val="11"/>
      <color theme="1"/>
      <name val="新細明體"/>
      <family val="1"/>
      <charset val="136"/>
    </font>
    <font>
      <sz val="9"/>
      <name val="Calibri"/>
      <family val="3"/>
      <charset val="136"/>
      <scheme val="minor"/>
    </font>
    <font>
      <sz val="11"/>
      <color theme="1"/>
      <name val="Calibri"/>
      <family val="2"/>
      <scheme val="minor"/>
    </font>
  </fonts>
  <fills count="11">
    <fill>
      <patternFill patternType="none"/>
    </fill>
    <fill>
      <patternFill patternType="gray125"/>
    </fill>
    <fill>
      <patternFill patternType="solid">
        <fgColor rgb="FFFFFFCC"/>
        <bgColor rgb="FFFFFFCC"/>
      </patternFill>
    </fill>
    <fill>
      <patternFill patternType="solid">
        <fgColor rgb="FFFDE9D9"/>
        <bgColor rgb="FFFDE9D9"/>
      </patternFill>
    </fill>
    <fill>
      <patternFill patternType="solid">
        <fgColor rgb="FFDAEEF3"/>
        <bgColor rgb="FFDAEEF3"/>
      </patternFill>
    </fill>
    <fill>
      <patternFill patternType="solid">
        <fgColor rgb="FFEAF1DD"/>
        <bgColor rgb="FFEAF1DD"/>
      </patternFill>
    </fill>
    <fill>
      <patternFill patternType="solid">
        <fgColor rgb="FF7F7F7F"/>
        <bgColor rgb="FF7F7F7F"/>
      </patternFill>
    </fill>
    <fill>
      <patternFill patternType="solid">
        <fgColor rgb="FFFFCC99"/>
        <bgColor rgb="FFFFCC99"/>
      </patternFill>
    </fill>
    <fill>
      <patternFill patternType="solid">
        <fgColor rgb="FFDBE5F1"/>
        <bgColor rgb="FFDBE5F1"/>
      </patternFill>
    </fill>
    <fill>
      <patternFill patternType="solid">
        <fgColor theme="0"/>
        <bgColor theme="0"/>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style="thin">
        <color rgb="FF000000"/>
      </left>
      <right/>
      <top/>
      <bottom style="thin">
        <color rgb="FF000000"/>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diagonal/>
    </border>
    <border>
      <left style="thin">
        <color rgb="FFB2B2B2"/>
      </left>
      <right style="thin">
        <color rgb="FFB2B2B2"/>
      </right>
      <top/>
      <bottom style="thin">
        <color rgb="FFB2B2B2"/>
      </bottom>
      <diagonal/>
    </border>
    <border>
      <left/>
      <right/>
      <top/>
      <bottom/>
      <diagonal/>
    </border>
    <border>
      <left style="thin">
        <color rgb="FFD8D8D8"/>
      </left>
      <right style="thin">
        <color rgb="FFD8D8D8"/>
      </right>
      <top style="thin">
        <color rgb="FFD8D8D8"/>
      </top>
      <bottom style="thin">
        <color rgb="FFD8D8D8"/>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2">
    <xf numFmtId="0" fontId="0" fillId="0" borderId="0"/>
    <xf numFmtId="0" fontId="22" fillId="0" borderId="11"/>
  </cellStyleXfs>
  <cellXfs count="96">
    <xf numFmtId="0" fontId="0" fillId="0" borderId="0" xfId="0" applyFont="1" applyAlignment="1"/>
    <xf numFmtId="0" fontId="2" fillId="0" borderId="0" xfId="0" applyFont="1"/>
    <xf numFmtId="0" fontId="2" fillId="0" borderId="0" xfId="0" applyFont="1" applyAlignment="1">
      <alignment horizontal="left"/>
    </xf>
    <xf numFmtId="0" fontId="4" fillId="0" borderId="2" xfId="0" applyFont="1" applyBorder="1" applyAlignment="1">
      <alignment horizontal="left" vertical="top"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0" borderId="2" xfId="0" applyFont="1" applyBorder="1" applyAlignment="1">
      <alignment wrapText="1"/>
    </xf>
    <xf numFmtId="0" fontId="6" fillId="0" borderId="0" xfId="0" applyFont="1" applyAlignment="1">
      <alignment horizontal="left"/>
    </xf>
    <xf numFmtId="0" fontId="2" fillId="4" borderId="2" xfId="0" applyFont="1" applyFill="1" applyBorder="1" applyAlignment="1">
      <alignment wrapText="1"/>
    </xf>
    <xf numFmtId="0" fontId="5" fillId="0" borderId="2" xfId="0" applyFont="1" applyBorder="1" applyAlignment="1">
      <alignment horizontal="center"/>
    </xf>
    <xf numFmtId="0" fontId="5" fillId="3" borderId="2" xfId="0" applyFont="1" applyFill="1" applyBorder="1" applyAlignment="1">
      <alignment horizontal="center"/>
    </xf>
    <xf numFmtId="0" fontId="5"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2" fillId="4" borderId="2" xfId="0" applyFont="1" applyFill="1" applyBorder="1" applyAlignment="1">
      <alignment horizontal="center" wrapText="1"/>
    </xf>
    <xf numFmtId="10" fontId="5" fillId="4" borderId="2" xfId="0" applyNumberFormat="1" applyFont="1" applyFill="1" applyBorder="1" applyAlignment="1">
      <alignment horizontal="center" vertical="center"/>
    </xf>
    <xf numFmtId="0" fontId="8" fillId="7" borderId="2" xfId="0" applyFont="1" applyFill="1" applyBorder="1" applyAlignment="1">
      <alignment horizontal="center" vertic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5" fillId="2" borderId="2" xfId="0" applyFont="1" applyFill="1" applyBorder="1" applyAlignment="1">
      <alignment horizontal="center" vertical="center"/>
    </xf>
    <xf numFmtId="0" fontId="2" fillId="0" borderId="0" xfId="0" applyFont="1" applyAlignment="1">
      <alignment wrapText="1"/>
    </xf>
    <xf numFmtId="0" fontId="2" fillId="0" borderId="0" xfId="0" applyFont="1" applyAlignment="1">
      <alignment horizontal="center" wrapText="1"/>
    </xf>
    <xf numFmtId="0" fontId="5" fillId="0" borderId="0" xfId="0" applyFont="1" applyAlignment="1">
      <alignment horizontal="center"/>
    </xf>
    <xf numFmtId="0" fontId="5" fillId="0" borderId="0" xfId="0" applyFont="1" applyAlignment="1">
      <alignment horizontal="center" vertical="center"/>
    </xf>
    <xf numFmtId="0" fontId="2" fillId="0" borderId="0" xfId="0" applyFont="1" applyAlignment="1">
      <alignment horizontal="left" wrapText="1"/>
    </xf>
    <xf numFmtId="0" fontId="5" fillId="0" borderId="0" xfId="0" applyFont="1" applyAlignment="1">
      <alignment horizontal="left"/>
    </xf>
    <xf numFmtId="0" fontId="2" fillId="0" borderId="2" xfId="0" applyFont="1" applyBorder="1" applyAlignment="1">
      <alignment vertical="top" wrapText="1"/>
    </xf>
    <xf numFmtId="0" fontId="2" fillId="8" borderId="2" xfId="0" applyFont="1" applyFill="1" applyBorder="1" applyAlignment="1">
      <alignment wrapText="1"/>
    </xf>
    <xf numFmtId="0" fontId="2" fillId="0" borderId="2" xfId="0" applyFont="1" applyBorder="1" applyAlignment="1">
      <alignment horizontal="left" wrapText="1"/>
    </xf>
    <xf numFmtId="0" fontId="2" fillId="8" borderId="2" xfId="0" applyFont="1" applyFill="1" applyBorder="1" applyAlignment="1">
      <alignment horizontal="left" wrapText="1"/>
    </xf>
    <xf numFmtId="0" fontId="2" fillId="9" borderId="2" xfId="0" applyFont="1" applyFill="1" applyBorder="1" applyAlignment="1">
      <alignment horizontal="center" wrapText="1"/>
    </xf>
    <xf numFmtId="0" fontId="5" fillId="9" borderId="2" xfId="0" applyFont="1" applyFill="1" applyBorder="1" applyAlignment="1">
      <alignment horizontal="center"/>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0" fillId="0" borderId="2" xfId="0" applyFont="1" applyBorder="1" applyAlignment="1">
      <alignment horizontal="left" vertical="center" wrapText="1"/>
    </xf>
    <xf numFmtId="0" fontId="10" fillId="0" borderId="0" xfId="0" applyFont="1" applyAlignment="1">
      <alignment horizontal="left" vertical="center" wrapText="1"/>
    </xf>
    <xf numFmtId="0" fontId="11" fillId="0" borderId="0" xfId="0" applyFont="1"/>
    <xf numFmtId="0" fontId="10" fillId="0" borderId="0" xfId="0" applyFont="1" applyAlignment="1">
      <alignment horizontal="left" vertical="top" wrapText="1"/>
    </xf>
    <xf numFmtId="0" fontId="12" fillId="0" borderId="0" xfId="0" applyFont="1" applyAlignment="1">
      <alignment wrapText="1"/>
    </xf>
    <xf numFmtId="0" fontId="2" fillId="8" borderId="11" xfId="0" applyFont="1" applyFill="1" applyBorder="1" applyAlignment="1">
      <alignment wrapText="1"/>
    </xf>
    <xf numFmtId="0" fontId="5" fillId="0" borderId="2" xfId="0" applyFont="1" applyBorder="1" applyAlignment="1">
      <alignment horizontal="center"/>
    </xf>
    <xf numFmtId="0" fontId="4" fillId="0" borderId="12" xfId="0" applyFont="1" applyBorder="1" applyAlignment="1">
      <alignment horizontal="left" vertical="top" wrapText="1"/>
    </xf>
    <xf numFmtId="0" fontId="2" fillId="0" borderId="12" xfId="0" applyFont="1" applyBorder="1" applyAlignment="1">
      <alignment wrapText="1"/>
    </xf>
    <xf numFmtId="0" fontId="2" fillId="0" borderId="12" xfId="0" applyFont="1" applyBorder="1" applyAlignment="1">
      <alignment horizontal="center" wrapText="1"/>
    </xf>
    <xf numFmtId="0" fontId="5" fillId="0" borderId="12" xfId="0" applyFont="1" applyBorder="1" applyAlignment="1">
      <alignment horizontal="center" vertical="center"/>
    </xf>
    <xf numFmtId="0" fontId="2" fillId="8" borderId="12" xfId="0" applyFont="1" applyFill="1" applyBorder="1" applyAlignment="1">
      <alignment wrapText="1"/>
    </xf>
    <xf numFmtId="0" fontId="5" fillId="0" borderId="12" xfId="0" applyFont="1" applyBorder="1" applyAlignment="1">
      <alignment horizontal="center"/>
    </xf>
    <xf numFmtId="0" fontId="2" fillId="8" borderId="12" xfId="0" applyFont="1" applyFill="1" applyBorder="1" applyAlignment="1">
      <alignment horizontal="left" wrapText="1"/>
    </xf>
    <xf numFmtId="0" fontId="6" fillId="0" borderId="12" xfId="0" applyFont="1" applyBorder="1" applyAlignment="1">
      <alignment horizontal="left"/>
    </xf>
    <xf numFmtId="0" fontId="5" fillId="3" borderId="12" xfId="0" applyFont="1" applyFill="1" applyBorder="1" applyAlignment="1">
      <alignment horizontal="center"/>
    </xf>
    <xf numFmtId="0" fontId="5" fillId="3" borderId="12" xfId="0" applyFont="1" applyFill="1" applyBorder="1" applyAlignment="1">
      <alignment horizontal="center" vertical="center"/>
    </xf>
    <xf numFmtId="0" fontId="5" fillId="0" borderId="12" xfId="0" applyFont="1" applyBorder="1" applyAlignment="1">
      <alignment horizontal="center"/>
    </xf>
    <xf numFmtId="0" fontId="2" fillId="0" borderId="12" xfId="0" applyFont="1" applyBorder="1" applyAlignment="1">
      <alignment horizontal="left" wrapText="1"/>
    </xf>
    <xf numFmtId="0" fontId="4" fillId="0" borderId="13" xfId="0" applyFont="1" applyBorder="1" applyAlignment="1">
      <alignment horizontal="left" vertical="top" wrapText="1"/>
    </xf>
    <xf numFmtId="0" fontId="2" fillId="0" borderId="13" xfId="0" applyFont="1" applyBorder="1" applyAlignment="1">
      <alignment wrapText="1"/>
    </xf>
    <xf numFmtId="0" fontId="2" fillId="0" borderId="13" xfId="0" applyFont="1" applyBorder="1" applyAlignment="1">
      <alignment horizont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2" fillId="8" borderId="13" xfId="0" applyFont="1" applyFill="1" applyBorder="1" applyAlignment="1">
      <alignment wrapText="1"/>
    </xf>
    <xf numFmtId="0" fontId="5" fillId="0" borderId="13" xfId="0" applyFont="1" applyBorder="1" applyAlignment="1">
      <alignment horizontal="center"/>
    </xf>
    <xf numFmtId="0" fontId="2" fillId="8" borderId="13" xfId="0" applyFont="1" applyFill="1" applyBorder="1" applyAlignment="1">
      <alignment horizontal="left" wrapText="1"/>
    </xf>
    <xf numFmtId="0" fontId="5" fillId="3" borderId="13" xfId="0" applyFont="1" applyFill="1" applyBorder="1" applyAlignment="1">
      <alignment horizontal="center"/>
    </xf>
    <xf numFmtId="0" fontId="5" fillId="0" borderId="2"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wrapText="1"/>
    </xf>
    <xf numFmtId="0" fontId="2" fillId="10" borderId="12" xfId="0" applyFont="1" applyFill="1" applyBorder="1" applyAlignment="1">
      <alignment wrapText="1"/>
    </xf>
    <xf numFmtId="0" fontId="13" fillId="0" borderId="0" xfId="0" applyFont="1" applyAlignment="1">
      <alignment wrapText="1"/>
    </xf>
    <xf numFmtId="0" fontId="5" fillId="8" borderId="12" xfId="0" applyFont="1" applyFill="1" applyBorder="1" applyAlignment="1">
      <alignment horizontal="center" vertical="center"/>
    </xf>
    <xf numFmtId="0" fontId="5" fillId="0" borderId="12" xfId="0" applyFont="1" applyBorder="1" applyAlignment="1">
      <alignment horizontal="center" wrapText="1"/>
    </xf>
    <xf numFmtId="0" fontId="5" fillId="0" borderId="0" xfId="0" applyFont="1" applyAlignment="1">
      <alignment horizontal="center" wrapText="1"/>
    </xf>
    <xf numFmtId="0" fontId="3" fillId="0" borderId="0" xfId="0" applyFont="1" applyAlignment="1">
      <alignment wrapText="1"/>
    </xf>
    <xf numFmtId="0" fontId="5" fillId="0" borderId="12" xfId="0" applyFont="1" applyBorder="1" applyAlignment="1">
      <alignment horizontal="left" wrapText="1"/>
    </xf>
    <xf numFmtId="0" fontId="5" fillId="8" borderId="11" xfId="0" applyFont="1" applyFill="1" applyBorder="1" applyAlignment="1">
      <alignment horizontal="center" vertical="center"/>
    </xf>
    <xf numFmtId="0" fontId="5" fillId="0" borderId="12" xfId="0" applyFont="1" applyBorder="1" applyAlignment="1">
      <alignment horizontal="left"/>
    </xf>
    <xf numFmtId="0" fontId="2" fillId="0" borderId="0" xfId="0" applyFont="1" applyAlignment="1">
      <alignment wrapText="1"/>
    </xf>
    <xf numFmtId="0" fontId="14" fillId="0" borderId="0" xfId="0" applyFont="1" applyAlignment="1">
      <alignment wrapText="1"/>
    </xf>
    <xf numFmtId="0" fontId="2" fillId="0" borderId="0" xfId="0" applyFont="1" applyAlignment="1">
      <alignment horizontal="left" vertical="top" wrapText="1"/>
    </xf>
    <xf numFmtId="0" fontId="2" fillId="4" borderId="12" xfId="0" applyFont="1" applyFill="1" applyBorder="1" applyAlignment="1">
      <alignment horizontal="left" wrapText="1"/>
    </xf>
    <xf numFmtId="0" fontId="2" fillId="2" borderId="7" xfId="0" applyFont="1" applyFill="1" applyBorder="1" applyAlignment="1">
      <alignment wrapText="1"/>
    </xf>
    <xf numFmtId="0" fontId="2" fillId="0" borderId="12" xfId="1" applyFont="1" applyBorder="1" applyAlignment="1">
      <alignment horizontal="center" wrapText="1"/>
    </xf>
    <xf numFmtId="0" fontId="5" fillId="0" borderId="12" xfId="1" applyFont="1" applyBorder="1" applyAlignment="1">
      <alignment horizontal="center"/>
    </xf>
    <xf numFmtId="0" fontId="8" fillId="7" borderId="8" xfId="0" applyFont="1" applyFill="1" applyBorder="1" applyAlignment="1">
      <alignment horizontal="center" vertical="center"/>
    </xf>
    <xf numFmtId="0" fontId="7" fillId="0" borderId="9" xfId="0" applyFont="1" applyBorder="1"/>
    <xf numFmtId="0" fontId="7" fillId="0" borderId="10" xfId="0" applyFont="1" applyBorder="1"/>
    <xf numFmtId="0" fontId="2" fillId="2" borderId="4" xfId="0" applyFont="1" applyFill="1" applyBorder="1" applyAlignment="1">
      <alignment horizontal="center" wrapText="1"/>
    </xf>
    <xf numFmtId="0" fontId="2" fillId="2" borderId="6" xfId="0" applyFont="1" applyFill="1" applyBorder="1" applyAlignment="1">
      <alignment horizontal="center" wrapText="1"/>
    </xf>
    <xf numFmtId="0" fontId="2" fillId="5" borderId="4" xfId="0" applyFont="1" applyFill="1" applyBorder="1" applyAlignment="1">
      <alignment horizontal="center" wrapText="1"/>
    </xf>
    <xf numFmtId="0" fontId="7" fillId="0" borderId="5" xfId="0" applyFont="1" applyBorder="1"/>
    <xf numFmtId="0" fontId="7" fillId="0" borderId="6" xfId="0" applyFont="1" applyBorder="1"/>
    <xf numFmtId="0" fontId="2" fillId="6" borderId="4" xfId="0" applyFont="1" applyFill="1" applyBorder="1" applyAlignment="1">
      <alignment horizontal="center" wrapText="1"/>
    </xf>
    <xf numFmtId="0" fontId="2" fillId="4" borderId="4" xfId="0" applyFont="1" applyFill="1" applyBorder="1" applyAlignment="1">
      <alignment horizontal="center" wrapText="1"/>
    </xf>
    <xf numFmtId="0" fontId="7" fillId="0" borderId="7" xfId="0" applyFont="1" applyBorder="1"/>
  </cellXfs>
  <cellStyles count="2">
    <cellStyle name="一般" xfId="0" builtinId="0"/>
    <cellStyle name="一般 2" xfId="1" xr:uid="{A88B4302-3AF4-4BB7-84F9-3969C1D0A5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abSelected="1" workbookViewId="0">
      <pane ySplit="1" topLeftCell="A2" activePane="bottomLeft" state="frozen"/>
      <selection pane="bottomLeft"/>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s>
  <sheetData>
    <row r="1" spans="1:18" ht="15.75" customHeight="1">
      <c r="A1" s="3" t="s">
        <v>581</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10" t="s">
        <v>16</v>
      </c>
      <c r="B2" s="5" t="s">
        <v>17</v>
      </c>
      <c r="C2" s="6" t="s">
        <v>18</v>
      </c>
      <c r="D2" s="6" t="s">
        <v>17</v>
      </c>
      <c r="E2" s="6" t="s">
        <v>17</v>
      </c>
      <c r="F2" s="6" t="s">
        <v>17</v>
      </c>
      <c r="G2" s="6" t="s">
        <v>17</v>
      </c>
      <c r="H2" s="6"/>
      <c r="I2" s="6"/>
      <c r="J2" s="6"/>
      <c r="K2" s="6"/>
      <c r="L2" s="6"/>
      <c r="M2" s="6">
        <f t="shared" ref="M2:Q2" si="0">IF(TRIM(SUBSTITUTE(C2, "　", " "))=TRIM(SUBSTITUTE($B2, "　", " ")), 2, 0)</f>
        <v>0</v>
      </c>
      <c r="N2" s="6">
        <f t="shared" si="0"/>
        <v>2</v>
      </c>
      <c r="O2" s="6">
        <f t="shared" si="0"/>
        <v>2</v>
      </c>
      <c r="P2" s="6">
        <f t="shared" si="0"/>
        <v>2</v>
      </c>
      <c r="Q2" s="6">
        <f t="shared" si="0"/>
        <v>2</v>
      </c>
      <c r="R2" s="2"/>
    </row>
    <row r="3" spans="1:18" ht="15.75" customHeight="1">
      <c r="A3" s="10" t="s">
        <v>19</v>
      </c>
      <c r="B3" s="5" t="s">
        <v>18</v>
      </c>
      <c r="C3" s="6" t="s">
        <v>20</v>
      </c>
      <c r="D3" s="6" t="s">
        <v>20</v>
      </c>
      <c r="E3" s="6" t="s">
        <v>20</v>
      </c>
      <c r="F3" s="6" t="s">
        <v>17</v>
      </c>
      <c r="G3" s="6" t="s">
        <v>18</v>
      </c>
      <c r="H3" s="6"/>
      <c r="I3" s="6"/>
      <c r="J3" s="6"/>
      <c r="K3" s="6"/>
      <c r="L3" s="6"/>
      <c r="M3" s="6">
        <f t="shared" ref="M3:Q3" si="1">IF(TRIM(SUBSTITUTE(C3, "　", " "))=TRIM(SUBSTITUTE($B3, "　", " ")), 2, 0)</f>
        <v>0</v>
      </c>
      <c r="N3" s="6">
        <f t="shared" si="1"/>
        <v>0</v>
      </c>
      <c r="O3" s="6">
        <f t="shared" si="1"/>
        <v>0</v>
      </c>
      <c r="P3" s="6">
        <f t="shared" si="1"/>
        <v>0</v>
      </c>
      <c r="Q3" s="6">
        <f t="shared" si="1"/>
        <v>2</v>
      </c>
      <c r="R3" s="11"/>
    </row>
    <row r="4" spans="1:18" ht="15.75" customHeight="1">
      <c r="A4" s="10" t="s">
        <v>21</v>
      </c>
      <c r="B4" s="5" t="s">
        <v>20</v>
      </c>
      <c r="C4" s="6" t="s">
        <v>18</v>
      </c>
      <c r="D4" s="6" t="s">
        <v>20</v>
      </c>
      <c r="E4" s="6" t="s">
        <v>20</v>
      </c>
      <c r="F4" s="6" t="s">
        <v>20</v>
      </c>
      <c r="G4" s="6" t="s">
        <v>20</v>
      </c>
      <c r="H4" s="6"/>
      <c r="I4" s="6"/>
      <c r="J4" s="6"/>
      <c r="K4" s="6"/>
      <c r="L4" s="6"/>
      <c r="M4" s="6">
        <f t="shared" ref="M4:Q4" si="2">IF(TRIM(SUBSTITUTE(C4, "　", " "))=TRIM(SUBSTITUTE($B4, "　", " ")), 2, 0)</f>
        <v>0</v>
      </c>
      <c r="N4" s="6">
        <f t="shared" si="2"/>
        <v>2</v>
      </c>
      <c r="O4" s="6">
        <f t="shared" si="2"/>
        <v>2</v>
      </c>
      <c r="P4" s="6">
        <f t="shared" si="2"/>
        <v>2</v>
      </c>
      <c r="Q4" s="6">
        <f t="shared" si="2"/>
        <v>2</v>
      </c>
      <c r="R4" s="11"/>
    </row>
    <row r="5" spans="1:18" ht="15.75" customHeight="1">
      <c r="A5" s="10" t="s">
        <v>22</v>
      </c>
      <c r="B5" s="5" t="s">
        <v>23</v>
      </c>
      <c r="C5" s="6" t="s">
        <v>23</v>
      </c>
      <c r="D5" s="6" t="s">
        <v>20</v>
      </c>
      <c r="E5" s="6" t="s">
        <v>23</v>
      </c>
      <c r="F5" s="6" t="s">
        <v>20</v>
      </c>
      <c r="G5" s="6" t="s">
        <v>20</v>
      </c>
      <c r="H5" s="6"/>
      <c r="I5" s="6"/>
      <c r="J5" s="6"/>
      <c r="K5" s="6"/>
      <c r="L5" s="6"/>
      <c r="M5" s="6">
        <f t="shared" ref="M5:Q5" si="3">IF(TRIM(SUBSTITUTE(C5, "　", " "))=TRIM(SUBSTITUTE($B5, "　", " ")), 2, 0)</f>
        <v>2</v>
      </c>
      <c r="N5" s="6">
        <f t="shared" si="3"/>
        <v>0</v>
      </c>
      <c r="O5" s="6">
        <f t="shared" si="3"/>
        <v>2</v>
      </c>
      <c r="P5" s="6">
        <f t="shared" si="3"/>
        <v>0</v>
      </c>
      <c r="Q5" s="6">
        <f t="shared" si="3"/>
        <v>0</v>
      </c>
      <c r="R5" s="2"/>
    </row>
    <row r="6" spans="1:18" ht="15.75" customHeight="1">
      <c r="A6" s="10" t="s">
        <v>24</v>
      </c>
      <c r="B6" s="5" t="s">
        <v>17</v>
      </c>
      <c r="C6" s="6" t="s">
        <v>17</v>
      </c>
      <c r="D6" s="6" t="s">
        <v>17</v>
      </c>
      <c r="E6" s="6" t="s">
        <v>17</v>
      </c>
      <c r="F6" s="6" t="s">
        <v>17</v>
      </c>
      <c r="G6" s="6" t="s">
        <v>17</v>
      </c>
      <c r="H6" s="6"/>
      <c r="I6" s="6"/>
      <c r="J6" s="6"/>
      <c r="K6" s="6"/>
      <c r="L6" s="6"/>
      <c r="M6" s="6">
        <f t="shared" ref="M6:Q6" si="4">IF(TRIM(SUBSTITUTE(C6, "　", " "))=TRIM(SUBSTITUTE($B6, "　", " ")), 2, 0)</f>
        <v>2</v>
      </c>
      <c r="N6" s="6">
        <f t="shared" si="4"/>
        <v>2</v>
      </c>
      <c r="O6" s="6">
        <f t="shared" si="4"/>
        <v>2</v>
      </c>
      <c r="P6" s="6">
        <f t="shared" si="4"/>
        <v>2</v>
      </c>
      <c r="Q6" s="6">
        <f t="shared" si="4"/>
        <v>2</v>
      </c>
      <c r="R6" s="2"/>
    </row>
    <row r="7" spans="1:18" ht="15.75" customHeight="1">
      <c r="A7" s="10" t="s">
        <v>25</v>
      </c>
      <c r="B7" s="5" t="s">
        <v>18</v>
      </c>
      <c r="C7" s="6" t="s">
        <v>18</v>
      </c>
      <c r="D7" s="6" t="s">
        <v>18</v>
      </c>
      <c r="E7" s="6" t="s">
        <v>18</v>
      </c>
      <c r="F7" s="6" t="s">
        <v>18</v>
      </c>
      <c r="G7" s="6" t="s">
        <v>18</v>
      </c>
      <c r="H7" s="6"/>
      <c r="I7" s="6"/>
      <c r="J7" s="6"/>
      <c r="K7" s="6"/>
      <c r="L7" s="6"/>
      <c r="M7" s="6">
        <f t="shared" ref="M7:Q7" si="5">IF(TRIM(SUBSTITUTE(C7, "　", " "))=TRIM(SUBSTITUTE($B7, "　", " ")), 2, 0)</f>
        <v>2</v>
      </c>
      <c r="N7" s="6">
        <f t="shared" si="5"/>
        <v>2</v>
      </c>
      <c r="O7" s="6">
        <f t="shared" si="5"/>
        <v>2</v>
      </c>
      <c r="P7" s="6">
        <f t="shared" si="5"/>
        <v>2</v>
      </c>
      <c r="Q7" s="6">
        <f t="shared" si="5"/>
        <v>2</v>
      </c>
      <c r="R7" s="2"/>
    </row>
    <row r="8" spans="1:18" ht="15.75" customHeight="1">
      <c r="A8" s="10" t="s">
        <v>26</v>
      </c>
      <c r="B8" s="5" t="s">
        <v>18</v>
      </c>
      <c r="C8" s="6" t="s">
        <v>18</v>
      </c>
      <c r="D8" s="6" t="s">
        <v>18</v>
      </c>
      <c r="E8" s="6" t="s">
        <v>18</v>
      </c>
      <c r="F8" s="6" t="s">
        <v>18</v>
      </c>
      <c r="G8" s="6" t="s">
        <v>18</v>
      </c>
      <c r="H8" s="6"/>
      <c r="I8" s="6"/>
      <c r="J8" s="6"/>
      <c r="K8" s="6"/>
      <c r="L8" s="6"/>
      <c r="M8" s="6">
        <f t="shared" ref="M8:Q8" si="6">IF(TRIM(SUBSTITUTE(C8, "　", " "))=TRIM(SUBSTITUTE($B8, "　", " ")), 2, 0)</f>
        <v>2</v>
      </c>
      <c r="N8" s="6">
        <f t="shared" si="6"/>
        <v>2</v>
      </c>
      <c r="O8" s="6">
        <f t="shared" si="6"/>
        <v>2</v>
      </c>
      <c r="P8" s="6">
        <f t="shared" si="6"/>
        <v>2</v>
      </c>
      <c r="Q8" s="6">
        <f t="shared" si="6"/>
        <v>2</v>
      </c>
      <c r="R8" s="2"/>
    </row>
    <row r="9" spans="1:18" ht="15.75" customHeight="1">
      <c r="A9" s="10" t="s">
        <v>27</v>
      </c>
      <c r="B9" s="5" t="s">
        <v>23</v>
      </c>
      <c r="C9" s="6" t="s">
        <v>23</v>
      </c>
      <c r="D9" s="6" t="s">
        <v>23</v>
      </c>
      <c r="E9" s="6" t="s">
        <v>23</v>
      </c>
      <c r="F9" s="6" t="s">
        <v>23</v>
      </c>
      <c r="G9" s="6" t="s">
        <v>23</v>
      </c>
      <c r="H9" s="6"/>
      <c r="I9" s="6"/>
      <c r="J9" s="6"/>
      <c r="K9" s="6"/>
      <c r="L9" s="6"/>
      <c r="M9" s="6">
        <f t="shared" ref="M9:Q9" si="7">IF(TRIM(SUBSTITUTE(C9, "　", " "))=TRIM(SUBSTITUTE($B9, "　", " ")), 2, 0)</f>
        <v>2</v>
      </c>
      <c r="N9" s="6">
        <f t="shared" si="7"/>
        <v>2</v>
      </c>
      <c r="O9" s="6">
        <f t="shared" si="7"/>
        <v>2</v>
      </c>
      <c r="P9" s="6">
        <f t="shared" si="7"/>
        <v>2</v>
      </c>
      <c r="Q9" s="6">
        <f t="shared" si="7"/>
        <v>2</v>
      </c>
      <c r="R9" s="2"/>
    </row>
    <row r="10" spans="1:18" ht="15.75" customHeight="1">
      <c r="A10" s="10" t="s">
        <v>28</v>
      </c>
      <c r="B10" s="5" t="s">
        <v>17</v>
      </c>
      <c r="C10" s="6" t="s">
        <v>23</v>
      </c>
      <c r="D10" s="6" t="s">
        <v>23</v>
      </c>
      <c r="E10" s="5" t="s">
        <v>23</v>
      </c>
      <c r="F10" s="5" t="s">
        <v>17</v>
      </c>
      <c r="G10" s="5" t="s">
        <v>23</v>
      </c>
      <c r="H10" s="5"/>
      <c r="I10" s="5"/>
      <c r="J10" s="5"/>
      <c r="K10" s="5"/>
      <c r="L10" s="5"/>
      <c r="M10" s="6">
        <f t="shared" ref="M10:Q10" si="8">IF(TRIM(SUBSTITUTE(C10, "　", " "))=TRIM(SUBSTITUTE($B10, "　", " ")), 2, 0)</f>
        <v>0</v>
      </c>
      <c r="N10" s="6">
        <f t="shared" si="8"/>
        <v>0</v>
      </c>
      <c r="O10" s="6">
        <f t="shared" si="8"/>
        <v>0</v>
      </c>
      <c r="P10" s="6">
        <f t="shared" si="8"/>
        <v>2</v>
      </c>
      <c r="Q10" s="6">
        <f t="shared" si="8"/>
        <v>0</v>
      </c>
      <c r="R10" s="2"/>
    </row>
    <row r="11" spans="1:18" ht="15.75" customHeight="1">
      <c r="A11" s="10" t="s">
        <v>29</v>
      </c>
      <c r="B11" s="5" t="s">
        <v>23</v>
      </c>
      <c r="C11" s="6" t="s">
        <v>23</v>
      </c>
      <c r="D11" s="6" t="s">
        <v>23</v>
      </c>
      <c r="E11" s="5" t="s">
        <v>23</v>
      </c>
      <c r="F11" s="5" t="s">
        <v>23</v>
      </c>
      <c r="G11" s="5" t="s">
        <v>23</v>
      </c>
      <c r="H11" s="5"/>
      <c r="I11" s="5"/>
      <c r="J11" s="5"/>
      <c r="K11" s="5"/>
      <c r="L11" s="5"/>
      <c r="M11" s="6">
        <f t="shared" ref="M11:Q11" si="9">IF(TRIM(SUBSTITUTE(C11, "　", " "))=TRIM(SUBSTITUTE($B11, "　", " ")), 2, 0)</f>
        <v>2</v>
      </c>
      <c r="N11" s="6">
        <f t="shared" si="9"/>
        <v>2</v>
      </c>
      <c r="O11" s="6">
        <f t="shared" si="9"/>
        <v>2</v>
      </c>
      <c r="P11" s="6">
        <f t="shared" si="9"/>
        <v>2</v>
      </c>
      <c r="Q11" s="6">
        <f t="shared" si="9"/>
        <v>2</v>
      </c>
      <c r="R11" s="2"/>
    </row>
    <row r="12" spans="1:18" ht="15.75" customHeight="1">
      <c r="A12" s="10" t="s">
        <v>30</v>
      </c>
      <c r="B12" s="5" t="s">
        <v>23</v>
      </c>
      <c r="C12" s="6" t="s">
        <v>23</v>
      </c>
      <c r="D12" s="6" t="s">
        <v>23</v>
      </c>
      <c r="E12" s="5" t="s">
        <v>17</v>
      </c>
      <c r="F12" s="5" t="s">
        <v>23</v>
      </c>
      <c r="G12" s="5" t="s">
        <v>23</v>
      </c>
      <c r="H12" s="5"/>
      <c r="I12" s="5"/>
      <c r="J12" s="5"/>
      <c r="K12" s="5"/>
      <c r="L12" s="5"/>
      <c r="M12" s="6">
        <f t="shared" ref="M12:Q12" si="10">IF(TRIM(SUBSTITUTE(C12, "　", " "))=TRIM(SUBSTITUTE($B12, "　", " ")), 2, 0)</f>
        <v>2</v>
      </c>
      <c r="N12" s="6">
        <f t="shared" si="10"/>
        <v>2</v>
      </c>
      <c r="O12" s="6">
        <f t="shared" si="10"/>
        <v>0</v>
      </c>
      <c r="P12" s="6">
        <f t="shared" si="10"/>
        <v>2</v>
      </c>
      <c r="Q12" s="6">
        <f t="shared" si="10"/>
        <v>2</v>
      </c>
      <c r="R12" s="2"/>
    </row>
    <row r="13" spans="1:18" ht="15.75" customHeight="1">
      <c r="A13" s="12" t="s">
        <v>31</v>
      </c>
      <c r="B13" s="5"/>
      <c r="C13" s="6"/>
      <c r="D13" s="6"/>
      <c r="E13" s="6"/>
      <c r="F13" s="6"/>
      <c r="G13" s="6"/>
      <c r="H13" s="6"/>
      <c r="I13" s="6"/>
      <c r="J13" s="6"/>
      <c r="K13" s="6"/>
      <c r="L13" s="6"/>
      <c r="M13" s="6"/>
      <c r="N13" s="6"/>
      <c r="O13" s="6"/>
      <c r="P13" s="6"/>
      <c r="Q13" s="6"/>
      <c r="R13" s="2"/>
    </row>
    <row r="14" spans="1:18" ht="15.75" customHeight="1">
      <c r="A14" s="10" t="s">
        <v>32</v>
      </c>
      <c r="B14" s="5" t="s">
        <v>20</v>
      </c>
      <c r="C14" s="6" t="s">
        <v>20</v>
      </c>
      <c r="D14" s="6" t="s">
        <v>20</v>
      </c>
      <c r="E14" s="6" t="s">
        <v>20</v>
      </c>
      <c r="F14" s="6" t="s">
        <v>20</v>
      </c>
      <c r="G14" s="6" t="s">
        <v>20</v>
      </c>
      <c r="H14" s="6"/>
      <c r="I14" s="6"/>
      <c r="J14" s="6"/>
      <c r="K14" s="6"/>
      <c r="L14" s="6"/>
      <c r="M14" s="6">
        <f t="shared" ref="M14:Q14" si="11">IF(TRIM(SUBSTITUTE(C14, "　", " "))=TRIM(SUBSTITUTE($B14, "　", " ")), 2, 0)</f>
        <v>2</v>
      </c>
      <c r="N14" s="6">
        <f t="shared" si="11"/>
        <v>2</v>
      </c>
      <c r="O14" s="6">
        <f t="shared" si="11"/>
        <v>2</v>
      </c>
      <c r="P14" s="6">
        <f t="shared" si="11"/>
        <v>2</v>
      </c>
      <c r="Q14" s="6">
        <f t="shared" si="11"/>
        <v>2</v>
      </c>
      <c r="R14" s="2"/>
    </row>
    <row r="15" spans="1:18" ht="15.75" customHeight="1">
      <c r="A15" s="10" t="s">
        <v>33</v>
      </c>
      <c r="B15" s="5" t="s">
        <v>23</v>
      </c>
      <c r="C15" s="6" t="s">
        <v>23</v>
      </c>
      <c r="D15" s="6" t="s">
        <v>23</v>
      </c>
      <c r="E15" s="6" t="s">
        <v>17</v>
      </c>
      <c r="F15" s="6" t="s">
        <v>23</v>
      </c>
      <c r="G15" s="6" t="s">
        <v>23</v>
      </c>
      <c r="H15" s="6"/>
      <c r="I15" s="6"/>
      <c r="J15" s="6"/>
      <c r="K15" s="6"/>
      <c r="L15" s="6"/>
      <c r="M15" s="6">
        <f t="shared" ref="M15:Q15" si="12">IF(TRIM(SUBSTITUTE(C15, "　", " "))=TRIM(SUBSTITUTE($B15, "　", " ")), 2, 0)</f>
        <v>2</v>
      </c>
      <c r="N15" s="6">
        <f t="shared" si="12"/>
        <v>2</v>
      </c>
      <c r="O15" s="6">
        <f t="shared" si="12"/>
        <v>0</v>
      </c>
      <c r="P15" s="6">
        <f t="shared" si="12"/>
        <v>2</v>
      </c>
      <c r="Q15" s="6">
        <f t="shared" si="12"/>
        <v>2</v>
      </c>
      <c r="R15" s="2"/>
    </row>
    <row r="16" spans="1:18" ht="15.75" customHeight="1">
      <c r="A16" s="12" t="s">
        <v>34</v>
      </c>
      <c r="B16" s="5"/>
      <c r="C16" s="6"/>
      <c r="D16" s="6"/>
      <c r="E16" s="6"/>
      <c r="F16" s="6"/>
      <c r="G16" s="6"/>
      <c r="H16" s="6"/>
      <c r="I16" s="6"/>
      <c r="J16" s="6"/>
      <c r="K16" s="6"/>
      <c r="L16" s="6"/>
      <c r="M16" s="6"/>
      <c r="N16" s="6"/>
      <c r="O16" s="6"/>
      <c r="P16" s="6"/>
      <c r="Q16" s="6"/>
      <c r="R16" s="2"/>
    </row>
    <row r="17" spans="1:18" ht="15.75" customHeight="1">
      <c r="A17" s="10" t="s">
        <v>35</v>
      </c>
      <c r="B17" s="5" t="s">
        <v>20</v>
      </c>
      <c r="C17" s="13" t="s">
        <v>23</v>
      </c>
      <c r="D17" s="13" t="s">
        <v>20</v>
      </c>
      <c r="E17" s="13" t="s">
        <v>20</v>
      </c>
      <c r="F17" s="13" t="s">
        <v>20</v>
      </c>
      <c r="G17" s="13" t="s">
        <v>20</v>
      </c>
      <c r="H17" s="13"/>
      <c r="I17" s="13"/>
      <c r="J17" s="13"/>
      <c r="K17" s="13"/>
      <c r="L17" s="13"/>
      <c r="M17" s="6">
        <f t="shared" ref="M17:Q17" si="13">IF(TRIM(SUBSTITUTE(C17, "　", " "))=TRIM(SUBSTITUTE($B17, "　", " ")), 2, 0)</f>
        <v>0</v>
      </c>
      <c r="N17" s="6">
        <f t="shared" si="13"/>
        <v>2</v>
      </c>
      <c r="O17" s="6">
        <f t="shared" si="13"/>
        <v>2</v>
      </c>
      <c r="P17" s="6">
        <f t="shared" si="13"/>
        <v>2</v>
      </c>
      <c r="Q17" s="6">
        <f t="shared" si="13"/>
        <v>2</v>
      </c>
      <c r="R17" s="2"/>
    </row>
    <row r="18" spans="1:18" ht="15.75" customHeight="1">
      <c r="A18" s="10" t="s">
        <v>36</v>
      </c>
      <c r="B18" s="5" t="s">
        <v>17</v>
      </c>
      <c r="C18" s="13" t="s">
        <v>17</v>
      </c>
      <c r="D18" s="13" t="s">
        <v>17</v>
      </c>
      <c r="E18" s="13" t="s">
        <v>17</v>
      </c>
      <c r="F18" s="13" t="s">
        <v>17</v>
      </c>
      <c r="G18" s="13" t="s">
        <v>17</v>
      </c>
      <c r="H18" s="13"/>
      <c r="I18" s="13"/>
      <c r="J18" s="13"/>
      <c r="K18" s="13"/>
      <c r="L18" s="13"/>
      <c r="M18" s="6">
        <f t="shared" ref="M18:Q18" si="14">IF(TRIM(SUBSTITUTE(C18, "　", " "))=TRIM(SUBSTITUTE($B18, "　", " ")), 2, 0)</f>
        <v>2</v>
      </c>
      <c r="N18" s="6">
        <f t="shared" si="14"/>
        <v>2</v>
      </c>
      <c r="O18" s="6">
        <f t="shared" si="14"/>
        <v>2</v>
      </c>
      <c r="P18" s="6">
        <f t="shared" si="14"/>
        <v>2</v>
      </c>
      <c r="Q18" s="6">
        <f t="shared" si="14"/>
        <v>2</v>
      </c>
      <c r="R18" s="2"/>
    </row>
    <row r="19" spans="1:18" ht="15.75" customHeight="1">
      <c r="A19" s="10" t="s">
        <v>37</v>
      </c>
      <c r="B19" s="5"/>
      <c r="C19" s="13"/>
      <c r="D19" s="13"/>
      <c r="E19" s="13"/>
      <c r="F19" s="13"/>
      <c r="G19" s="13"/>
      <c r="H19" s="13"/>
      <c r="I19" s="13"/>
      <c r="J19" s="13"/>
      <c r="K19" s="13"/>
      <c r="L19" s="13"/>
      <c r="M19" s="13"/>
      <c r="N19" s="13"/>
      <c r="O19" s="13"/>
      <c r="P19" s="13"/>
      <c r="Q19" s="13"/>
      <c r="R19" s="2"/>
    </row>
    <row r="20" spans="1:18" ht="15.75" customHeight="1">
      <c r="A20" s="10" t="s">
        <v>38</v>
      </c>
      <c r="B20" s="5" t="s">
        <v>39</v>
      </c>
      <c r="C20" s="13" t="s">
        <v>40</v>
      </c>
      <c r="D20" s="13" t="s">
        <v>41</v>
      </c>
      <c r="E20" s="13" t="s">
        <v>42</v>
      </c>
      <c r="F20" s="13" t="s">
        <v>41</v>
      </c>
      <c r="G20" s="13" t="s">
        <v>39</v>
      </c>
      <c r="H20" s="14" cm="1">
        <f t="array" ref="H20">_xlfn.LET(
_xlpm.opts,{"A","B","C","D","E"},
_xlpm.ans,UPPER(SUBSTITUTE(SUBSTITUTE(SUBSTITUTE(SUBSTITUTE(SUBSTITUTE(TRIM($B20),"　","")," ",""),",",""),"，",""),"、","")),
_xlpm.resp,UPPER(SUBSTITUTE(SUBSTITUTE(SUBSTITUTE(SUBSTITUTE(SUBSTITUTE(TRIM(C20),"　","")," ",""),",",""),"，",""),"、","")),
IF(_xlpm.resp="",99,
SUMPRODUCT(--(ISNUMBER(SEARCH(_xlpm.opts,_xlpm.ans))&lt;&gt;ISNUMBER(SEARCH(_xlpm.opts,_xlpm.resp)))))
)</f>
        <v>2</v>
      </c>
      <c r="I20" s="14" cm="1">
        <f t="array" ref="I20">_xlfn.LET(
_xlpm.opts,{"A","B","C","D","E"},
_xlpm.ans,UPPER(SUBSTITUTE(SUBSTITUTE(SUBSTITUTE(SUBSTITUTE(SUBSTITUTE(TRIM($B20),"　","")," ",""),",",""),"，",""),"、","")),
_xlpm.resp,UPPER(SUBSTITUTE(SUBSTITUTE(SUBSTITUTE(SUBSTITUTE(SUBSTITUTE(TRIM(D20),"　","")," ",""),",",""),"，",""),"、","")),
IF(_xlpm.resp="",99,
SUMPRODUCT(--(ISNUMBER(SEARCH(_xlpm.opts,_xlpm.ans))&lt;&gt;ISNUMBER(SEARCH(_xlpm.opts,_xlpm.resp)))))
)</f>
        <v>1</v>
      </c>
      <c r="J20" s="14" cm="1">
        <f t="array" ref="J20">_xlfn.LET(
_xlpm.opts,{"A","B","C","D","E"},
_xlpm.ans,UPPER(SUBSTITUTE(SUBSTITUTE(SUBSTITUTE(SUBSTITUTE(SUBSTITUTE(TRIM($B20),"　","")," ",""),",",""),"，",""),"、","")),
_xlpm.resp,UPPER(SUBSTITUTE(SUBSTITUTE(SUBSTITUTE(SUBSTITUTE(SUBSTITUTE(TRIM(E20),"　","")," ",""),",",""),"，",""),"、","")),
IF(_xlpm.resp="",99,
SUMPRODUCT(--(ISNUMBER(SEARCH(_xlpm.opts,_xlpm.ans))&lt;&gt;ISNUMBER(SEARCH(_xlpm.opts,_xlpm.resp)))))
)</f>
        <v>2</v>
      </c>
      <c r="K20" s="14" cm="1">
        <f t="array" ref="K20">_xlfn.LET(
_xlpm.opts,{"A","B","C","D","E"},
_xlpm.ans,UPPER(SUBSTITUTE(SUBSTITUTE(SUBSTITUTE(SUBSTITUTE(SUBSTITUTE(TRIM($B20),"　","")," ",""),",",""),"，",""),"、","")),
_xlpm.resp,UPPER(SUBSTITUTE(SUBSTITUTE(SUBSTITUTE(SUBSTITUTE(SUBSTITUTE(TRIM(F20),"　","")," ",""),",",""),"，",""),"、","")),
IF(_xlpm.resp="",99,
SUMPRODUCT(--(ISNUMBER(SEARCH(_xlpm.opts,_xlpm.ans))&lt;&gt;ISNUMBER(SEARCH(_xlpm.opts,_xlpm.resp)))))
)</f>
        <v>1</v>
      </c>
      <c r="L20" s="14" cm="1">
        <f t="array" ref="L20">_xlfn.LET(
_xlpm.opts,{"A","B","C","D","E"},
_xlpm.ans,UPPER(SUBSTITUTE(SUBSTITUTE(SUBSTITUTE(SUBSTITUTE(SUBSTITUTE(TRIM($B20),"　","")," ",""),",",""),"，",""),"、","")),
_xlpm.resp,UPPER(SUBSTITUTE(SUBSTITUTE(SUBSTITUTE(SUBSTITUTE(SUBSTITUTE(TRIM(G20),"　","")," ",""),",",""),"，",""),"、","")),
IF(_xlpm.resp="",99,
SUMPRODUCT(--(ISNUMBER(SEARCH(_xlpm.opts,_xlpm.ans))&lt;&gt;ISNUMBER(SEARCH(_xlpm.opts,_xlpm.resp)))))
)</f>
        <v>0</v>
      </c>
      <c r="M20" s="7">
        <f>IF(H20=0,3,IF(H20=1,1.8,IF(H20=2,0.6,0)))</f>
        <v>0.6</v>
      </c>
      <c r="N20" s="7">
        <f t="shared" ref="N20:Q27" si="15">IF(I20=0,3,IF(I20=1,1.8,IF(I20=2,0.6,0)))</f>
        <v>1.8</v>
      </c>
      <c r="O20" s="7">
        <f t="shared" si="15"/>
        <v>0.6</v>
      </c>
      <c r="P20" s="7">
        <f t="shared" si="15"/>
        <v>1.8</v>
      </c>
      <c r="Q20" s="7">
        <f t="shared" si="15"/>
        <v>3</v>
      </c>
      <c r="R20" s="2"/>
    </row>
    <row r="21" spans="1:18" ht="15.75" customHeight="1">
      <c r="A21" s="10" t="s">
        <v>43</v>
      </c>
      <c r="B21" s="5" t="s">
        <v>44</v>
      </c>
      <c r="C21" s="13" t="s">
        <v>45</v>
      </c>
      <c r="D21" s="13" t="s">
        <v>44</v>
      </c>
      <c r="E21" s="13" t="s">
        <v>44</v>
      </c>
      <c r="F21" s="13" t="s">
        <v>44</v>
      </c>
      <c r="G21" s="13" t="s">
        <v>44</v>
      </c>
      <c r="H21" s="14" cm="1">
        <f t="array" ref="H21">_xlfn.LET(
_xlpm.opts,{"A","B","C","D","E"},
_xlpm.ans,UPPER(SUBSTITUTE(SUBSTITUTE(SUBSTITUTE(SUBSTITUTE(SUBSTITUTE(TRIM($B21),"　","")," ",""),",",""),"，",""),"、","")),
_xlpm.resp,UPPER(SUBSTITUTE(SUBSTITUTE(SUBSTITUTE(SUBSTITUTE(SUBSTITUTE(TRIM(C21),"　","")," ",""),",",""),"，",""),"、","")),
IF(_xlpm.resp="",99,
SUMPRODUCT(--(ISNUMBER(SEARCH(_xlpm.opts,_xlpm.ans))&lt;&gt;ISNUMBER(SEARCH(_xlpm.opts,_xlpm.resp)))))
)</f>
        <v>2</v>
      </c>
      <c r="I21" s="14" cm="1">
        <f t="array" ref="I21">_xlfn.LET(
_xlpm.opts,{"A","B","C","D","E"},
_xlpm.ans,UPPER(SUBSTITUTE(SUBSTITUTE(SUBSTITUTE(SUBSTITUTE(SUBSTITUTE(TRIM($B21),"　","")," ",""),",",""),"，",""),"、","")),
_xlpm.resp,UPPER(SUBSTITUTE(SUBSTITUTE(SUBSTITUTE(SUBSTITUTE(SUBSTITUTE(TRIM(D21),"　","")," ",""),",",""),"，",""),"、","")),
IF(_xlpm.resp="",99,
SUMPRODUCT(--(ISNUMBER(SEARCH(_xlpm.opts,_xlpm.ans))&lt;&gt;ISNUMBER(SEARCH(_xlpm.opts,_xlpm.resp)))))
)</f>
        <v>0</v>
      </c>
      <c r="J21" s="14" cm="1">
        <f t="array" ref="J21">_xlfn.LET(
_xlpm.opts,{"A","B","C","D","E"},
_xlpm.ans,UPPER(SUBSTITUTE(SUBSTITUTE(SUBSTITUTE(SUBSTITUTE(SUBSTITUTE(TRIM($B21),"　","")," ",""),",",""),"，",""),"、","")),
_xlpm.resp,UPPER(SUBSTITUTE(SUBSTITUTE(SUBSTITUTE(SUBSTITUTE(SUBSTITUTE(TRIM(E21),"　","")," ",""),",",""),"，",""),"、","")),
IF(_xlpm.resp="",99,
SUMPRODUCT(--(ISNUMBER(SEARCH(_xlpm.opts,_xlpm.ans))&lt;&gt;ISNUMBER(SEARCH(_xlpm.opts,_xlpm.resp)))))
)</f>
        <v>0</v>
      </c>
      <c r="K21" s="14" cm="1">
        <f t="array" ref="K21">_xlfn.LET(
_xlpm.opts,{"A","B","C","D","E"},
_xlpm.ans,UPPER(SUBSTITUTE(SUBSTITUTE(SUBSTITUTE(SUBSTITUTE(SUBSTITUTE(TRIM($B21),"　","")," ",""),",",""),"，",""),"、","")),
_xlpm.resp,UPPER(SUBSTITUTE(SUBSTITUTE(SUBSTITUTE(SUBSTITUTE(SUBSTITUTE(TRIM(F21),"　","")," ",""),",",""),"，",""),"、","")),
IF(_xlpm.resp="",99,
SUMPRODUCT(--(ISNUMBER(SEARCH(_xlpm.opts,_xlpm.ans))&lt;&gt;ISNUMBER(SEARCH(_xlpm.opts,_xlpm.resp)))))
)</f>
        <v>0</v>
      </c>
      <c r="L21" s="14" cm="1">
        <f t="array" ref="L21">_xlfn.LET(
_xlpm.opts,{"A","B","C","D","E"},
_xlpm.ans,UPPER(SUBSTITUTE(SUBSTITUTE(SUBSTITUTE(SUBSTITUTE(SUBSTITUTE(TRIM($B21),"　","")," ",""),",",""),"，",""),"、","")),
_xlpm.resp,UPPER(SUBSTITUTE(SUBSTITUTE(SUBSTITUTE(SUBSTITUTE(SUBSTITUTE(TRIM(G21),"　","")," ",""),",",""),"，",""),"、","")),
IF(_xlpm.resp="",99,
SUMPRODUCT(--(ISNUMBER(SEARCH(_xlpm.opts,_xlpm.ans))&lt;&gt;ISNUMBER(SEARCH(_xlpm.opts,_xlpm.resp)))))
)</f>
        <v>0</v>
      </c>
      <c r="M21" s="7">
        <f t="shared" ref="M21:M27" si="16">IF(H21=0,3,IF(H21=1,1.8,IF(H21=2,0.6,0)))</f>
        <v>0.6</v>
      </c>
      <c r="N21" s="7">
        <f t="shared" si="15"/>
        <v>3</v>
      </c>
      <c r="O21" s="7">
        <f t="shared" si="15"/>
        <v>3</v>
      </c>
      <c r="P21" s="7">
        <f t="shared" si="15"/>
        <v>3</v>
      </c>
      <c r="Q21" s="7">
        <f t="shared" si="15"/>
        <v>3</v>
      </c>
      <c r="R21" s="2"/>
    </row>
    <row r="22" spans="1:18" ht="15.75" customHeight="1">
      <c r="A22" s="10" t="s">
        <v>46</v>
      </c>
      <c r="B22" s="5" t="s">
        <v>41</v>
      </c>
      <c r="C22" s="13" t="s">
        <v>23</v>
      </c>
      <c r="D22" s="13" t="s">
        <v>41</v>
      </c>
      <c r="E22" s="13" t="s">
        <v>47</v>
      </c>
      <c r="F22" s="13" t="s">
        <v>41</v>
      </c>
      <c r="G22" s="13" t="s">
        <v>39</v>
      </c>
      <c r="H22" s="14" cm="1">
        <f t="array" ref="H22">_xlfn.LET(
_xlpm.opts,{"A","B","C","D","E"},
_xlpm.ans,UPPER(SUBSTITUTE(SUBSTITUTE(SUBSTITUTE(SUBSTITUTE(SUBSTITUTE(TRIM($B22),"　","")," ",""),",",""),"，",""),"、","")),
_xlpm.resp,UPPER(SUBSTITUTE(SUBSTITUTE(SUBSTITUTE(SUBSTITUTE(SUBSTITUTE(TRIM(C22),"　","")," ",""),",",""),"，",""),"、","")),
IF(_xlpm.resp="",99,
SUMPRODUCT(--(ISNUMBER(SEARCH(_xlpm.opts,_xlpm.ans))&lt;&gt;ISNUMBER(SEARCH(_xlpm.opts,_xlpm.resp)))))
)</f>
        <v>2</v>
      </c>
      <c r="I22" s="14" cm="1">
        <f t="array" ref="I22">_xlfn.LET(
_xlpm.opts,{"A","B","C","D","E"},
_xlpm.ans,UPPER(SUBSTITUTE(SUBSTITUTE(SUBSTITUTE(SUBSTITUTE(SUBSTITUTE(TRIM($B22),"　","")," ",""),",",""),"，",""),"、","")),
_xlpm.resp,UPPER(SUBSTITUTE(SUBSTITUTE(SUBSTITUTE(SUBSTITUTE(SUBSTITUTE(TRIM(D22),"　","")," ",""),",",""),"，",""),"、","")),
IF(_xlpm.resp="",99,
SUMPRODUCT(--(ISNUMBER(SEARCH(_xlpm.opts,_xlpm.ans))&lt;&gt;ISNUMBER(SEARCH(_xlpm.opts,_xlpm.resp)))))
)</f>
        <v>0</v>
      </c>
      <c r="J22" s="14" cm="1">
        <f t="array" ref="J22">_xlfn.LET(
_xlpm.opts,{"A","B","C","D","E"},
_xlpm.ans,UPPER(SUBSTITUTE(SUBSTITUTE(SUBSTITUTE(SUBSTITUTE(SUBSTITUTE(TRIM($B22),"　","")," ",""),",",""),"，",""),"、","")),
_xlpm.resp,UPPER(SUBSTITUTE(SUBSTITUTE(SUBSTITUTE(SUBSTITUTE(SUBSTITUTE(TRIM(E22),"　","")," ",""),",",""),"，",""),"、","")),
IF(_xlpm.resp="",99,
SUMPRODUCT(--(ISNUMBER(SEARCH(_xlpm.opts,_xlpm.ans))&lt;&gt;ISNUMBER(SEARCH(_xlpm.opts,_xlpm.resp)))))
)</f>
        <v>4</v>
      </c>
      <c r="K22" s="14" cm="1">
        <f t="array" ref="K22">_xlfn.LET(
_xlpm.opts,{"A","B","C","D","E"},
_xlpm.ans,UPPER(SUBSTITUTE(SUBSTITUTE(SUBSTITUTE(SUBSTITUTE(SUBSTITUTE(TRIM($B22),"　","")," ",""),",",""),"，",""),"、","")),
_xlpm.resp,UPPER(SUBSTITUTE(SUBSTITUTE(SUBSTITUTE(SUBSTITUTE(SUBSTITUTE(TRIM(F22),"　","")," ",""),",",""),"，",""),"、","")),
IF(_xlpm.resp="",99,
SUMPRODUCT(--(ISNUMBER(SEARCH(_xlpm.opts,_xlpm.ans))&lt;&gt;ISNUMBER(SEARCH(_xlpm.opts,_xlpm.resp)))))
)</f>
        <v>0</v>
      </c>
      <c r="L22" s="14" cm="1">
        <f t="array" ref="L22">_xlfn.LET(
_xlpm.opts,{"A","B","C","D","E"},
_xlpm.ans,UPPER(SUBSTITUTE(SUBSTITUTE(SUBSTITUTE(SUBSTITUTE(SUBSTITUTE(TRIM($B22),"　","")," ",""),",",""),"，",""),"、","")),
_xlpm.resp,UPPER(SUBSTITUTE(SUBSTITUTE(SUBSTITUTE(SUBSTITUTE(SUBSTITUTE(TRIM(G22),"　","")," ",""),",",""),"，",""),"、","")),
IF(_xlpm.resp="",99,
SUMPRODUCT(--(ISNUMBER(SEARCH(_xlpm.opts,_xlpm.ans))&lt;&gt;ISNUMBER(SEARCH(_xlpm.opts,_xlpm.resp)))))
)</f>
        <v>1</v>
      </c>
      <c r="M22" s="7">
        <f t="shared" si="16"/>
        <v>0.6</v>
      </c>
      <c r="N22" s="7">
        <f t="shared" si="15"/>
        <v>3</v>
      </c>
      <c r="O22" s="7">
        <f t="shared" si="15"/>
        <v>0</v>
      </c>
      <c r="P22" s="7">
        <f t="shared" si="15"/>
        <v>3</v>
      </c>
      <c r="Q22" s="7">
        <f t="shared" si="15"/>
        <v>1.8</v>
      </c>
      <c r="R22" s="2"/>
    </row>
    <row r="23" spans="1:18" ht="15.75" customHeight="1">
      <c r="A23" s="10" t="s">
        <v>48</v>
      </c>
      <c r="B23" s="5" t="s">
        <v>45</v>
      </c>
      <c r="C23" s="13" t="s">
        <v>45</v>
      </c>
      <c r="D23" s="13" t="s">
        <v>45</v>
      </c>
      <c r="E23" s="13" t="s">
        <v>23</v>
      </c>
      <c r="F23" s="13" t="s">
        <v>45</v>
      </c>
      <c r="G23" s="13" t="s">
        <v>45</v>
      </c>
      <c r="H23" s="14" cm="1">
        <f t="array" ref="H23">_xlfn.LET(
_xlpm.opts,{"A","B","C","D","E"},
_xlpm.ans,UPPER(SUBSTITUTE(SUBSTITUTE(SUBSTITUTE(SUBSTITUTE(SUBSTITUTE(TRIM($B23),"　","")," ",""),",",""),"，",""),"、","")),
_xlpm.resp,UPPER(SUBSTITUTE(SUBSTITUTE(SUBSTITUTE(SUBSTITUTE(SUBSTITUTE(TRIM(C23),"　","")," ",""),",",""),"，",""),"、","")),
IF(_xlpm.resp="",99,
SUMPRODUCT(--(ISNUMBER(SEARCH(_xlpm.opts,_xlpm.ans))&lt;&gt;ISNUMBER(SEARCH(_xlpm.opts,_xlpm.resp)))))
)</f>
        <v>0</v>
      </c>
      <c r="I23" s="14" cm="1">
        <f t="array" ref="I23">_xlfn.LET(
_xlpm.opts,{"A","B","C","D","E"},
_xlpm.ans,UPPER(SUBSTITUTE(SUBSTITUTE(SUBSTITUTE(SUBSTITUTE(SUBSTITUTE(TRIM($B23),"　","")," ",""),",",""),"，",""),"、","")),
_xlpm.resp,UPPER(SUBSTITUTE(SUBSTITUTE(SUBSTITUTE(SUBSTITUTE(SUBSTITUTE(TRIM(D23),"　","")," ",""),",",""),"，",""),"、","")),
IF(_xlpm.resp="",99,
SUMPRODUCT(--(ISNUMBER(SEARCH(_xlpm.opts,_xlpm.ans))&lt;&gt;ISNUMBER(SEARCH(_xlpm.opts,_xlpm.resp)))))
)</f>
        <v>0</v>
      </c>
      <c r="J23" s="14" cm="1">
        <f t="array" ref="J23">_xlfn.LET(
_xlpm.opts,{"A","B","C","D","E"},
_xlpm.ans,UPPER(SUBSTITUTE(SUBSTITUTE(SUBSTITUTE(SUBSTITUTE(SUBSTITUTE(TRIM($B23),"　","")," ",""),",",""),"，",""),"、","")),
_xlpm.resp,UPPER(SUBSTITUTE(SUBSTITUTE(SUBSTITUTE(SUBSTITUTE(SUBSTITUTE(TRIM(E23),"　","")," ",""),",",""),"，",""),"、","")),
IF(_xlpm.resp="",99,
SUMPRODUCT(--(ISNUMBER(SEARCH(_xlpm.opts,_xlpm.ans))&lt;&gt;ISNUMBER(SEARCH(_xlpm.opts,_xlpm.resp)))))
)</f>
        <v>1</v>
      </c>
      <c r="K23" s="14" cm="1">
        <f t="array" ref="K23">_xlfn.LET(
_xlpm.opts,{"A","B","C","D","E"},
_xlpm.ans,UPPER(SUBSTITUTE(SUBSTITUTE(SUBSTITUTE(SUBSTITUTE(SUBSTITUTE(TRIM($B23),"　","")," ",""),",",""),"，",""),"、","")),
_xlpm.resp,UPPER(SUBSTITUTE(SUBSTITUTE(SUBSTITUTE(SUBSTITUTE(SUBSTITUTE(TRIM(F23),"　","")," ",""),",",""),"，",""),"、","")),
IF(_xlpm.resp="",99,
SUMPRODUCT(--(ISNUMBER(SEARCH(_xlpm.opts,_xlpm.ans))&lt;&gt;ISNUMBER(SEARCH(_xlpm.opts,_xlpm.resp)))))
)</f>
        <v>0</v>
      </c>
      <c r="L23" s="14" cm="1">
        <f t="array" ref="L23">_xlfn.LET(
_xlpm.opts,{"A","B","C","D","E"},
_xlpm.ans,UPPER(SUBSTITUTE(SUBSTITUTE(SUBSTITUTE(SUBSTITUTE(SUBSTITUTE(TRIM($B23),"　","")," ",""),",",""),"，",""),"、","")),
_xlpm.resp,UPPER(SUBSTITUTE(SUBSTITUTE(SUBSTITUTE(SUBSTITUTE(SUBSTITUTE(TRIM(G23),"　","")," ",""),",",""),"，",""),"、","")),
IF(_xlpm.resp="",99,
SUMPRODUCT(--(ISNUMBER(SEARCH(_xlpm.opts,_xlpm.ans))&lt;&gt;ISNUMBER(SEARCH(_xlpm.opts,_xlpm.resp)))))
)</f>
        <v>0</v>
      </c>
      <c r="M23" s="7">
        <f t="shared" si="16"/>
        <v>3</v>
      </c>
      <c r="N23" s="7">
        <f t="shared" si="15"/>
        <v>3</v>
      </c>
      <c r="O23" s="7">
        <f t="shared" si="15"/>
        <v>1.8</v>
      </c>
      <c r="P23" s="7">
        <f t="shared" si="15"/>
        <v>3</v>
      </c>
      <c r="Q23" s="7">
        <f t="shared" si="15"/>
        <v>3</v>
      </c>
      <c r="R23" s="11"/>
    </row>
    <row r="24" spans="1:18" ht="15.75" customHeight="1">
      <c r="A24" s="10" t="s">
        <v>49</v>
      </c>
      <c r="B24" s="5" t="s">
        <v>42</v>
      </c>
      <c r="C24" s="5" t="s">
        <v>42</v>
      </c>
      <c r="D24" s="13" t="s">
        <v>42</v>
      </c>
      <c r="E24" s="13" t="s">
        <v>23</v>
      </c>
      <c r="F24" s="13" t="s">
        <v>42</v>
      </c>
      <c r="G24" s="13" t="s">
        <v>42</v>
      </c>
      <c r="H24" s="14" cm="1">
        <f t="array" ref="H24">_xlfn.LET(
_xlpm.opts,{"A","B","C","D","E"},
_xlpm.ans,UPPER(SUBSTITUTE(SUBSTITUTE(SUBSTITUTE(SUBSTITUTE(SUBSTITUTE(TRIM($B24),"　","")," ",""),",",""),"，",""),"、","")),
_xlpm.resp,UPPER(SUBSTITUTE(SUBSTITUTE(SUBSTITUTE(SUBSTITUTE(SUBSTITUTE(TRIM(C24),"　","")," ",""),",",""),"，",""),"、","")),
IF(_xlpm.resp="",99,
SUMPRODUCT(--(ISNUMBER(SEARCH(_xlpm.opts,_xlpm.ans))&lt;&gt;ISNUMBER(SEARCH(_xlpm.opts,_xlpm.resp)))))
)</f>
        <v>0</v>
      </c>
      <c r="I24" s="14" cm="1">
        <f t="array" ref="I24">_xlfn.LET(
_xlpm.opts,{"A","B","C","D","E"},
_xlpm.ans,UPPER(SUBSTITUTE(SUBSTITUTE(SUBSTITUTE(SUBSTITUTE(SUBSTITUTE(TRIM($B24),"　","")," ",""),",",""),"，",""),"、","")),
_xlpm.resp,UPPER(SUBSTITUTE(SUBSTITUTE(SUBSTITUTE(SUBSTITUTE(SUBSTITUTE(TRIM(D24),"　","")," ",""),",",""),"，",""),"、","")),
IF(_xlpm.resp="",99,
SUMPRODUCT(--(ISNUMBER(SEARCH(_xlpm.opts,_xlpm.ans))&lt;&gt;ISNUMBER(SEARCH(_xlpm.opts,_xlpm.resp)))))
)</f>
        <v>0</v>
      </c>
      <c r="J24" s="14" cm="1">
        <f t="array" ref="J24">_xlfn.LET(
_xlpm.opts,{"A","B","C","D","E"},
_xlpm.ans,UPPER(SUBSTITUTE(SUBSTITUTE(SUBSTITUTE(SUBSTITUTE(SUBSTITUTE(TRIM($B24),"　","")," ",""),",",""),"，",""),"、","")),
_xlpm.resp,UPPER(SUBSTITUTE(SUBSTITUTE(SUBSTITUTE(SUBSTITUTE(SUBSTITUTE(TRIM(E24),"　","")," ",""),",",""),"，",""),"、","")),
IF(_xlpm.resp="",99,
SUMPRODUCT(--(ISNUMBER(SEARCH(_xlpm.opts,_xlpm.ans))&lt;&gt;ISNUMBER(SEARCH(_xlpm.opts,_xlpm.resp)))))
)</f>
        <v>3</v>
      </c>
      <c r="K24" s="14" cm="1">
        <f t="array" ref="K24">_xlfn.LET(
_xlpm.opts,{"A","B","C","D","E"},
_xlpm.ans,UPPER(SUBSTITUTE(SUBSTITUTE(SUBSTITUTE(SUBSTITUTE(SUBSTITUTE(TRIM($B24),"　","")," ",""),",",""),"，",""),"、","")),
_xlpm.resp,UPPER(SUBSTITUTE(SUBSTITUTE(SUBSTITUTE(SUBSTITUTE(SUBSTITUTE(TRIM(F24),"　","")," ",""),",",""),"，",""),"、","")),
IF(_xlpm.resp="",99,
SUMPRODUCT(--(ISNUMBER(SEARCH(_xlpm.opts,_xlpm.ans))&lt;&gt;ISNUMBER(SEARCH(_xlpm.opts,_xlpm.resp)))))
)</f>
        <v>0</v>
      </c>
      <c r="L24" s="14" cm="1">
        <f t="array" ref="L24">_xlfn.LET(
_xlpm.opts,{"A","B","C","D","E"},
_xlpm.ans,UPPER(SUBSTITUTE(SUBSTITUTE(SUBSTITUTE(SUBSTITUTE(SUBSTITUTE(TRIM($B24),"　","")," ",""),",",""),"，",""),"、","")),
_xlpm.resp,UPPER(SUBSTITUTE(SUBSTITUTE(SUBSTITUTE(SUBSTITUTE(SUBSTITUTE(TRIM(G24),"　","")," ",""),",",""),"，",""),"、","")),
IF(_xlpm.resp="",99,
SUMPRODUCT(--(ISNUMBER(SEARCH(_xlpm.opts,_xlpm.ans))&lt;&gt;ISNUMBER(SEARCH(_xlpm.opts,_xlpm.resp)))))
)</f>
        <v>0</v>
      </c>
      <c r="M24" s="7">
        <f t="shared" si="16"/>
        <v>3</v>
      </c>
      <c r="N24" s="7">
        <f t="shared" si="15"/>
        <v>3</v>
      </c>
      <c r="O24" s="7">
        <f t="shared" si="15"/>
        <v>0</v>
      </c>
      <c r="P24" s="7">
        <f t="shared" si="15"/>
        <v>3</v>
      </c>
      <c r="Q24" s="7">
        <f t="shared" si="15"/>
        <v>3</v>
      </c>
      <c r="R24" s="11"/>
    </row>
    <row r="25" spans="1:18" ht="15.75" customHeight="1">
      <c r="A25" s="10" t="s">
        <v>50</v>
      </c>
      <c r="B25" s="5" t="s">
        <v>51</v>
      </c>
      <c r="C25" s="5" t="s">
        <v>51</v>
      </c>
      <c r="D25" s="13" t="s">
        <v>51</v>
      </c>
      <c r="E25" s="13" t="s">
        <v>42</v>
      </c>
      <c r="F25" s="13" t="s">
        <v>51</v>
      </c>
      <c r="G25" s="13" t="s">
        <v>51</v>
      </c>
      <c r="H25" s="14" cm="1">
        <f t="array" ref="H25">_xlfn.LET(
_xlpm.opts,{"A","B","C","D","E"},
_xlpm.ans,UPPER(SUBSTITUTE(SUBSTITUTE(SUBSTITUTE(SUBSTITUTE(SUBSTITUTE(TRIM($B25),"　","")," ",""),",",""),"，",""),"、","")),
_xlpm.resp,UPPER(SUBSTITUTE(SUBSTITUTE(SUBSTITUTE(SUBSTITUTE(SUBSTITUTE(TRIM(C25),"　","")," ",""),",",""),"，",""),"、","")),
IF(_xlpm.resp="",99,
SUMPRODUCT(--(ISNUMBER(SEARCH(_xlpm.opts,_xlpm.ans))&lt;&gt;ISNUMBER(SEARCH(_xlpm.opts,_xlpm.resp)))))
)</f>
        <v>0</v>
      </c>
      <c r="I25" s="14" cm="1">
        <f t="array" ref="I25">_xlfn.LET(
_xlpm.opts,{"A","B","C","D","E"},
_xlpm.ans,UPPER(SUBSTITUTE(SUBSTITUTE(SUBSTITUTE(SUBSTITUTE(SUBSTITUTE(TRIM($B25),"　","")," ",""),",",""),"，",""),"、","")),
_xlpm.resp,UPPER(SUBSTITUTE(SUBSTITUTE(SUBSTITUTE(SUBSTITUTE(SUBSTITUTE(TRIM(D25),"　","")," ",""),",",""),"，",""),"、","")),
IF(_xlpm.resp="",99,
SUMPRODUCT(--(ISNUMBER(SEARCH(_xlpm.opts,_xlpm.ans))&lt;&gt;ISNUMBER(SEARCH(_xlpm.opts,_xlpm.resp)))))
)</f>
        <v>0</v>
      </c>
      <c r="J25" s="14" cm="1">
        <f t="array" ref="J25">_xlfn.LET(
_xlpm.opts,{"A","B","C","D","E"},
_xlpm.ans,UPPER(SUBSTITUTE(SUBSTITUTE(SUBSTITUTE(SUBSTITUTE(SUBSTITUTE(TRIM($B25),"　","")," ",""),",",""),"，",""),"、","")),
_xlpm.resp,UPPER(SUBSTITUTE(SUBSTITUTE(SUBSTITUTE(SUBSTITUTE(SUBSTITUTE(TRIM(E25),"　","")," ",""),",",""),"，",""),"、","")),
IF(_xlpm.resp="",99,
SUMPRODUCT(--(ISNUMBER(SEARCH(_xlpm.opts,_xlpm.ans))&lt;&gt;ISNUMBER(SEARCH(_xlpm.opts,_xlpm.resp)))))
)</f>
        <v>1</v>
      </c>
      <c r="K25" s="14" cm="1">
        <f t="array" ref="K25">_xlfn.LET(
_xlpm.opts,{"A","B","C","D","E"},
_xlpm.ans,UPPER(SUBSTITUTE(SUBSTITUTE(SUBSTITUTE(SUBSTITUTE(SUBSTITUTE(TRIM($B25),"　","")," ",""),",",""),"，",""),"、","")),
_xlpm.resp,UPPER(SUBSTITUTE(SUBSTITUTE(SUBSTITUTE(SUBSTITUTE(SUBSTITUTE(TRIM(F25),"　","")," ",""),",",""),"，",""),"、","")),
IF(_xlpm.resp="",99,
SUMPRODUCT(--(ISNUMBER(SEARCH(_xlpm.opts,_xlpm.ans))&lt;&gt;ISNUMBER(SEARCH(_xlpm.opts,_xlpm.resp)))))
)</f>
        <v>0</v>
      </c>
      <c r="L25" s="14" cm="1">
        <f t="array" ref="L25">_xlfn.LET(
_xlpm.opts,{"A","B","C","D","E"},
_xlpm.ans,UPPER(SUBSTITUTE(SUBSTITUTE(SUBSTITUTE(SUBSTITUTE(SUBSTITUTE(TRIM($B25),"　","")," ",""),",",""),"，",""),"、","")),
_xlpm.resp,UPPER(SUBSTITUTE(SUBSTITUTE(SUBSTITUTE(SUBSTITUTE(SUBSTITUTE(TRIM(G25),"　","")," ",""),",",""),"，",""),"、","")),
IF(_xlpm.resp="",99,
SUMPRODUCT(--(ISNUMBER(SEARCH(_xlpm.opts,_xlpm.ans))&lt;&gt;ISNUMBER(SEARCH(_xlpm.opts,_xlpm.resp)))))
)</f>
        <v>0</v>
      </c>
      <c r="M25" s="7">
        <f t="shared" si="16"/>
        <v>3</v>
      </c>
      <c r="N25" s="7">
        <f t="shared" si="15"/>
        <v>3</v>
      </c>
      <c r="O25" s="7">
        <f t="shared" si="15"/>
        <v>1.8</v>
      </c>
      <c r="P25" s="7">
        <f t="shared" si="15"/>
        <v>3</v>
      </c>
      <c r="Q25" s="7">
        <f t="shared" si="15"/>
        <v>3</v>
      </c>
      <c r="R25" s="11"/>
    </row>
    <row r="26" spans="1:18" ht="15.75" customHeight="1">
      <c r="A26" s="10" t="s">
        <v>52</v>
      </c>
      <c r="B26" s="5" t="s">
        <v>53</v>
      </c>
      <c r="C26" s="5" t="s">
        <v>51</v>
      </c>
      <c r="D26" s="13" t="s">
        <v>54</v>
      </c>
      <c r="E26" s="13" t="s">
        <v>55</v>
      </c>
      <c r="F26" s="13" t="s">
        <v>53</v>
      </c>
      <c r="G26" s="13" t="s">
        <v>54</v>
      </c>
      <c r="H26" s="14" cm="1">
        <f t="array" ref="H26">_xlfn.LET(
_xlpm.opts,{"A","B","C","D","E"},
_xlpm.ans,UPPER(SUBSTITUTE(SUBSTITUTE(SUBSTITUTE(SUBSTITUTE(SUBSTITUTE(TRIM($B26),"　","")," ",""),",",""),"，",""),"、","")),
_xlpm.resp,UPPER(SUBSTITUTE(SUBSTITUTE(SUBSTITUTE(SUBSTITUTE(SUBSTITUTE(TRIM(C26),"　","")," ",""),",",""),"，",""),"、","")),
IF(_xlpm.resp="",99,
SUMPRODUCT(--(ISNUMBER(SEARCH(_xlpm.opts,_xlpm.ans))&lt;&gt;ISNUMBER(SEARCH(_xlpm.opts,_xlpm.resp)))))
)</f>
        <v>3</v>
      </c>
      <c r="I26" s="14" cm="1">
        <f t="array" ref="I26">_xlfn.LET(
_xlpm.opts,{"A","B","C","D","E"},
_xlpm.ans,UPPER(SUBSTITUTE(SUBSTITUTE(SUBSTITUTE(SUBSTITUTE(SUBSTITUTE(TRIM($B26),"　","")," ",""),",",""),"，",""),"、","")),
_xlpm.resp,UPPER(SUBSTITUTE(SUBSTITUTE(SUBSTITUTE(SUBSTITUTE(SUBSTITUTE(TRIM(D26),"　","")," ",""),",",""),"，",""),"、","")),
IF(_xlpm.resp="",99,
SUMPRODUCT(--(ISNUMBER(SEARCH(_xlpm.opts,_xlpm.ans))&lt;&gt;ISNUMBER(SEARCH(_xlpm.opts,_xlpm.resp)))))
)</f>
        <v>1</v>
      </c>
      <c r="J26" s="14" cm="1">
        <f t="array" ref="J26">_xlfn.LET(
_xlpm.opts,{"A","B","C","D","E"},
_xlpm.ans,UPPER(SUBSTITUTE(SUBSTITUTE(SUBSTITUTE(SUBSTITUTE(SUBSTITUTE(TRIM($B26),"　","")," ",""),",",""),"，",""),"、","")),
_xlpm.resp,UPPER(SUBSTITUTE(SUBSTITUTE(SUBSTITUTE(SUBSTITUTE(SUBSTITUTE(TRIM(E26),"　","")," ",""),",",""),"，",""),"、","")),
IF(_xlpm.resp="",99,
SUMPRODUCT(--(ISNUMBER(SEARCH(_xlpm.opts,_xlpm.ans))&lt;&gt;ISNUMBER(SEARCH(_xlpm.opts,_xlpm.resp)))))
)</f>
        <v>3</v>
      </c>
      <c r="K26" s="14" cm="1">
        <f t="array" ref="K26">_xlfn.LET(
_xlpm.opts,{"A","B","C","D","E"},
_xlpm.ans,UPPER(SUBSTITUTE(SUBSTITUTE(SUBSTITUTE(SUBSTITUTE(SUBSTITUTE(TRIM($B26),"　","")," ",""),",",""),"，",""),"、","")),
_xlpm.resp,UPPER(SUBSTITUTE(SUBSTITUTE(SUBSTITUTE(SUBSTITUTE(SUBSTITUTE(TRIM(F26),"　","")," ",""),",",""),"，",""),"、","")),
IF(_xlpm.resp="",99,
SUMPRODUCT(--(ISNUMBER(SEARCH(_xlpm.opts,_xlpm.ans))&lt;&gt;ISNUMBER(SEARCH(_xlpm.opts,_xlpm.resp)))))
)</f>
        <v>0</v>
      </c>
      <c r="L26" s="14" cm="1">
        <f t="array" ref="L26">_xlfn.LET(
_xlpm.opts,{"A","B","C","D","E"},
_xlpm.ans,UPPER(SUBSTITUTE(SUBSTITUTE(SUBSTITUTE(SUBSTITUTE(SUBSTITUTE(TRIM($B26),"　","")," ",""),",",""),"，",""),"、","")),
_xlpm.resp,UPPER(SUBSTITUTE(SUBSTITUTE(SUBSTITUTE(SUBSTITUTE(SUBSTITUTE(TRIM(G26),"　","")," ",""),",",""),"，",""),"、","")),
IF(_xlpm.resp="",99,
SUMPRODUCT(--(ISNUMBER(SEARCH(_xlpm.opts,_xlpm.ans))&lt;&gt;ISNUMBER(SEARCH(_xlpm.opts,_xlpm.resp)))))
)</f>
        <v>1</v>
      </c>
      <c r="M26" s="7">
        <f t="shared" si="16"/>
        <v>0</v>
      </c>
      <c r="N26" s="7">
        <f t="shared" si="15"/>
        <v>1.8</v>
      </c>
      <c r="O26" s="7">
        <f t="shared" si="15"/>
        <v>0</v>
      </c>
      <c r="P26" s="7">
        <f t="shared" si="15"/>
        <v>3</v>
      </c>
      <c r="Q26" s="7">
        <f t="shared" si="15"/>
        <v>1.8</v>
      </c>
      <c r="R26" s="11"/>
    </row>
    <row r="27" spans="1:18" ht="15.75" customHeight="1">
      <c r="A27" s="10" t="s">
        <v>56</v>
      </c>
      <c r="B27" s="5" t="s">
        <v>57</v>
      </c>
      <c r="C27" s="5" t="s">
        <v>57</v>
      </c>
      <c r="D27" s="13" t="s">
        <v>57</v>
      </c>
      <c r="E27" s="13" t="s">
        <v>47</v>
      </c>
      <c r="F27" s="13" t="s">
        <v>57</v>
      </c>
      <c r="G27" s="13" t="s">
        <v>57</v>
      </c>
      <c r="H27" s="14" cm="1">
        <f t="array" ref="H27">_xlfn.LET(
_xlpm.opts,{"A","B","C","D","E"},
_xlpm.ans,UPPER(SUBSTITUTE(SUBSTITUTE(SUBSTITUTE(SUBSTITUTE(SUBSTITUTE(TRIM($B27),"　","")," ",""),",",""),"，",""),"、","")),
_xlpm.resp,UPPER(SUBSTITUTE(SUBSTITUTE(SUBSTITUTE(SUBSTITUTE(SUBSTITUTE(TRIM(C27),"　","")," ",""),",",""),"，",""),"、","")),
IF(_xlpm.resp="",99,
SUMPRODUCT(--(ISNUMBER(SEARCH(_xlpm.opts,_xlpm.ans))&lt;&gt;ISNUMBER(SEARCH(_xlpm.opts,_xlpm.resp)))))
)</f>
        <v>0</v>
      </c>
      <c r="I27" s="14" cm="1">
        <f t="array" ref="I27">_xlfn.LET(
_xlpm.opts,{"A","B","C","D","E"},
_xlpm.ans,UPPER(SUBSTITUTE(SUBSTITUTE(SUBSTITUTE(SUBSTITUTE(SUBSTITUTE(TRIM($B27),"　","")," ",""),",",""),"，",""),"、","")),
_xlpm.resp,UPPER(SUBSTITUTE(SUBSTITUTE(SUBSTITUTE(SUBSTITUTE(SUBSTITUTE(TRIM(D27),"　","")," ",""),",",""),"，",""),"、","")),
IF(_xlpm.resp="",99,
SUMPRODUCT(--(ISNUMBER(SEARCH(_xlpm.opts,_xlpm.ans))&lt;&gt;ISNUMBER(SEARCH(_xlpm.opts,_xlpm.resp)))))
)</f>
        <v>0</v>
      </c>
      <c r="J27" s="14" cm="1">
        <f t="array" ref="J27">_xlfn.LET(
_xlpm.opts,{"A","B","C","D","E"},
_xlpm.ans,UPPER(SUBSTITUTE(SUBSTITUTE(SUBSTITUTE(SUBSTITUTE(SUBSTITUTE(TRIM($B27),"　","")," ",""),",",""),"，",""),"、","")),
_xlpm.resp,UPPER(SUBSTITUTE(SUBSTITUTE(SUBSTITUTE(SUBSTITUTE(SUBSTITUTE(TRIM(E27),"　","")," ",""),",",""),"，",""),"、","")),
IF(_xlpm.resp="",99,
SUMPRODUCT(--(ISNUMBER(SEARCH(_xlpm.opts,_xlpm.ans))&lt;&gt;ISNUMBER(SEARCH(_xlpm.opts,_xlpm.resp)))))
)</f>
        <v>2</v>
      </c>
      <c r="K27" s="14" cm="1">
        <f t="array" ref="K27">_xlfn.LET(
_xlpm.opts,{"A","B","C","D","E"},
_xlpm.ans,UPPER(SUBSTITUTE(SUBSTITUTE(SUBSTITUTE(SUBSTITUTE(SUBSTITUTE(TRIM($B27),"　","")," ",""),",",""),"，",""),"、","")),
_xlpm.resp,UPPER(SUBSTITUTE(SUBSTITUTE(SUBSTITUTE(SUBSTITUTE(SUBSTITUTE(TRIM(F27),"　","")," ",""),",",""),"，",""),"、","")),
IF(_xlpm.resp="",99,
SUMPRODUCT(--(ISNUMBER(SEARCH(_xlpm.opts,_xlpm.ans))&lt;&gt;ISNUMBER(SEARCH(_xlpm.opts,_xlpm.resp)))))
)</f>
        <v>0</v>
      </c>
      <c r="L27" s="14" cm="1">
        <f t="array" ref="L27">_xlfn.LET(
_xlpm.opts,{"A","B","C","D","E"},
_xlpm.ans,UPPER(SUBSTITUTE(SUBSTITUTE(SUBSTITUTE(SUBSTITUTE(SUBSTITUTE(TRIM($B27),"　","")," ",""),",",""),"，",""),"、","")),
_xlpm.resp,UPPER(SUBSTITUTE(SUBSTITUTE(SUBSTITUTE(SUBSTITUTE(SUBSTITUTE(TRIM(G27),"　","")," ",""),",",""),"，",""),"、","")),
IF(_xlpm.resp="",99,
SUMPRODUCT(--(ISNUMBER(SEARCH(_xlpm.opts,_xlpm.ans))&lt;&gt;ISNUMBER(SEARCH(_xlpm.opts,_xlpm.resp)))))
)</f>
        <v>0</v>
      </c>
      <c r="M27" s="7">
        <f t="shared" si="16"/>
        <v>3</v>
      </c>
      <c r="N27" s="7">
        <f t="shared" si="15"/>
        <v>3</v>
      </c>
      <c r="O27" s="7">
        <f t="shared" si="15"/>
        <v>0.6</v>
      </c>
      <c r="P27" s="7">
        <f t="shared" si="15"/>
        <v>3</v>
      </c>
      <c r="Q27" s="7">
        <f t="shared" si="15"/>
        <v>3</v>
      </c>
      <c r="R27" s="11"/>
    </row>
    <row r="28" spans="1:18" ht="15.75" customHeight="1">
      <c r="A28" s="90" t="s">
        <v>58</v>
      </c>
      <c r="B28" s="91"/>
      <c r="C28" s="91"/>
      <c r="D28" s="91"/>
      <c r="E28" s="91"/>
      <c r="F28" s="91"/>
      <c r="G28" s="91"/>
      <c r="H28" s="91"/>
      <c r="I28" s="91"/>
      <c r="J28" s="91"/>
      <c r="K28" s="91"/>
      <c r="L28" s="92"/>
      <c r="M28" s="15">
        <f t="shared" ref="M28:Q28" si="17">SUM(M2:M27)</f>
        <v>33.800000000000004</v>
      </c>
      <c r="N28" s="15">
        <f t="shared" si="17"/>
        <v>45.599999999999994</v>
      </c>
      <c r="O28" s="15">
        <f t="shared" si="17"/>
        <v>29.800000000000004</v>
      </c>
      <c r="P28" s="15">
        <f t="shared" si="17"/>
        <v>48.8</v>
      </c>
      <c r="Q28" s="15">
        <f t="shared" si="17"/>
        <v>47.599999999999994</v>
      </c>
      <c r="R28" s="11"/>
    </row>
    <row r="29" spans="1:18" ht="15.75" customHeight="1">
      <c r="A29" s="93" t="s">
        <v>59</v>
      </c>
      <c r="B29" s="91"/>
      <c r="C29" s="91"/>
      <c r="D29" s="91"/>
      <c r="E29" s="91"/>
      <c r="F29" s="91"/>
      <c r="G29" s="91"/>
      <c r="H29" s="91"/>
      <c r="I29" s="91"/>
      <c r="J29" s="91"/>
      <c r="K29" s="91"/>
      <c r="L29" s="92"/>
      <c r="M29" s="16">
        <v>54</v>
      </c>
      <c r="N29" s="16">
        <v>54</v>
      </c>
      <c r="O29" s="16">
        <v>54</v>
      </c>
      <c r="P29" s="16">
        <v>54</v>
      </c>
      <c r="Q29" s="16">
        <v>54</v>
      </c>
      <c r="R29" s="11"/>
    </row>
    <row r="30" spans="1:18" ht="15.75" customHeight="1">
      <c r="A30" s="94" t="s">
        <v>60</v>
      </c>
      <c r="B30" s="91"/>
      <c r="C30" s="91"/>
      <c r="D30" s="91"/>
      <c r="E30" s="91"/>
      <c r="F30" s="91"/>
      <c r="G30" s="91"/>
      <c r="H30" s="91"/>
      <c r="I30" s="91"/>
      <c r="J30" s="91"/>
      <c r="K30" s="91"/>
      <c r="L30" s="95"/>
      <c r="M30" s="17"/>
      <c r="N30" s="18">
        <f t="shared" ref="N30:Q30" si="18">N28/N29</f>
        <v>0.84444444444444433</v>
      </c>
      <c r="O30" s="18">
        <f t="shared" si="18"/>
        <v>0.55185185185185193</v>
      </c>
      <c r="P30" s="18">
        <f t="shared" si="18"/>
        <v>0.90370370370370368</v>
      </c>
      <c r="Q30" s="18">
        <f t="shared" si="18"/>
        <v>0.88148148148148142</v>
      </c>
      <c r="R30" s="11"/>
    </row>
    <row r="31" spans="1:18" ht="15.75" customHeight="1">
      <c r="A31" s="10" t="s">
        <v>61</v>
      </c>
      <c r="B31" s="10"/>
      <c r="C31" s="5"/>
      <c r="D31" s="13"/>
      <c r="E31" s="13"/>
      <c r="F31" s="13"/>
      <c r="G31" s="13"/>
      <c r="H31" s="13"/>
      <c r="I31" s="13"/>
      <c r="J31" s="13"/>
      <c r="K31" s="13"/>
      <c r="L31" s="13"/>
      <c r="M31" s="13"/>
      <c r="N31" s="19">
        <v>9</v>
      </c>
      <c r="O31" s="19">
        <v>9</v>
      </c>
      <c r="P31" s="19">
        <v>9</v>
      </c>
      <c r="Q31" s="19">
        <v>9</v>
      </c>
      <c r="R31" s="11"/>
    </row>
    <row r="32" spans="1:18" ht="15.75" customHeight="1">
      <c r="A32" s="10" t="s">
        <v>62</v>
      </c>
      <c r="B32" s="10"/>
      <c r="C32" s="5"/>
      <c r="D32" s="13"/>
      <c r="E32" s="13"/>
      <c r="F32" s="13"/>
      <c r="G32" s="13"/>
      <c r="H32" s="13"/>
      <c r="I32" s="13"/>
      <c r="J32" s="13"/>
      <c r="K32" s="13"/>
      <c r="L32" s="13"/>
      <c r="M32" s="20"/>
      <c r="N32" s="85">
        <v>18</v>
      </c>
      <c r="O32" s="85">
        <v>18</v>
      </c>
      <c r="P32" s="85">
        <v>18</v>
      </c>
      <c r="Q32" s="85">
        <v>18</v>
      </c>
      <c r="R32" s="11"/>
    </row>
    <row r="33" spans="1:18" ht="15.75" customHeight="1">
      <c r="A33" s="10" t="s">
        <v>63</v>
      </c>
      <c r="B33" s="10"/>
      <c r="C33" s="5"/>
      <c r="D33" s="13"/>
      <c r="E33" s="13"/>
      <c r="F33" s="13"/>
      <c r="G33" s="13"/>
      <c r="H33" s="13"/>
      <c r="I33" s="13"/>
      <c r="J33" s="13"/>
      <c r="K33" s="13"/>
      <c r="L33" s="13"/>
      <c r="M33" s="21"/>
      <c r="N33" s="86"/>
      <c r="O33" s="86"/>
      <c r="P33" s="86"/>
      <c r="Q33" s="86"/>
      <c r="R33" s="11"/>
    </row>
    <row r="34" spans="1:18" ht="15.75" customHeight="1">
      <c r="A34" s="10" t="s">
        <v>64</v>
      </c>
      <c r="B34" s="10"/>
      <c r="C34" s="5"/>
      <c r="D34" s="13"/>
      <c r="E34" s="13"/>
      <c r="F34" s="13"/>
      <c r="G34" s="13"/>
      <c r="H34" s="13"/>
      <c r="I34" s="13"/>
      <c r="J34" s="13"/>
      <c r="K34" s="13"/>
      <c r="L34" s="13"/>
      <c r="M34" s="22"/>
      <c r="N34" s="87"/>
      <c r="O34" s="87"/>
      <c r="P34" s="87"/>
      <c r="Q34" s="87"/>
      <c r="R34" s="11"/>
    </row>
    <row r="35" spans="1:18" ht="15.75" customHeight="1">
      <c r="A35" s="10" t="s">
        <v>65</v>
      </c>
      <c r="B35" s="10"/>
      <c r="C35" s="5"/>
      <c r="D35" s="13"/>
      <c r="E35" s="13"/>
      <c r="F35" s="13"/>
      <c r="G35" s="13"/>
      <c r="H35" s="13"/>
      <c r="I35" s="13"/>
      <c r="J35" s="13"/>
      <c r="K35" s="13"/>
      <c r="L35" s="13"/>
      <c r="M35" s="13"/>
      <c r="N35" s="19">
        <v>27</v>
      </c>
      <c r="O35" s="19">
        <v>27</v>
      </c>
      <c r="P35" s="19">
        <v>27</v>
      </c>
      <c r="Q35" s="19">
        <v>27</v>
      </c>
      <c r="R35" s="11"/>
    </row>
    <row r="36" spans="1:18" ht="15.75" customHeight="1">
      <c r="A36" s="88" t="s">
        <v>66</v>
      </c>
      <c r="B36" s="89"/>
      <c r="C36" s="89"/>
      <c r="D36" s="89"/>
      <c r="E36" s="89"/>
      <c r="F36" s="89"/>
      <c r="G36" s="89"/>
      <c r="H36" s="89"/>
      <c r="I36" s="89"/>
      <c r="J36" s="89"/>
      <c r="K36" s="89"/>
      <c r="L36" s="89"/>
      <c r="M36" s="82"/>
      <c r="N36" s="23">
        <f t="shared" ref="N36:Q36" si="19">SUM(N31:N35)</f>
        <v>54</v>
      </c>
      <c r="O36" s="23">
        <f t="shared" si="19"/>
        <v>54</v>
      </c>
      <c r="P36" s="23">
        <f t="shared" si="19"/>
        <v>54</v>
      </c>
      <c r="Q36" s="23">
        <f t="shared" si="19"/>
        <v>54</v>
      </c>
      <c r="R36" s="11"/>
    </row>
    <row r="37" spans="1:18" ht="15.75" customHeight="1">
      <c r="A37" s="24"/>
      <c r="B37" s="24"/>
      <c r="C37" s="25"/>
      <c r="D37" s="26"/>
      <c r="E37" s="26"/>
      <c r="F37" s="26"/>
      <c r="G37" s="26"/>
      <c r="H37" s="26"/>
      <c r="I37" s="26"/>
      <c r="J37" s="26"/>
      <c r="K37" s="26"/>
      <c r="L37" s="26"/>
      <c r="M37" s="26"/>
      <c r="N37" s="27"/>
      <c r="O37" s="27"/>
      <c r="P37" s="27"/>
      <c r="Q37" s="27"/>
      <c r="R37" s="11"/>
    </row>
    <row r="38" spans="1:18" ht="15.75" customHeight="1">
      <c r="A38" s="24"/>
      <c r="B38" s="24"/>
      <c r="C38" s="25"/>
      <c r="D38" s="26"/>
      <c r="E38" s="26"/>
      <c r="F38" s="26"/>
      <c r="G38" s="26"/>
      <c r="H38" s="26"/>
      <c r="I38" s="26"/>
      <c r="J38" s="26"/>
      <c r="K38" s="26"/>
      <c r="L38" s="26"/>
      <c r="M38" s="26"/>
      <c r="N38" s="27"/>
      <c r="O38" s="27"/>
      <c r="P38" s="27"/>
      <c r="Q38" s="27"/>
      <c r="R38" s="11"/>
    </row>
    <row r="39" spans="1:18" ht="15.75" customHeight="1">
      <c r="A39" s="24"/>
      <c r="B39" s="24"/>
      <c r="C39" s="25"/>
      <c r="D39" s="26"/>
      <c r="E39" s="26"/>
      <c r="F39" s="26"/>
      <c r="G39" s="26"/>
      <c r="H39" s="26"/>
      <c r="I39" s="26"/>
      <c r="J39" s="26"/>
      <c r="K39" s="26"/>
      <c r="L39" s="26"/>
      <c r="M39" s="26"/>
      <c r="N39" s="27"/>
      <c r="O39" s="27"/>
      <c r="P39" s="27"/>
      <c r="Q39" s="27"/>
      <c r="R39" s="11"/>
    </row>
    <row r="40" spans="1:18" ht="15.75" customHeight="1">
      <c r="A40" s="28"/>
      <c r="B40" s="28"/>
      <c r="C40" s="25"/>
      <c r="D40" s="26"/>
      <c r="E40" s="26"/>
      <c r="F40" s="26"/>
      <c r="G40" s="26"/>
      <c r="H40" s="26"/>
      <c r="I40" s="26"/>
      <c r="J40" s="26"/>
      <c r="K40" s="26"/>
      <c r="L40" s="26"/>
      <c r="M40" s="26"/>
      <c r="N40" s="27"/>
      <c r="O40" s="27"/>
      <c r="P40" s="27"/>
      <c r="Q40" s="27"/>
      <c r="R40" s="11"/>
    </row>
    <row r="41" spans="1:18" ht="15.75" customHeight="1">
      <c r="A41" s="28"/>
      <c r="B41" s="28"/>
      <c r="C41" s="25"/>
      <c r="D41" s="26"/>
      <c r="E41" s="26"/>
      <c r="F41" s="26"/>
      <c r="G41" s="26"/>
      <c r="H41" s="26"/>
      <c r="I41" s="26"/>
      <c r="J41" s="26"/>
      <c r="K41" s="26"/>
      <c r="L41" s="26"/>
      <c r="M41" s="26"/>
      <c r="N41" s="27"/>
      <c r="O41" s="27"/>
      <c r="P41" s="27"/>
      <c r="Q41" s="27"/>
      <c r="R41" s="11"/>
    </row>
    <row r="42" spans="1:18" ht="15.75" customHeight="1">
      <c r="A42" s="28"/>
      <c r="B42" s="28"/>
      <c r="C42" s="25"/>
      <c r="D42" s="26"/>
      <c r="E42" s="26"/>
      <c r="F42" s="26"/>
      <c r="G42" s="26"/>
      <c r="H42" s="26"/>
      <c r="I42" s="26"/>
      <c r="J42" s="26"/>
      <c r="K42" s="26"/>
      <c r="L42" s="26"/>
      <c r="M42" s="26"/>
      <c r="N42" s="27"/>
      <c r="O42" s="27"/>
      <c r="P42" s="27"/>
      <c r="Q42" s="27"/>
      <c r="R42" s="11"/>
    </row>
    <row r="43" spans="1:18" ht="15.75" customHeight="1">
      <c r="A43" s="28"/>
      <c r="B43" s="28"/>
      <c r="C43" s="25"/>
      <c r="D43" s="26"/>
      <c r="E43" s="26"/>
      <c r="F43" s="26"/>
      <c r="G43" s="26"/>
      <c r="H43" s="26"/>
      <c r="I43" s="26"/>
      <c r="J43" s="26"/>
      <c r="K43" s="26"/>
      <c r="L43" s="26"/>
      <c r="M43" s="26"/>
      <c r="N43" s="27"/>
      <c r="O43" s="27"/>
      <c r="P43" s="27"/>
      <c r="Q43" s="27"/>
      <c r="R43" s="11"/>
    </row>
    <row r="44" spans="1:18" ht="15.75" customHeight="1">
      <c r="A44" s="28"/>
      <c r="B44" s="28"/>
      <c r="C44" s="25"/>
      <c r="D44" s="26"/>
      <c r="E44" s="26"/>
      <c r="F44" s="26"/>
      <c r="G44" s="26"/>
      <c r="H44" s="26"/>
      <c r="I44" s="26"/>
      <c r="J44" s="26"/>
      <c r="K44" s="26"/>
      <c r="L44" s="26"/>
      <c r="M44" s="26"/>
      <c r="N44" s="27"/>
      <c r="O44" s="27"/>
      <c r="P44" s="27"/>
      <c r="Q44" s="27"/>
      <c r="R44" s="11"/>
    </row>
    <row r="45" spans="1:18" ht="15.75" customHeight="1">
      <c r="A45" s="28"/>
      <c r="B45" s="28"/>
      <c r="C45" s="25"/>
      <c r="D45" s="26"/>
      <c r="E45" s="26"/>
      <c r="F45" s="26"/>
      <c r="G45" s="26"/>
      <c r="H45" s="26"/>
      <c r="I45" s="26"/>
      <c r="J45" s="26"/>
      <c r="K45" s="26"/>
      <c r="L45" s="26"/>
      <c r="M45" s="26"/>
      <c r="N45" s="27"/>
      <c r="O45" s="27"/>
      <c r="P45" s="27"/>
      <c r="Q45" s="27"/>
      <c r="R45" s="11"/>
    </row>
    <row r="46" spans="1:18" ht="15.75" customHeight="1">
      <c r="A46" s="28"/>
      <c r="B46" s="28"/>
      <c r="C46" s="25"/>
      <c r="D46" s="26"/>
      <c r="E46" s="26"/>
      <c r="F46" s="26"/>
      <c r="G46" s="26"/>
      <c r="H46" s="26"/>
      <c r="I46" s="26"/>
      <c r="J46" s="26"/>
      <c r="K46" s="26"/>
      <c r="L46" s="26"/>
      <c r="M46" s="26"/>
      <c r="N46" s="27"/>
      <c r="O46" s="27"/>
      <c r="P46" s="27"/>
      <c r="Q46" s="27"/>
      <c r="R46" s="11"/>
    </row>
    <row r="47" spans="1:18" ht="15.75" customHeight="1">
      <c r="A47" s="28"/>
      <c r="B47" s="28"/>
      <c r="C47" s="25"/>
      <c r="D47" s="26"/>
      <c r="E47" s="26"/>
      <c r="F47" s="26"/>
      <c r="G47" s="26"/>
      <c r="H47" s="26"/>
      <c r="I47" s="26"/>
      <c r="J47" s="26"/>
      <c r="K47" s="26"/>
      <c r="L47" s="26"/>
      <c r="M47" s="26"/>
      <c r="N47" s="27"/>
      <c r="O47" s="27"/>
      <c r="P47" s="27"/>
      <c r="Q47" s="27"/>
      <c r="R47" s="11"/>
    </row>
    <row r="48" spans="1:18" ht="15.75" customHeight="1">
      <c r="A48" s="28"/>
      <c r="B48" s="28"/>
      <c r="C48" s="25"/>
      <c r="D48" s="26"/>
      <c r="E48" s="26"/>
      <c r="F48" s="26"/>
      <c r="G48" s="26"/>
      <c r="H48" s="26"/>
      <c r="I48" s="26"/>
      <c r="J48" s="26"/>
      <c r="K48" s="26"/>
      <c r="L48" s="26"/>
      <c r="M48" s="26"/>
      <c r="N48" s="27"/>
      <c r="O48" s="27"/>
      <c r="P48" s="27"/>
      <c r="Q48" s="27"/>
      <c r="R48" s="11"/>
    </row>
    <row r="49" spans="1:18" ht="15.75" customHeight="1">
      <c r="A49" s="28"/>
      <c r="B49" s="28"/>
      <c r="C49" s="25"/>
      <c r="D49" s="26"/>
      <c r="E49" s="26"/>
      <c r="F49" s="26"/>
      <c r="G49" s="26"/>
      <c r="H49" s="26"/>
      <c r="I49" s="26"/>
      <c r="J49" s="26"/>
      <c r="K49" s="26"/>
      <c r="L49" s="26"/>
      <c r="M49" s="26"/>
      <c r="N49" s="27"/>
      <c r="O49" s="27"/>
      <c r="P49" s="27"/>
      <c r="Q49" s="27"/>
      <c r="R49" s="11"/>
    </row>
    <row r="50" spans="1:18" ht="15.75" customHeight="1">
      <c r="A50" s="24"/>
      <c r="B50" s="24"/>
      <c r="C50" s="25"/>
      <c r="D50" s="26"/>
      <c r="E50" s="26"/>
      <c r="F50" s="26"/>
      <c r="G50" s="26"/>
      <c r="H50" s="26"/>
      <c r="I50" s="26"/>
      <c r="J50" s="26"/>
      <c r="K50" s="26"/>
      <c r="L50" s="26"/>
      <c r="M50" s="26"/>
      <c r="N50" s="27"/>
      <c r="O50" s="27"/>
      <c r="P50" s="27"/>
      <c r="Q50" s="27"/>
      <c r="R50" s="11"/>
    </row>
    <row r="51" spans="1:18" ht="15.75" customHeight="1">
      <c r="A51" s="24"/>
      <c r="B51" s="24"/>
      <c r="C51" s="25"/>
      <c r="D51" s="26"/>
      <c r="E51" s="26"/>
      <c r="F51" s="26"/>
      <c r="G51" s="26"/>
      <c r="H51" s="26"/>
      <c r="I51" s="26"/>
      <c r="J51" s="26"/>
      <c r="K51" s="26"/>
      <c r="L51" s="26"/>
      <c r="M51" s="26"/>
      <c r="N51" s="27"/>
      <c r="O51" s="27"/>
      <c r="P51" s="27"/>
      <c r="Q51" s="27"/>
      <c r="R51" s="11"/>
    </row>
    <row r="52" spans="1:18" ht="15.75" customHeight="1">
      <c r="A52" s="24"/>
      <c r="B52" s="24"/>
      <c r="C52" s="25"/>
      <c r="D52" s="26"/>
      <c r="E52" s="26"/>
      <c r="F52" s="26"/>
      <c r="G52" s="26"/>
      <c r="H52" s="26"/>
      <c r="I52" s="26"/>
      <c r="J52" s="26"/>
      <c r="K52" s="26"/>
      <c r="L52" s="26"/>
      <c r="M52" s="26"/>
      <c r="N52" s="27"/>
      <c r="O52" s="27"/>
      <c r="P52" s="27"/>
      <c r="Q52" s="27"/>
      <c r="R52" s="11"/>
    </row>
    <row r="53" spans="1:18" ht="15.75" customHeight="1">
      <c r="A53" s="24"/>
      <c r="B53" s="24"/>
      <c r="C53" s="25"/>
      <c r="D53" s="26"/>
      <c r="E53" s="26"/>
      <c r="F53" s="26"/>
      <c r="G53" s="26"/>
      <c r="H53" s="26"/>
      <c r="I53" s="26"/>
      <c r="J53" s="26"/>
      <c r="K53" s="26"/>
      <c r="L53" s="26"/>
      <c r="M53" s="26"/>
      <c r="N53" s="27"/>
      <c r="O53" s="27"/>
      <c r="P53" s="27"/>
      <c r="Q53" s="27"/>
      <c r="R53" s="11"/>
    </row>
    <row r="54" spans="1:18" ht="15.75" customHeight="1">
      <c r="A54" s="24"/>
      <c r="B54" s="24"/>
      <c r="C54" s="25"/>
      <c r="D54" s="26"/>
      <c r="E54" s="26"/>
      <c r="F54" s="26"/>
      <c r="G54" s="26"/>
      <c r="H54" s="26"/>
      <c r="I54" s="26"/>
      <c r="J54" s="26"/>
      <c r="K54" s="26"/>
      <c r="L54" s="26"/>
      <c r="M54" s="26"/>
      <c r="N54" s="27"/>
      <c r="O54" s="27"/>
      <c r="P54" s="27"/>
      <c r="Q54" s="27"/>
      <c r="R54" s="11"/>
    </row>
    <row r="55" spans="1:18" ht="15.75" customHeight="1">
      <c r="A55" s="24"/>
      <c r="B55" s="24"/>
      <c r="C55" s="25"/>
      <c r="D55" s="26"/>
      <c r="E55" s="26"/>
      <c r="F55" s="26"/>
      <c r="G55" s="26"/>
      <c r="H55" s="26"/>
      <c r="I55" s="26"/>
      <c r="J55" s="26"/>
      <c r="K55" s="26"/>
      <c r="L55" s="26"/>
      <c r="M55" s="26"/>
      <c r="N55" s="27"/>
      <c r="O55" s="27"/>
      <c r="P55" s="27"/>
      <c r="Q55" s="27"/>
      <c r="R55" s="11"/>
    </row>
    <row r="56" spans="1:18" ht="15.75" customHeight="1">
      <c r="A56" s="24"/>
      <c r="B56" s="24"/>
      <c r="C56" s="25"/>
      <c r="D56" s="26"/>
      <c r="E56" s="26"/>
      <c r="F56" s="26"/>
      <c r="G56" s="26"/>
      <c r="H56" s="26"/>
      <c r="I56" s="26"/>
      <c r="J56" s="26"/>
      <c r="K56" s="26"/>
      <c r="L56" s="26"/>
      <c r="M56" s="26"/>
      <c r="N56" s="27"/>
      <c r="O56" s="27"/>
      <c r="P56" s="27"/>
      <c r="Q56" s="27"/>
      <c r="R56" s="11"/>
    </row>
    <row r="57" spans="1:18" ht="15.75" customHeight="1">
      <c r="A57" s="24"/>
      <c r="B57" s="24"/>
      <c r="C57" s="25"/>
      <c r="D57" s="26"/>
      <c r="E57" s="26"/>
      <c r="F57" s="26"/>
      <c r="G57" s="26"/>
      <c r="H57" s="26"/>
      <c r="I57" s="26"/>
      <c r="J57" s="26"/>
      <c r="K57" s="26"/>
      <c r="L57" s="26"/>
      <c r="M57" s="26"/>
      <c r="N57" s="27"/>
      <c r="O57" s="27"/>
      <c r="P57" s="27"/>
      <c r="Q57" s="27"/>
      <c r="R57" s="11"/>
    </row>
    <row r="58" spans="1:18" ht="15.75" customHeight="1">
      <c r="A58" s="24"/>
      <c r="B58" s="24"/>
      <c r="C58" s="25"/>
      <c r="D58" s="26"/>
      <c r="E58" s="26"/>
      <c r="F58" s="26"/>
      <c r="G58" s="26"/>
      <c r="H58" s="26"/>
      <c r="I58" s="26"/>
      <c r="J58" s="26"/>
      <c r="K58" s="26"/>
      <c r="L58" s="26"/>
      <c r="M58" s="26"/>
      <c r="N58" s="27"/>
      <c r="O58" s="27"/>
      <c r="P58" s="27"/>
      <c r="Q58" s="27"/>
      <c r="R58" s="11"/>
    </row>
    <row r="59" spans="1:18" ht="15.75" customHeight="1">
      <c r="A59" s="24"/>
      <c r="B59" s="24"/>
      <c r="C59" s="25"/>
      <c r="D59" s="26"/>
      <c r="E59" s="26"/>
      <c r="F59" s="26"/>
      <c r="G59" s="26"/>
      <c r="H59" s="26"/>
      <c r="I59" s="26"/>
      <c r="J59" s="26"/>
      <c r="K59" s="26"/>
      <c r="L59" s="26"/>
      <c r="M59" s="26"/>
      <c r="N59" s="27"/>
      <c r="O59" s="27"/>
      <c r="P59" s="27"/>
      <c r="Q59" s="27"/>
      <c r="R59" s="11"/>
    </row>
    <row r="60" spans="1:18" ht="15.75" customHeight="1">
      <c r="A60" s="24"/>
      <c r="B60" s="24"/>
      <c r="C60" s="25"/>
      <c r="D60" s="26"/>
      <c r="E60" s="26"/>
      <c r="F60" s="26"/>
      <c r="G60" s="26"/>
      <c r="H60" s="26"/>
      <c r="I60" s="26"/>
      <c r="J60" s="26"/>
      <c r="K60" s="26"/>
      <c r="L60" s="26"/>
      <c r="M60" s="26"/>
      <c r="N60" s="27"/>
      <c r="O60" s="27"/>
      <c r="P60" s="27"/>
      <c r="Q60" s="27"/>
      <c r="R60" s="11"/>
    </row>
    <row r="61" spans="1:18" ht="15.75" customHeight="1">
      <c r="A61" s="24"/>
      <c r="B61" s="24"/>
      <c r="C61" s="25"/>
      <c r="D61" s="26"/>
      <c r="E61" s="26"/>
      <c r="F61" s="26"/>
      <c r="G61" s="26"/>
      <c r="H61" s="26"/>
      <c r="I61" s="26"/>
      <c r="J61" s="26"/>
      <c r="K61" s="26"/>
      <c r="L61" s="26"/>
      <c r="M61" s="26"/>
      <c r="N61" s="27"/>
      <c r="O61" s="27"/>
      <c r="P61" s="27"/>
      <c r="Q61" s="27"/>
      <c r="R61" s="11"/>
    </row>
    <row r="62" spans="1:18" ht="15.75" customHeight="1">
      <c r="A62" s="24"/>
      <c r="B62" s="24"/>
      <c r="C62" s="25"/>
      <c r="D62" s="26"/>
      <c r="E62" s="26"/>
      <c r="F62" s="26"/>
      <c r="G62" s="26"/>
      <c r="H62" s="26"/>
      <c r="I62" s="26"/>
      <c r="J62" s="26"/>
      <c r="K62" s="26"/>
      <c r="L62" s="26"/>
      <c r="M62" s="26"/>
      <c r="N62" s="27"/>
      <c r="O62" s="27"/>
      <c r="P62" s="27"/>
      <c r="Q62" s="27"/>
      <c r="R62" s="11"/>
    </row>
    <row r="63" spans="1:18" ht="15.75" customHeight="1">
      <c r="A63" s="24"/>
      <c r="B63" s="24"/>
      <c r="C63" s="25"/>
      <c r="D63" s="26"/>
      <c r="E63" s="26"/>
      <c r="F63" s="26"/>
      <c r="G63" s="26"/>
      <c r="H63" s="26"/>
      <c r="I63" s="26"/>
      <c r="J63" s="26"/>
      <c r="K63" s="26"/>
      <c r="L63" s="26"/>
      <c r="M63" s="26"/>
      <c r="N63" s="27"/>
      <c r="O63" s="27"/>
      <c r="P63" s="27"/>
      <c r="Q63" s="27"/>
      <c r="R63" s="11"/>
    </row>
    <row r="64" spans="1:18" ht="15.75" customHeight="1">
      <c r="A64" s="24"/>
      <c r="B64" s="24"/>
      <c r="C64" s="25"/>
      <c r="D64" s="26"/>
      <c r="E64" s="26"/>
      <c r="F64" s="26"/>
      <c r="G64" s="26"/>
      <c r="H64" s="26"/>
      <c r="I64" s="26"/>
      <c r="J64" s="26"/>
      <c r="K64" s="26"/>
      <c r="L64" s="26"/>
      <c r="M64" s="26"/>
      <c r="N64" s="27"/>
      <c r="O64" s="27"/>
      <c r="P64" s="27"/>
      <c r="Q64" s="27"/>
      <c r="R64" s="11"/>
    </row>
    <row r="65" spans="1:18" ht="15.75" customHeight="1">
      <c r="A65" s="24"/>
      <c r="B65" s="24"/>
      <c r="C65" s="25"/>
      <c r="D65" s="26"/>
      <c r="E65" s="26"/>
      <c r="F65" s="26"/>
      <c r="G65" s="26"/>
      <c r="H65" s="26"/>
      <c r="I65" s="26"/>
      <c r="J65" s="26"/>
      <c r="K65" s="26"/>
      <c r="L65" s="26"/>
      <c r="M65" s="26"/>
      <c r="N65" s="27"/>
      <c r="O65" s="27"/>
      <c r="P65" s="27"/>
      <c r="Q65" s="27"/>
      <c r="R65" s="11"/>
    </row>
    <row r="66" spans="1:18" ht="15.75" customHeight="1">
      <c r="A66" s="24"/>
      <c r="B66" s="24"/>
      <c r="C66" s="25"/>
      <c r="D66" s="26"/>
      <c r="E66" s="26"/>
      <c r="F66" s="26"/>
      <c r="G66" s="26"/>
      <c r="H66" s="26"/>
      <c r="I66" s="26"/>
      <c r="J66" s="26"/>
      <c r="K66" s="26"/>
      <c r="L66" s="26"/>
      <c r="M66" s="26"/>
      <c r="N66" s="27"/>
      <c r="O66" s="27"/>
      <c r="P66" s="27"/>
      <c r="Q66" s="27"/>
      <c r="R66" s="11"/>
    </row>
    <row r="67" spans="1:18" ht="15.75" customHeight="1">
      <c r="A67" s="24"/>
      <c r="B67" s="24"/>
      <c r="C67" s="25"/>
      <c r="D67" s="26"/>
      <c r="E67" s="26"/>
      <c r="F67" s="26"/>
      <c r="G67" s="26"/>
      <c r="H67" s="26"/>
      <c r="I67" s="26"/>
      <c r="J67" s="26"/>
      <c r="K67" s="26"/>
      <c r="L67" s="26"/>
      <c r="M67" s="26"/>
      <c r="N67" s="27"/>
      <c r="O67" s="27"/>
      <c r="P67" s="27"/>
      <c r="Q67" s="27"/>
      <c r="R67" s="11"/>
    </row>
    <row r="68" spans="1:18" ht="15.75" customHeight="1">
      <c r="A68" s="24"/>
      <c r="B68" s="24"/>
      <c r="C68" s="25"/>
      <c r="D68" s="26"/>
      <c r="E68" s="26"/>
      <c r="F68" s="26"/>
      <c r="G68" s="26"/>
      <c r="H68" s="26"/>
      <c r="I68" s="26"/>
      <c r="J68" s="26"/>
      <c r="K68" s="26"/>
      <c r="L68" s="26"/>
      <c r="M68" s="26"/>
      <c r="N68" s="27"/>
      <c r="O68" s="27"/>
      <c r="P68" s="27"/>
      <c r="Q68" s="27"/>
      <c r="R68" s="11"/>
    </row>
    <row r="69" spans="1:18" ht="15.75" customHeight="1">
      <c r="A69" s="24"/>
      <c r="B69" s="24"/>
      <c r="C69" s="25"/>
      <c r="D69" s="26"/>
      <c r="E69" s="26"/>
      <c r="F69" s="26"/>
      <c r="G69" s="26"/>
      <c r="H69" s="26"/>
      <c r="I69" s="26"/>
      <c r="J69" s="26"/>
      <c r="K69" s="26"/>
      <c r="L69" s="26"/>
      <c r="M69" s="26"/>
      <c r="N69" s="27"/>
      <c r="O69" s="27"/>
      <c r="P69" s="27"/>
      <c r="Q69" s="27"/>
      <c r="R69" s="11"/>
    </row>
    <row r="70" spans="1:18" ht="15.75" customHeight="1">
      <c r="A70" s="24"/>
      <c r="B70" s="24"/>
      <c r="C70" s="25"/>
      <c r="D70" s="25"/>
      <c r="E70" s="25"/>
      <c r="F70" s="25"/>
      <c r="G70" s="25"/>
      <c r="H70" s="25"/>
      <c r="I70" s="25"/>
      <c r="J70" s="25"/>
      <c r="K70" s="25"/>
      <c r="L70" s="25"/>
      <c r="M70" s="25"/>
      <c r="N70" s="27"/>
      <c r="O70" s="27"/>
      <c r="P70" s="27"/>
      <c r="Q70" s="27"/>
      <c r="R70" s="11"/>
    </row>
    <row r="71" spans="1:18" ht="15.75" customHeight="1">
      <c r="A71" s="24"/>
      <c r="B71" s="24"/>
      <c r="C71" s="25"/>
      <c r="D71" s="26"/>
      <c r="E71" s="26"/>
      <c r="F71" s="26"/>
      <c r="G71" s="26"/>
      <c r="H71" s="26"/>
      <c r="I71" s="26"/>
      <c r="J71" s="26"/>
      <c r="K71" s="26"/>
      <c r="L71" s="26"/>
      <c r="M71" s="26"/>
      <c r="N71" s="27"/>
      <c r="O71" s="27"/>
      <c r="P71" s="27"/>
      <c r="Q71" s="27"/>
      <c r="R71" s="11"/>
    </row>
    <row r="72" spans="1:18" ht="15.75" customHeight="1">
      <c r="A72" s="24"/>
      <c r="B72" s="24"/>
      <c r="C72" s="25"/>
      <c r="D72" s="26"/>
      <c r="E72" s="26"/>
      <c r="F72" s="26"/>
      <c r="G72" s="26"/>
      <c r="H72" s="26"/>
      <c r="I72" s="26"/>
      <c r="J72" s="26"/>
      <c r="K72" s="26"/>
      <c r="L72" s="26"/>
      <c r="M72" s="26"/>
      <c r="N72" s="27"/>
      <c r="O72" s="27"/>
      <c r="P72" s="27"/>
      <c r="Q72" s="27"/>
      <c r="R72" s="11"/>
    </row>
    <row r="73" spans="1:18" ht="15.75" customHeight="1">
      <c r="A73" s="24"/>
      <c r="B73" s="24"/>
      <c r="C73" s="25"/>
      <c r="D73" s="26"/>
      <c r="E73" s="26"/>
      <c r="F73" s="26"/>
      <c r="G73" s="26"/>
      <c r="H73" s="26"/>
      <c r="I73" s="26"/>
      <c r="J73" s="26"/>
      <c r="K73" s="26"/>
      <c r="L73" s="26"/>
      <c r="M73" s="26"/>
      <c r="N73" s="13"/>
      <c r="O73" s="13"/>
      <c r="P73" s="13"/>
      <c r="Q73" s="26"/>
      <c r="R73" s="11"/>
    </row>
    <row r="74" spans="1:18" ht="15.75" customHeight="1">
      <c r="A74" s="24"/>
      <c r="B74" s="24"/>
      <c r="C74" s="25"/>
      <c r="D74" s="26"/>
      <c r="E74" s="26"/>
      <c r="F74" s="26"/>
      <c r="G74" s="26"/>
      <c r="H74" s="26"/>
      <c r="I74" s="26"/>
      <c r="J74" s="26"/>
      <c r="K74" s="26"/>
      <c r="L74" s="26"/>
      <c r="M74" s="26"/>
      <c r="N74" s="29"/>
      <c r="O74" s="29"/>
      <c r="P74" s="29"/>
      <c r="Q74" s="29"/>
      <c r="R74" s="11"/>
    </row>
    <row r="75" spans="1:18" ht="15.75" customHeight="1">
      <c r="A75" s="24"/>
      <c r="B75" s="24"/>
      <c r="C75" s="25"/>
      <c r="D75" s="26"/>
      <c r="E75" s="26"/>
      <c r="F75" s="26"/>
      <c r="G75" s="26"/>
      <c r="H75" s="26"/>
      <c r="I75" s="26"/>
      <c r="J75" s="26"/>
      <c r="K75" s="26"/>
      <c r="L75" s="26"/>
      <c r="M75" s="26"/>
      <c r="N75" s="29"/>
      <c r="O75" s="29"/>
      <c r="P75" s="29"/>
      <c r="Q75" s="29"/>
      <c r="R75" s="11"/>
    </row>
    <row r="76" spans="1:18" ht="15.75" customHeight="1">
      <c r="A76" s="24"/>
      <c r="B76" s="24"/>
      <c r="C76" s="25"/>
      <c r="D76" s="26"/>
      <c r="E76" s="26"/>
      <c r="F76" s="26"/>
      <c r="G76" s="26"/>
      <c r="H76" s="26"/>
      <c r="I76" s="26"/>
      <c r="J76" s="26"/>
      <c r="K76" s="26"/>
      <c r="L76" s="26"/>
      <c r="M76" s="26"/>
      <c r="N76" s="29"/>
      <c r="O76" s="29"/>
      <c r="P76" s="29"/>
      <c r="Q76" s="29"/>
      <c r="R76" s="11"/>
    </row>
    <row r="77" spans="1:18" ht="15.75" customHeight="1">
      <c r="A77" s="24"/>
      <c r="B77" s="24"/>
      <c r="C77" s="25"/>
      <c r="D77" s="26"/>
      <c r="E77" s="26"/>
      <c r="F77" s="26"/>
      <c r="G77" s="26"/>
      <c r="H77" s="26"/>
      <c r="I77" s="26"/>
      <c r="J77" s="26"/>
      <c r="K77" s="26"/>
      <c r="L77" s="26"/>
      <c r="M77" s="26"/>
      <c r="N77" s="29"/>
      <c r="O77" s="29"/>
      <c r="P77" s="29"/>
      <c r="Q77" s="29"/>
      <c r="R77" s="11"/>
    </row>
    <row r="78" spans="1:18" ht="15.75" customHeight="1">
      <c r="A78" s="24"/>
      <c r="B78" s="24"/>
      <c r="C78" s="25"/>
      <c r="D78" s="26"/>
      <c r="E78" s="26"/>
      <c r="F78" s="26"/>
      <c r="G78" s="26"/>
      <c r="H78" s="26"/>
      <c r="I78" s="26"/>
      <c r="J78" s="26"/>
      <c r="K78" s="26"/>
      <c r="L78" s="26"/>
      <c r="M78" s="26"/>
      <c r="N78" s="29"/>
      <c r="O78" s="29"/>
      <c r="P78" s="29"/>
      <c r="Q78" s="29"/>
      <c r="R78" s="11"/>
    </row>
    <row r="79" spans="1:18" ht="15.75" customHeight="1">
      <c r="A79" s="24"/>
      <c r="B79" s="24"/>
      <c r="C79" s="25"/>
      <c r="D79" s="26"/>
      <c r="E79" s="26"/>
      <c r="F79" s="26"/>
      <c r="G79" s="26"/>
      <c r="H79" s="26"/>
      <c r="I79" s="26"/>
      <c r="J79" s="26"/>
      <c r="K79" s="26"/>
      <c r="L79" s="26"/>
      <c r="M79" s="26"/>
      <c r="N79" s="29"/>
      <c r="O79" s="29"/>
      <c r="P79" s="29"/>
      <c r="Q79" s="29"/>
      <c r="R79" s="11"/>
    </row>
    <row r="80" spans="1:18" ht="15.75" customHeight="1">
      <c r="A80" s="24"/>
      <c r="B80" s="24"/>
      <c r="C80" s="25"/>
      <c r="D80" s="26"/>
      <c r="E80" s="26"/>
      <c r="F80" s="26"/>
      <c r="G80" s="26"/>
      <c r="H80" s="26"/>
      <c r="I80" s="26"/>
      <c r="J80" s="26"/>
      <c r="K80" s="26"/>
      <c r="L80" s="26"/>
      <c r="M80" s="26"/>
      <c r="N80" s="29"/>
      <c r="O80" s="29"/>
      <c r="P80" s="29"/>
      <c r="Q80" s="29"/>
      <c r="R80" s="11"/>
    </row>
    <row r="81" spans="1:18" ht="15.75" customHeight="1">
      <c r="A81" s="24"/>
      <c r="B81" s="24"/>
      <c r="C81" s="25"/>
      <c r="D81" s="26"/>
      <c r="E81" s="26"/>
      <c r="F81" s="26"/>
      <c r="G81" s="26"/>
      <c r="H81" s="26"/>
      <c r="I81" s="26"/>
      <c r="J81" s="26"/>
      <c r="K81" s="26"/>
      <c r="L81" s="26"/>
      <c r="M81" s="26"/>
      <c r="N81" s="29"/>
      <c r="O81" s="29"/>
      <c r="P81" s="29"/>
      <c r="Q81" s="29"/>
      <c r="R81" s="11"/>
    </row>
    <row r="82" spans="1:18" ht="15.75" customHeight="1">
      <c r="A82" s="24"/>
      <c r="B82" s="24"/>
      <c r="C82" s="25"/>
      <c r="D82" s="26"/>
      <c r="E82" s="26"/>
      <c r="F82" s="26"/>
      <c r="G82" s="26"/>
      <c r="H82" s="26"/>
      <c r="I82" s="26"/>
      <c r="J82" s="26"/>
      <c r="K82" s="26"/>
      <c r="L82" s="26"/>
      <c r="M82" s="26"/>
      <c r="N82" s="29"/>
      <c r="O82" s="29"/>
      <c r="P82" s="29"/>
      <c r="Q82" s="29"/>
      <c r="R82" s="11"/>
    </row>
    <row r="83" spans="1:18" ht="15.75" customHeight="1">
      <c r="A83" s="24"/>
      <c r="B83" s="24"/>
      <c r="C83" s="25"/>
      <c r="D83" s="26"/>
      <c r="E83" s="26"/>
      <c r="F83" s="26"/>
      <c r="G83" s="26"/>
      <c r="H83" s="26"/>
      <c r="I83" s="26"/>
      <c r="J83" s="26"/>
      <c r="K83" s="26"/>
      <c r="L83" s="26"/>
      <c r="M83" s="26"/>
      <c r="N83" s="29"/>
      <c r="O83" s="29"/>
      <c r="P83" s="29"/>
      <c r="Q83" s="29"/>
      <c r="R83" s="11"/>
    </row>
    <row r="84" spans="1:18" ht="15.75" customHeight="1">
      <c r="A84" s="24"/>
      <c r="B84" s="24"/>
      <c r="C84" s="25"/>
      <c r="D84" s="26"/>
      <c r="E84" s="26"/>
      <c r="F84" s="26"/>
      <c r="G84" s="26"/>
      <c r="H84" s="26"/>
      <c r="I84" s="26"/>
      <c r="J84" s="26"/>
      <c r="K84" s="26"/>
      <c r="L84" s="26"/>
      <c r="M84" s="26"/>
      <c r="N84" s="29"/>
      <c r="O84" s="29"/>
      <c r="P84" s="29"/>
      <c r="Q84" s="29"/>
      <c r="R84" s="11"/>
    </row>
    <row r="85" spans="1:18" ht="15.75" customHeight="1">
      <c r="A85" s="24"/>
      <c r="B85" s="24"/>
      <c r="C85" s="25"/>
      <c r="D85" s="26"/>
      <c r="E85" s="26"/>
      <c r="F85" s="26"/>
      <c r="G85" s="26"/>
      <c r="H85" s="26"/>
      <c r="I85" s="26"/>
      <c r="J85" s="26"/>
      <c r="K85" s="26"/>
      <c r="L85" s="26"/>
      <c r="M85" s="26"/>
      <c r="N85" s="29"/>
      <c r="O85" s="29"/>
      <c r="P85" s="29"/>
      <c r="Q85" s="29"/>
      <c r="R85" s="11"/>
    </row>
    <row r="86" spans="1:18" ht="15.75" customHeight="1">
      <c r="A86" s="24"/>
      <c r="B86" s="24"/>
      <c r="C86" s="25"/>
      <c r="D86" s="26"/>
      <c r="E86" s="26"/>
      <c r="F86" s="26"/>
      <c r="G86" s="26"/>
      <c r="H86" s="26"/>
      <c r="I86" s="26"/>
      <c r="J86" s="26"/>
      <c r="K86" s="26"/>
      <c r="L86" s="26"/>
      <c r="M86" s="26"/>
      <c r="N86" s="29"/>
      <c r="O86" s="29"/>
      <c r="P86" s="29"/>
      <c r="Q86" s="29"/>
      <c r="R86" s="11"/>
    </row>
    <row r="87" spans="1:18" ht="15.75" customHeight="1">
      <c r="A87" s="24"/>
      <c r="B87" s="24"/>
      <c r="C87" s="25"/>
      <c r="D87" s="26"/>
      <c r="E87" s="26"/>
      <c r="F87" s="26"/>
      <c r="G87" s="26"/>
      <c r="H87" s="26"/>
      <c r="I87" s="26"/>
      <c r="J87" s="26"/>
      <c r="K87" s="26"/>
      <c r="L87" s="26"/>
      <c r="M87" s="26"/>
      <c r="N87" s="29"/>
      <c r="O87" s="29"/>
      <c r="P87" s="29"/>
      <c r="Q87" s="29"/>
      <c r="R87" s="11"/>
    </row>
    <row r="88" spans="1:18" ht="15.75" customHeight="1">
      <c r="A88" s="24"/>
      <c r="B88" s="24"/>
      <c r="C88" s="25"/>
      <c r="D88" s="26"/>
      <c r="E88" s="26"/>
      <c r="F88" s="26"/>
      <c r="G88" s="26"/>
      <c r="H88" s="26"/>
      <c r="I88" s="26"/>
      <c r="J88" s="26"/>
      <c r="K88" s="26"/>
      <c r="L88" s="26"/>
      <c r="M88" s="26"/>
      <c r="N88" s="29"/>
      <c r="O88" s="29"/>
      <c r="P88" s="29"/>
      <c r="Q88" s="29"/>
      <c r="R88" s="11"/>
    </row>
    <row r="89" spans="1:18" ht="15.75" customHeight="1">
      <c r="A89" s="24"/>
      <c r="B89" s="24"/>
      <c r="C89" s="25"/>
      <c r="D89" s="26"/>
      <c r="E89" s="26"/>
      <c r="F89" s="26"/>
      <c r="G89" s="26"/>
      <c r="H89" s="26"/>
      <c r="I89" s="26"/>
      <c r="J89" s="26"/>
      <c r="K89" s="26"/>
      <c r="L89" s="26"/>
      <c r="M89" s="26"/>
      <c r="N89" s="29"/>
      <c r="O89" s="29"/>
      <c r="P89" s="29"/>
      <c r="Q89" s="29"/>
      <c r="R89" s="11"/>
    </row>
    <row r="90" spans="1:18" ht="15.75" customHeight="1">
      <c r="A90" s="24"/>
      <c r="B90" s="24"/>
      <c r="C90" s="25"/>
      <c r="D90" s="26"/>
      <c r="E90" s="26"/>
      <c r="F90" s="26"/>
      <c r="G90" s="26"/>
      <c r="H90" s="26"/>
      <c r="I90" s="26"/>
      <c r="J90" s="26"/>
      <c r="K90" s="26"/>
      <c r="L90" s="26"/>
      <c r="M90" s="26"/>
      <c r="N90" s="29"/>
      <c r="O90" s="29"/>
      <c r="P90" s="29"/>
      <c r="Q90" s="29"/>
      <c r="R90" s="11"/>
    </row>
    <row r="91" spans="1:18" ht="15.75" customHeight="1">
      <c r="A91" s="24"/>
      <c r="B91" s="24"/>
      <c r="C91" s="25"/>
      <c r="D91" s="26"/>
      <c r="E91" s="26"/>
      <c r="F91" s="26"/>
      <c r="G91" s="26"/>
      <c r="H91" s="26"/>
      <c r="I91" s="26"/>
      <c r="J91" s="26"/>
      <c r="K91" s="26"/>
      <c r="L91" s="26"/>
      <c r="M91" s="26"/>
      <c r="N91" s="29"/>
      <c r="O91" s="29"/>
      <c r="P91" s="29"/>
      <c r="Q91" s="29"/>
      <c r="R91" s="11"/>
    </row>
    <row r="92" spans="1:18" ht="15.75" customHeight="1">
      <c r="A92" s="24"/>
      <c r="B92" s="24"/>
      <c r="C92" s="25"/>
      <c r="D92" s="26"/>
      <c r="E92" s="26"/>
      <c r="F92" s="26"/>
      <c r="G92" s="26"/>
      <c r="H92" s="26"/>
      <c r="I92" s="26"/>
      <c r="J92" s="26"/>
      <c r="K92" s="26"/>
      <c r="L92" s="26"/>
      <c r="M92" s="26"/>
      <c r="N92" s="29"/>
      <c r="O92" s="29"/>
      <c r="P92" s="29"/>
      <c r="Q92" s="29"/>
      <c r="R92" s="11"/>
    </row>
    <row r="93" spans="1:18" ht="15.75" customHeight="1">
      <c r="A93" s="24"/>
      <c r="B93" s="24"/>
      <c r="C93" s="25"/>
      <c r="D93" s="26"/>
      <c r="E93" s="26"/>
      <c r="F93" s="26"/>
      <c r="G93" s="26"/>
      <c r="H93" s="26"/>
      <c r="I93" s="26"/>
      <c r="J93" s="26"/>
      <c r="K93" s="26"/>
      <c r="L93" s="26"/>
      <c r="M93" s="26"/>
      <c r="N93" s="29"/>
      <c r="O93" s="29"/>
      <c r="P93" s="29"/>
      <c r="Q93" s="29"/>
      <c r="R93" s="11"/>
    </row>
    <row r="94" spans="1:18" ht="15.75" customHeight="1">
      <c r="A94" s="24"/>
      <c r="B94" s="24"/>
      <c r="C94" s="25"/>
      <c r="D94" s="26"/>
      <c r="E94" s="26"/>
      <c r="F94" s="26"/>
      <c r="G94" s="26"/>
      <c r="H94" s="26"/>
      <c r="I94" s="26"/>
      <c r="J94" s="26"/>
      <c r="K94" s="26"/>
      <c r="L94" s="26"/>
      <c r="M94" s="26"/>
      <c r="N94" s="29"/>
      <c r="O94" s="29"/>
      <c r="P94" s="29"/>
      <c r="Q94" s="29"/>
      <c r="R94" s="11"/>
    </row>
    <row r="95" spans="1:18" ht="15.75" customHeight="1">
      <c r="A95" s="24"/>
      <c r="B95" s="24"/>
      <c r="C95" s="25"/>
      <c r="D95" s="26"/>
      <c r="E95" s="26"/>
      <c r="F95" s="26"/>
      <c r="G95" s="26"/>
      <c r="H95" s="26"/>
      <c r="I95" s="26"/>
      <c r="J95" s="26"/>
      <c r="K95" s="26"/>
      <c r="L95" s="26"/>
      <c r="M95" s="26"/>
      <c r="N95" s="29"/>
      <c r="O95" s="29"/>
      <c r="P95" s="29"/>
      <c r="Q95" s="29"/>
      <c r="R95" s="11"/>
    </row>
    <row r="96" spans="1:18" ht="15.75" customHeight="1">
      <c r="A96" s="24"/>
      <c r="B96" s="24"/>
      <c r="C96" s="25"/>
      <c r="D96" s="26"/>
      <c r="E96" s="26"/>
      <c r="F96" s="26"/>
      <c r="G96" s="26"/>
      <c r="H96" s="26"/>
      <c r="I96" s="26"/>
      <c r="J96" s="26"/>
      <c r="K96" s="26"/>
      <c r="L96" s="26"/>
      <c r="M96" s="26"/>
      <c r="N96" s="29"/>
      <c r="O96" s="29"/>
      <c r="P96" s="29"/>
      <c r="Q96" s="29"/>
      <c r="R96" s="11"/>
    </row>
    <row r="97" spans="1:18" ht="15.75" customHeight="1">
      <c r="A97" s="24"/>
      <c r="B97" s="24"/>
      <c r="C97" s="25"/>
      <c r="D97" s="26"/>
      <c r="E97" s="26"/>
      <c r="F97" s="26"/>
      <c r="G97" s="26"/>
      <c r="H97" s="26"/>
      <c r="I97" s="26"/>
      <c r="J97" s="26"/>
      <c r="K97" s="26"/>
      <c r="L97" s="26"/>
      <c r="M97" s="26"/>
      <c r="N97" s="29"/>
      <c r="O97" s="29"/>
      <c r="P97" s="29"/>
      <c r="Q97" s="29"/>
      <c r="R97" s="11"/>
    </row>
    <row r="98" spans="1:18" ht="15.75" customHeight="1">
      <c r="A98" s="24"/>
      <c r="B98" s="24"/>
      <c r="C98" s="25"/>
      <c r="D98" s="26"/>
      <c r="E98" s="26"/>
      <c r="F98" s="26"/>
      <c r="G98" s="26"/>
      <c r="H98" s="26"/>
      <c r="I98" s="26"/>
      <c r="J98" s="26"/>
      <c r="K98" s="26"/>
      <c r="L98" s="26"/>
      <c r="M98" s="26"/>
      <c r="N98" s="29"/>
      <c r="O98" s="29"/>
      <c r="P98" s="29"/>
      <c r="Q98" s="29"/>
      <c r="R98" s="11"/>
    </row>
    <row r="99" spans="1:18" ht="15.75" customHeight="1">
      <c r="A99" s="24"/>
      <c r="B99" s="24"/>
      <c r="C99" s="25"/>
      <c r="D99" s="26"/>
      <c r="E99" s="26"/>
      <c r="F99" s="26"/>
      <c r="G99" s="26"/>
      <c r="H99" s="26"/>
      <c r="I99" s="26"/>
      <c r="J99" s="26"/>
      <c r="K99" s="26"/>
      <c r="L99" s="26"/>
      <c r="M99" s="26"/>
      <c r="N99" s="29"/>
      <c r="O99" s="29"/>
      <c r="P99" s="29"/>
      <c r="Q99" s="29"/>
      <c r="R99" s="11"/>
    </row>
    <row r="100" spans="1:18" ht="15.75" customHeight="1">
      <c r="A100" s="24"/>
      <c r="B100" s="24"/>
      <c r="C100" s="25"/>
      <c r="D100" s="26"/>
      <c r="E100" s="26"/>
      <c r="F100" s="26"/>
      <c r="G100" s="26"/>
      <c r="H100" s="26"/>
      <c r="I100" s="26"/>
      <c r="J100" s="26"/>
      <c r="K100" s="26"/>
      <c r="L100" s="26"/>
      <c r="M100" s="26"/>
      <c r="N100" s="29"/>
      <c r="O100" s="29"/>
      <c r="P100" s="29"/>
      <c r="Q100" s="29"/>
      <c r="R100" s="11"/>
    </row>
    <row r="101" spans="1:18" ht="15.75" customHeight="1">
      <c r="A101" s="24"/>
      <c r="B101" s="24"/>
      <c r="C101" s="25"/>
      <c r="D101" s="26"/>
      <c r="E101" s="26"/>
      <c r="F101" s="26"/>
      <c r="G101" s="26"/>
      <c r="H101" s="26"/>
      <c r="I101" s="26"/>
      <c r="J101" s="26"/>
      <c r="K101" s="26"/>
      <c r="L101" s="26"/>
      <c r="M101" s="26"/>
      <c r="N101" s="29"/>
      <c r="O101" s="29"/>
      <c r="P101" s="29"/>
      <c r="Q101" s="29"/>
      <c r="R101" s="11"/>
    </row>
    <row r="102" spans="1:18" ht="15.75" customHeight="1">
      <c r="A102" s="24"/>
      <c r="B102" s="24"/>
      <c r="C102" s="25"/>
      <c r="D102" s="26"/>
      <c r="E102" s="26"/>
      <c r="F102" s="26"/>
      <c r="G102" s="26"/>
      <c r="H102" s="26"/>
      <c r="I102" s="26"/>
      <c r="J102" s="26"/>
      <c r="K102" s="26"/>
      <c r="L102" s="26"/>
      <c r="M102" s="26"/>
      <c r="N102" s="29"/>
      <c r="O102" s="29"/>
      <c r="P102" s="29"/>
      <c r="Q102" s="29"/>
      <c r="R102" s="11"/>
    </row>
    <row r="103" spans="1:18" ht="15.75" customHeight="1">
      <c r="A103" s="24"/>
      <c r="B103" s="24"/>
      <c r="C103" s="25"/>
      <c r="D103" s="26"/>
      <c r="E103" s="26"/>
      <c r="F103" s="26"/>
      <c r="G103" s="26"/>
      <c r="H103" s="26"/>
      <c r="I103" s="26"/>
      <c r="J103" s="26"/>
      <c r="K103" s="26"/>
      <c r="L103" s="26"/>
      <c r="M103" s="26"/>
      <c r="N103" s="29"/>
      <c r="O103" s="29"/>
      <c r="P103" s="29"/>
      <c r="Q103" s="29"/>
      <c r="R103" s="11"/>
    </row>
    <row r="104" spans="1:18" ht="15.75" customHeight="1">
      <c r="A104" s="24"/>
      <c r="B104" s="24"/>
      <c r="C104" s="25"/>
      <c r="D104" s="26"/>
      <c r="E104" s="26"/>
      <c r="F104" s="26"/>
      <c r="G104" s="26"/>
      <c r="H104" s="26"/>
      <c r="I104" s="26"/>
      <c r="J104" s="26"/>
      <c r="K104" s="26"/>
      <c r="L104" s="26"/>
      <c r="M104" s="26"/>
      <c r="N104" s="29"/>
      <c r="O104" s="29"/>
      <c r="P104" s="29"/>
      <c r="Q104" s="29"/>
      <c r="R104" s="11"/>
    </row>
    <row r="105" spans="1:18" ht="15.75" customHeight="1">
      <c r="A105" s="24"/>
      <c r="B105" s="24"/>
      <c r="C105" s="25"/>
      <c r="D105" s="26"/>
      <c r="E105" s="26"/>
      <c r="F105" s="26"/>
      <c r="G105" s="26"/>
      <c r="H105" s="26"/>
      <c r="I105" s="26"/>
      <c r="J105" s="26"/>
      <c r="K105" s="26"/>
      <c r="L105" s="26"/>
      <c r="M105" s="26"/>
      <c r="N105" s="29"/>
      <c r="O105" s="29"/>
      <c r="P105" s="29"/>
      <c r="Q105" s="29"/>
      <c r="R105" s="11"/>
    </row>
    <row r="106" spans="1:18" ht="15.75" customHeight="1">
      <c r="A106" s="24"/>
      <c r="B106" s="24"/>
      <c r="C106" s="25"/>
      <c r="D106" s="26"/>
      <c r="E106" s="26"/>
      <c r="F106" s="26"/>
      <c r="G106" s="26"/>
      <c r="H106" s="26"/>
      <c r="I106" s="26"/>
      <c r="J106" s="26"/>
      <c r="K106" s="26"/>
      <c r="L106" s="26"/>
      <c r="M106" s="26"/>
      <c r="N106" s="29"/>
      <c r="O106" s="29"/>
      <c r="P106" s="29"/>
      <c r="Q106" s="29"/>
      <c r="R106" s="11"/>
    </row>
    <row r="107" spans="1:18" ht="15.75" customHeight="1">
      <c r="A107" s="24"/>
      <c r="B107" s="24"/>
      <c r="C107" s="25"/>
      <c r="D107" s="26"/>
      <c r="E107" s="26"/>
      <c r="F107" s="26"/>
      <c r="G107" s="26"/>
      <c r="H107" s="26"/>
      <c r="I107" s="26"/>
      <c r="J107" s="26"/>
      <c r="K107" s="26"/>
      <c r="L107" s="26"/>
      <c r="M107" s="26"/>
      <c r="N107" s="29"/>
      <c r="O107" s="29"/>
      <c r="P107" s="29"/>
      <c r="Q107" s="29"/>
      <c r="R107" s="11"/>
    </row>
    <row r="108" spans="1:18" ht="15.75" customHeight="1">
      <c r="A108" s="24"/>
      <c r="B108" s="24"/>
      <c r="C108" s="25"/>
      <c r="D108" s="26"/>
      <c r="E108" s="26"/>
      <c r="F108" s="26"/>
      <c r="G108" s="26"/>
      <c r="H108" s="26"/>
      <c r="I108" s="26"/>
      <c r="J108" s="26"/>
      <c r="K108" s="26"/>
      <c r="L108" s="26"/>
      <c r="M108" s="26"/>
      <c r="N108" s="29"/>
      <c r="O108" s="29"/>
      <c r="P108" s="29"/>
      <c r="Q108" s="29"/>
      <c r="R108" s="11"/>
    </row>
    <row r="109" spans="1:18" ht="15.75" customHeight="1">
      <c r="A109" s="24"/>
      <c r="B109" s="24"/>
      <c r="C109" s="25"/>
      <c r="D109" s="26"/>
      <c r="E109" s="26"/>
      <c r="F109" s="26"/>
      <c r="G109" s="26"/>
      <c r="H109" s="26"/>
      <c r="I109" s="26"/>
      <c r="J109" s="26"/>
      <c r="K109" s="26"/>
      <c r="L109" s="26"/>
      <c r="M109" s="26"/>
      <c r="N109" s="29"/>
      <c r="O109" s="29"/>
      <c r="P109" s="29"/>
      <c r="Q109" s="29"/>
      <c r="R109" s="11"/>
    </row>
    <row r="110" spans="1:18" ht="15.75" customHeight="1">
      <c r="A110" s="24"/>
      <c r="B110" s="24"/>
      <c r="C110" s="25"/>
      <c r="D110" s="26"/>
      <c r="E110" s="26"/>
      <c r="F110" s="26"/>
      <c r="G110" s="26"/>
      <c r="H110" s="26"/>
      <c r="I110" s="26"/>
      <c r="J110" s="26"/>
      <c r="K110" s="26"/>
      <c r="L110" s="26"/>
      <c r="M110" s="26"/>
      <c r="N110" s="29"/>
      <c r="O110" s="29"/>
      <c r="P110" s="29"/>
      <c r="Q110" s="29"/>
      <c r="R110" s="11"/>
    </row>
    <row r="111" spans="1:18" ht="15.75" customHeight="1">
      <c r="A111" s="24"/>
      <c r="B111" s="24"/>
      <c r="C111" s="25"/>
      <c r="D111" s="26"/>
      <c r="E111" s="26"/>
      <c r="F111" s="26"/>
      <c r="G111" s="26"/>
      <c r="H111" s="26"/>
      <c r="I111" s="26"/>
      <c r="J111" s="26"/>
      <c r="K111" s="26"/>
      <c r="L111" s="26"/>
      <c r="M111" s="26"/>
      <c r="N111" s="29"/>
      <c r="O111" s="29"/>
      <c r="P111" s="29"/>
      <c r="Q111" s="29"/>
      <c r="R111" s="11"/>
    </row>
    <row r="112" spans="1:18" ht="15.75" customHeight="1">
      <c r="A112" s="24"/>
      <c r="B112" s="24"/>
      <c r="C112" s="25"/>
      <c r="D112" s="26"/>
      <c r="E112" s="26"/>
      <c r="F112" s="26"/>
      <c r="G112" s="26"/>
      <c r="H112" s="26"/>
      <c r="I112" s="26"/>
      <c r="J112" s="26"/>
      <c r="K112" s="26"/>
      <c r="L112" s="26"/>
      <c r="M112" s="26"/>
      <c r="N112" s="29"/>
      <c r="O112" s="29"/>
      <c r="P112" s="29"/>
      <c r="Q112" s="29"/>
      <c r="R112" s="11"/>
    </row>
    <row r="113" spans="1:18" ht="15.75" customHeight="1">
      <c r="A113" s="24"/>
      <c r="B113" s="24"/>
      <c r="C113" s="25"/>
      <c r="D113" s="26"/>
      <c r="E113" s="26"/>
      <c r="F113" s="26"/>
      <c r="G113" s="26"/>
      <c r="H113" s="26"/>
      <c r="I113" s="26"/>
      <c r="J113" s="26"/>
      <c r="K113" s="26"/>
      <c r="L113" s="26"/>
      <c r="M113" s="26"/>
      <c r="N113" s="29"/>
      <c r="O113" s="29"/>
      <c r="P113" s="29"/>
      <c r="Q113" s="29"/>
      <c r="R113" s="11"/>
    </row>
    <row r="114" spans="1:18" ht="15.75" customHeight="1">
      <c r="A114" s="24"/>
      <c r="B114" s="24"/>
      <c r="C114" s="25"/>
      <c r="D114" s="26"/>
      <c r="E114" s="26"/>
      <c r="F114" s="26"/>
      <c r="G114" s="26"/>
      <c r="H114" s="26"/>
      <c r="I114" s="26"/>
      <c r="J114" s="26"/>
      <c r="K114" s="26"/>
      <c r="L114" s="26"/>
      <c r="M114" s="26"/>
      <c r="N114" s="29"/>
      <c r="O114" s="29"/>
      <c r="P114" s="29"/>
      <c r="Q114" s="29"/>
      <c r="R114" s="11"/>
    </row>
    <row r="115" spans="1:18" ht="15.75" customHeight="1">
      <c r="A115" s="24"/>
      <c r="B115" s="24"/>
      <c r="C115" s="25"/>
      <c r="D115" s="26"/>
      <c r="E115" s="26"/>
      <c r="F115" s="26"/>
      <c r="G115" s="26"/>
      <c r="H115" s="26"/>
      <c r="I115" s="26"/>
      <c r="J115" s="26"/>
      <c r="K115" s="26"/>
      <c r="L115" s="26"/>
      <c r="M115" s="26"/>
      <c r="N115" s="29"/>
      <c r="O115" s="29"/>
      <c r="P115" s="29"/>
      <c r="Q115" s="29"/>
      <c r="R115" s="11"/>
    </row>
    <row r="116" spans="1:18" ht="15.75" customHeight="1">
      <c r="A116" s="24"/>
      <c r="B116" s="24"/>
      <c r="C116" s="25"/>
      <c r="D116" s="26"/>
      <c r="E116" s="26"/>
      <c r="F116" s="26"/>
      <c r="G116" s="26"/>
      <c r="H116" s="26"/>
      <c r="I116" s="26"/>
      <c r="J116" s="26"/>
      <c r="K116" s="26"/>
      <c r="L116" s="26"/>
      <c r="M116" s="26"/>
      <c r="N116" s="29"/>
      <c r="O116" s="29"/>
      <c r="P116" s="29"/>
      <c r="Q116" s="29"/>
      <c r="R116" s="11"/>
    </row>
    <row r="117" spans="1:18" ht="15.75" customHeight="1">
      <c r="A117" s="24"/>
      <c r="B117" s="24"/>
      <c r="C117" s="25"/>
      <c r="D117" s="26"/>
      <c r="E117" s="26"/>
      <c r="F117" s="26"/>
      <c r="G117" s="26"/>
      <c r="H117" s="26"/>
      <c r="I117" s="26"/>
      <c r="J117" s="26"/>
      <c r="K117" s="26"/>
      <c r="L117" s="26"/>
      <c r="M117" s="26"/>
      <c r="N117" s="29"/>
      <c r="O117" s="29"/>
      <c r="P117" s="29"/>
      <c r="Q117" s="29"/>
      <c r="R117" s="11"/>
    </row>
    <row r="118" spans="1:18" ht="15.75" customHeight="1">
      <c r="A118" s="24"/>
      <c r="B118" s="24"/>
      <c r="C118" s="25"/>
      <c r="D118" s="26"/>
      <c r="E118" s="26"/>
      <c r="F118" s="26"/>
      <c r="G118" s="26"/>
      <c r="H118" s="26"/>
      <c r="I118" s="26"/>
      <c r="J118" s="26"/>
      <c r="K118" s="26"/>
      <c r="L118" s="26"/>
      <c r="M118" s="26"/>
      <c r="N118" s="29"/>
      <c r="O118" s="29"/>
      <c r="P118" s="29"/>
      <c r="Q118" s="29"/>
      <c r="R118" s="11"/>
    </row>
    <row r="119" spans="1:18" ht="15.75" customHeight="1">
      <c r="A119" s="24"/>
      <c r="B119" s="24"/>
      <c r="C119" s="25"/>
      <c r="D119" s="26"/>
      <c r="E119" s="26"/>
      <c r="F119" s="26"/>
      <c r="G119" s="26"/>
      <c r="H119" s="26"/>
      <c r="I119" s="26"/>
      <c r="J119" s="26"/>
      <c r="K119" s="26"/>
      <c r="L119" s="26"/>
      <c r="M119" s="26"/>
      <c r="N119" s="29"/>
      <c r="O119" s="29"/>
      <c r="P119" s="29"/>
      <c r="Q119" s="29"/>
      <c r="R119" s="11"/>
    </row>
    <row r="120" spans="1:18" ht="15.75" customHeight="1">
      <c r="A120" s="24"/>
      <c r="B120" s="24"/>
      <c r="C120" s="25"/>
      <c r="D120" s="26"/>
      <c r="E120" s="26"/>
      <c r="F120" s="26"/>
      <c r="G120" s="26"/>
      <c r="H120" s="26"/>
      <c r="I120" s="26"/>
      <c r="J120" s="26"/>
      <c r="K120" s="26"/>
      <c r="L120" s="26"/>
      <c r="M120" s="26"/>
      <c r="N120" s="29"/>
      <c r="O120" s="29"/>
      <c r="P120" s="29"/>
      <c r="Q120" s="29"/>
      <c r="R120" s="11"/>
    </row>
    <row r="121" spans="1:18" ht="15.75" customHeight="1">
      <c r="A121" s="24"/>
      <c r="B121" s="24"/>
      <c r="C121" s="25"/>
      <c r="D121" s="26"/>
      <c r="E121" s="26"/>
      <c r="F121" s="26"/>
      <c r="G121" s="26"/>
      <c r="H121" s="26"/>
      <c r="I121" s="26"/>
      <c r="J121" s="26"/>
      <c r="K121" s="26"/>
      <c r="L121" s="26"/>
      <c r="M121" s="26"/>
      <c r="N121" s="29"/>
      <c r="O121" s="29"/>
      <c r="P121" s="29"/>
      <c r="Q121" s="29"/>
      <c r="R121" s="11"/>
    </row>
    <row r="122" spans="1:18" ht="15.75" customHeight="1">
      <c r="A122" s="24"/>
      <c r="B122" s="24"/>
      <c r="C122" s="25"/>
      <c r="D122" s="26"/>
      <c r="E122" s="26"/>
      <c r="F122" s="26"/>
      <c r="G122" s="26"/>
      <c r="H122" s="26"/>
      <c r="I122" s="26"/>
      <c r="J122" s="26"/>
      <c r="K122" s="26"/>
      <c r="L122" s="26"/>
      <c r="M122" s="26"/>
      <c r="N122" s="29"/>
      <c r="O122" s="29"/>
      <c r="P122" s="29"/>
      <c r="Q122" s="29"/>
      <c r="R122" s="11"/>
    </row>
    <row r="123" spans="1:18" ht="15.75" customHeight="1">
      <c r="A123" s="24"/>
      <c r="B123" s="24"/>
      <c r="C123" s="25"/>
      <c r="D123" s="26"/>
      <c r="E123" s="26"/>
      <c r="F123" s="26"/>
      <c r="G123" s="26"/>
      <c r="H123" s="26"/>
      <c r="I123" s="26"/>
      <c r="J123" s="26"/>
      <c r="K123" s="26"/>
      <c r="L123" s="26"/>
      <c r="M123" s="26"/>
      <c r="N123" s="29"/>
      <c r="O123" s="29"/>
      <c r="P123" s="29"/>
      <c r="Q123" s="29"/>
      <c r="R123" s="11"/>
    </row>
    <row r="124" spans="1:18" ht="15.75" customHeight="1">
      <c r="A124" s="24"/>
      <c r="B124" s="24"/>
      <c r="C124" s="25"/>
      <c r="D124" s="26"/>
      <c r="E124" s="26"/>
      <c r="F124" s="26"/>
      <c r="G124" s="26"/>
      <c r="H124" s="26"/>
      <c r="I124" s="26"/>
      <c r="J124" s="26"/>
      <c r="K124" s="26"/>
      <c r="L124" s="26"/>
      <c r="M124" s="26"/>
      <c r="N124" s="29"/>
      <c r="O124" s="29"/>
      <c r="P124" s="29"/>
      <c r="Q124" s="29"/>
      <c r="R124" s="11"/>
    </row>
    <row r="125" spans="1:18" ht="15.75" customHeight="1">
      <c r="A125" s="24"/>
      <c r="B125" s="24"/>
      <c r="C125" s="25"/>
      <c r="D125" s="26"/>
      <c r="E125" s="26"/>
      <c r="F125" s="26"/>
      <c r="G125" s="26"/>
      <c r="H125" s="26"/>
      <c r="I125" s="26"/>
      <c r="J125" s="26"/>
      <c r="K125" s="26"/>
      <c r="L125" s="26"/>
      <c r="M125" s="26"/>
      <c r="N125" s="29"/>
      <c r="O125" s="29"/>
      <c r="P125" s="29"/>
      <c r="Q125" s="29"/>
      <c r="R125" s="11"/>
    </row>
    <row r="126" spans="1:18" ht="15.75" customHeight="1">
      <c r="A126" s="24"/>
      <c r="B126" s="24"/>
      <c r="C126" s="25"/>
      <c r="D126" s="26"/>
      <c r="E126" s="26"/>
      <c r="F126" s="26"/>
      <c r="G126" s="26"/>
      <c r="H126" s="26"/>
      <c r="I126" s="26"/>
      <c r="J126" s="26"/>
      <c r="K126" s="26"/>
      <c r="L126" s="26"/>
      <c r="M126" s="26"/>
      <c r="N126" s="29"/>
      <c r="O126" s="29"/>
      <c r="P126" s="29"/>
      <c r="Q126" s="29"/>
      <c r="R126" s="11"/>
    </row>
    <row r="127" spans="1:18" ht="15.75" customHeight="1">
      <c r="A127" s="24"/>
      <c r="B127" s="24"/>
      <c r="C127" s="25"/>
      <c r="D127" s="26"/>
      <c r="E127" s="26"/>
      <c r="F127" s="26"/>
      <c r="G127" s="26"/>
      <c r="H127" s="26"/>
      <c r="I127" s="26"/>
      <c r="J127" s="26"/>
      <c r="K127" s="26"/>
      <c r="L127" s="26"/>
      <c r="M127" s="26"/>
      <c r="N127" s="29"/>
      <c r="O127" s="29"/>
      <c r="P127" s="29"/>
      <c r="Q127" s="29"/>
      <c r="R127" s="11"/>
    </row>
    <row r="128" spans="1:18" ht="15.75" customHeight="1">
      <c r="A128" s="24"/>
      <c r="B128" s="24"/>
      <c r="C128" s="25"/>
      <c r="D128" s="26"/>
      <c r="E128" s="26"/>
      <c r="F128" s="26"/>
      <c r="G128" s="26"/>
      <c r="H128" s="26"/>
      <c r="I128" s="26"/>
      <c r="J128" s="26"/>
      <c r="K128" s="26"/>
      <c r="L128" s="26"/>
      <c r="M128" s="26"/>
      <c r="N128" s="29"/>
      <c r="O128" s="29"/>
      <c r="P128" s="29"/>
      <c r="Q128" s="29"/>
      <c r="R128" s="11"/>
    </row>
    <row r="129" spans="1:18" ht="15.75" customHeight="1">
      <c r="A129" s="24"/>
      <c r="B129" s="24"/>
      <c r="C129" s="25"/>
      <c r="D129" s="26"/>
      <c r="E129" s="26"/>
      <c r="F129" s="26"/>
      <c r="G129" s="26"/>
      <c r="H129" s="26"/>
      <c r="I129" s="26"/>
      <c r="J129" s="26"/>
      <c r="K129" s="26"/>
      <c r="L129" s="26"/>
      <c r="M129" s="26"/>
      <c r="N129" s="29"/>
      <c r="O129" s="29"/>
      <c r="P129" s="29"/>
      <c r="Q129" s="29"/>
      <c r="R129" s="11"/>
    </row>
    <row r="130" spans="1:18" ht="15.75" customHeight="1">
      <c r="A130" s="24"/>
      <c r="B130" s="24"/>
      <c r="C130" s="25"/>
      <c r="D130" s="26"/>
      <c r="E130" s="26"/>
      <c r="F130" s="26"/>
      <c r="G130" s="26"/>
      <c r="H130" s="26"/>
      <c r="I130" s="26"/>
      <c r="J130" s="26"/>
      <c r="K130" s="26"/>
      <c r="L130" s="26"/>
      <c r="M130" s="26"/>
      <c r="N130" s="29"/>
      <c r="O130" s="29"/>
      <c r="P130" s="29"/>
      <c r="Q130" s="29"/>
      <c r="R130" s="11"/>
    </row>
    <row r="131" spans="1:18" ht="15.75" customHeight="1">
      <c r="A131" s="24"/>
      <c r="B131" s="24"/>
      <c r="C131" s="25"/>
      <c r="D131" s="26"/>
      <c r="E131" s="26"/>
      <c r="F131" s="26"/>
      <c r="G131" s="26"/>
      <c r="H131" s="26"/>
      <c r="I131" s="26"/>
      <c r="J131" s="26"/>
      <c r="K131" s="26"/>
      <c r="L131" s="26"/>
      <c r="M131" s="26"/>
      <c r="N131" s="29"/>
      <c r="O131" s="29"/>
      <c r="P131" s="29"/>
      <c r="Q131" s="29"/>
      <c r="R131" s="11"/>
    </row>
    <row r="132" spans="1:18" ht="15.75" customHeight="1">
      <c r="A132" s="24"/>
      <c r="B132" s="24"/>
      <c r="C132" s="25"/>
      <c r="D132" s="26"/>
      <c r="E132" s="26"/>
      <c r="F132" s="26"/>
      <c r="G132" s="26"/>
      <c r="H132" s="26"/>
      <c r="I132" s="26"/>
      <c r="J132" s="26"/>
      <c r="K132" s="26"/>
      <c r="L132" s="26"/>
      <c r="M132" s="26"/>
      <c r="N132" s="29"/>
      <c r="O132" s="29"/>
      <c r="P132" s="29"/>
      <c r="Q132" s="29"/>
      <c r="R132" s="11"/>
    </row>
    <row r="133" spans="1:18" ht="15.75" customHeight="1">
      <c r="A133" s="24"/>
      <c r="B133" s="24"/>
      <c r="C133" s="25"/>
      <c r="D133" s="26"/>
      <c r="E133" s="26"/>
      <c r="F133" s="26"/>
      <c r="G133" s="26"/>
      <c r="H133" s="26"/>
      <c r="I133" s="26"/>
      <c r="J133" s="26"/>
      <c r="K133" s="26"/>
      <c r="L133" s="26"/>
      <c r="M133" s="26"/>
      <c r="N133" s="29"/>
      <c r="O133" s="29"/>
      <c r="P133" s="29"/>
      <c r="Q133" s="29"/>
      <c r="R133" s="11"/>
    </row>
    <row r="134" spans="1:18" ht="15.75" customHeight="1">
      <c r="A134" s="24"/>
      <c r="B134" s="24"/>
      <c r="C134" s="25"/>
      <c r="D134" s="26"/>
      <c r="E134" s="26"/>
      <c r="F134" s="26"/>
      <c r="G134" s="26"/>
      <c r="H134" s="26"/>
      <c r="I134" s="26"/>
      <c r="J134" s="26"/>
      <c r="K134" s="26"/>
      <c r="L134" s="26"/>
      <c r="M134" s="26"/>
      <c r="N134" s="29"/>
      <c r="O134" s="29"/>
      <c r="P134" s="29"/>
      <c r="Q134" s="29"/>
      <c r="R134" s="11"/>
    </row>
    <row r="135" spans="1:18" ht="15.75" customHeight="1">
      <c r="A135" s="24"/>
      <c r="B135" s="24"/>
      <c r="C135" s="25"/>
      <c r="D135" s="26"/>
      <c r="E135" s="26"/>
      <c r="F135" s="26"/>
      <c r="G135" s="26"/>
      <c r="H135" s="26"/>
      <c r="I135" s="26"/>
      <c r="J135" s="26"/>
      <c r="K135" s="26"/>
      <c r="L135" s="26"/>
      <c r="M135" s="26"/>
      <c r="N135" s="29"/>
      <c r="O135" s="29"/>
      <c r="P135" s="29"/>
      <c r="Q135" s="29"/>
      <c r="R135" s="11"/>
    </row>
    <row r="136" spans="1:18" ht="15.75" customHeight="1">
      <c r="A136" s="24"/>
      <c r="B136" s="24"/>
      <c r="C136" s="25"/>
      <c r="D136" s="26"/>
      <c r="E136" s="26"/>
      <c r="F136" s="26"/>
      <c r="G136" s="26"/>
      <c r="H136" s="26"/>
      <c r="I136" s="26"/>
      <c r="J136" s="26"/>
      <c r="K136" s="26"/>
      <c r="L136" s="26"/>
      <c r="M136" s="26"/>
      <c r="N136" s="29"/>
      <c r="O136" s="29"/>
      <c r="P136" s="29"/>
      <c r="Q136" s="29"/>
      <c r="R136" s="11"/>
    </row>
    <row r="137" spans="1:18" ht="15.75" customHeight="1">
      <c r="A137" s="24"/>
      <c r="B137" s="24"/>
      <c r="C137" s="25"/>
      <c r="D137" s="26"/>
      <c r="E137" s="26"/>
      <c r="F137" s="26"/>
      <c r="G137" s="26"/>
      <c r="H137" s="26"/>
      <c r="I137" s="26"/>
      <c r="J137" s="26"/>
      <c r="K137" s="26"/>
      <c r="L137" s="26"/>
      <c r="M137" s="26"/>
      <c r="N137" s="29"/>
      <c r="O137" s="29"/>
      <c r="P137" s="29"/>
      <c r="Q137" s="29"/>
      <c r="R137" s="11"/>
    </row>
    <row r="138" spans="1:18" ht="15.75" customHeight="1">
      <c r="A138" s="24"/>
      <c r="B138" s="24"/>
      <c r="C138" s="25"/>
      <c r="D138" s="26"/>
      <c r="E138" s="26"/>
      <c r="F138" s="26"/>
      <c r="G138" s="26"/>
      <c r="H138" s="26"/>
      <c r="I138" s="26"/>
      <c r="J138" s="26"/>
      <c r="K138" s="26"/>
      <c r="L138" s="26"/>
      <c r="M138" s="26"/>
      <c r="N138" s="29"/>
      <c r="O138" s="29"/>
      <c r="P138" s="29"/>
      <c r="Q138" s="29"/>
      <c r="R138" s="11"/>
    </row>
    <row r="139" spans="1:18" ht="15.75" customHeight="1">
      <c r="A139" s="24"/>
      <c r="B139" s="24"/>
      <c r="C139" s="25"/>
      <c r="D139" s="26"/>
      <c r="E139" s="26"/>
      <c r="F139" s="26"/>
      <c r="G139" s="26"/>
      <c r="H139" s="26"/>
      <c r="I139" s="26"/>
      <c r="J139" s="26"/>
      <c r="K139" s="26"/>
      <c r="L139" s="26"/>
      <c r="M139" s="26"/>
      <c r="N139" s="29"/>
      <c r="O139" s="29"/>
      <c r="P139" s="29"/>
      <c r="Q139" s="29"/>
      <c r="R139" s="11"/>
    </row>
    <row r="140" spans="1:18" ht="15.75" customHeight="1">
      <c r="A140" s="24"/>
      <c r="B140" s="24"/>
      <c r="C140" s="25"/>
      <c r="D140" s="26"/>
      <c r="E140" s="26"/>
      <c r="F140" s="26"/>
      <c r="G140" s="26"/>
      <c r="H140" s="26"/>
      <c r="I140" s="26"/>
      <c r="J140" s="26"/>
      <c r="K140" s="26"/>
      <c r="L140" s="26"/>
      <c r="M140" s="26"/>
      <c r="N140" s="29"/>
      <c r="O140" s="29"/>
      <c r="P140" s="29"/>
      <c r="Q140" s="29"/>
      <c r="R140" s="11"/>
    </row>
    <row r="141" spans="1:18" ht="15.75" customHeight="1">
      <c r="A141" s="24"/>
      <c r="B141" s="24"/>
      <c r="C141" s="25"/>
      <c r="D141" s="26"/>
      <c r="E141" s="26"/>
      <c r="F141" s="26"/>
      <c r="G141" s="26"/>
      <c r="H141" s="26"/>
      <c r="I141" s="26"/>
      <c r="J141" s="26"/>
      <c r="K141" s="26"/>
      <c r="L141" s="26"/>
      <c r="M141" s="26"/>
      <c r="N141" s="29"/>
      <c r="O141" s="29"/>
      <c r="P141" s="29"/>
      <c r="Q141" s="29"/>
      <c r="R141" s="11"/>
    </row>
    <row r="142" spans="1:18" ht="15.75" customHeight="1">
      <c r="A142" s="24"/>
      <c r="B142" s="24"/>
      <c r="C142" s="25"/>
      <c r="D142" s="26"/>
      <c r="E142" s="26"/>
      <c r="F142" s="26"/>
      <c r="G142" s="26"/>
      <c r="H142" s="26"/>
      <c r="I142" s="26"/>
      <c r="J142" s="26"/>
      <c r="K142" s="26"/>
      <c r="L142" s="26"/>
      <c r="M142" s="26"/>
      <c r="N142" s="29"/>
      <c r="O142" s="29"/>
      <c r="P142" s="29"/>
      <c r="Q142" s="29"/>
      <c r="R142" s="11"/>
    </row>
    <row r="143" spans="1:18" ht="15.75" customHeight="1">
      <c r="A143" s="24"/>
      <c r="B143" s="24"/>
      <c r="C143" s="25"/>
      <c r="D143" s="26"/>
      <c r="E143" s="26"/>
      <c r="F143" s="26"/>
      <c r="G143" s="26"/>
      <c r="H143" s="26"/>
      <c r="I143" s="26"/>
      <c r="J143" s="26"/>
      <c r="K143" s="26"/>
      <c r="L143" s="26"/>
      <c r="M143" s="26"/>
      <c r="N143" s="29"/>
      <c r="O143" s="29"/>
      <c r="P143" s="29"/>
      <c r="Q143" s="29"/>
      <c r="R143" s="11"/>
    </row>
    <row r="144" spans="1:18" ht="15.75" customHeight="1">
      <c r="A144" s="24"/>
      <c r="B144" s="24"/>
      <c r="C144" s="25"/>
      <c r="D144" s="26"/>
      <c r="E144" s="26"/>
      <c r="F144" s="26"/>
      <c r="G144" s="26"/>
      <c r="H144" s="26"/>
      <c r="I144" s="26"/>
      <c r="J144" s="26"/>
      <c r="K144" s="26"/>
      <c r="L144" s="26"/>
      <c r="M144" s="26"/>
      <c r="N144" s="29"/>
      <c r="O144" s="29"/>
      <c r="P144" s="29"/>
      <c r="Q144" s="29"/>
      <c r="R144" s="11"/>
    </row>
    <row r="145" spans="1:18" ht="15.75" customHeight="1">
      <c r="A145" s="24"/>
      <c r="B145" s="24"/>
      <c r="C145" s="25"/>
      <c r="D145" s="26"/>
      <c r="E145" s="26"/>
      <c r="F145" s="26"/>
      <c r="G145" s="26"/>
      <c r="H145" s="26"/>
      <c r="I145" s="26"/>
      <c r="J145" s="26"/>
      <c r="K145" s="26"/>
      <c r="L145" s="26"/>
      <c r="M145" s="26"/>
      <c r="N145" s="29"/>
      <c r="O145" s="29"/>
      <c r="P145" s="29"/>
      <c r="Q145" s="29"/>
      <c r="R145" s="11"/>
    </row>
    <row r="146" spans="1:18" ht="15.75" customHeight="1">
      <c r="A146" s="24"/>
      <c r="B146" s="24"/>
      <c r="C146" s="25"/>
      <c r="D146" s="26"/>
      <c r="E146" s="26"/>
      <c r="F146" s="26"/>
      <c r="G146" s="26"/>
      <c r="H146" s="26"/>
      <c r="I146" s="26"/>
      <c r="J146" s="26"/>
      <c r="K146" s="26"/>
      <c r="L146" s="26"/>
      <c r="M146" s="26"/>
      <c r="N146" s="29"/>
      <c r="O146" s="29"/>
      <c r="P146" s="29"/>
      <c r="Q146" s="29"/>
      <c r="R146" s="11"/>
    </row>
    <row r="147" spans="1:18" ht="15.75" customHeight="1">
      <c r="A147" s="24"/>
      <c r="B147" s="24"/>
      <c r="C147" s="25"/>
      <c r="D147" s="26"/>
      <c r="E147" s="26"/>
      <c r="F147" s="26"/>
      <c r="G147" s="26"/>
      <c r="H147" s="26"/>
      <c r="I147" s="26"/>
      <c r="J147" s="26"/>
      <c r="K147" s="26"/>
      <c r="L147" s="26"/>
      <c r="M147" s="26"/>
      <c r="N147" s="29"/>
      <c r="O147" s="29"/>
      <c r="P147" s="29"/>
      <c r="Q147" s="29"/>
      <c r="R147" s="11"/>
    </row>
    <row r="148" spans="1:18" ht="15.75" customHeight="1">
      <c r="A148" s="24"/>
      <c r="B148" s="24"/>
      <c r="C148" s="25"/>
      <c r="D148" s="26"/>
      <c r="E148" s="26"/>
      <c r="F148" s="26"/>
      <c r="G148" s="26"/>
      <c r="H148" s="26"/>
      <c r="I148" s="26"/>
      <c r="J148" s="26"/>
      <c r="K148" s="26"/>
      <c r="L148" s="26"/>
      <c r="M148" s="26"/>
      <c r="N148" s="29"/>
      <c r="O148" s="29"/>
      <c r="P148" s="29"/>
      <c r="Q148" s="29"/>
      <c r="R148" s="11"/>
    </row>
    <row r="149" spans="1:18" ht="15.75" customHeight="1">
      <c r="A149" s="24"/>
      <c r="B149" s="24"/>
      <c r="C149" s="25"/>
      <c r="D149" s="26"/>
      <c r="E149" s="26"/>
      <c r="F149" s="26"/>
      <c r="G149" s="26"/>
      <c r="H149" s="26"/>
      <c r="I149" s="26"/>
      <c r="J149" s="26"/>
      <c r="K149" s="26"/>
      <c r="L149" s="26"/>
      <c r="M149" s="26"/>
      <c r="N149" s="29"/>
      <c r="O149" s="29"/>
      <c r="P149" s="29"/>
      <c r="Q149" s="29"/>
      <c r="R149" s="11"/>
    </row>
    <row r="150" spans="1:18" ht="15.75" customHeight="1">
      <c r="A150" s="24"/>
      <c r="B150" s="24"/>
      <c r="C150" s="25"/>
      <c r="D150" s="26"/>
      <c r="E150" s="26"/>
      <c r="F150" s="26"/>
      <c r="G150" s="26"/>
      <c r="H150" s="26"/>
      <c r="I150" s="26"/>
      <c r="J150" s="26"/>
      <c r="K150" s="26"/>
      <c r="L150" s="26"/>
      <c r="M150" s="26"/>
      <c r="N150" s="29"/>
      <c r="O150" s="29"/>
      <c r="P150" s="29"/>
      <c r="Q150" s="29"/>
      <c r="R150" s="11"/>
    </row>
    <row r="151" spans="1:18" ht="15.75" customHeight="1">
      <c r="A151" s="24"/>
      <c r="B151" s="24"/>
      <c r="C151" s="25"/>
      <c r="D151" s="26"/>
      <c r="E151" s="26"/>
      <c r="F151" s="26"/>
      <c r="G151" s="26"/>
      <c r="H151" s="26"/>
      <c r="I151" s="26"/>
      <c r="J151" s="26"/>
      <c r="K151" s="26"/>
      <c r="L151" s="26"/>
      <c r="M151" s="26"/>
      <c r="N151" s="29"/>
      <c r="O151" s="29"/>
      <c r="P151" s="29"/>
      <c r="Q151" s="29"/>
      <c r="R151" s="11"/>
    </row>
    <row r="152" spans="1:18" ht="15.75" customHeight="1">
      <c r="A152" s="24"/>
      <c r="B152" s="24"/>
      <c r="C152" s="25"/>
      <c r="D152" s="26"/>
      <c r="E152" s="26"/>
      <c r="F152" s="26"/>
      <c r="G152" s="26"/>
      <c r="H152" s="26"/>
      <c r="I152" s="26"/>
      <c r="J152" s="26"/>
      <c r="K152" s="26"/>
      <c r="L152" s="26"/>
      <c r="M152" s="26"/>
      <c r="N152" s="29"/>
      <c r="O152" s="29"/>
      <c r="P152" s="29"/>
      <c r="Q152" s="29"/>
      <c r="R152" s="11"/>
    </row>
    <row r="153" spans="1:18" ht="15.75" customHeight="1">
      <c r="A153" s="24"/>
      <c r="B153" s="24"/>
      <c r="C153" s="25"/>
      <c r="D153" s="26"/>
      <c r="E153" s="26"/>
      <c r="F153" s="26"/>
      <c r="G153" s="26"/>
      <c r="H153" s="26"/>
      <c r="I153" s="26"/>
      <c r="J153" s="26"/>
      <c r="K153" s="26"/>
      <c r="L153" s="26"/>
      <c r="M153" s="26"/>
      <c r="N153" s="29"/>
      <c r="O153" s="29"/>
      <c r="P153" s="29"/>
      <c r="Q153" s="29"/>
      <c r="R153" s="11"/>
    </row>
    <row r="154" spans="1:18" ht="15.75" customHeight="1">
      <c r="A154" s="24"/>
      <c r="B154" s="24"/>
      <c r="C154" s="25"/>
      <c r="D154" s="26"/>
      <c r="E154" s="26"/>
      <c r="F154" s="26"/>
      <c r="G154" s="26"/>
      <c r="H154" s="26"/>
      <c r="I154" s="26"/>
      <c r="J154" s="26"/>
      <c r="K154" s="26"/>
      <c r="L154" s="26"/>
      <c r="M154" s="26"/>
      <c r="N154" s="29"/>
      <c r="O154" s="29"/>
      <c r="P154" s="29"/>
      <c r="Q154" s="29"/>
      <c r="R154" s="11"/>
    </row>
    <row r="155" spans="1:18" ht="15.75" customHeight="1">
      <c r="A155" s="24"/>
      <c r="B155" s="24"/>
      <c r="C155" s="25"/>
      <c r="D155" s="26"/>
      <c r="E155" s="26"/>
      <c r="F155" s="26"/>
      <c r="G155" s="26"/>
      <c r="H155" s="26"/>
      <c r="I155" s="26"/>
      <c r="J155" s="26"/>
      <c r="K155" s="26"/>
      <c r="L155" s="26"/>
      <c r="M155" s="26"/>
      <c r="N155" s="29"/>
      <c r="O155" s="29"/>
      <c r="P155" s="29"/>
      <c r="Q155" s="29"/>
      <c r="R155" s="11"/>
    </row>
    <row r="156" spans="1:18" ht="15.75" customHeight="1">
      <c r="A156" s="24"/>
      <c r="B156" s="24"/>
      <c r="C156" s="25"/>
      <c r="D156" s="26"/>
      <c r="E156" s="26"/>
      <c r="F156" s="26"/>
      <c r="G156" s="26"/>
      <c r="H156" s="26"/>
      <c r="I156" s="26"/>
      <c r="J156" s="26"/>
      <c r="K156" s="26"/>
      <c r="L156" s="26"/>
      <c r="M156" s="26"/>
      <c r="N156" s="29"/>
      <c r="O156" s="29"/>
      <c r="P156" s="29"/>
      <c r="Q156" s="29"/>
      <c r="R156" s="11"/>
    </row>
    <row r="157" spans="1:18" ht="15.75" customHeight="1">
      <c r="A157" s="24"/>
      <c r="B157" s="24"/>
      <c r="C157" s="25"/>
      <c r="D157" s="26"/>
      <c r="E157" s="26"/>
      <c r="F157" s="26"/>
      <c r="G157" s="26"/>
      <c r="H157" s="26"/>
      <c r="I157" s="26"/>
      <c r="J157" s="26"/>
      <c r="K157" s="26"/>
      <c r="L157" s="26"/>
      <c r="M157" s="26"/>
      <c r="N157" s="29"/>
      <c r="O157" s="29"/>
      <c r="P157" s="29"/>
      <c r="Q157" s="29"/>
      <c r="R157" s="11"/>
    </row>
    <row r="158" spans="1:18" ht="15.75" customHeight="1">
      <c r="A158" s="24"/>
      <c r="B158" s="24"/>
      <c r="C158" s="25"/>
      <c r="D158" s="26"/>
      <c r="E158" s="26"/>
      <c r="F158" s="26"/>
      <c r="G158" s="26"/>
      <c r="H158" s="26"/>
      <c r="I158" s="26"/>
      <c r="J158" s="26"/>
      <c r="K158" s="26"/>
      <c r="L158" s="26"/>
      <c r="M158" s="26"/>
      <c r="N158" s="29"/>
      <c r="O158" s="29"/>
      <c r="P158" s="29"/>
      <c r="Q158" s="29"/>
      <c r="R158" s="11"/>
    </row>
    <row r="159" spans="1:18" ht="15.75" customHeight="1">
      <c r="A159" s="24"/>
      <c r="B159" s="24"/>
      <c r="C159" s="25"/>
      <c r="D159" s="26"/>
      <c r="E159" s="26"/>
      <c r="F159" s="26"/>
      <c r="G159" s="26"/>
      <c r="H159" s="26"/>
      <c r="I159" s="26"/>
      <c r="J159" s="26"/>
      <c r="K159" s="26"/>
      <c r="L159" s="26"/>
      <c r="M159" s="26"/>
      <c r="N159" s="29"/>
      <c r="O159" s="29"/>
      <c r="P159" s="29"/>
      <c r="Q159" s="29"/>
      <c r="R159" s="11"/>
    </row>
    <row r="160" spans="1:18" ht="15.75" customHeight="1">
      <c r="A160" s="24"/>
      <c r="B160" s="24"/>
      <c r="C160" s="25"/>
      <c r="D160" s="26"/>
      <c r="E160" s="26"/>
      <c r="F160" s="26"/>
      <c r="G160" s="26"/>
      <c r="H160" s="26"/>
      <c r="I160" s="26"/>
      <c r="J160" s="26"/>
      <c r="K160" s="26"/>
      <c r="L160" s="26"/>
      <c r="M160" s="26"/>
      <c r="N160" s="29"/>
      <c r="O160" s="29"/>
      <c r="P160" s="29"/>
      <c r="Q160" s="29"/>
      <c r="R160" s="11"/>
    </row>
    <row r="161" spans="1:18" ht="15.75" customHeight="1">
      <c r="A161" s="24"/>
      <c r="B161" s="24"/>
      <c r="C161" s="25"/>
      <c r="D161" s="26"/>
      <c r="E161" s="26"/>
      <c r="F161" s="26"/>
      <c r="G161" s="26"/>
      <c r="H161" s="26"/>
      <c r="I161" s="26"/>
      <c r="J161" s="26"/>
      <c r="K161" s="26"/>
      <c r="L161" s="26"/>
      <c r="M161" s="26"/>
      <c r="N161" s="29"/>
      <c r="O161" s="29"/>
      <c r="P161" s="29"/>
      <c r="Q161" s="29"/>
      <c r="R161" s="11"/>
    </row>
    <row r="162" spans="1:18" ht="15.75" customHeight="1">
      <c r="A162" s="24"/>
      <c r="B162" s="24"/>
      <c r="C162" s="25"/>
      <c r="D162" s="26"/>
      <c r="E162" s="26"/>
      <c r="F162" s="26"/>
      <c r="G162" s="26"/>
      <c r="H162" s="26"/>
      <c r="I162" s="26"/>
      <c r="J162" s="26"/>
      <c r="K162" s="26"/>
      <c r="L162" s="26"/>
      <c r="M162" s="26"/>
      <c r="N162" s="29"/>
      <c r="O162" s="29"/>
      <c r="P162" s="29"/>
      <c r="Q162" s="29"/>
      <c r="R162" s="11"/>
    </row>
    <row r="163" spans="1:18" ht="15.75" customHeight="1">
      <c r="A163" s="24"/>
      <c r="B163" s="24"/>
      <c r="C163" s="25"/>
      <c r="D163" s="26"/>
      <c r="E163" s="26"/>
      <c r="F163" s="26"/>
      <c r="G163" s="26"/>
      <c r="H163" s="26"/>
      <c r="I163" s="26"/>
      <c r="J163" s="26"/>
      <c r="K163" s="26"/>
      <c r="L163" s="26"/>
      <c r="M163" s="26"/>
      <c r="N163" s="29"/>
      <c r="O163" s="29"/>
      <c r="P163" s="29"/>
      <c r="Q163" s="29"/>
      <c r="R163" s="11"/>
    </row>
    <row r="164" spans="1:18" ht="15.75" customHeight="1">
      <c r="A164" s="24"/>
      <c r="B164" s="24"/>
      <c r="C164" s="25"/>
      <c r="D164" s="26"/>
      <c r="E164" s="26"/>
      <c r="F164" s="26"/>
      <c r="G164" s="26"/>
      <c r="H164" s="26"/>
      <c r="I164" s="26"/>
      <c r="J164" s="26"/>
      <c r="K164" s="26"/>
      <c r="L164" s="26"/>
      <c r="M164" s="26"/>
      <c r="N164" s="29"/>
      <c r="O164" s="29"/>
      <c r="P164" s="29"/>
      <c r="Q164" s="29"/>
      <c r="R164" s="11"/>
    </row>
    <row r="165" spans="1:18" ht="15.75" customHeight="1">
      <c r="A165" s="24"/>
      <c r="B165" s="24"/>
      <c r="C165" s="25"/>
      <c r="D165" s="26"/>
      <c r="E165" s="26"/>
      <c r="F165" s="26"/>
      <c r="G165" s="26"/>
      <c r="H165" s="26"/>
      <c r="I165" s="26"/>
      <c r="J165" s="26"/>
      <c r="K165" s="26"/>
      <c r="L165" s="26"/>
      <c r="M165" s="26"/>
      <c r="N165" s="29"/>
      <c r="O165" s="29"/>
      <c r="P165" s="29"/>
      <c r="Q165" s="29"/>
      <c r="R165" s="11"/>
    </row>
    <row r="166" spans="1:18" ht="15.75" customHeight="1">
      <c r="A166" s="24"/>
      <c r="B166" s="24"/>
      <c r="C166" s="25"/>
      <c r="D166" s="26"/>
      <c r="E166" s="26"/>
      <c r="F166" s="26"/>
      <c r="G166" s="26"/>
      <c r="H166" s="26"/>
      <c r="I166" s="26"/>
      <c r="J166" s="26"/>
      <c r="K166" s="26"/>
      <c r="L166" s="26"/>
      <c r="M166" s="26"/>
      <c r="N166" s="29"/>
      <c r="O166" s="29"/>
      <c r="P166" s="29"/>
      <c r="Q166" s="29"/>
      <c r="R166" s="11"/>
    </row>
    <row r="167" spans="1:18" ht="15.75" customHeight="1">
      <c r="A167" s="24"/>
      <c r="B167" s="24"/>
      <c r="C167" s="25"/>
      <c r="D167" s="26"/>
      <c r="E167" s="26"/>
      <c r="F167" s="26"/>
      <c r="G167" s="26"/>
      <c r="H167" s="26"/>
      <c r="I167" s="26"/>
      <c r="J167" s="26"/>
      <c r="K167" s="26"/>
      <c r="L167" s="26"/>
      <c r="M167" s="26"/>
      <c r="N167" s="29"/>
      <c r="O167" s="29"/>
      <c r="P167" s="29"/>
      <c r="Q167" s="29"/>
      <c r="R167" s="11"/>
    </row>
    <row r="168" spans="1:18" ht="15.75" customHeight="1">
      <c r="A168" s="24"/>
      <c r="B168" s="24"/>
      <c r="C168" s="25"/>
      <c r="D168" s="26"/>
      <c r="E168" s="26"/>
      <c r="F168" s="26"/>
      <c r="G168" s="26"/>
      <c r="H168" s="26"/>
      <c r="I168" s="26"/>
      <c r="J168" s="26"/>
      <c r="K168" s="26"/>
      <c r="L168" s="26"/>
      <c r="M168" s="26"/>
      <c r="N168" s="29"/>
      <c r="O168" s="29"/>
      <c r="P168" s="29"/>
      <c r="Q168" s="29"/>
      <c r="R168" s="11"/>
    </row>
    <row r="169" spans="1:18" ht="15.75" customHeight="1">
      <c r="A169" s="24"/>
      <c r="B169" s="24"/>
      <c r="C169" s="25"/>
      <c r="D169" s="26"/>
      <c r="E169" s="26"/>
      <c r="F169" s="26"/>
      <c r="G169" s="26"/>
      <c r="H169" s="26"/>
      <c r="I169" s="26"/>
      <c r="J169" s="26"/>
      <c r="K169" s="26"/>
      <c r="L169" s="26"/>
      <c r="M169" s="26"/>
      <c r="N169" s="29"/>
      <c r="O169" s="29"/>
      <c r="P169" s="29"/>
      <c r="Q169" s="29"/>
      <c r="R169" s="11"/>
    </row>
    <row r="170" spans="1:18" ht="15.75" customHeight="1">
      <c r="A170" s="24"/>
      <c r="B170" s="24"/>
      <c r="C170" s="25"/>
      <c r="D170" s="26"/>
      <c r="E170" s="26"/>
      <c r="F170" s="26"/>
      <c r="G170" s="26"/>
      <c r="H170" s="26"/>
      <c r="I170" s="26"/>
      <c r="J170" s="26"/>
      <c r="K170" s="26"/>
      <c r="L170" s="26"/>
      <c r="M170" s="26"/>
      <c r="N170" s="29"/>
      <c r="O170" s="29"/>
      <c r="P170" s="29"/>
      <c r="Q170" s="29"/>
      <c r="R170" s="11"/>
    </row>
    <row r="171" spans="1:18" ht="15.75" customHeight="1">
      <c r="A171" s="24"/>
      <c r="B171" s="24"/>
      <c r="C171" s="25"/>
      <c r="D171" s="26"/>
      <c r="E171" s="26"/>
      <c r="F171" s="26"/>
      <c r="G171" s="26"/>
      <c r="H171" s="26"/>
      <c r="I171" s="26"/>
      <c r="J171" s="26"/>
      <c r="K171" s="26"/>
      <c r="L171" s="26"/>
      <c r="M171" s="26"/>
      <c r="N171" s="29"/>
      <c r="O171" s="29"/>
      <c r="P171" s="29"/>
      <c r="Q171" s="29"/>
      <c r="R171" s="11"/>
    </row>
    <row r="172" spans="1:18" ht="15.75" customHeight="1">
      <c r="A172" s="24"/>
      <c r="B172" s="24"/>
      <c r="C172" s="25"/>
      <c r="D172" s="26"/>
      <c r="E172" s="26"/>
      <c r="F172" s="26"/>
      <c r="G172" s="26"/>
      <c r="H172" s="26"/>
      <c r="I172" s="26"/>
      <c r="J172" s="26"/>
      <c r="K172" s="26"/>
      <c r="L172" s="26"/>
      <c r="M172" s="26"/>
      <c r="N172" s="29"/>
      <c r="O172" s="29"/>
      <c r="P172" s="29"/>
      <c r="Q172" s="29"/>
      <c r="R172" s="11"/>
    </row>
    <row r="173" spans="1:18" ht="15.75" customHeight="1">
      <c r="A173" s="24"/>
      <c r="B173" s="24"/>
      <c r="C173" s="25"/>
      <c r="D173" s="26"/>
      <c r="E173" s="26"/>
      <c r="F173" s="26"/>
      <c r="G173" s="26"/>
      <c r="H173" s="26"/>
      <c r="I173" s="26"/>
      <c r="J173" s="26"/>
      <c r="K173" s="26"/>
      <c r="L173" s="26"/>
      <c r="M173" s="26"/>
      <c r="N173" s="29"/>
      <c r="O173" s="29"/>
      <c r="P173" s="29"/>
      <c r="Q173" s="29"/>
      <c r="R173" s="11"/>
    </row>
    <row r="174" spans="1:18" ht="15.75" customHeight="1">
      <c r="A174" s="24"/>
      <c r="B174" s="24"/>
      <c r="C174" s="25"/>
      <c r="D174" s="26"/>
      <c r="E174" s="26"/>
      <c r="F174" s="26"/>
      <c r="G174" s="26"/>
      <c r="H174" s="26"/>
      <c r="I174" s="26"/>
      <c r="J174" s="26"/>
      <c r="K174" s="26"/>
      <c r="L174" s="26"/>
      <c r="M174" s="26"/>
      <c r="N174" s="29"/>
      <c r="O174" s="29"/>
      <c r="P174" s="29"/>
      <c r="Q174" s="29"/>
      <c r="R174" s="11"/>
    </row>
    <row r="175" spans="1:18" ht="15.75" customHeight="1">
      <c r="A175" s="24"/>
      <c r="B175" s="24"/>
      <c r="C175" s="25"/>
      <c r="D175" s="26"/>
      <c r="E175" s="26"/>
      <c r="F175" s="26"/>
      <c r="G175" s="26"/>
      <c r="H175" s="26"/>
      <c r="I175" s="26"/>
      <c r="J175" s="26"/>
      <c r="K175" s="26"/>
      <c r="L175" s="26"/>
      <c r="M175" s="26"/>
      <c r="N175" s="29"/>
      <c r="O175" s="29"/>
      <c r="P175" s="29"/>
      <c r="Q175" s="29"/>
      <c r="R175" s="11"/>
    </row>
    <row r="176" spans="1:18" ht="15.75" customHeight="1">
      <c r="A176" s="24"/>
      <c r="B176" s="24"/>
      <c r="C176" s="25"/>
      <c r="D176" s="26"/>
      <c r="E176" s="26"/>
      <c r="F176" s="26"/>
      <c r="G176" s="26"/>
      <c r="H176" s="26"/>
      <c r="I176" s="26"/>
      <c r="J176" s="26"/>
      <c r="K176" s="26"/>
      <c r="L176" s="26"/>
      <c r="M176" s="26"/>
      <c r="N176" s="29"/>
      <c r="O176" s="29"/>
      <c r="P176" s="29"/>
      <c r="Q176" s="29"/>
      <c r="R176" s="11"/>
    </row>
    <row r="177" spans="1:18" ht="15.75" customHeight="1">
      <c r="A177" s="24"/>
      <c r="B177" s="24"/>
      <c r="C177" s="25"/>
      <c r="D177" s="26"/>
      <c r="E177" s="26"/>
      <c r="F177" s="26"/>
      <c r="G177" s="26"/>
      <c r="H177" s="26"/>
      <c r="I177" s="26"/>
      <c r="J177" s="26"/>
      <c r="K177" s="26"/>
      <c r="L177" s="26"/>
      <c r="M177" s="26"/>
      <c r="N177" s="29"/>
      <c r="O177" s="29"/>
      <c r="P177" s="29"/>
      <c r="Q177" s="29"/>
      <c r="R177" s="11"/>
    </row>
    <row r="178" spans="1:18" ht="15.75" customHeight="1">
      <c r="A178" s="24"/>
      <c r="B178" s="24"/>
      <c r="C178" s="25"/>
      <c r="D178" s="26"/>
      <c r="E178" s="26"/>
      <c r="F178" s="26"/>
      <c r="G178" s="26"/>
      <c r="H178" s="26"/>
      <c r="I178" s="26"/>
      <c r="J178" s="26"/>
      <c r="K178" s="26"/>
      <c r="L178" s="26"/>
      <c r="M178" s="26"/>
      <c r="N178" s="29"/>
      <c r="O178" s="29"/>
      <c r="P178" s="29"/>
      <c r="Q178" s="29"/>
      <c r="R178" s="11"/>
    </row>
    <row r="179" spans="1:18" ht="15.75" customHeight="1">
      <c r="A179" s="24"/>
      <c r="B179" s="24"/>
      <c r="C179" s="25"/>
      <c r="D179" s="26"/>
      <c r="E179" s="26"/>
      <c r="F179" s="26"/>
      <c r="G179" s="26"/>
      <c r="H179" s="26"/>
      <c r="I179" s="26"/>
      <c r="J179" s="26"/>
      <c r="K179" s="26"/>
      <c r="L179" s="26"/>
      <c r="M179" s="26"/>
      <c r="N179" s="29"/>
      <c r="O179" s="29"/>
      <c r="P179" s="29"/>
      <c r="Q179" s="29"/>
      <c r="R179" s="11"/>
    </row>
    <row r="180" spans="1:18" ht="15.75" customHeight="1">
      <c r="A180" s="24"/>
      <c r="B180" s="24"/>
      <c r="C180" s="25"/>
      <c r="D180" s="26"/>
      <c r="E180" s="26"/>
      <c r="F180" s="26"/>
      <c r="G180" s="26"/>
      <c r="H180" s="26"/>
      <c r="I180" s="26"/>
      <c r="J180" s="26"/>
      <c r="K180" s="26"/>
      <c r="L180" s="26"/>
      <c r="M180" s="26"/>
      <c r="N180" s="29"/>
      <c r="O180" s="29"/>
      <c r="P180" s="29"/>
      <c r="Q180" s="29"/>
      <c r="R180" s="11"/>
    </row>
    <row r="181" spans="1:18" ht="15.75" customHeight="1">
      <c r="A181" s="24"/>
      <c r="B181" s="24"/>
      <c r="C181" s="25"/>
      <c r="D181" s="26"/>
      <c r="E181" s="26"/>
      <c r="F181" s="26"/>
      <c r="G181" s="26"/>
      <c r="H181" s="26"/>
      <c r="I181" s="26"/>
      <c r="J181" s="26"/>
      <c r="K181" s="26"/>
      <c r="L181" s="26"/>
      <c r="M181" s="26"/>
      <c r="N181" s="29"/>
      <c r="O181" s="29"/>
      <c r="P181" s="29"/>
      <c r="Q181" s="29"/>
      <c r="R181" s="11"/>
    </row>
    <row r="182" spans="1:18" ht="15.75" customHeight="1">
      <c r="A182" s="24"/>
      <c r="B182" s="24"/>
      <c r="C182" s="25"/>
      <c r="D182" s="26"/>
      <c r="E182" s="26"/>
      <c r="F182" s="26"/>
      <c r="G182" s="26"/>
      <c r="H182" s="26"/>
      <c r="I182" s="26"/>
      <c r="J182" s="26"/>
      <c r="K182" s="26"/>
      <c r="L182" s="26"/>
      <c r="M182" s="26"/>
      <c r="N182" s="29"/>
      <c r="O182" s="29"/>
      <c r="P182" s="29"/>
      <c r="Q182" s="29"/>
      <c r="R182" s="11"/>
    </row>
    <row r="183" spans="1:18" ht="15.75" customHeight="1">
      <c r="A183" s="24"/>
      <c r="B183" s="24"/>
      <c r="C183" s="25"/>
      <c r="D183" s="26"/>
      <c r="E183" s="26"/>
      <c r="F183" s="26"/>
      <c r="G183" s="26"/>
      <c r="H183" s="26"/>
      <c r="I183" s="26"/>
      <c r="J183" s="26"/>
      <c r="K183" s="26"/>
      <c r="L183" s="26"/>
      <c r="M183" s="26"/>
      <c r="N183" s="29"/>
      <c r="O183" s="29"/>
      <c r="P183" s="29"/>
      <c r="Q183" s="29"/>
      <c r="R183" s="11"/>
    </row>
    <row r="184" spans="1:18" ht="15.75" customHeight="1">
      <c r="A184" s="24"/>
      <c r="B184" s="24"/>
      <c r="C184" s="25"/>
      <c r="D184" s="26"/>
      <c r="E184" s="26"/>
      <c r="F184" s="26"/>
      <c r="G184" s="26"/>
      <c r="H184" s="26"/>
      <c r="I184" s="26"/>
      <c r="J184" s="26"/>
      <c r="K184" s="26"/>
      <c r="L184" s="26"/>
      <c r="M184" s="26"/>
      <c r="N184" s="29"/>
      <c r="O184" s="29"/>
      <c r="P184" s="29"/>
      <c r="Q184" s="29"/>
      <c r="R184" s="11"/>
    </row>
    <row r="185" spans="1:18" ht="15.75" customHeight="1">
      <c r="A185" s="24"/>
      <c r="B185" s="24"/>
      <c r="C185" s="25"/>
      <c r="D185" s="26"/>
      <c r="E185" s="26"/>
      <c r="F185" s="26"/>
      <c r="G185" s="26"/>
      <c r="H185" s="26"/>
      <c r="I185" s="26"/>
      <c r="J185" s="26"/>
      <c r="K185" s="26"/>
      <c r="L185" s="26"/>
      <c r="M185" s="26"/>
      <c r="N185" s="29"/>
      <c r="O185" s="29"/>
      <c r="P185" s="29"/>
      <c r="Q185" s="29"/>
      <c r="R185" s="11"/>
    </row>
    <row r="186" spans="1:18" ht="15.75" customHeight="1">
      <c r="A186" s="24"/>
      <c r="B186" s="24"/>
      <c r="C186" s="25"/>
      <c r="D186" s="26"/>
      <c r="E186" s="26"/>
      <c r="F186" s="26"/>
      <c r="G186" s="26"/>
      <c r="H186" s="26"/>
      <c r="I186" s="26"/>
      <c r="J186" s="26"/>
      <c r="K186" s="26"/>
      <c r="L186" s="26"/>
      <c r="M186" s="26"/>
      <c r="N186" s="29"/>
      <c r="O186" s="29"/>
      <c r="P186" s="29"/>
      <c r="Q186" s="29"/>
      <c r="R186" s="11"/>
    </row>
    <row r="187" spans="1:18" ht="15.75" customHeight="1">
      <c r="A187" s="24"/>
      <c r="B187" s="24"/>
      <c r="C187" s="25"/>
      <c r="D187" s="26"/>
      <c r="E187" s="26"/>
      <c r="F187" s="26"/>
      <c r="G187" s="26"/>
      <c r="H187" s="26"/>
      <c r="I187" s="26"/>
      <c r="J187" s="26"/>
      <c r="K187" s="26"/>
      <c r="L187" s="26"/>
      <c r="M187" s="26"/>
      <c r="N187" s="29"/>
      <c r="O187" s="29"/>
      <c r="P187" s="29"/>
      <c r="Q187" s="29"/>
      <c r="R187" s="11"/>
    </row>
    <row r="188" spans="1:18" ht="15.75" customHeight="1">
      <c r="A188" s="24"/>
      <c r="B188" s="24"/>
      <c r="C188" s="25"/>
      <c r="D188" s="26"/>
      <c r="E188" s="26"/>
      <c r="F188" s="26"/>
      <c r="G188" s="26"/>
      <c r="H188" s="26"/>
      <c r="I188" s="26"/>
      <c r="J188" s="26"/>
      <c r="K188" s="26"/>
      <c r="L188" s="26"/>
      <c r="M188" s="26"/>
      <c r="N188" s="29"/>
      <c r="O188" s="29"/>
      <c r="P188" s="29"/>
      <c r="Q188" s="29"/>
      <c r="R188" s="11"/>
    </row>
    <row r="189" spans="1:18" ht="15.75" customHeight="1">
      <c r="A189" s="24"/>
      <c r="B189" s="24"/>
      <c r="C189" s="25"/>
      <c r="D189" s="26"/>
      <c r="E189" s="26"/>
      <c r="F189" s="26"/>
      <c r="G189" s="26"/>
      <c r="H189" s="26"/>
      <c r="I189" s="26"/>
      <c r="J189" s="26"/>
      <c r="K189" s="26"/>
      <c r="L189" s="26"/>
      <c r="M189" s="26"/>
      <c r="N189" s="29"/>
      <c r="O189" s="29"/>
      <c r="P189" s="29"/>
      <c r="Q189" s="29"/>
      <c r="R189" s="11"/>
    </row>
    <row r="190" spans="1:18" ht="15.75" customHeight="1">
      <c r="A190" s="24"/>
      <c r="B190" s="24"/>
      <c r="C190" s="25"/>
      <c r="D190" s="26"/>
      <c r="E190" s="26"/>
      <c r="F190" s="26"/>
      <c r="G190" s="26"/>
      <c r="H190" s="26"/>
      <c r="I190" s="26"/>
      <c r="J190" s="26"/>
      <c r="K190" s="26"/>
      <c r="L190" s="26"/>
      <c r="M190" s="26"/>
      <c r="N190" s="29"/>
      <c r="O190" s="29"/>
      <c r="P190" s="29"/>
      <c r="Q190" s="29"/>
      <c r="R190" s="11"/>
    </row>
    <row r="191" spans="1:18" ht="15.75" customHeight="1">
      <c r="A191" s="24"/>
      <c r="B191" s="24"/>
      <c r="C191" s="25"/>
      <c r="D191" s="26"/>
      <c r="E191" s="26"/>
      <c r="F191" s="26"/>
      <c r="G191" s="26"/>
      <c r="H191" s="26"/>
      <c r="I191" s="26"/>
      <c r="J191" s="26"/>
      <c r="K191" s="26"/>
      <c r="L191" s="26"/>
      <c r="M191" s="26"/>
      <c r="N191" s="29"/>
      <c r="O191" s="29"/>
      <c r="P191" s="29"/>
      <c r="Q191" s="29"/>
      <c r="R191" s="11"/>
    </row>
    <row r="192" spans="1:18" ht="15.75" customHeight="1">
      <c r="A192" s="24"/>
      <c r="B192" s="24"/>
      <c r="C192" s="25"/>
      <c r="D192" s="26"/>
      <c r="E192" s="26"/>
      <c r="F192" s="26"/>
      <c r="G192" s="26"/>
      <c r="H192" s="26"/>
      <c r="I192" s="26"/>
      <c r="J192" s="26"/>
      <c r="K192" s="26"/>
      <c r="L192" s="26"/>
      <c r="M192" s="26"/>
      <c r="N192" s="29"/>
      <c r="O192" s="29"/>
      <c r="P192" s="29"/>
      <c r="Q192" s="29"/>
      <c r="R192" s="11"/>
    </row>
    <row r="193" spans="1:18" ht="15.75" customHeight="1">
      <c r="A193" s="24"/>
      <c r="B193" s="24"/>
      <c r="C193" s="25"/>
      <c r="D193" s="26"/>
      <c r="E193" s="26"/>
      <c r="F193" s="26"/>
      <c r="G193" s="26"/>
      <c r="H193" s="26"/>
      <c r="I193" s="26"/>
      <c r="J193" s="26"/>
      <c r="K193" s="26"/>
      <c r="L193" s="26"/>
      <c r="M193" s="26"/>
      <c r="N193" s="29"/>
      <c r="O193" s="29"/>
      <c r="P193" s="29"/>
      <c r="Q193" s="29"/>
      <c r="R193" s="11"/>
    </row>
    <row r="194" spans="1:18" ht="15.75" customHeight="1">
      <c r="A194" s="24"/>
      <c r="B194" s="24"/>
      <c r="C194" s="25"/>
      <c r="D194" s="26"/>
      <c r="E194" s="26"/>
      <c r="F194" s="26"/>
      <c r="G194" s="26"/>
      <c r="H194" s="26"/>
      <c r="I194" s="26"/>
      <c r="J194" s="26"/>
      <c r="K194" s="26"/>
      <c r="L194" s="26"/>
      <c r="M194" s="26"/>
      <c r="N194" s="29"/>
      <c r="O194" s="29"/>
      <c r="P194" s="29"/>
      <c r="Q194" s="29"/>
      <c r="R194" s="11"/>
    </row>
    <row r="195" spans="1:18" ht="15.75" customHeight="1">
      <c r="A195" s="24"/>
      <c r="B195" s="24"/>
      <c r="C195" s="25"/>
      <c r="D195" s="26"/>
      <c r="E195" s="26"/>
      <c r="F195" s="26"/>
      <c r="G195" s="26"/>
      <c r="H195" s="26"/>
      <c r="I195" s="26"/>
      <c r="J195" s="26"/>
      <c r="K195" s="26"/>
      <c r="L195" s="26"/>
      <c r="M195" s="26"/>
      <c r="N195" s="29"/>
      <c r="O195" s="29"/>
      <c r="P195" s="29"/>
      <c r="Q195" s="29"/>
      <c r="R195" s="11"/>
    </row>
    <row r="196" spans="1:18" ht="15.75" customHeight="1">
      <c r="A196" s="24"/>
      <c r="B196" s="24"/>
      <c r="C196" s="25"/>
      <c r="D196" s="26"/>
      <c r="E196" s="26"/>
      <c r="F196" s="26"/>
      <c r="G196" s="26"/>
      <c r="H196" s="26"/>
      <c r="I196" s="26"/>
      <c r="J196" s="26"/>
      <c r="K196" s="26"/>
      <c r="L196" s="26"/>
      <c r="M196" s="26"/>
      <c r="N196" s="29"/>
      <c r="O196" s="29"/>
      <c r="P196" s="29"/>
      <c r="Q196" s="29"/>
      <c r="R196" s="11"/>
    </row>
    <row r="197" spans="1:18" ht="15.75" customHeight="1">
      <c r="A197" s="24"/>
      <c r="B197" s="24"/>
      <c r="C197" s="25"/>
      <c r="D197" s="26"/>
      <c r="E197" s="26"/>
      <c r="F197" s="26"/>
      <c r="G197" s="26"/>
      <c r="H197" s="26"/>
      <c r="I197" s="26"/>
      <c r="J197" s="26"/>
      <c r="K197" s="26"/>
      <c r="L197" s="26"/>
      <c r="M197" s="26"/>
      <c r="N197" s="29"/>
      <c r="O197" s="29"/>
      <c r="P197" s="29"/>
      <c r="Q197" s="29"/>
      <c r="R197" s="11"/>
    </row>
    <row r="198" spans="1:18" ht="15.75" customHeight="1">
      <c r="A198" s="24"/>
      <c r="B198" s="24"/>
      <c r="C198" s="25"/>
      <c r="D198" s="26"/>
      <c r="E198" s="26"/>
      <c r="F198" s="26"/>
      <c r="G198" s="26"/>
      <c r="H198" s="26"/>
      <c r="I198" s="26"/>
      <c r="J198" s="26"/>
      <c r="K198" s="26"/>
      <c r="L198" s="26"/>
      <c r="M198" s="26"/>
      <c r="N198" s="29"/>
      <c r="O198" s="29"/>
      <c r="P198" s="29"/>
      <c r="Q198" s="29"/>
      <c r="R198" s="11"/>
    </row>
    <row r="199" spans="1:18" ht="15.75" customHeight="1">
      <c r="A199" s="24"/>
      <c r="B199" s="24"/>
      <c r="C199" s="25"/>
      <c r="D199" s="26"/>
      <c r="E199" s="26"/>
      <c r="F199" s="26"/>
      <c r="G199" s="26"/>
      <c r="H199" s="26"/>
      <c r="I199" s="26"/>
      <c r="J199" s="26"/>
      <c r="K199" s="26"/>
      <c r="L199" s="26"/>
      <c r="M199" s="26"/>
      <c r="N199" s="29"/>
      <c r="O199" s="29"/>
      <c r="P199" s="29"/>
      <c r="Q199" s="29"/>
      <c r="R199" s="11"/>
    </row>
    <row r="200" spans="1:18" ht="15.75" customHeight="1">
      <c r="A200" s="24"/>
      <c r="B200" s="24"/>
      <c r="C200" s="25"/>
      <c r="D200" s="26"/>
      <c r="E200" s="26"/>
      <c r="F200" s="26"/>
      <c r="G200" s="26"/>
      <c r="H200" s="26"/>
      <c r="I200" s="26"/>
      <c r="J200" s="26"/>
      <c r="K200" s="26"/>
      <c r="L200" s="26"/>
      <c r="M200" s="26"/>
      <c r="N200" s="29"/>
      <c r="O200" s="29"/>
      <c r="P200" s="29"/>
      <c r="Q200" s="29"/>
      <c r="R200" s="11"/>
    </row>
    <row r="201" spans="1:18" ht="15.75" customHeight="1">
      <c r="A201" s="24"/>
      <c r="B201" s="24"/>
      <c r="C201" s="25"/>
      <c r="D201" s="26"/>
      <c r="E201" s="26"/>
      <c r="F201" s="26"/>
      <c r="G201" s="26"/>
      <c r="H201" s="26"/>
      <c r="I201" s="26"/>
      <c r="J201" s="26"/>
      <c r="K201" s="26"/>
      <c r="L201" s="26"/>
      <c r="M201" s="26"/>
      <c r="N201" s="29"/>
      <c r="O201" s="29"/>
      <c r="P201" s="29"/>
      <c r="Q201" s="29"/>
      <c r="R201" s="11"/>
    </row>
    <row r="202" spans="1:18" ht="15.75" customHeight="1">
      <c r="A202" s="24"/>
      <c r="B202" s="24"/>
      <c r="C202" s="25"/>
      <c r="D202" s="26"/>
      <c r="E202" s="26"/>
      <c r="F202" s="26"/>
      <c r="G202" s="26"/>
      <c r="H202" s="26"/>
      <c r="I202" s="26"/>
      <c r="J202" s="26"/>
      <c r="K202" s="26"/>
      <c r="L202" s="26"/>
      <c r="M202" s="26"/>
      <c r="N202" s="29"/>
      <c r="O202" s="29"/>
      <c r="P202" s="29"/>
      <c r="Q202" s="29"/>
      <c r="R202" s="11"/>
    </row>
    <row r="203" spans="1:18" ht="15.75" customHeight="1">
      <c r="A203" s="24"/>
      <c r="B203" s="24"/>
      <c r="C203" s="25"/>
      <c r="D203" s="26"/>
      <c r="E203" s="26"/>
      <c r="F203" s="26"/>
      <c r="G203" s="26"/>
      <c r="H203" s="26"/>
      <c r="I203" s="26"/>
      <c r="J203" s="26"/>
      <c r="K203" s="26"/>
      <c r="L203" s="26"/>
      <c r="M203" s="26"/>
      <c r="N203" s="29"/>
      <c r="O203" s="29"/>
      <c r="P203" s="29"/>
      <c r="Q203" s="29"/>
      <c r="R203" s="11"/>
    </row>
    <row r="204" spans="1:18" ht="15.75" customHeight="1">
      <c r="A204" s="24"/>
      <c r="B204" s="24"/>
      <c r="C204" s="25"/>
      <c r="D204" s="26"/>
      <c r="E204" s="26"/>
      <c r="F204" s="26"/>
      <c r="G204" s="26"/>
      <c r="H204" s="26"/>
      <c r="I204" s="26"/>
      <c r="J204" s="26"/>
      <c r="K204" s="26"/>
      <c r="L204" s="26"/>
      <c r="M204" s="26"/>
      <c r="N204" s="29"/>
      <c r="O204" s="29"/>
      <c r="P204" s="29"/>
      <c r="Q204" s="29"/>
      <c r="R204" s="11"/>
    </row>
    <row r="205" spans="1:18" ht="15.75" customHeight="1">
      <c r="A205" s="24"/>
      <c r="B205" s="24"/>
      <c r="C205" s="25"/>
      <c r="D205" s="26"/>
      <c r="E205" s="26"/>
      <c r="F205" s="26"/>
      <c r="G205" s="26"/>
      <c r="H205" s="26"/>
      <c r="I205" s="26"/>
      <c r="J205" s="26"/>
      <c r="K205" s="26"/>
      <c r="L205" s="26"/>
      <c r="M205" s="26"/>
      <c r="N205" s="29"/>
      <c r="O205" s="29"/>
      <c r="P205" s="29"/>
      <c r="Q205" s="29"/>
      <c r="R205" s="11"/>
    </row>
    <row r="206" spans="1:18" ht="15.75" customHeight="1">
      <c r="A206" s="24"/>
      <c r="B206" s="24"/>
      <c r="C206" s="25"/>
      <c r="D206" s="26"/>
      <c r="E206" s="26"/>
      <c r="F206" s="26"/>
      <c r="G206" s="26"/>
      <c r="H206" s="26"/>
      <c r="I206" s="26"/>
      <c r="J206" s="26"/>
      <c r="K206" s="26"/>
      <c r="L206" s="26"/>
      <c r="M206" s="26"/>
      <c r="N206" s="29"/>
      <c r="O206" s="29"/>
      <c r="P206" s="29"/>
      <c r="Q206" s="29"/>
      <c r="R206" s="11"/>
    </row>
    <row r="207" spans="1:18" ht="15.75" customHeight="1">
      <c r="A207" s="24"/>
      <c r="B207" s="24"/>
      <c r="C207" s="25"/>
      <c r="D207" s="26"/>
      <c r="E207" s="26"/>
      <c r="F207" s="26"/>
      <c r="G207" s="26"/>
      <c r="H207" s="26"/>
      <c r="I207" s="26"/>
      <c r="J207" s="26"/>
      <c r="K207" s="26"/>
      <c r="L207" s="26"/>
      <c r="M207" s="26"/>
      <c r="N207" s="29"/>
      <c r="O207" s="29"/>
      <c r="P207" s="29"/>
      <c r="Q207" s="29"/>
      <c r="R207" s="11"/>
    </row>
    <row r="208" spans="1:18" ht="15.75" customHeight="1">
      <c r="A208" s="24"/>
      <c r="B208" s="24"/>
      <c r="C208" s="25"/>
      <c r="D208" s="26"/>
      <c r="E208" s="26"/>
      <c r="F208" s="26"/>
      <c r="G208" s="26"/>
      <c r="H208" s="26"/>
      <c r="I208" s="26"/>
      <c r="J208" s="26"/>
      <c r="K208" s="26"/>
      <c r="L208" s="26"/>
      <c r="M208" s="26"/>
      <c r="N208" s="29"/>
      <c r="O208" s="29"/>
      <c r="P208" s="29"/>
      <c r="Q208" s="29"/>
      <c r="R208" s="11"/>
    </row>
    <row r="209" spans="1:18" ht="15.75" customHeight="1">
      <c r="A209" s="24"/>
      <c r="B209" s="24"/>
      <c r="C209" s="25"/>
      <c r="D209" s="26"/>
      <c r="E209" s="26"/>
      <c r="F209" s="26"/>
      <c r="G209" s="26"/>
      <c r="H209" s="26"/>
      <c r="I209" s="26"/>
      <c r="J209" s="26"/>
      <c r="K209" s="26"/>
      <c r="L209" s="26"/>
      <c r="M209" s="26"/>
      <c r="N209" s="29"/>
      <c r="O209" s="29"/>
      <c r="P209" s="29"/>
      <c r="Q209" s="29"/>
      <c r="R209" s="11"/>
    </row>
    <row r="210" spans="1:18" ht="15.75" customHeight="1">
      <c r="A210" s="24"/>
      <c r="B210" s="24"/>
      <c r="C210" s="25"/>
      <c r="D210" s="26"/>
      <c r="E210" s="26"/>
      <c r="F210" s="26"/>
      <c r="G210" s="26"/>
      <c r="H210" s="26"/>
      <c r="I210" s="26"/>
      <c r="J210" s="26"/>
      <c r="K210" s="26"/>
      <c r="L210" s="26"/>
      <c r="M210" s="26"/>
      <c r="N210" s="29"/>
      <c r="O210" s="29"/>
      <c r="P210" s="29"/>
      <c r="Q210" s="29"/>
      <c r="R210" s="11"/>
    </row>
    <row r="211" spans="1:18" ht="15.75" customHeight="1">
      <c r="A211" s="24"/>
      <c r="B211" s="24"/>
      <c r="C211" s="25"/>
      <c r="D211" s="26"/>
      <c r="E211" s="26"/>
      <c r="F211" s="26"/>
      <c r="G211" s="26"/>
      <c r="H211" s="26"/>
      <c r="I211" s="26"/>
      <c r="J211" s="26"/>
      <c r="K211" s="26"/>
      <c r="L211" s="26"/>
      <c r="M211" s="26"/>
      <c r="N211" s="29"/>
      <c r="O211" s="29"/>
      <c r="P211" s="29"/>
      <c r="Q211" s="29"/>
      <c r="R211" s="11"/>
    </row>
    <row r="212" spans="1:18" ht="15.75" customHeight="1">
      <c r="A212" s="24"/>
      <c r="B212" s="24"/>
      <c r="C212" s="25"/>
      <c r="D212" s="26"/>
      <c r="E212" s="26"/>
      <c r="F212" s="26"/>
      <c r="G212" s="26"/>
      <c r="H212" s="26"/>
      <c r="I212" s="26"/>
      <c r="J212" s="26"/>
      <c r="K212" s="26"/>
      <c r="L212" s="26"/>
      <c r="M212" s="26"/>
      <c r="N212" s="29"/>
      <c r="O212" s="29"/>
      <c r="P212" s="29"/>
      <c r="Q212" s="29"/>
      <c r="R212" s="11"/>
    </row>
    <row r="213" spans="1:18" ht="15.75" customHeight="1">
      <c r="A213" s="24"/>
      <c r="B213" s="24"/>
      <c r="C213" s="25"/>
      <c r="D213" s="26"/>
      <c r="E213" s="26"/>
      <c r="F213" s="26"/>
      <c r="G213" s="26"/>
      <c r="H213" s="26"/>
      <c r="I213" s="26"/>
      <c r="J213" s="26"/>
      <c r="K213" s="26"/>
      <c r="L213" s="26"/>
      <c r="M213" s="26"/>
      <c r="N213" s="29"/>
      <c r="O213" s="29"/>
      <c r="P213" s="29"/>
      <c r="Q213" s="29"/>
      <c r="R213" s="11"/>
    </row>
    <row r="214" spans="1:18" ht="15.75" customHeight="1">
      <c r="A214" s="24"/>
      <c r="B214" s="24"/>
      <c r="C214" s="25"/>
      <c r="D214" s="26"/>
      <c r="E214" s="26"/>
      <c r="F214" s="26"/>
      <c r="G214" s="26"/>
      <c r="H214" s="26"/>
      <c r="I214" s="26"/>
      <c r="J214" s="26"/>
      <c r="K214" s="26"/>
      <c r="L214" s="26"/>
      <c r="M214" s="26"/>
      <c r="N214" s="29"/>
      <c r="O214" s="29"/>
      <c r="P214" s="29"/>
      <c r="Q214" s="29"/>
      <c r="R214" s="11"/>
    </row>
    <row r="215" spans="1:18" ht="15.75" customHeight="1">
      <c r="A215" s="24"/>
      <c r="B215" s="24"/>
      <c r="C215" s="25"/>
      <c r="D215" s="26"/>
      <c r="E215" s="26"/>
      <c r="F215" s="26"/>
      <c r="G215" s="26"/>
      <c r="H215" s="26"/>
      <c r="I215" s="26"/>
      <c r="J215" s="26"/>
      <c r="K215" s="26"/>
      <c r="L215" s="26"/>
      <c r="M215" s="26"/>
      <c r="N215" s="29"/>
      <c r="O215" s="29"/>
      <c r="P215" s="29"/>
      <c r="Q215" s="29"/>
      <c r="R215" s="11"/>
    </row>
    <row r="216" spans="1:18" ht="15.75" customHeight="1">
      <c r="A216" s="24"/>
      <c r="B216" s="24"/>
      <c r="C216" s="25"/>
      <c r="D216" s="26"/>
      <c r="E216" s="26"/>
      <c r="F216" s="26"/>
      <c r="G216" s="26"/>
      <c r="H216" s="26"/>
      <c r="I216" s="26"/>
      <c r="J216" s="26"/>
      <c r="K216" s="26"/>
      <c r="L216" s="26"/>
      <c r="M216" s="26"/>
      <c r="N216" s="29"/>
      <c r="O216" s="29"/>
      <c r="P216" s="29"/>
      <c r="Q216" s="29"/>
      <c r="R216" s="11"/>
    </row>
    <row r="217" spans="1:18" ht="15.75" customHeight="1">
      <c r="A217" s="24"/>
      <c r="B217" s="24"/>
      <c r="C217" s="25"/>
      <c r="D217" s="26"/>
      <c r="E217" s="26"/>
      <c r="F217" s="26"/>
      <c r="G217" s="26"/>
      <c r="H217" s="26"/>
      <c r="I217" s="26"/>
      <c r="J217" s="26"/>
      <c r="K217" s="26"/>
      <c r="L217" s="26"/>
      <c r="M217" s="26"/>
      <c r="N217" s="29"/>
      <c r="O217" s="29"/>
      <c r="P217" s="29"/>
      <c r="Q217" s="29"/>
      <c r="R217" s="11"/>
    </row>
    <row r="218" spans="1:18" ht="15.75" customHeight="1">
      <c r="A218" s="24"/>
      <c r="B218" s="24"/>
      <c r="C218" s="25"/>
      <c r="D218" s="26"/>
      <c r="E218" s="26"/>
      <c r="F218" s="26"/>
      <c r="G218" s="26"/>
      <c r="H218" s="26"/>
      <c r="I218" s="26"/>
      <c r="J218" s="26"/>
      <c r="K218" s="26"/>
      <c r="L218" s="26"/>
      <c r="M218" s="26"/>
      <c r="N218" s="29"/>
      <c r="O218" s="29"/>
      <c r="P218" s="29"/>
      <c r="Q218" s="29"/>
      <c r="R218" s="11"/>
    </row>
    <row r="219" spans="1:18" ht="15.75" customHeight="1">
      <c r="A219" s="24"/>
      <c r="B219" s="24"/>
      <c r="C219" s="25"/>
      <c r="D219" s="26"/>
      <c r="E219" s="26"/>
      <c r="F219" s="26"/>
      <c r="G219" s="26"/>
      <c r="H219" s="26"/>
      <c r="I219" s="26"/>
      <c r="J219" s="26"/>
      <c r="K219" s="26"/>
      <c r="L219" s="26"/>
      <c r="M219" s="26"/>
      <c r="N219" s="29"/>
      <c r="O219" s="29"/>
      <c r="P219" s="29"/>
      <c r="Q219" s="29"/>
      <c r="R219" s="11"/>
    </row>
    <row r="220" spans="1:18" ht="15.75" customHeight="1">
      <c r="A220" s="24"/>
      <c r="B220" s="24"/>
      <c r="C220" s="25"/>
      <c r="D220" s="26"/>
      <c r="E220" s="26"/>
      <c r="F220" s="26"/>
      <c r="G220" s="26"/>
      <c r="H220" s="26"/>
      <c r="I220" s="26"/>
      <c r="J220" s="26"/>
      <c r="K220" s="26"/>
      <c r="L220" s="26"/>
      <c r="M220" s="26"/>
      <c r="N220" s="29"/>
      <c r="O220" s="29"/>
      <c r="P220" s="29"/>
      <c r="Q220" s="29"/>
      <c r="R220" s="11"/>
    </row>
    <row r="221" spans="1:18" ht="15.75" customHeight="1">
      <c r="A221" s="24"/>
      <c r="B221" s="24"/>
      <c r="C221" s="25"/>
      <c r="D221" s="26"/>
      <c r="E221" s="26"/>
      <c r="F221" s="26"/>
      <c r="G221" s="26"/>
      <c r="H221" s="26"/>
      <c r="I221" s="26"/>
      <c r="J221" s="26"/>
      <c r="K221" s="26"/>
      <c r="L221" s="26"/>
      <c r="M221" s="26"/>
      <c r="N221" s="29"/>
      <c r="O221" s="29"/>
      <c r="P221" s="29"/>
      <c r="Q221" s="29"/>
      <c r="R221" s="11"/>
    </row>
    <row r="222" spans="1:18" ht="15.75" customHeight="1">
      <c r="A222" s="24"/>
      <c r="B222" s="24"/>
      <c r="C222" s="25"/>
      <c r="D222" s="26"/>
      <c r="E222" s="26"/>
      <c r="F222" s="26"/>
      <c r="G222" s="26"/>
      <c r="H222" s="26"/>
      <c r="I222" s="26"/>
      <c r="J222" s="26"/>
      <c r="K222" s="26"/>
      <c r="L222" s="26"/>
      <c r="M222" s="26"/>
      <c r="N222" s="29"/>
      <c r="O222" s="29"/>
      <c r="P222" s="29"/>
      <c r="Q222" s="29"/>
      <c r="R222" s="11"/>
    </row>
    <row r="223" spans="1:18" ht="15.75" customHeight="1">
      <c r="A223" s="24"/>
      <c r="B223" s="24"/>
      <c r="C223" s="25"/>
      <c r="D223" s="26"/>
      <c r="E223" s="26"/>
      <c r="F223" s="26"/>
      <c r="G223" s="26"/>
      <c r="H223" s="26"/>
      <c r="I223" s="26"/>
      <c r="J223" s="26"/>
      <c r="K223" s="26"/>
      <c r="L223" s="26"/>
      <c r="M223" s="26"/>
      <c r="N223" s="29"/>
      <c r="O223" s="29"/>
      <c r="P223" s="29"/>
      <c r="Q223" s="29"/>
      <c r="R223" s="11"/>
    </row>
    <row r="224" spans="1:18" ht="15.75" customHeight="1">
      <c r="A224" s="24"/>
      <c r="B224" s="24"/>
      <c r="C224" s="25"/>
      <c r="D224" s="26"/>
      <c r="E224" s="26"/>
      <c r="F224" s="26"/>
      <c r="G224" s="26"/>
      <c r="H224" s="26"/>
      <c r="I224" s="26"/>
      <c r="J224" s="26"/>
      <c r="K224" s="26"/>
      <c r="L224" s="26"/>
      <c r="M224" s="26"/>
      <c r="N224" s="29"/>
      <c r="O224" s="29"/>
      <c r="P224" s="29"/>
      <c r="Q224" s="29"/>
      <c r="R224" s="11"/>
    </row>
    <row r="225" spans="1:18" ht="15.75" customHeight="1">
      <c r="A225" s="24"/>
      <c r="B225" s="24"/>
      <c r="C225" s="25"/>
      <c r="D225" s="26"/>
      <c r="E225" s="26"/>
      <c r="F225" s="26"/>
      <c r="G225" s="26"/>
      <c r="H225" s="26"/>
      <c r="I225" s="26"/>
      <c r="J225" s="26"/>
      <c r="K225" s="26"/>
      <c r="L225" s="26"/>
      <c r="M225" s="26"/>
      <c r="N225" s="29"/>
      <c r="O225" s="29"/>
      <c r="P225" s="29"/>
      <c r="Q225" s="29"/>
      <c r="R225" s="11"/>
    </row>
    <row r="226" spans="1:18" ht="15.75" customHeight="1">
      <c r="A226" s="24"/>
      <c r="B226" s="24"/>
      <c r="C226" s="25"/>
      <c r="D226" s="26"/>
      <c r="E226" s="26"/>
      <c r="F226" s="26"/>
      <c r="G226" s="26"/>
      <c r="H226" s="26"/>
      <c r="I226" s="26"/>
      <c r="J226" s="26"/>
      <c r="K226" s="26"/>
      <c r="L226" s="26"/>
      <c r="M226" s="26"/>
      <c r="N226" s="29"/>
      <c r="O226" s="29"/>
      <c r="P226" s="29"/>
      <c r="Q226" s="29"/>
      <c r="R226" s="11"/>
    </row>
    <row r="227" spans="1:18" ht="15.75" customHeight="1">
      <c r="A227" s="24"/>
      <c r="B227" s="24"/>
      <c r="C227" s="25"/>
      <c r="D227" s="26"/>
      <c r="E227" s="26"/>
      <c r="F227" s="26"/>
      <c r="G227" s="26"/>
      <c r="H227" s="26"/>
      <c r="I227" s="26"/>
      <c r="J227" s="26"/>
      <c r="K227" s="26"/>
      <c r="L227" s="26"/>
      <c r="M227" s="26"/>
      <c r="N227" s="29"/>
      <c r="O227" s="29"/>
      <c r="P227" s="29"/>
      <c r="Q227" s="29"/>
      <c r="R227" s="11"/>
    </row>
    <row r="228" spans="1:18" ht="15.75" customHeight="1">
      <c r="A228" s="24"/>
      <c r="B228" s="24"/>
      <c r="C228" s="25"/>
      <c r="D228" s="26"/>
      <c r="E228" s="26"/>
      <c r="F228" s="26"/>
      <c r="G228" s="26"/>
      <c r="H228" s="26"/>
      <c r="I228" s="26"/>
      <c r="J228" s="26"/>
      <c r="K228" s="26"/>
      <c r="L228" s="26"/>
      <c r="M228" s="26"/>
      <c r="N228" s="29"/>
      <c r="O228" s="29"/>
      <c r="P228" s="29"/>
      <c r="Q228" s="29"/>
      <c r="R228" s="11"/>
    </row>
    <row r="229" spans="1:18" ht="15.75" customHeight="1">
      <c r="A229" s="24"/>
      <c r="B229" s="24"/>
      <c r="C229" s="25"/>
      <c r="D229" s="26"/>
      <c r="E229" s="26"/>
      <c r="F229" s="26"/>
      <c r="G229" s="26"/>
      <c r="H229" s="26"/>
      <c r="I229" s="26"/>
      <c r="J229" s="26"/>
      <c r="K229" s="26"/>
      <c r="L229" s="26"/>
      <c r="M229" s="26"/>
      <c r="N229" s="29"/>
      <c r="O229" s="29"/>
      <c r="P229" s="29"/>
      <c r="Q229" s="29"/>
      <c r="R229" s="11"/>
    </row>
    <row r="230" spans="1:18" ht="15.75" customHeight="1">
      <c r="A230" s="24"/>
      <c r="B230" s="24"/>
      <c r="C230" s="25"/>
      <c r="D230" s="26"/>
      <c r="E230" s="26"/>
      <c r="F230" s="26"/>
      <c r="G230" s="26"/>
      <c r="H230" s="26"/>
      <c r="I230" s="26"/>
      <c r="J230" s="26"/>
      <c r="K230" s="26"/>
      <c r="L230" s="26"/>
      <c r="M230" s="26"/>
      <c r="N230" s="29"/>
      <c r="O230" s="29"/>
      <c r="P230" s="29"/>
      <c r="Q230" s="29"/>
      <c r="R230" s="11"/>
    </row>
    <row r="231" spans="1:18" ht="15.75" customHeight="1">
      <c r="A231" s="24"/>
      <c r="B231" s="24"/>
      <c r="C231" s="25"/>
      <c r="D231" s="26"/>
      <c r="E231" s="26"/>
      <c r="F231" s="26"/>
      <c r="G231" s="26"/>
      <c r="H231" s="26"/>
      <c r="I231" s="26"/>
      <c r="J231" s="26"/>
      <c r="K231" s="26"/>
      <c r="L231" s="26"/>
      <c r="M231" s="26"/>
      <c r="N231" s="29"/>
      <c r="O231" s="29"/>
      <c r="P231" s="29"/>
      <c r="Q231" s="29"/>
      <c r="R231" s="11"/>
    </row>
    <row r="232" spans="1:18" ht="15.75" customHeight="1">
      <c r="A232" s="24"/>
      <c r="B232" s="24"/>
      <c r="C232" s="25"/>
      <c r="D232" s="26"/>
      <c r="E232" s="26"/>
      <c r="F232" s="26"/>
      <c r="G232" s="26"/>
      <c r="H232" s="26"/>
      <c r="I232" s="26"/>
      <c r="J232" s="26"/>
      <c r="K232" s="26"/>
      <c r="L232" s="26"/>
      <c r="M232" s="26"/>
      <c r="N232" s="29"/>
      <c r="O232" s="29"/>
      <c r="P232" s="29"/>
      <c r="Q232" s="29"/>
      <c r="R232" s="11"/>
    </row>
    <row r="233" spans="1:18" ht="15.75" customHeight="1">
      <c r="A233" s="24"/>
      <c r="B233" s="24"/>
      <c r="C233" s="25"/>
      <c r="D233" s="26"/>
      <c r="E233" s="26"/>
      <c r="F233" s="26"/>
      <c r="G233" s="26"/>
      <c r="H233" s="26"/>
      <c r="I233" s="26"/>
      <c r="J233" s="26"/>
      <c r="K233" s="26"/>
      <c r="L233" s="26"/>
      <c r="M233" s="26"/>
      <c r="N233" s="29"/>
      <c r="O233" s="29"/>
      <c r="P233" s="29"/>
      <c r="Q233" s="29"/>
      <c r="R233" s="11"/>
    </row>
    <row r="234" spans="1:18" ht="15.75" customHeight="1">
      <c r="A234" s="24"/>
      <c r="B234" s="24"/>
      <c r="C234" s="25"/>
      <c r="D234" s="26"/>
      <c r="E234" s="26"/>
      <c r="F234" s="26"/>
      <c r="G234" s="26"/>
      <c r="H234" s="26"/>
      <c r="I234" s="26"/>
      <c r="J234" s="26"/>
      <c r="K234" s="26"/>
      <c r="L234" s="26"/>
      <c r="M234" s="26"/>
      <c r="N234" s="29"/>
      <c r="O234" s="29"/>
      <c r="P234" s="29"/>
      <c r="Q234" s="29"/>
      <c r="R234" s="11"/>
    </row>
    <row r="235" spans="1:18" ht="15.75" customHeight="1">
      <c r="A235" s="24"/>
      <c r="B235" s="24"/>
      <c r="C235" s="25"/>
      <c r="D235" s="26"/>
      <c r="E235" s="26"/>
      <c r="F235" s="26"/>
      <c r="G235" s="26"/>
      <c r="H235" s="26"/>
      <c r="I235" s="26"/>
      <c r="J235" s="26"/>
      <c r="K235" s="26"/>
      <c r="L235" s="26"/>
      <c r="M235" s="26"/>
      <c r="N235" s="29"/>
      <c r="O235" s="29"/>
      <c r="P235" s="29"/>
      <c r="Q235" s="29"/>
      <c r="R235" s="11"/>
    </row>
    <row r="236" spans="1:18" ht="15.75" customHeight="1">
      <c r="A236" s="24"/>
      <c r="B236" s="24"/>
      <c r="C236" s="25"/>
      <c r="D236" s="26"/>
      <c r="E236" s="26"/>
      <c r="F236" s="26"/>
      <c r="G236" s="26"/>
      <c r="H236" s="26"/>
      <c r="I236" s="26"/>
      <c r="J236" s="26"/>
      <c r="K236" s="26"/>
      <c r="L236" s="26"/>
      <c r="M236" s="26"/>
      <c r="N236" s="29"/>
      <c r="O236" s="29"/>
      <c r="P236" s="29"/>
      <c r="Q236" s="29"/>
      <c r="R236" s="11"/>
    </row>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P32:P34"/>
    <mergeCell ref="Q32:Q34"/>
    <mergeCell ref="A36:L36"/>
    <mergeCell ref="A28:L28"/>
    <mergeCell ref="A29:L29"/>
    <mergeCell ref="A30:L30"/>
    <mergeCell ref="N32:N34"/>
    <mergeCell ref="O32:O34"/>
  </mergeCells>
  <phoneticPr fontId="21"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0"/>
  <sheetViews>
    <sheetView workbookViewId="0">
      <pane ySplit="1" topLeftCell="A11" activePane="bottomLeft" state="frozen"/>
      <selection pane="bottomLeft"/>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s>
  <sheetData>
    <row r="1" spans="1:23" ht="15.75" customHeight="1">
      <c r="A1" s="3" t="s">
        <v>67</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c r="T1" s="1"/>
      <c r="U1" s="1"/>
      <c r="V1" s="1"/>
      <c r="W1" s="1"/>
    </row>
    <row r="2" spans="1:23" ht="15.75" customHeight="1">
      <c r="A2" s="10" t="s">
        <v>68</v>
      </c>
      <c r="B2" s="5" t="s">
        <v>23</v>
      </c>
      <c r="C2" s="5" t="s">
        <v>23</v>
      </c>
      <c r="D2" s="6" t="s">
        <v>23</v>
      </c>
      <c r="E2" s="6" t="s">
        <v>23</v>
      </c>
      <c r="F2" s="6" t="s">
        <v>23</v>
      </c>
      <c r="G2" s="6" t="s">
        <v>23</v>
      </c>
      <c r="H2" s="6"/>
      <c r="I2" s="6"/>
      <c r="J2" s="6"/>
      <c r="K2" s="6"/>
      <c r="L2" s="6"/>
      <c r="M2" s="6">
        <v>2</v>
      </c>
      <c r="N2" s="6">
        <v>2</v>
      </c>
      <c r="O2" s="6">
        <v>2</v>
      </c>
      <c r="P2" s="6">
        <f t="shared" ref="P2:Q2" si="0">IF(TRIM(SUBSTITUTE(F2, "　", " "))=TRIM(SUBSTITUTE($C2, "　", " ")), 2, 0)</f>
        <v>2</v>
      </c>
      <c r="Q2" s="6">
        <f t="shared" si="0"/>
        <v>2</v>
      </c>
      <c r="R2" s="2"/>
    </row>
    <row r="3" spans="1:23" ht="15.75" customHeight="1">
      <c r="A3" s="10" t="s">
        <v>69</v>
      </c>
      <c r="B3" s="5" t="s">
        <v>17</v>
      </c>
      <c r="C3" s="5" t="s">
        <v>17</v>
      </c>
      <c r="D3" s="6" t="s">
        <v>20</v>
      </c>
      <c r="E3" s="6" t="s">
        <v>17</v>
      </c>
      <c r="F3" s="6" t="s">
        <v>17</v>
      </c>
      <c r="G3" s="6" t="s">
        <v>17</v>
      </c>
      <c r="H3" s="6"/>
      <c r="I3" s="6"/>
      <c r="J3" s="6"/>
      <c r="K3" s="6"/>
      <c r="L3" s="6"/>
      <c r="M3" s="6">
        <v>2</v>
      </c>
      <c r="N3" s="6">
        <v>0</v>
      </c>
      <c r="O3" s="6">
        <v>2</v>
      </c>
      <c r="P3" s="6">
        <f t="shared" ref="P3:Q3" si="1">IF(TRIM(SUBSTITUTE(F3, "　", " "))=TRIM(SUBSTITUTE($C3, "　", " ")), 2, 0)</f>
        <v>2</v>
      </c>
      <c r="Q3" s="6">
        <f t="shared" si="1"/>
        <v>2</v>
      </c>
      <c r="R3" s="11"/>
    </row>
    <row r="4" spans="1:23" ht="15.75" customHeight="1">
      <c r="A4" s="30" t="s">
        <v>70</v>
      </c>
      <c r="B4" s="5" t="s">
        <v>18</v>
      </c>
      <c r="C4" s="5" t="s">
        <v>18</v>
      </c>
      <c r="D4" s="6" t="s">
        <v>18</v>
      </c>
      <c r="E4" s="6" t="s">
        <v>18</v>
      </c>
      <c r="F4" s="6" t="s">
        <v>18</v>
      </c>
      <c r="G4" s="6" t="s">
        <v>18</v>
      </c>
      <c r="H4" s="6"/>
      <c r="I4" s="6"/>
      <c r="J4" s="6"/>
      <c r="K4" s="6"/>
      <c r="L4" s="6"/>
      <c r="M4" s="6">
        <v>2</v>
      </c>
      <c r="N4" s="6">
        <v>2</v>
      </c>
      <c r="O4" s="6">
        <v>2</v>
      </c>
      <c r="P4" s="6">
        <f t="shared" ref="P4:Q4" si="2">IF(TRIM(SUBSTITUTE(F4, "　", " "))=TRIM(SUBSTITUTE($C4, "　", " ")), 2, 0)</f>
        <v>2</v>
      </c>
      <c r="Q4" s="6">
        <f t="shared" si="2"/>
        <v>2</v>
      </c>
      <c r="R4" s="11"/>
    </row>
    <row r="5" spans="1:23" ht="15.75" customHeight="1">
      <c r="A5" s="10" t="s">
        <v>71</v>
      </c>
      <c r="B5" s="5" t="s">
        <v>18</v>
      </c>
      <c r="C5" s="5" t="s">
        <v>18</v>
      </c>
      <c r="D5" s="6" t="s">
        <v>18</v>
      </c>
      <c r="E5" s="6" t="s">
        <v>18</v>
      </c>
      <c r="F5" s="6" t="s">
        <v>18</v>
      </c>
      <c r="G5" s="6" t="s">
        <v>18</v>
      </c>
      <c r="H5" s="6"/>
      <c r="I5" s="6"/>
      <c r="J5" s="6"/>
      <c r="K5" s="6"/>
      <c r="L5" s="6"/>
      <c r="M5" s="6">
        <v>2</v>
      </c>
      <c r="N5" s="6">
        <v>2</v>
      </c>
      <c r="O5" s="6">
        <v>2</v>
      </c>
      <c r="P5" s="6">
        <f t="shared" ref="P5:Q5" si="3">IF(TRIM(SUBSTITUTE(F5, "　", " "))=TRIM(SUBSTITUTE($C5, "　", " ")), 2, 0)</f>
        <v>2</v>
      </c>
      <c r="Q5" s="6">
        <f t="shared" si="3"/>
        <v>2</v>
      </c>
      <c r="R5" s="2"/>
    </row>
    <row r="6" spans="1:23" ht="15.75" customHeight="1">
      <c r="A6" s="10" t="s">
        <v>72</v>
      </c>
      <c r="B6" s="5" t="s">
        <v>17</v>
      </c>
      <c r="C6" s="5" t="s">
        <v>20</v>
      </c>
      <c r="D6" s="6" t="s">
        <v>17</v>
      </c>
      <c r="E6" s="6" t="s">
        <v>18</v>
      </c>
      <c r="F6" s="6" t="s">
        <v>18</v>
      </c>
      <c r="G6" s="6" t="s">
        <v>17</v>
      </c>
      <c r="H6" s="6"/>
      <c r="I6" s="6"/>
      <c r="J6" s="6"/>
      <c r="K6" s="6"/>
      <c r="L6" s="6"/>
      <c r="M6" s="6">
        <v>0</v>
      </c>
      <c r="N6" s="6">
        <v>2</v>
      </c>
      <c r="O6" s="6">
        <v>0</v>
      </c>
      <c r="P6" s="6">
        <f t="shared" ref="P6:Q6" si="4">IF(TRIM(SUBSTITUTE(F6, "　", " "))=TRIM(SUBSTITUTE($C6, "　", " ")), 2, 0)</f>
        <v>0</v>
      </c>
      <c r="Q6" s="6">
        <f t="shared" si="4"/>
        <v>0</v>
      </c>
      <c r="R6" s="2"/>
    </row>
    <row r="7" spans="1:23" ht="15.75" customHeight="1">
      <c r="A7" s="10" t="s">
        <v>73</v>
      </c>
      <c r="B7" s="5" t="s">
        <v>20</v>
      </c>
      <c r="C7" s="5" t="s">
        <v>20</v>
      </c>
      <c r="D7" s="6" t="s">
        <v>20</v>
      </c>
      <c r="E7" s="6" t="s">
        <v>20</v>
      </c>
      <c r="F7" s="6" t="s">
        <v>20</v>
      </c>
      <c r="G7" s="6" t="s">
        <v>20</v>
      </c>
      <c r="H7" s="6"/>
      <c r="I7" s="6"/>
      <c r="J7" s="6"/>
      <c r="K7" s="6"/>
      <c r="L7" s="6"/>
      <c r="M7" s="6">
        <v>2</v>
      </c>
      <c r="N7" s="6">
        <v>2</v>
      </c>
      <c r="O7" s="6">
        <v>2</v>
      </c>
      <c r="P7" s="6">
        <f t="shared" ref="P7:Q7" si="5">IF(TRIM(SUBSTITUTE(F7, "　", " "))=TRIM(SUBSTITUTE($C7, "　", " ")), 2, 0)</f>
        <v>2</v>
      </c>
      <c r="Q7" s="6">
        <f t="shared" si="5"/>
        <v>2</v>
      </c>
      <c r="R7" s="2"/>
    </row>
    <row r="8" spans="1:23" ht="15.75" customHeight="1">
      <c r="A8" s="10" t="s">
        <v>74</v>
      </c>
      <c r="B8" s="5" t="s">
        <v>17</v>
      </c>
      <c r="C8" s="5" t="s">
        <v>18</v>
      </c>
      <c r="D8" s="6" t="s">
        <v>17</v>
      </c>
      <c r="E8" s="6" t="s">
        <v>20</v>
      </c>
      <c r="F8" s="6" t="s">
        <v>20</v>
      </c>
      <c r="G8" s="6" t="s">
        <v>17</v>
      </c>
      <c r="H8" s="6"/>
      <c r="I8" s="6"/>
      <c r="J8" s="6"/>
      <c r="K8" s="6"/>
      <c r="L8" s="6"/>
      <c r="M8" s="6">
        <v>0</v>
      </c>
      <c r="N8" s="6">
        <v>2</v>
      </c>
      <c r="O8" s="6">
        <v>0</v>
      </c>
      <c r="P8" s="6">
        <f t="shared" ref="P8:Q8" si="6">IF(TRIM(SUBSTITUTE(F8, "　", " "))=TRIM(SUBSTITUTE($C8, "　", " ")), 2, 0)</f>
        <v>0</v>
      </c>
      <c r="Q8" s="6">
        <f t="shared" si="6"/>
        <v>0</v>
      </c>
      <c r="R8" s="2"/>
    </row>
    <row r="9" spans="1:23" ht="15.75" customHeight="1">
      <c r="A9" s="10" t="s">
        <v>75</v>
      </c>
      <c r="B9" s="5" t="s">
        <v>20</v>
      </c>
      <c r="C9" s="5" t="s">
        <v>20</v>
      </c>
      <c r="D9" s="6" t="s">
        <v>20</v>
      </c>
      <c r="E9" s="6" t="s">
        <v>23</v>
      </c>
      <c r="F9" s="6" t="s">
        <v>23</v>
      </c>
      <c r="G9" s="6" t="s">
        <v>20</v>
      </c>
      <c r="H9" s="6"/>
      <c r="I9" s="6"/>
      <c r="J9" s="6"/>
      <c r="K9" s="6"/>
      <c r="L9" s="6"/>
      <c r="M9" s="6">
        <v>2</v>
      </c>
      <c r="N9" s="6">
        <v>2</v>
      </c>
      <c r="O9" s="6">
        <v>0</v>
      </c>
      <c r="P9" s="6">
        <f t="shared" ref="P9:Q9" si="7">IF(TRIM(SUBSTITUTE(F9, "　", " "))=TRIM(SUBSTITUTE($C9, "　", " ")), 2, 0)</f>
        <v>0</v>
      </c>
      <c r="Q9" s="6">
        <f t="shared" si="7"/>
        <v>2</v>
      </c>
      <c r="R9" s="2"/>
    </row>
    <row r="10" spans="1:23" ht="15.75" customHeight="1">
      <c r="A10" s="31" t="s">
        <v>76</v>
      </c>
      <c r="B10" s="5"/>
      <c r="C10" s="5"/>
      <c r="D10" s="6"/>
      <c r="E10" s="6"/>
      <c r="F10" s="5"/>
      <c r="G10" s="5"/>
      <c r="H10" s="5"/>
      <c r="I10" s="5"/>
      <c r="J10" s="5"/>
      <c r="K10" s="5"/>
      <c r="L10" s="5"/>
      <c r="M10" s="5"/>
      <c r="N10" s="6"/>
      <c r="O10" s="6"/>
      <c r="P10" s="6"/>
      <c r="Q10" s="6"/>
      <c r="R10" s="2"/>
    </row>
    <row r="11" spans="1:23" ht="15.75" customHeight="1">
      <c r="A11" s="10" t="s">
        <v>77</v>
      </c>
      <c r="B11" s="5" t="s">
        <v>23</v>
      </c>
      <c r="C11" s="5" t="s">
        <v>23</v>
      </c>
      <c r="D11" s="6" t="s">
        <v>23</v>
      </c>
      <c r="E11" s="6" t="s">
        <v>20</v>
      </c>
      <c r="F11" s="5" t="s">
        <v>20</v>
      </c>
      <c r="G11" s="5" t="s">
        <v>23</v>
      </c>
      <c r="H11" s="5"/>
      <c r="I11" s="5"/>
      <c r="J11" s="5"/>
      <c r="K11" s="5"/>
      <c r="L11" s="5"/>
      <c r="M11" s="6">
        <v>2</v>
      </c>
      <c r="N11" s="6">
        <v>2</v>
      </c>
      <c r="O11" s="6">
        <v>0</v>
      </c>
      <c r="P11" s="6">
        <f t="shared" ref="P11:Q11" si="8">IF(TRIM(SUBSTITUTE(F11, "　", " "))=TRIM(SUBSTITUTE($C11, "　", " ")), 2, 0)</f>
        <v>0</v>
      </c>
      <c r="Q11" s="6">
        <f t="shared" si="8"/>
        <v>2</v>
      </c>
      <c r="R11" s="2"/>
    </row>
    <row r="12" spans="1:23" ht="15.75" customHeight="1">
      <c r="A12" s="32" t="s">
        <v>78</v>
      </c>
      <c r="B12" s="5" t="s">
        <v>20</v>
      </c>
      <c r="C12" s="5" t="s">
        <v>20</v>
      </c>
      <c r="D12" s="6" t="s">
        <v>20</v>
      </c>
      <c r="E12" s="6" t="s">
        <v>20</v>
      </c>
      <c r="F12" s="5" t="s">
        <v>20</v>
      </c>
      <c r="G12" s="5" t="s">
        <v>20</v>
      </c>
      <c r="H12" s="5"/>
      <c r="I12" s="5"/>
      <c r="J12" s="5"/>
      <c r="K12" s="5"/>
      <c r="L12" s="5"/>
      <c r="M12" s="6">
        <v>2</v>
      </c>
      <c r="N12" s="6">
        <v>2</v>
      </c>
      <c r="O12" s="6">
        <v>2</v>
      </c>
      <c r="P12" s="6">
        <f t="shared" ref="P12:Q12" si="9">IF(TRIM(SUBSTITUTE(F12, "　", " "))=TRIM(SUBSTITUTE($C12, "　", " ")), 2, 0)</f>
        <v>2</v>
      </c>
      <c r="Q12" s="6">
        <f t="shared" si="9"/>
        <v>2</v>
      </c>
      <c r="R12" s="2"/>
    </row>
    <row r="13" spans="1:23" ht="15.75" customHeight="1">
      <c r="A13" s="32" t="s">
        <v>79</v>
      </c>
      <c r="B13" s="5"/>
      <c r="C13" s="5"/>
      <c r="D13" s="6"/>
      <c r="E13" s="6"/>
      <c r="F13" s="6"/>
      <c r="G13" s="6"/>
      <c r="H13" s="6"/>
      <c r="I13" s="6"/>
      <c r="J13" s="6"/>
      <c r="K13" s="6"/>
      <c r="L13" s="6"/>
      <c r="M13" s="6"/>
      <c r="N13" s="6"/>
      <c r="O13" s="6"/>
      <c r="P13" s="6"/>
      <c r="Q13" s="6"/>
      <c r="R13" s="2"/>
    </row>
    <row r="14" spans="1:23" ht="15.75" customHeight="1">
      <c r="A14" s="10" t="s">
        <v>80</v>
      </c>
      <c r="B14" s="5" t="s">
        <v>18</v>
      </c>
      <c r="C14" s="5" t="s">
        <v>18</v>
      </c>
      <c r="D14" s="6" t="s">
        <v>18</v>
      </c>
      <c r="E14" s="6" t="s">
        <v>18</v>
      </c>
      <c r="F14" s="6" t="s">
        <v>18</v>
      </c>
      <c r="G14" s="6" t="s">
        <v>18</v>
      </c>
      <c r="H14" s="6"/>
      <c r="I14" s="6"/>
      <c r="J14" s="6"/>
      <c r="K14" s="6"/>
      <c r="L14" s="6"/>
      <c r="M14" s="6">
        <v>2</v>
      </c>
      <c r="N14" s="6">
        <v>2</v>
      </c>
      <c r="O14" s="6">
        <v>2</v>
      </c>
      <c r="P14" s="6">
        <f t="shared" ref="P14:Q14" si="10">IF(TRIM(SUBSTITUTE(F14, "　", " "))=TRIM(SUBSTITUTE($C14, "　", " ")), 2, 0)</f>
        <v>2</v>
      </c>
      <c r="Q14" s="6">
        <f t="shared" si="10"/>
        <v>2</v>
      </c>
    </row>
    <row r="15" spans="1:23" ht="15.75" customHeight="1">
      <c r="A15" s="10" t="s">
        <v>81</v>
      </c>
      <c r="B15" s="5" t="s">
        <v>17</v>
      </c>
      <c r="C15" s="5" t="s">
        <v>17</v>
      </c>
      <c r="D15" s="6" t="s">
        <v>17</v>
      </c>
      <c r="E15" s="6" t="s">
        <v>20</v>
      </c>
      <c r="F15" s="6" t="s">
        <v>20</v>
      </c>
      <c r="G15" s="6" t="s">
        <v>17</v>
      </c>
      <c r="H15" s="6"/>
      <c r="I15" s="6"/>
      <c r="J15" s="6"/>
      <c r="K15" s="6"/>
      <c r="L15" s="6"/>
      <c r="M15" s="6">
        <v>2</v>
      </c>
      <c r="N15" s="6">
        <v>2</v>
      </c>
      <c r="O15" s="6">
        <v>0</v>
      </c>
      <c r="P15" s="6">
        <f t="shared" ref="P15:Q15" si="11">IF(TRIM(SUBSTITUTE(F15, "　", " "))=TRIM(SUBSTITUTE($C15, "　", " ")), 2, 0)</f>
        <v>0</v>
      </c>
      <c r="Q15" s="6">
        <f t="shared" si="11"/>
        <v>2</v>
      </c>
      <c r="R15" s="2"/>
    </row>
    <row r="16" spans="1:23" ht="15.75" customHeight="1">
      <c r="A16" s="33" t="s">
        <v>82</v>
      </c>
      <c r="B16" s="5"/>
      <c r="C16" s="5"/>
      <c r="D16" s="6"/>
      <c r="E16" s="6" t="s">
        <v>83</v>
      </c>
      <c r="F16" s="6" t="s">
        <v>83</v>
      </c>
      <c r="G16" s="6"/>
      <c r="H16" s="6"/>
      <c r="I16" s="6"/>
      <c r="J16" s="6"/>
      <c r="K16" s="6"/>
      <c r="L16" s="6"/>
      <c r="M16" s="6"/>
      <c r="N16" s="6"/>
      <c r="O16" s="6"/>
      <c r="P16" s="6"/>
      <c r="Q16" s="6"/>
      <c r="R16" s="2"/>
    </row>
    <row r="17" spans="1:18" ht="15.75" customHeight="1">
      <c r="A17" s="10" t="s">
        <v>84</v>
      </c>
      <c r="B17" s="5" t="s">
        <v>18</v>
      </c>
      <c r="C17" s="5" t="s">
        <v>18</v>
      </c>
      <c r="D17" s="13" t="s">
        <v>20</v>
      </c>
      <c r="E17" s="13" t="s">
        <v>20</v>
      </c>
      <c r="F17" s="13" t="s">
        <v>20</v>
      </c>
      <c r="G17" s="13" t="s">
        <v>18</v>
      </c>
      <c r="H17" s="13"/>
      <c r="I17" s="13"/>
      <c r="J17" s="13"/>
      <c r="K17" s="13"/>
      <c r="L17" s="13"/>
      <c r="M17" s="6">
        <v>2</v>
      </c>
      <c r="N17" s="6">
        <v>0</v>
      </c>
      <c r="O17" s="6">
        <v>0</v>
      </c>
      <c r="P17" s="6">
        <f t="shared" ref="P17:Q17" si="12">IF(TRIM(SUBSTITUTE(F17, "　", " "))=TRIM(SUBSTITUTE($C17, "　", " ")), 2, 0)</f>
        <v>0</v>
      </c>
      <c r="Q17" s="6">
        <f t="shared" si="12"/>
        <v>2</v>
      </c>
      <c r="R17" s="2"/>
    </row>
    <row r="18" spans="1:18" ht="15.75" customHeight="1">
      <c r="A18" s="10" t="s">
        <v>85</v>
      </c>
      <c r="B18" s="5" t="s">
        <v>18</v>
      </c>
      <c r="C18" s="5" t="s">
        <v>18</v>
      </c>
      <c r="D18" s="13" t="s">
        <v>18</v>
      </c>
      <c r="E18" s="13" t="s">
        <v>20</v>
      </c>
      <c r="F18" s="13" t="s">
        <v>20</v>
      </c>
      <c r="G18" s="13" t="s">
        <v>18</v>
      </c>
      <c r="H18" s="13"/>
      <c r="I18" s="13"/>
      <c r="J18" s="13"/>
      <c r="K18" s="13"/>
      <c r="L18" s="13"/>
      <c r="M18" s="6">
        <v>2</v>
      </c>
      <c r="N18" s="6">
        <v>2</v>
      </c>
      <c r="O18" s="6">
        <v>0</v>
      </c>
      <c r="P18" s="6">
        <f t="shared" ref="P18:Q18" si="13">IF(TRIM(SUBSTITUTE(F18, "　", " "))=TRIM(SUBSTITUTE($C18, "　", " ")), 2, 0)</f>
        <v>0</v>
      </c>
      <c r="Q18" s="6">
        <f t="shared" si="13"/>
        <v>2</v>
      </c>
      <c r="R18" s="2"/>
    </row>
    <row r="19" spans="1:18" ht="15.75" customHeight="1">
      <c r="A19" s="10" t="s">
        <v>86</v>
      </c>
      <c r="B19" s="5" t="s">
        <v>23</v>
      </c>
      <c r="C19" s="5" t="s">
        <v>23</v>
      </c>
      <c r="D19" s="13" t="s">
        <v>23</v>
      </c>
      <c r="E19" s="13" t="s">
        <v>20</v>
      </c>
      <c r="F19" s="13" t="s">
        <v>20</v>
      </c>
      <c r="G19" s="13" t="s">
        <v>23</v>
      </c>
      <c r="H19" s="13"/>
      <c r="I19" s="13"/>
      <c r="J19" s="13"/>
      <c r="K19" s="13"/>
      <c r="L19" s="13"/>
      <c r="M19" s="6">
        <v>2</v>
      </c>
      <c r="N19" s="6">
        <v>2</v>
      </c>
      <c r="O19" s="6">
        <v>0</v>
      </c>
      <c r="P19" s="6">
        <f t="shared" ref="P19:Q19" si="14">IF(TRIM(SUBSTITUTE(F19, "　", " "))=TRIM(SUBSTITUTE($C19, "　", " ")), 2, 0)</f>
        <v>0</v>
      </c>
      <c r="Q19" s="6">
        <f t="shared" si="14"/>
        <v>2</v>
      </c>
      <c r="R19" s="2"/>
    </row>
    <row r="20" spans="1:18" ht="15.75" customHeight="1">
      <c r="A20" s="33" t="s">
        <v>87</v>
      </c>
      <c r="B20" s="5"/>
      <c r="C20" s="5"/>
      <c r="D20" s="13"/>
      <c r="E20" s="13"/>
      <c r="F20" s="13"/>
      <c r="G20" s="13"/>
      <c r="H20" s="13"/>
      <c r="I20" s="13"/>
      <c r="J20" s="13"/>
      <c r="K20" s="13"/>
      <c r="L20" s="13"/>
      <c r="M20" s="13"/>
      <c r="N20" s="6"/>
      <c r="O20" s="6"/>
      <c r="P20" s="6"/>
      <c r="Q20" s="6"/>
      <c r="R20" s="2"/>
    </row>
    <row r="21" spans="1:18" ht="15.75" customHeight="1">
      <c r="A21" s="10" t="s">
        <v>88</v>
      </c>
      <c r="B21" s="5" t="s">
        <v>57</v>
      </c>
      <c r="C21" s="34" t="s">
        <v>51</v>
      </c>
      <c r="D21" s="35" t="s">
        <v>89</v>
      </c>
      <c r="E21" s="35" t="s">
        <v>23</v>
      </c>
      <c r="F21" s="35" t="s">
        <v>23</v>
      </c>
      <c r="G21" s="35" t="s">
        <v>90</v>
      </c>
      <c r="H21" s="14" cm="1">
        <f t="array" ref="H21">_xlfn.LET(
_xlpm.opts,{"A","B","C","D","E"},
_xlpm.ans,UPPER(SUBSTITUTE(SUBSTITUTE(SUBSTITUTE(SUBSTITUTE(SUBSTITUTE(TRIM($B21),"　","")," ",""),",",""),"，",""),"、","")),
_xlpm.resp,UPPER(SUBSTITUTE(SUBSTITUTE(SUBSTITUTE(SUBSTITUTE(SUBSTITUTE(TRIM(C21),"　","")," ",""),",",""),"，",""),"、","")),
IF(_xlpm.resp="",99,
SUMPRODUCT(--(ISNUMBER(SEARCH(_xlpm.opts,_xlpm.ans))&lt;&gt;ISNUMBER(SEARCH(_xlpm.opts,_xlpm.resp)))))
)</f>
        <v>4</v>
      </c>
      <c r="I21" s="14" cm="1">
        <f t="array" ref="I21">_xlfn.LET(
_xlpm.opts,{"A","B","C","D","E"},
_xlpm.ans,UPPER(SUBSTITUTE(SUBSTITUTE(SUBSTITUTE(SUBSTITUTE(SUBSTITUTE(TRIM($B21),"　","")," ",""),",",""),"，",""),"、","")),
_xlpm.resp,UPPER(SUBSTITUTE(SUBSTITUTE(SUBSTITUTE(SUBSTITUTE(SUBSTITUTE(TRIM(D21),"　","")," ",""),",",""),"，",""),"、","")),
IF(_xlpm.resp="",99,
SUMPRODUCT(--(ISNUMBER(SEARCH(_xlpm.opts,_xlpm.ans))&lt;&gt;ISNUMBER(SEARCH(_xlpm.opts,_xlpm.resp)))))
)</f>
        <v>2</v>
      </c>
      <c r="J21" s="14" cm="1">
        <f t="array" ref="J21">_xlfn.LET(
_xlpm.opts,{"A","B","C","D","E"},
_xlpm.ans,UPPER(SUBSTITUTE(SUBSTITUTE(SUBSTITUTE(SUBSTITUTE(SUBSTITUTE(TRIM($B21),"　","")," ",""),",",""),"，",""),"、","")),
_xlpm.resp,UPPER(SUBSTITUTE(SUBSTITUTE(SUBSTITUTE(SUBSTITUTE(SUBSTITUTE(TRIM(E21),"　","")," ",""),",",""),"，",""),"、","")),
IF(_xlpm.resp="",99,
SUMPRODUCT(--(ISNUMBER(SEARCH(_xlpm.opts,_xlpm.ans))&lt;&gt;ISNUMBER(SEARCH(_xlpm.opts,_xlpm.resp)))))
)</f>
        <v>2</v>
      </c>
      <c r="K21" s="14" cm="1">
        <f t="array" ref="K21">_xlfn.LET(
_xlpm.opts,{"A","B","C","D","E"},
_xlpm.ans,UPPER(SUBSTITUTE(SUBSTITUTE(SUBSTITUTE(SUBSTITUTE(SUBSTITUTE(TRIM($B21),"　","")," ",""),",",""),"，",""),"、","")),
_xlpm.resp,UPPER(SUBSTITUTE(SUBSTITUTE(SUBSTITUTE(SUBSTITUTE(SUBSTITUTE(TRIM(F21),"　","")," ",""),",",""),"，",""),"、","")),
IF(_xlpm.resp="",99,
SUMPRODUCT(--(ISNUMBER(SEARCH(_xlpm.opts,_xlpm.ans))&lt;&gt;ISNUMBER(SEARCH(_xlpm.opts,_xlpm.resp)))))
)</f>
        <v>2</v>
      </c>
      <c r="L21" s="14" cm="1">
        <f t="array" ref="L21">_xlfn.LET(
_xlpm.opts,{"A","B","C","D","E"},
_xlpm.ans,UPPER(SUBSTITUTE(SUBSTITUTE(SUBSTITUTE(SUBSTITUTE(SUBSTITUTE(TRIM($B21),"　","")," ",""),",",""),"，",""),"、","")),
_xlpm.resp,UPPER(SUBSTITUTE(SUBSTITUTE(SUBSTITUTE(SUBSTITUTE(SUBSTITUTE(TRIM(G21),"　","")," ",""),",",""),"，",""),"、","")),
IF(_xlpm.resp="",99,
SUMPRODUCT(--(ISNUMBER(SEARCH(_xlpm.opts,_xlpm.ans))&lt;&gt;ISNUMBER(SEARCH(_xlpm.opts,_xlpm.resp)))))
)</f>
        <v>1</v>
      </c>
      <c r="M21" s="7">
        <f>IF(H21=0,3,IF(H21=1,1.8,IF(H21=2,0.6,0)))</f>
        <v>0</v>
      </c>
      <c r="N21" s="7">
        <f t="shared" ref="N21:Q28" si="15">IF(I21=0,3,IF(I21=1,1.8,IF(I21=2,0.6,0)))</f>
        <v>0.6</v>
      </c>
      <c r="O21" s="7">
        <f t="shared" si="15"/>
        <v>0.6</v>
      </c>
      <c r="P21" s="7">
        <f t="shared" si="15"/>
        <v>0.6</v>
      </c>
      <c r="Q21" s="7">
        <f t="shared" si="15"/>
        <v>1.8</v>
      </c>
      <c r="R21" s="2"/>
    </row>
    <row r="22" spans="1:18" ht="15.75" customHeight="1">
      <c r="A22" s="10" t="s">
        <v>91</v>
      </c>
      <c r="B22" s="5" t="s">
        <v>57</v>
      </c>
      <c r="C22" s="34" t="s">
        <v>44</v>
      </c>
      <c r="D22" s="35" t="s">
        <v>57</v>
      </c>
      <c r="E22" s="35" t="s">
        <v>20</v>
      </c>
      <c r="F22" s="35" t="s">
        <v>20</v>
      </c>
      <c r="G22" s="35" t="s">
        <v>40</v>
      </c>
      <c r="H22" s="14" cm="1">
        <f t="array" ref="H22">_xlfn.LET(
_xlpm.opts,{"A","B","C","D","E"},
_xlpm.ans,UPPER(SUBSTITUTE(SUBSTITUTE(SUBSTITUTE(SUBSTITUTE(SUBSTITUTE(TRIM($B22),"　","")," ",""),",",""),"，",""),"、","")),
_xlpm.resp,UPPER(SUBSTITUTE(SUBSTITUTE(SUBSTITUTE(SUBSTITUTE(SUBSTITUTE(TRIM(C22),"　","")," ",""),",",""),"，",""),"、","")),
IF(_xlpm.resp="",99,
SUMPRODUCT(--(ISNUMBER(SEARCH(_xlpm.opts,_xlpm.ans))&lt;&gt;ISNUMBER(SEARCH(_xlpm.opts,_xlpm.resp)))))
)</f>
        <v>3</v>
      </c>
      <c r="I22" s="14" cm="1">
        <f t="array" ref="I22">_xlfn.LET(
_xlpm.opts,{"A","B","C","D","E"},
_xlpm.ans,UPPER(SUBSTITUTE(SUBSTITUTE(SUBSTITUTE(SUBSTITUTE(SUBSTITUTE(TRIM($B22),"　","")," ",""),",",""),"，",""),"、","")),
_xlpm.resp,UPPER(SUBSTITUTE(SUBSTITUTE(SUBSTITUTE(SUBSTITUTE(SUBSTITUTE(TRIM(D22),"　","")," ",""),",",""),"，",""),"、","")),
IF(_xlpm.resp="",99,
SUMPRODUCT(--(ISNUMBER(SEARCH(_xlpm.opts,_xlpm.ans))&lt;&gt;ISNUMBER(SEARCH(_xlpm.opts,_xlpm.resp)))))
)</f>
        <v>0</v>
      </c>
      <c r="J22" s="14" cm="1">
        <f t="array" ref="J22">_xlfn.LET(
_xlpm.opts,{"A","B","C","D","E"},
_xlpm.ans,UPPER(SUBSTITUTE(SUBSTITUTE(SUBSTITUTE(SUBSTITUTE(SUBSTITUTE(TRIM($B22),"　","")," ",""),",",""),"，",""),"、","")),
_xlpm.resp,UPPER(SUBSTITUTE(SUBSTITUTE(SUBSTITUTE(SUBSTITUTE(SUBSTITUTE(TRIM(E22),"　","")," ",""),",",""),"，",""),"、","")),
IF(_xlpm.resp="",99,
SUMPRODUCT(--(ISNUMBER(SEARCH(_xlpm.opts,_xlpm.ans))&lt;&gt;ISNUMBER(SEARCH(_xlpm.opts,_xlpm.resp)))))
)</f>
        <v>4</v>
      </c>
      <c r="K22" s="14" cm="1">
        <f t="array" ref="K22">_xlfn.LET(
_xlpm.opts,{"A","B","C","D","E"},
_xlpm.ans,UPPER(SUBSTITUTE(SUBSTITUTE(SUBSTITUTE(SUBSTITUTE(SUBSTITUTE(TRIM($B22),"　","")," ",""),",",""),"，",""),"、","")),
_xlpm.resp,UPPER(SUBSTITUTE(SUBSTITUTE(SUBSTITUTE(SUBSTITUTE(SUBSTITUTE(TRIM(F22),"　","")," ",""),",",""),"，",""),"、","")),
IF(_xlpm.resp="",99,
SUMPRODUCT(--(ISNUMBER(SEARCH(_xlpm.opts,_xlpm.ans))&lt;&gt;ISNUMBER(SEARCH(_xlpm.opts,_xlpm.resp)))))
)</f>
        <v>4</v>
      </c>
      <c r="L22" s="14" cm="1">
        <f t="array" ref="L22">_xlfn.LET(
_xlpm.opts,{"A","B","C","D","E"},
_xlpm.ans,UPPER(SUBSTITUTE(SUBSTITUTE(SUBSTITUTE(SUBSTITUTE(SUBSTITUTE(TRIM($B22),"　","")," ",""),",",""),"，",""),"、","")),
_xlpm.resp,UPPER(SUBSTITUTE(SUBSTITUTE(SUBSTITUTE(SUBSTITUTE(SUBSTITUTE(TRIM(G22),"　","")," ",""),",",""),"，",""),"、","")),
IF(_xlpm.resp="",99,
SUMPRODUCT(--(ISNUMBER(SEARCH(_xlpm.opts,_xlpm.ans))&lt;&gt;ISNUMBER(SEARCH(_xlpm.opts,_xlpm.resp)))))
)</f>
        <v>1</v>
      </c>
      <c r="M22" s="7">
        <f t="shared" ref="M22:M28" si="16">IF(H22=0,3,IF(H22=1,1.8,IF(H22=2,0.6,0)))</f>
        <v>0</v>
      </c>
      <c r="N22" s="7">
        <f t="shared" si="15"/>
        <v>3</v>
      </c>
      <c r="O22" s="7">
        <f t="shared" si="15"/>
        <v>0</v>
      </c>
      <c r="P22" s="7">
        <f t="shared" si="15"/>
        <v>0</v>
      </c>
      <c r="Q22" s="7">
        <f t="shared" si="15"/>
        <v>1.8</v>
      </c>
      <c r="R22" s="11"/>
    </row>
    <row r="23" spans="1:18" ht="15.75" customHeight="1">
      <c r="A23" s="10" t="s">
        <v>92</v>
      </c>
      <c r="B23" s="5" t="s">
        <v>40</v>
      </c>
      <c r="C23" s="34" t="s">
        <v>57</v>
      </c>
      <c r="D23" s="35" t="s">
        <v>40</v>
      </c>
      <c r="E23" s="35" t="s">
        <v>40</v>
      </c>
      <c r="F23" s="35" t="s">
        <v>40</v>
      </c>
      <c r="G23" s="35" t="s">
        <v>40</v>
      </c>
      <c r="H23" s="14" cm="1">
        <f t="array" ref="H23">_xlfn.LET(
_xlpm.opts,{"A","B","C","D","E"},
_xlpm.ans,UPPER(SUBSTITUTE(SUBSTITUTE(SUBSTITUTE(SUBSTITUTE(SUBSTITUTE(TRIM($B23),"　","")," ",""),",",""),"，",""),"、","")),
_xlpm.resp,UPPER(SUBSTITUTE(SUBSTITUTE(SUBSTITUTE(SUBSTITUTE(SUBSTITUTE(TRIM(C23),"　","")," ",""),",",""),"，",""),"、","")),
IF(_xlpm.resp="",99,
SUMPRODUCT(--(ISNUMBER(SEARCH(_xlpm.opts,_xlpm.ans))&lt;&gt;ISNUMBER(SEARCH(_xlpm.opts,_xlpm.resp)))))
)</f>
        <v>1</v>
      </c>
      <c r="I23" s="14" cm="1">
        <f t="array" ref="I23">_xlfn.LET(
_xlpm.opts,{"A","B","C","D","E"},
_xlpm.ans,UPPER(SUBSTITUTE(SUBSTITUTE(SUBSTITUTE(SUBSTITUTE(SUBSTITUTE(TRIM($B23),"　","")," ",""),",",""),"，",""),"、","")),
_xlpm.resp,UPPER(SUBSTITUTE(SUBSTITUTE(SUBSTITUTE(SUBSTITUTE(SUBSTITUTE(TRIM(D23),"　","")," ",""),",",""),"，",""),"、","")),
IF(_xlpm.resp="",99,
SUMPRODUCT(--(ISNUMBER(SEARCH(_xlpm.opts,_xlpm.ans))&lt;&gt;ISNUMBER(SEARCH(_xlpm.opts,_xlpm.resp)))))
)</f>
        <v>0</v>
      </c>
      <c r="J23" s="14" cm="1">
        <f t="array" ref="J23">_xlfn.LET(
_xlpm.opts,{"A","B","C","D","E"},
_xlpm.ans,UPPER(SUBSTITUTE(SUBSTITUTE(SUBSTITUTE(SUBSTITUTE(SUBSTITUTE(TRIM($B23),"　","")," ",""),",",""),"，",""),"、","")),
_xlpm.resp,UPPER(SUBSTITUTE(SUBSTITUTE(SUBSTITUTE(SUBSTITUTE(SUBSTITUTE(TRIM(E23),"　","")," ",""),",",""),"，",""),"、","")),
IF(_xlpm.resp="",99,
SUMPRODUCT(--(ISNUMBER(SEARCH(_xlpm.opts,_xlpm.ans))&lt;&gt;ISNUMBER(SEARCH(_xlpm.opts,_xlpm.resp)))))
)</f>
        <v>0</v>
      </c>
      <c r="K23" s="14" cm="1">
        <f t="array" ref="K23">_xlfn.LET(
_xlpm.opts,{"A","B","C","D","E"},
_xlpm.ans,UPPER(SUBSTITUTE(SUBSTITUTE(SUBSTITUTE(SUBSTITUTE(SUBSTITUTE(TRIM($B23),"　","")," ",""),",",""),"，",""),"、","")),
_xlpm.resp,UPPER(SUBSTITUTE(SUBSTITUTE(SUBSTITUTE(SUBSTITUTE(SUBSTITUTE(TRIM(F23),"　","")," ",""),",",""),"，",""),"、","")),
IF(_xlpm.resp="",99,
SUMPRODUCT(--(ISNUMBER(SEARCH(_xlpm.opts,_xlpm.ans))&lt;&gt;ISNUMBER(SEARCH(_xlpm.opts,_xlpm.resp)))))
)</f>
        <v>0</v>
      </c>
      <c r="L23" s="14" cm="1">
        <f t="array" ref="L23">_xlfn.LET(
_xlpm.opts,{"A","B","C","D","E"},
_xlpm.ans,UPPER(SUBSTITUTE(SUBSTITUTE(SUBSTITUTE(SUBSTITUTE(SUBSTITUTE(TRIM($B23),"　","")," ",""),",",""),"，",""),"、","")),
_xlpm.resp,UPPER(SUBSTITUTE(SUBSTITUTE(SUBSTITUTE(SUBSTITUTE(SUBSTITUTE(TRIM(G23),"　","")," ",""),",",""),"，",""),"、","")),
IF(_xlpm.resp="",99,
SUMPRODUCT(--(ISNUMBER(SEARCH(_xlpm.opts,_xlpm.ans))&lt;&gt;ISNUMBER(SEARCH(_xlpm.opts,_xlpm.resp)))))
)</f>
        <v>0</v>
      </c>
      <c r="M23" s="7">
        <f t="shared" si="16"/>
        <v>1.8</v>
      </c>
      <c r="N23" s="7">
        <f t="shared" si="15"/>
        <v>3</v>
      </c>
      <c r="O23" s="7">
        <f t="shared" si="15"/>
        <v>3</v>
      </c>
      <c r="P23" s="7">
        <f t="shared" si="15"/>
        <v>3</v>
      </c>
      <c r="Q23" s="7">
        <f t="shared" si="15"/>
        <v>3</v>
      </c>
      <c r="R23" s="11"/>
    </row>
    <row r="24" spans="1:18" ht="15.75" customHeight="1">
      <c r="A24" s="10" t="s">
        <v>93</v>
      </c>
      <c r="B24" s="5" t="s">
        <v>94</v>
      </c>
      <c r="C24" s="34" t="s">
        <v>57</v>
      </c>
      <c r="D24" s="35" t="s">
        <v>95</v>
      </c>
      <c r="E24" s="35" t="s">
        <v>47</v>
      </c>
      <c r="F24" s="35" t="s">
        <v>47</v>
      </c>
      <c r="G24" s="35" t="s">
        <v>94</v>
      </c>
      <c r="H24" s="14" cm="1">
        <f t="array" ref="H24">_xlfn.LET(
_xlpm.opts,{"A","B","C","D","E"},
_xlpm.ans,UPPER(SUBSTITUTE(SUBSTITUTE(SUBSTITUTE(SUBSTITUTE(SUBSTITUTE(TRIM($B24),"　","")," ",""),",",""),"，",""),"、","")),
_xlpm.resp,UPPER(SUBSTITUTE(SUBSTITUTE(SUBSTITUTE(SUBSTITUTE(SUBSTITUTE(TRIM(C24),"　","")," ",""),",",""),"，",""),"、","")),
IF(_xlpm.resp="",99,
SUMPRODUCT(--(ISNUMBER(SEARCH(_xlpm.opts,_xlpm.ans))&lt;&gt;ISNUMBER(SEARCH(_xlpm.opts,_xlpm.resp)))))
)</f>
        <v>1</v>
      </c>
      <c r="I24" s="14" cm="1">
        <f t="array" ref="I24">_xlfn.LET(
_xlpm.opts,{"A","B","C","D","E"},
_xlpm.ans,UPPER(SUBSTITUTE(SUBSTITUTE(SUBSTITUTE(SUBSTITUTE(SUBSTITUTE(TRIM($B24),"　","")," ",""),",",""),"，",""),"、","")),
_xlpm.resp,UPPER(SUBSTITUTE(SUBSTITUTE(SUBSTITUTE(SUBSTITUTE(SUBSTITUTE(TRIM(D24),"　","")," ",""),",",""),"，",""),"、","")),
IF(_xlpm.resp="",99,
SUMPRODUCT(--(ISNUMBER(SEARCH(_xlpm.opts,_xlpm.ans))&lt;&gt;ISNUMBER(SEARCH(_xlpm.opts,_xlpm.resp)))))
)</f>
        <v>1</v>
      </c>
      <c r="J24" s="14" cm="1">
        <f t="array" ref="J24">_xlfn.LET(
_xlpm.opts,{"A","B","C","D","E"},
_xlpm.ans,UPPER(SUBSTITUTE(SUBSTITUTE(SUBSTITUTE(SUBSTITUTE(SUBSTITUTE(TRIM($B24),"　","")," ",""),",",""),"，",""),"、","")),
_xlpm.resp,UPPER(SUBSTITUTE(SUBSTITUTE(SUBSTITUTE(SUBSTITUTE(SUBSTITUTE(TRIM(E24),"　","")," ",""),",",""),"，",""),"、","")),
IF(_xlpm.resp="",99,
SUMPRODUCT(--(ISNUMBER(SEARCH(_xlpm.opts,_xlpm.ans))&lt;&gt;ISNUMBER(SEARCH(_xlpm.opts,_xlpm.resp)))))
)</f>
        <v>3</v>
      </c>
      <c r="K24" s="14" cm="1">
        <f t="array" ref="K24">_xlfn.LET(
_xlpm.opts,{"A","B","C","D","E"},
_xlpm.ans,UPPER(SUBSTITUTE(SUBSTITUTE(SUBSTITUTE(SUBSTITUTE(SUBSTITUTE(TRIM($B24),"　","")," ",""),",",""),"，",""),"、","")),
_xlpm.resp,UPPER(SUBSTITUTE(SUBSTITUTE(SUBSTITUTE(SUBSTITUTE(SUBSTITUTE(TRIM(F24),"　","")," ",""),",",""),"，",""),"、","")),
IF(_xlpm.resp="",99,
SUMPRODUCT(--(ISNUMBER(SEARCH(_xlpm.opts,_xlpm.ans))&lt;&gt;ISNUMBER(SEARCH(_xlpm.opts,_xlpm.resp)))))
)</f>
        <v>3</v>
      </c>
      <c r="L24" s="14" cm="1">
        <f t="array" ref="L24">_xlfn.LET(
_xlpm.opts,{"A","B","C","D","E"},
_xlpm.ans,UPPER(SUBSTITUTE(SUBSTITUTE(SUBSTITUTE(SUBSTITUTE(SUBSTITUTE(TRIM($B24),"　","")," ",""),",",""),"，",""),"、","")),
_xlpm.resp,UPPER(SUBSTITUTE(SUBSTITUTE(SUBSTITUTE(SUBSTITUTE(SUBSTITUTE(TRIM(G24),"　","")," ",""),",",""),"，",""),"、","")),
IF(_xlpm.resp="",99,
SUMPRODUCT(--(ISNUMBER(SEARCH(_xlpm.opts,_xlpm.ans))&lt;&gt;ISNUMBER(SEARCH(_xlpm.opts,_xlpm.resp)))))
)</f>
        <v>0</v>
      </c>
      <c r="M24" s="7">
        <f t="shared" si="16"/>
        <v>1.8</v>
      </c>
      <c r="N24" s="7">
        <f t="shared" si="15"/>
        <v>1.8</v>
      </c>
      <c r="O24" s="7">
        <f t="shared" si="15"/>
        <v>0</v>
      </c>
      <c r="P24" s="7">
        <f t="shared" si="15"/>
        <v>0</v>
      </c>
      <c r="Q24" s="7">
        <f t="shared" si="15"/>
        <v>3</v>
      </c>
      <c r="R24" s="11"/>
    </row>
    <row r="25" spans="1:18" ht="15.75" customHeight="1">
      <c r="A25" s="10" t="s">
        <v>96</v>
      </c>
      <c r="B25" s="5" t="s">
        <v>97</v>
      </c>
      <c r="C25" s="34" t="s">
        <v>97</v>
      </c>
      <c r="D25" s="34" t="s">
        <v>95</v>
      </c>
      <c r="E25" s="35" t="s">
        <v>39</v>
      </c>
      <c r="F25" s="35" t="s">
        <v>39</v>
      </c>
      <c r="G25" s="35" t="s">
        <v>54</v>
      </c>
      <c r="H25" s="14" cm="1">
        <f t="array" ref="H25">_xlfn.LET(
_xlpm.opts,{"A","B","C","D","E"},
_xlpm.ans,UPPER(SUBSTITUTE(SUBSTITUTE(SUBSTITUTE(SUBSTITUTE(SUBSTITUTE(TRIM($B25),"　","")," ",""),",",""),"，",""),"、","")),
_xlpm.resp,UPPER(SUBSTITUTE(SUBSTITUTE(SUBSTITUTE(SUBSTITUTE(SUBSTITUTE(TRIM(C25),"　","")," ",""),",",""),"，",""),"、","")),
IF(_xlpm.resp="",99,
SUMPRODUCT(--(ISNUMBER(SEARCH(_xlpm.opts,_xlpm.ans))&lt;&gt;ISNUMBER(SEARCH(_xlpm.opts,_xlpm.resp)))))
)</f>
        <v>0</v>
      </c>
      <c r="I25" s="14" cm="1">
        <f t="array" ref="I25">_xlfn.LET(
_xlpm.opts,{"A","B","C","D","E"},
_xlpm.ans,UPPER(SUBSTITUTE(SUBSTITUTE(SUBSTITUTE(SUBSTITUTE(SUBSTITUTE(TRIM($B25),"　","")," ",""),",",""),"，",""),"、","")),
_xlpm.resp,UPPER(SUBSTITUTE(SUBSTITUTE(SUBSTITUTE(SUBSTITUTE(SUBSTITUTE(TRIM(D25),"　","")," ",""),",",""),"，",""),"、","")),
IF(_xlpm.resp="",99,
SUMPRODUCT(--(ISNUMBER(SEARCH(_xlpm.opts,_xlpm.ans))&lt;&gt;ISNUMBER(SEARCH(_xlpm.opts,_xlpm.resp)))))
)</f>
        <v>1</v>
      </c>
      <c r="J25" s="14" cm="1">
        <f t="array" ref="J25">_xlfn.LET(
_xlpm.opts,{"A","B","C","D","E"},
_xlpm.ans,UPPER(SUBSTITUTE(SUBSTITUTE(SUBSTITUTE(SUBSTITUTE(SUBSTITUTE(TRIM($B25),"　","")," ",""),",",""),"，",""),"、","")),
_xlpm.resp,UPPER(SUBSTITUTE(SUBSTITUTE(SUBSTITUTE(SUBSTITUTE(SUBSTITUTE(TRIM(E25),"　","")," ",""),",",""),"，",""),"、","")),
IF(_xlpm.resp="",99,
SUMPRODUCT(--(ISNUMBER(SEARCH(_xlpm.opts,_xlpm.ans))&lt;&gt;ISNUMBER(SEARCH(_xlpm.opts,_xlpm.resp)))))
)</f>
        <v>2</v>
      </c>
      <c r="K25" s="14" cm="1">
        <f t="array" ref="K25">_xlfn.LET(
_xlpm.opts,{"A","B","C","D","E"},
_xlpm.ans,UPPER(SUBSTITUTE(SUBSTITUTE(SUBSTITUTE(SUBSTITUTE(SUBSTITUTE(TRIM($B25),"　","")," ",""),",",""),"，",""),"、","")),
_xlpm.resp,UPPER(SUBSTITUTE(SUBSTITUTE(SUBSTITUTE(SUBSTITUTE(SUBSTITUTE(TRIM(F25),"　","")," ",""),",",""),"，",""),"、","")),
IF(_xlpm.resp="",99,
SUMPRODUCT(--(ISNUMBER(SEARCH(_xlpm.opts,_xlpm.ans))&lt;&gt;ISNUMBER(SEARCH(_xlpm.opts,_xlpm.resp)))))
)</f>
        <v>2</v>
      </c>
      <c r="L25" s="14" cm="1">
        <f t="array" ref="L25">_xlfn.LET(
_xlpm.opts,{"A","B","C","D","E"},
_xlpm.ans,UPPER(SUBSTITUTE(SUBSTITUTE(SUBSTITUTE(SUBSTITUTE(SUBSTITUTE(TRIM($B25),"　","")," ",""),",",""),"，",""),"、","")),
_xlpm.resp,UPPER(SUBSTITUTE(SUBSTITUTE(SUBSTITUTE(SUBSTITUTE(SUBSTITUTE(TRIM(G25),"　","")," ",""),",",""),"，",""),"、","")),
IF(_xlpm.resp="",99,
SUMPRODUCT(--(ISNUMBER(SEARCH(_xlpm.opts,_xlpm.ans))&lt;&gt;ISNUMBER(SEARCH(_xlpm.opts,_xlpm.resp)))))
)</f>
        <v>1</v>
      </c>
      <c r="M25" s="7">
        <f t="shared" si="16"/>
        <v>3</v>
      </c>
      <c r="N25" s="7">
        <f t="shared" si="15"/>
        <v>1.8</v>
      </c>
      <c r="O25" s="7">
        <f t="shared" si="15"/>
        <v>0.6</v>
      </c>
      <c r="P25" s="7">
        <f t="shared" si="15"/>
        <v>0.6</v>
      </c>
      <c r="Q25" s="7">
        <f t="shared" si="15"/>
        <v>1.8</v>
      </c>
      <c r="R25" s="11"/>
    </row>
    <row r="26" spans="1:18" ht="15.75" customHeight="1">
      <c r="A26" s="10" t="s">
        <v>98</v>
      </c>
      <c r="B26" s="5" t="s">
        <v>99</v>
      </c>
      <c r="C26" s="34" t="s">
        <v>99</v>
      </c>
      <c r="D26" s="35" t="s">
        <v>99</v>
      </c>
      <c r="E26" s="35" t="s">
        <v>99</v>
      </c>
      <c r="F26" s="35" t="s">
        <v>99</v>
      </c>
      <c r="G26" s="35" t="s">
        <v>99</v>
      </c>
      <c r="H26" s="14" cm="1">
        <f t="array" ref="H26">_xlfn.LET(
_xlpm.opts,{"A","B","C","D","E"},
_xlpm.ans,UPPER(SUBSTITUTE(SUBSTITUTE(SUBSTITUTE(SUBSTITUTE(SUBSTITUTE(TRIM($B26),"　","")," ",""),",",""),"，",""),"、","")),
_xlpm.resp,UPPER(SUBSTITUTE(SUBSTITUTE(SUBSTITUTE(SUBSTITUTE(SUBSTITUTE(TRIM(C26),"　","")," ",""),",",""),"，",""),"、","")),
IF(_xlpm.resp="",99,
SUMPRODUCT(--(ISNUMBER(SEARCH(_xlpm.opts,_xlpm.ans))&lt;&gt;ISNUMBER(SEARCH(_xlpm.opts,_xlpm.resp)))))
)</f>
        <v>0</v>
      </c>
      <c r="I26" s="14" cm="1">
        <f t="array" ref="I26">_xlfn.LET(
_xlpm.opts,{"A","B","C","D","E"},
_xlpm.ans,UPPER(SUBSTITUTE(SUBSTITUTE(SUBSTITUTE(SUBSTITUTE(SUBSTITUTE(TRIM($B26),"　","")," ",""),",",""),"，",""),"、","")),
_xlpm.resp,UPPER(SUBSTITUTE(SUBSTITUTE(SUBSTITUTE(SUBSTITUTE(SUBSTITUTE(TRIM(D26),"　","")," ",""),",",""),"，",""),"、","")),
IF(_xlpm.resp="",99,
SUMPRODUCT(--(ISNUMBER(SEARCH(_xlpm.opts,_xlpm.ans))&lt;&gt;ISNUMBER(SEARCH(_xlpm.opts,_xlpm.resp)))))
)</f>
        <v>0</v>
      </c>
      <c r="J26" s="14" cm="1">
        <f t="array" ref="J26">_xlfn.LET(
_xlpm.opts,{"A","B","C","D","E"},
_xlpm.ans,UPPER(SUBSTITUTE(SUBSTITUTE(SUBSTITUTE(SUBSTITUTE(SUBSTITUTE(TRIM($B26),"　","")," ",""),",",""),"，",""),"、","")),
_xlpm.resp,UPPER(SUBSTITUTE(SUBSTITUTE(SUBSTITUTE(SUBSTITUTE(SUBSTITUTE(TRIM(E26),"　","")," ",""),",",""),"，",""),"、","")),
IF(_xlpm.resp="",99,
SUMPRODUCT(--(ISNUMBER(SEARCH(_xlpm.opts,_xlpm.ans))&lt;&gt;ISNUMBER(SEARCH(_xlpm.opts,_xlpm.resp)))))
)</f>
        <v>0</v>
      </c>
      <c r="K26" s="14" cm="1">
        <f t="array" ref="K26">_xlfn.LET(
_xlpm.opts,{"A","B","C","D","E"},
_xlpm.ans,UPPER(SUBSTITUTE(SUBSTITUTE(SUBSTITUTE(SUBSTITUTE(SUBSTITUTE(TRIM($B26),"　","")," ",""),",",""),"，",""),"、","")),
_xlpm.resp,UPPER(SUBSTITUTE(SUBSTITUTE(SUBSTITUTE(SUBSTITUTE(SUBSTITUTE(TRIM(F26),"　","")," ",""),",",""),"，",""),"、","")),
IF(_xlpm.resp="",99,
SUMPRODUCT(--(ISNUMBER(SEARCH(_xlpm.opts,_xlpm.ans))&lt;&gt;ISNUMBER(SEARCH(_xlpm.opts,_xlpm.resp)))))
)</f>
        <v>0</v>
      </c>
      <c r="L26" s="14" cm="1">
        <f t="array" ref="L26">_xlfn.LET(
_xlpm.opts,{"A","B","C","D","E"},
_xlpm.ans,UPPER(SUBSTITUTE(SUBSTITUTE(SUBSTITUTE(SUBSTITUTE(SUBSTITUTE(TRIM($B26),"　","")," ",""),",",""),"，",""),"、","")),
_xlpm.resp,UPPER(SUBSTITUTE(SUBSTITUTE(SUBSTITUTE(SUBSTITUTE(SUBSTITUTE(TRIM(G26),"　","")," ",""),",",""),"，",""),"、","")),
IF(_xlpm.resp="",99,
SUMPRODUCT(--(ISNUMBER(SEARCH(_xlpm.opts,_xlpm.ans))&lt;&gt;ISNUMBER(SEARCH(_xlpm.opts,_xlpm.resp)))))
)</f>
        <v>0</v>
      </c>
      <c r="M26" s="7">
        <f t="shared" si="16"/>
        <v>3</v>
      </c>
      <c r="N26" s="7">
        <f t="shared" si="15"/>
        <v>3</v>
      </c>
      <c r="O26" s="7">
        <f t="shared" si="15"/>
        <v>3</v>
      </c>
      <c r="P26" s="7">
        <f t="shared" si="15"/>
        <v>3</v>
      </c>
      <c r="Q26" s="7">
        <f t="shared" si="15"/>
        <v>3</v>
      </c>
      <c r="R26" s="11"/>
    </row>
    <row r="27" spans="1:18" ht="15.75" customHeight="1">
      <c r="A27" s="10" t="s">
        <v>100</v>
      </c>
      <c r="B27" s="5" t="s">
        <v>101</v>
      </c>
      <c r="C27" s="34" t="s">
        <v>102</v>
      </c>
      <c r="D27" s="35" t="s">
        <v>54</v>
      </c>
      <c r="E27" s="35" t="s">
        <v>95</v>
      </c>
      <c r="F27" s="35" t="s">
        <v>95</v>
      </c>
      <c r="G27" s="35" t="s">
        <v>54</v>
      </c>
      <c r="H27" s="14" cm="1">
        <f t="array" ref="H27">_xlfn.LET(
_xlpm.opts,{"A","B","C","D","E"},
_xlpm.ans,UPPER(SUBSTITUTE(SUBSTITUTE(SUBSTITUTE(SUBSTITUTE(SUBSTITUTE(TRIM($B27),"　","")," ",""),",",""),"，",""),"、","")),
_xlpm.resp,UPPER(SUBSTITUTE(SUBSTITUTE(SUBSTITUTE(SUBSTITUTE(SUBSTITUTE(TRIM(C27),"　","")," ",""),",",""),"，",""),"、","")),
IF(_xlpm.resp="",99,
SUMPRODUCT(--(ISNUMBER(SEARCH(_xlpm.opts,_xlpm.ans))&lt;&gt;ISNUMBER(SEARCH(_xlpm.opts,_xlpm.resp)))))
)</f>
        <v>2</v>
      </c>
      <c r="I27" s="14" cm="1">
        <f t="array" ref="I27">_xlfn.LET(
_xlpm.opts,{"A","B","C","D","E"},
_xlpm.ans,UPPER(SUBSTITUTE(SUBSTITUTE(SUBSTITUTE(SUBSTITUTE(SUBSTITUTE(TRIM($B27),"　","")," ",""),",",""),"，",""),"、","")),
_xlpm.resp,UPPER(SUBSTITUTE(SUBSTITUTE(SUBSTITUTE(SUBSTITUTE(SUBSTITUTE(TRIM(D27),"　","")," ",""),",",""),"，",""),"、","")),
IF(_xlpm.resp="",99,
SUMPRODUCT(--(ISNUMBER(SEARCH(_xlpm.opts,_xlpm.ans))&lt;&gt;ISNUMBER(SEARCH(_xlpm.opts,_xlpm.resp)))))
)</f>
        <v>1</v>
      </c>
      <c r="J27" s="14" cm="1">
        <f t="array" ref="J27">_xlfn.LET(
_xlpm.opts,{"A","B","C","D","E"},
_xlpm.ans,UPPER(SUBSTITUTE(SUBSTITUTE(SUBSTITUTE(SUBSTITUTE(SUBSTITUTE(TRIM($B27),"　","")," ",""),",",""),"，",""),"、","")),
_xlpm.resp,UPPER(SUBSTITUTE(SUBSTITUTE(SUBSTITUTE(SUBSTITUTE(SUBSTITUTE(TRIM(E27),"　","")," ",""),",",""),"，",""),"、","")),
IF(_xlpm.resp="",99,
SUMPRODUCT(--(ISNUMBER(SEARCH(_xlpm.opts,_xlpm.ans))&lt;&gt;ISNUMBER(SEARCH(_xlpm.opts,_xlpm.resp)))))
)</f>
        <v>3</v>
      </c>
      <c r="K27" s="14" cm="1">
        <f t="array" ref="K27">_xlfn.LET(
_xlpm.opts,{"A","B","C","D","E"},
_xlpm.ans,UPPER(SUBSTITUTE(SUBSTITUTE(SUBSTITUTE(SUBSTITUTE(SUBSTITUTE(TRIM($B27),"　","")," ",""),",",""),"，",""),"、","")),
_xlpm.resp,UPPER(SUBSTITUTE(SUBSTITUTE(SUBSTITUTE(SUBSTITUTE(SUBSTITUTE(TRIM(F27),"　","")," ",""),",",""),"，",""),"、","")),
IF(_xlpm.resp="",99,
SUMPRODUCT(--(ISNUMBER(SEARCH(_xlpm.opts,_xlpm.ans))&lt;&gt;ISNUMBER(SEARCH(_xlpm.opts,_xlpm.resp)))))
)</f>
        <v>3</v>
      </c>
      <c r="L27" s="14" cm="1">
        <f t="array" ref="L27">_xlfn.LET(
_xlpm.opts,{"A","B","C","D","E"},
_xlpm.ans,UPPER(SUBSTITUTE(SUBSTITUTE(SUBSTITUTE(SUBSTITUTE(SUBSTITUTE(TRIM($B27),"　","")," ",""),",",""),"，",""),"、","")),
_xlpm.resp,UPPER(SUBSTITUTE(SUBSTITUTE(SUBSTITUTE(SUBSTITUTE(SUBSTITUTE(TRIM(G27),"　","")," ",""),",",""),"，",""),"、","")),
IF(_xlpm.resp="",99,
SUMPRODUCT(--(ISNUMBER(SEARCH(_xlpm.opts,_xlpm.ans))&lt;&gt;ISNUMBER(SEARCH(_xlpm.opts,_xlpm.resp)))))
)</f>
        <v>1</v>
      </c>
      <c r="M27" s="7">
        <f t="shared" si="16"/>
        <v>0.6</v>
      </c>
      <c r="N27" s="7">
        <f t="shared" si="15"/>
        <v>1.8</v>
      </c>
      <c r="O27" s="7">
        <f t="shared" si="15"/>
        <v>0</v>
      </c>
      <c r="P27" s="7">
        <f t="shared" si="15"/>
        <v>0</v>
      </c>
      <c r="Q27" s="7">
        <f t="shared" si="15"/>
        <v>1.8</v>
      </c>
      <c r="R27" s="11"/>
    </row>
    <row r="28" spans="1:18" ht="15.75" customHeight="1">
      <c r="A28" s="10" t="s">
        <v>103</v>
      </c>
      <c r="B28" s="5" t="s">
        <v>57</v>
      </c>
      <c r="C28" s="34" t="s">
        <v>57</v>
      </c>
      <c r="D28" s="34" t="s">
        <v>57</v>
      </c>
      <c r="E28" s="35" t="s">
        <v>94</v>
      </c>
      <c r="F28" s="35" t="s">
        <v>94</v>
      </c>
      <c r="G28" s="35" t="s">
        <v>57</v>
      </c>
      <c r="H28" s="14" cm="1">
        <f t="array" ref="H28">_xlfn.LET(
_xlpm.opts,{"A","B","C","D","E"},
_xlpm.ans,UPPER(SUBSTITUTE(SUBSTITUTE(SUBSTITUTE(SUBSTITUTE(SUBSTITUTE(TRIM($B28),"　","")," ",""),",",""),"，",""),"、","")),
_xlpm.resp,UPPER(SUBSTITUTE(SUBSTITUTE(SUBSTITUTE(SUBSTITUTE(SUBSTITUTE(TRIM(C28),"　","")," ",""),",",""),"，",""),"、","")),
IF(_xlpm.resp="",99,
SUMPRODUCT(--(ISNUMBER(SEARCH(_xlpm.opts,_xlpm.ans))&lt;&gt;ISNUMBER(SEARCH(_xlpm.opts,_xlpm.resp)))))
)</f>
        <v>0</v>
      </c>
      <c r="I28" s="14" cm="1">
        <f t="array" ref="I28">_xlfn.LET(
_xlpm.opts,{"A","B","C","D","E"},
_xlpm.ans,UPPER(SUBSTITUTE(SUBSTITUTE(SUBSTITUTE(SUBSTITUTE(SUBSTITUTE(TRIM($B28),"　","")," ",""),",",""),"，",""),"、","")),
_xlpm.resp,UPPER(SUBSTITUTE(SUBSTITUTE(SUBSTITUTE(SUBSTITUTE(SUBSTITUTE(TRIM(D28),"　","")," ",""),",",""),"，",""),"、","")),
IF(_xlpm.resp="",99,
SUMPRODUCT(--(ISNUMBER(SEARCH(_xlpm.opts,_xlpm.ans))&lt;&gt;ISNUMBER(SEARCH(_xlpm.opts,_xlpm.resp)))))
)</f>
        <v>0</v>
      </c>
      <c r="J28" s="14" cm="1">
        <f t="array" ref="J28">_xlfn.LET(
_xlpm.opts,{"A","B","C","D","E"},
_xlpm.ans,UPPER(SUBSTITUTE(SUBSTITUTE(SUBSTITUTE(SUBSTITUTE(SUBSTITUTE(TRIM($B28),"　","")," ",""),",",""),"，",""),"、","")),
_xlpm.resp,UPPER(SUBSTITUTE(SUBSTITUTE(SUBSTITUTE(SUBSTITUTE(SUBSTITUTE(TRIM(E28),"　","")," ",""),",",""),"，",""),"、","")),
IF(_xlpm.resp="",99,
SUMPRODUCT(--(ISNUMBER(SEARCH(_xlpm.opts,_xlpm.ans))&lt;&gt;ISNUMBER(SEARCH(_xlpm.opts,_xlpm.resp)))))
)</f>
        <v>1</v>
      </c>
      <c r="K28" s="14" cm="1">
        <f t="array" ref="K28">_xlfn.LET(
_xlpm.opts,{"A","B","C","D","E"},
_xlpm.ans,UPPER(SUBSTITUTE(SUBSTITUTE(SUBSTITUTE(SUBSTITUTE(SUBSTITUTE(TRIM($B28),"　","")," ",""),",",""),"，",""),"、","")),
_xlpm.resp,UPPER(SUBSTITUTE(SUBSTITUTE(SUBSTITUTE(SUBSTITUTE(SUBSTITUTE(TRIM(F28),"　","")," ",""),",",""),"，",""),"、","")),
IF(_xlpm.resp="",99,
SUMPRODUCT(--(ISNUMBER(SEARCH(_xlpm.opts,_xlpm.ans))&lt;&gt;ISNUMBER(SEARCH(_xlpm.opts,_xlpm.resp)))))
)</f>
        <v>1</v>
      </c>
      <c r="L28" s="14" cm="1">
        <f t="array" ref="L28">_xlfn.LET(
_xlpm.opts,{"A","B","C","D","E"},
_xlpm.ans,UPPER(SUBSTITUTE(SUBSTITUTE(SUBSTITUTE(SUBSTITUTE(SUBSTITUTE(TRIM($B28),"　","")," ",""),",",""),"，",""),"、","")),
_xlpm.resp,UPPER(SUBSTITUTE(SUBSTITUTE(SUBSTITUTE(SUBSTITUTE(SUBSTITUTE(TRIM(G28),"　","")," ",""),",",""),"，",""),"、","")),
IF(_xlpm.resp="",99,
SUMPRODUCT(--(ISNUMBER(SEARCH(_xlpm.opts,_xlpm.ans))&lt;&gt;ISNUMBER(SEARCH(_xlpm.opts,_xlpm.resp)))))
)</f>
        <v>0</v>
      </c>
      <c r="M28" s="7">
        <f t="shared" si="16"/>
        <v>3</v>
      </c>
      <c r="N28" s="7">
        <f t="shared" si="15"/>
        <v>3</v>
      </c>
      <c r="O28" s="7">
        <f t="shared" si="15"/>
        <v>1.8</v>
      </c>
      <c r="P28" s="7">
        <f t="shared" si="15"/>
        <v>1.8</v>
      </c>
      <c r="Q28" s="7">
        <f t="shared" si="15"/>
        <v>3</v>
      </c>
      <c r="R28" s="11"/>
    </row>
    <row r="29" spans="1:18" ht="15.75" customHeight="1">
      <c r="A29" s="90" t="s">
        <v>58</v>
      </c>
      <c r="B29" s="91"/>
      <c r="C29" s="91"/>
      <c r="D29" s="91"/>
      <c r="E29" s="91"/>
      <c r="F29" s="91"/>
      <c r="G29" s="91"/>
      <c r="H29" s="91"/>
      <c r="I29" s="91"/>
      <c r="J29" s="91"/>
      <c r="K29" s="91"/>
      <c r="L29" s="92"/>
      <c r="M29" s="15">
        <v>36.400000000000006</v>
      </c>
      <c r="N29" s="15">
        <v>39.6</v>
      </c>
      <c r="O29" s="15">
        <v>19</v>
      </c>
      <c r="P29" s="15">
        <f>SUM(P2:P28)</f>
        <v>23.000000000000004</v>
      </c>
      <c r="Q29" s="15">
        <f>SUM(Q4:Q28)</f>
        <v>41.199999999999996</v>
      </c>
      <c r="R29" s="11"/>
    </row>
    <row r="30" spans="1:18" ht="15.75" customHeight="1">
      <c r="A30" s="93" t="s">
        <v>59</v>
      </c>
      <c r="B30" s="91"/>
      <c r="C30" s="91"/>
      <c r="D30" s="91"/>
      <c r="E30" s="91"/>
      <c r="F30" s="91"/>
      <c r="G30" s="91"/>
      <c r="H30" s="91"/>
      <c r="I30" s="91"/>
      <c r="J30" s="91"/>
      <c r="K30" s="91"/>
      <c r="L30" s="92"/>
      <c r="M30" s="16">
        <v>54</v>
      </c>
      <c r="N30" s="16">
        <v>54</v>
      </c>
      <c r="O30" s="16">
        <v>54</v>
      </c>
      <c r="P30" s="16">
        <v>54</v>
      </c>
      <c r="Q30" s="16">
        <v>54</v>
      </c>
      <c r="R30" s="11"/>
    </row>
    <row r="31" spans="1:18" ht="15.75" customHeight="1">
      <c r="A31" s="94" t="s">
        <v>60</v>
      </c>
      <c r="B31" s="91"/>
      <c r="C31" s="91"/>
      <c r="D31" s="91"/>
      <c r="E31" s="91"/>
      <c r="F31" s="91"/>
      <c r="G31" s="91"/>
      <c r="H31" s="91"/>
      <c r="I31" s="91"/>
      <c r="J31" s="91"/>
      <c r="K31" s="91"/>
      <c r="L31" s="95"/>
      <c r="M31" s="18">
        <f t="shared" ref="M31:Q31" si="17">M29/M30</f>
        <v>0.67407407407407416</v>
      </c>
      <c r="N31" s="18">
        <f t="shared" si="17"/>
        <v>0.73333333333333339</v>
      </c>
      <c r="O31" s="18">
        <f t="shared" si="17"/>
        <v>0.35185185185185186</v>
      </c>
      <c r="P31" s="18">
        <f t="shared" si="17"/>
        <v>0.42592592592592599</v>
      </c>
      <c r="Q31" s="18">
        <f t="shared" si="17"/>
        <v>0.76296296296296284</v>
      </c>
      <c r="R31" s="11"/>
    </row>
    <row r="32" spans="1:18" ht="15.75" customHeight="1">
      <c r="A32" s="36" t="s">
        <v>104</v>
      </c>
      <c r="B32" s="36"/>
      <c r="C32" s="5"/>
      <c r="D32" s="13"/>
      <c r="E32" s="13"/>
      <c r="F32" s="13"/>
      <c r="G32" s="13"/>
      <c r="H32" s="13"/>
      <c r="I32" s="13"/>
      <c r="J32" s="13"/>
      <c r="K32" s="13"/>
      <c r="L32" s="13"/>
      <c r="M32" s="13"/>
      <c r="N32" s="6"/>
      <c r="O32" s="6"/>
      <c r="P32" s="6"/>
      <c r="Q32" s="6"/>
      <c r="R32" s="11"/>
    </row>
    <row r="33" spans="1:18" ht="15.75" customHeight="1">
      <c r="A33" s="37" t="s">
        <v>105</v>
      </c>
      <c r="B33" s="37"/>
      <c r="C33" s="5"/>
      <c r="D33" s="13"/>
      <c r="E33" s="13"/>
      <c r="F33" s="13"/>
      <c r="G33" s="13"/>
      <c r="H33" s="13"/>
      <c r="I33" s="13"/>
      <c r="J33" s="13"/>
      <c r="K33" s="13"/>
      <c r="L33" s="13"/>
      <c r="M33" s="19">
        <v>9</v>
      </c>
      <c r="N33" s="19">
        <v>9</v>
      </c>
      <c r="O33" s="19">
        <v>9</v>
      </c>
      <c r="P33" s="19">
        <v>9</v>
      </c>
      <c r="Q33" s="19">
        <v>9</v>
      </c>
      <c r="R33" s="11"/>
    </row>
    <row r="34" spans="1:18" ht="15.75" customHeight="1">
      <c r="A34" s="38" t="s">
        <v>106</v>
      </c>
      <c r="B34" s="38"/>
      <c r="C34" s="5"/>
      <c r="D34" s="13"/>
      <c r="E34" s="13"/>
      <c r="F34" s="13"/>
      <c r="G34" s="13"/>
      <c r="H34" s="13"/>
      <c r="I34" s="13"/>
      <c r="J34" s="13"/>
      <c r="K34" s="13"/>
      <c r="L34" s="13"/>
      <c r="M34" s="19">
        <v>18</v>
      </c>
      <c r="N34" s="19">
        <v>18</v>
      </c>
      <c r="O34" s="19">
        <v>18</v>
      </c>
      <c r="P34" s="19">
        <v>18</v>
      </c>
      <c r="Q34" s="19">
        <v>18</v>
      </c>
      <c r="R34" s="11"/>
    </row>
    <row r="35" spans="1:18" ht="15.75" customHeight="1">
      <c r="A35" s="38" t="s">
        <v>107</v>
      </c>
      <c r="B35" s="38"/>
      <c r="C35" s="5"/>
      <c r="D35" s="13"/>
      <c r="E35" s="13"/>
      <c r="F35" s="13"/>
      <c r="G35" s="13"/>
      <c r="H35" s="13"/>
      <c r="I35" s="13"/>
      <c r="J35" s="13"/>
      <c r="K35" s="13"/>
      <c r="L35" s="13"/>
      <c r="M35" s="19">
        <v>27</v>
      </c>
      <c r="N35" s="19">
        <v>27</v>
      </c>
      <c r="O35" s="19">
        <v>27</v>
      </c>
      <c r="P35" s="19">
        <v>27</v>
      </c>
      <c r="Q35" s="19">
        <v>27</v>
      </c>
      <c r="R35" s="11"/>
    </row>
    <row r="36" spans="1:18" ht="15.75" customHeight="1">
      <c r="A36" s="88" t="s">
        <v>66</v>
      </c>
      <c r="B36" s="89"/>
      <c r="C36" s="89"/>
      <c r="D36" s="89"/>
      <c r="E36" s="89"/>
      <c r="F36" s="89"/>
      <c r="G36" s="89"/>
      <c r="H36" s="89"/>
      <c r="I36" s="89"/>
      <c r="J36" s="89"/>
      <c r="K36" s="89"/>
      <c r="L36" s="89"/>
      <c r="M36" s="23">
        <f t="shared" ref="M36" si="18">SUM(M32:M35)</f>
        <v>54</v>
      </c>
      <c r="N36" s="23">
        <f t="shared" ref="N36:P36" si="19">SUM(N32:N35)</f>
        <v>54</v>
      </c>
      <c r="O36" s="23">
        <f t="shared" si="19"/>
        <v>54</v>
      </c>
      <c r="P36" s="23">
        <f t="shared" si="19"/>
        <v>54</v>
      </c>
      <c r="Q36" s="23">
        <f t="shared" ref="Q36" si="20">SUM(Q32:Q35)</f>
        <v>54</v>
      </c>
      <c r="R36" s="11"/>
    </row>
    <row r="37" spans="1:18" ht="15.75" customHeight="1">
      <c r="A37" s="39"/>
      <c r="B37" s="39"/>
      <c r="C37" s="25"/>
      <c r="D37" s="26"/>
      <c r="E37" s="26"/>
      <c r="F37" s="26"/>
      <c r="G37" s="26"/>
      <c r="H37" s="26"/>
      <c r="I37" s="26"/>
      <c r="J37" s="26"/>
      <c r="K37" s="26"/>
      <c r="L37" s="26"/>
      <c r="M37" s="26"/>
      <c r="N37" s="27"/>
      <c r="O37" s="27"/>
      <c r="P37" s="27"/>
      <c r="Q37" s="27"/>
      <c r="R37" s="11"/>
    </row>
    <row r="38" spans="1:18" ht="15.75" customHeight="1">
      <c r="A38" s="39"/>
      <c r="B38" s="39"/>
      <c r="C38" s="25"/>
      <c r="D38" s="26"/>
      <c r="E38" s="26"/>
      <c r="F38" s="26"/>
      <c r="G38" s="26"/>
      <c r="H38" s="26"/>
      <c r="I38" s="26"/>
      <c r="J38" s="26"/>
      <c r="K38" s="26"/>
      <c r="L38" s="26"/>
      <c r="M38" s="26"/>
      <c r="N38" s="27"/>
      <c r="O38" s="27"/>
      <c r="P38" s="27"/>
      <c r="Q38" s="27"/>
      <c r="R38" s="11"/>
    </row>
    <row r="39" spans="1:18" ht="15.75" customHeight="1">
      <c r="A39" s="39"/>
      <c r="B39" s="39"/>
      <c r="C39" s="25"/>
      <c r="D39" s="26"/>
      <c r="E39" s="26"/>
      <c r="F39" s="26"/>
      <c r="G39" s="26"/>
      <c r="H39" s="26"/>
      <c r="I39" s="26"/>
      <c r="J39" s="26"/>
      <c r="K39" s="26"/>
      <c r="L39" s="26"/>
      <c r="M39" s="26"/>
      <c r="N39" s="27"/>
      <c r="O39" s="27"/>
      <c r="P39" s="27"/>
      <c r="Q39" s="27"/>
      <c r="R39" s="11"/>
    </row>
    <row r="40" spans="1:18" ht="15.75" customHeight="1">
      <c r="A40" s="40"/>
      <c r="B40" s="40"/>
      <c r="C40" s="25"/>
      <c r="D40" s="26"/>
      <c r="E40" s="26"/>
      <c r="F40" s="26"/>
      <c r="G40" s="26"/>
      <c r="H40" s="26"/>
      <c r="I40" s="26"/>
      <c r="J40" s="26"/>
      <c r="K40" s="26"/>
      <c r="L40" s="26"/>
      <c r="M40" s="26"/>
      <c r="N40" s="27"/>
      <c r="O40" s="27"/>
      <c r="P40" s="27"/>
      <c r="Q40" s="27"/>
      <c r="R40" s="11"/>
    </row>
    <row r="41" spans="1:18" ht="15.75" customHeight="1">
      <c r="A41" s="40"/>
      <c r="B41" s="40"/>
      <c r="C41" s="25"/>
      <c r="D41" s="26"/>
      <c r="E41" s="26"/>
      <c r="F41" s="26"/>
      <c r="G41" s="26"/>
      <c r="H41" s="26"/>
      <c r="I41" s="26"/>
      <c r="J41" s="26"/>
      <c r="K41" s="26"/>
      <c r="L41" s="26"/>
      <c r="M41" s="26"/>
      <c r="N41" s="27"/>
      <c r="O41" s="27"/>
      <c r="P41" s="27"/>
      <c r="Q41" s="27"/>
      <c r="R41" s="11"/>
    </row>
    <row r="42" spans="1:18" ht="15.75" customHeight="1">
      <c r="A42" s="40"/>
      <c r="B42" s="40"/>
      <c r="C42" s="25"/>
      <c r="D42" s="26"/>
      <c r="E42" s="26"/>
      <c r="F42" s="26"/>
      <c r="G42" s="26"/>
      <c r="H42" s="26"/>
      <c r="I42" s="26"/>
      <c r="J42" s="26"/>
      <c r="K42" s="26"/>
      <c r="L42" s="26"/>
      <c r="M42" s="26"/>
      <c r="N42" s="27"/>
      <c r="O42" s="27"/>
      <c r="P42" s="27"/>
      <c r="Q42" s="27"/>
      <c r="R42" s="11"/>
    </row>
    <row r="43" spans="1:18" ht="15.75" customHeight="1">
      <c r="A43" s="40"/>
      <c r="B43" s="40"/>
      <c r="C43" s="25"/>
      <c r="D43" s="26"/>
      <c r="E43" s="26"/>
      <c r="F43" s="26"/>
      <c r="G43" s="26"/>
      <c r="H43" s="26"/>
      <c r="I43" s="26"/>
      <c r="J43" s="26"/>
      <c r="K43" s="26"/>
      <c r="L43" s="26"/>
      <c r="M43" s="26"/>
      <c r="N43" s="27"/>
      <c r="O43" s="27"/>
      <c r="P43" s="27"/>
      <c r="Q43" s="27"/>
      <c r="R43" s="11"/>
    </row>
    <row r="44" spans="1:18" ht="15.75" customHeight="1">
      <c r="A44" s="40"/>
      <c r="B44" s="40"/>
      <c r="C44" s="25"/>
      <c r="D44" s="26"/>
      <c r="E44" s="26"/>
      <c r="F44" s="26"/>
      <c r="G44" s="26"/>
      <c r="H44" s="26"/>
      <c r="I44" s="26"/>
      <c r="J44" s="26"/>
      <c r="K44" s="26"/>
      <c r="L44" s="26"/>
      <c r="M44" s="26"/>
      <c r="N44" s="27"/>
      <c r="O44" s="27"/>
      <c r="P44" s="27"/>
      <c r="Q44" s="27"/>
      <c r="R44" s="11"/>
    </row>
    <row r="45" spans="1:18" ht="15.75" customHeight="1">
      <c r="A45" s="40"/>
      <c r="B45" s="40"/>
      <c r="C45" s="25"/>
      <c r="D45" s="26"/>
      <c r="E45" s="26"/>
      <c r="F45" s="26"/>
      <c r="G45" s="26"/>
      <c r="H45" s="26"/>
      <c r="I45" s="26"/>
      <c r="J45" s="26"/>
      <c r="K45" s="26"/>
      <c r="L45" s="26"/>
      <c r="M45" s="26"/>
      <c r="N45" s="27"/>
      <c r="O45" s="27"/>
      <c r="P45" s="27"/>
      <c r="Q45" s="27"/>
      <c r="R45" s="11"/>
    </row>
    <row r="46" spans="1:18" ht="15.75" customHeight="1">
      <c r="A46" s="40"/>
      <c r="B46" s="40"/>
      <c r="C46" s="25"/>
      <c r="D46" s="26"/>
      <c r="E46" s="26"/>
      <c r="F46" s="26"/>
      <c r="G46" s="26"/>
      <c r="H46" s="26"/>
      <c r="I46" s="26"/>
      <c r="J46" s="26"/>
      <c r="K46" s="26"/>
      <c r="L46" s="26"/>
      <c r="M46" s="26"/>
      <c r="N46" s="27"/>
      <c r="O46" s="27"/>
      <c r="P46" s="27"/>
      <c r="Q46" s="27"/>
      <c r="R46" s="11"/>
    </row>
    <row r="47" spans="1:18" ht="15.75" customHeight="1">
      <c r="A47" s="40"/>
      <c r="B47" s="40"/>
      <c r="C47" s="25"/>
      <c r="D47" s="26"/>
      <c r="E47" s="26"/>
      <c r="F47" s="26"/>
      <c r="G47" s="26"/>
      <c r="H47" s="26"/>
      <c r="I47" s="26"/>
      <c r="J47" s="26"/>
      <c r="K47" s="26"/>
      <c r="L47" s="26"/>
      <c r="M47" s="26"/>
      <c r="N47" s="27"/>
      <c r="O47" s="27"/>
      <c r="P47" s="27"/>
      <c r="Q47" s="27"/>
      <c r="R47" s="11"/>
    </row>
    <row r="48" spans="1:18" ht="15.75" customHeight="1">
      <c r="A48" s="40"/>
      <c r="B48" s="40"/>
      <c r="C48" s="25"/>
      <c r="D48" s="26"/>
      <c r="E48" s="26"/>
      <c r="F48" s="26"/>
      <c r="G48" s="26"/>
      <c r="H48" s="26"/>
      <c r="I48" s="26"/>
      <c r="J48" s="26"/>
      <c r="K48" s="26"/>
      <c r="L48" s="26"/>
      <c r="M48" s="26"/>
      <c r="N48" s="27"/>
      <c r="O48" s="27"/>
      <c r="P48" s="27"/>
      <c r="Q48" s="27"/>
      <c r="R48" s="11"/>
    </row>
    <row r="49" spans="1:18" ht="15.75" customHeight="1">
      <c r="A49" s="40"/>
      <c r="B49" s="40"/>
      <c r="C49" s="25"/>
      <c r="D49" s="26"/>
      <c r="E49" s="26"/>
      <c r="F49" s="26"/>
      <c r="G49" s="26"/>
      <c r="H49" s="26"/>
      <c r="I49" s="26"/>
      <c r="J49" s="26"/>
      <c r="K49" s="26"/>
      <c r="L49" s="26"/>
      <c r="M49" s="26"/>
      <c r="N49" s="27"/>
      <c r="O49" s="27"/>
      <c r="P49" s="27"/>
      <c r="Q49" s="27"/>
      <c r="R49" s="11"/>
    </row>
    <row r="50" spans="1:18" ht="15.75" customHeight="1">
      <c r="A50" s="40"/>
      <c r="B50" s="40"/>
      <c r="C50" s="25"/>
      <c r="D50" s="26"/>
      <c r="E50" s="26"/>
      <c r="F50" s="26"/>
      <c r="G50" s="26"/>
      <c r="H50" s="26"/>
      <c r="I50" s="26"/>
      <c r="J50" s="26"/>
      <c r="K50" s="26"/>
      <c r="L50" s="26"/>
      <c r="M50" s="26"/>
      <c r="N50" s="27"/>
      <c r="O50" s="27"/>
      <c r="P50" s="27"/>
      <c r="Q50" s="27"/>
      <c r="R50" s="11"/>
    </row>
    <row r="51" spans="1:18" ht="15.75" customHeight="1">
      <c r="A51" s="40"/>
      <c r="B51" s="40"/>
      <c r="C51" s="25"/>
      <c r="D51" s="26"/>
      <c r="E51" s="26"/>
      <c r="F51" s="26"/>
      <c r="G51" s="26"/>
      <c r="H51" s="26"/>
      <c r="I51" s="26"/>
      <c r="J51" s="26"/>
      <c r="K51" s="26"/>
      <c r="L51" s="26"/>
      <c r="M51" s="26"/>
      <c r="N51" s="27"/>
      <c r="O51" s="27"/>
      <c r="P51" s="27"/>
      <c r="Q51" s="27"/>
      <c r="R51" s="11"/>
    </row>
    <row r="52" spans="1:18" ht="15.75" customHeight="1">
      <c r="A52" s="40"/>
      <c r="B52" s="40"/>
      <c r="C52" s="25"/>
      <c r="D52" s="26"/>
      <c r="E52" s="26"/>
      <c r="F52" s="26"/>
      <c r="G52" s="26"/>
      <c r="H52" s="26"/>
      <c r="I52" s="26"/>
      <c r="J52" s="26"/>
      <c r="K52" s="26"/>
      <c r="L52" s="26"/>
      <c r="M52" s="26"/>
      <c r="N52" s="27"/>
      <c r="O52" s="27"/>
      <c r="P52" s="27"/>
      <c r="Q52" s="27"/>
      <c r="R52" s="11"/>
    </row>
    <row r="53" spans="1:18" ht="15.75" customHeight="1">
      <c r="A53" s="40"/>
      <c r="B53" s="40"/>
      <c r="C53" s="25"/>
      <c r="D53" s="26"/>
      <c r="E53" s="26"/>
      <c r="F53" s="26"/>
      <c r="G53" s="26"/>
      <c r="H53" s="26"/>
      <c r="I53" s="26"/>
      <c r="J53" s="26"/>
      <c r="K53" s="26"/>
      <c r="L53" s="26"/>
      <c r="M53" s="26"/>
      <c r="N53" s="27"/>
      <c r="O53" s="27"/>
      <c r="P53" s="27"/>
      <c r="Q53" s="27"/>
      <c r="R53" s="11"/>
    </row>
    <row r="54" spans="1:18" ht="15.75" customHeight="1">
      <c r="A54" s="40"/>
      <c r="B54" s="40"/>
      <c r="C54" s="25"/>
      <c r="D54" s="26"/>
      <c r="E54" s="26"/>
      <c r="F54" s="26"/>
      <c r="G54" s="26"/>
      <c r="H54" s="26"/>
      <c r="I54" s="26"/>
      <c r="J54" s="26"/>
      <c r="K54" s="26"/>
      <c r="L54" s="26"/>
      <c r="M54" s="26"/>
      <c r="N54" s="27"/>
      <c r="O54" s="27"/>
      <c r="P54" s="27"/>
      <c r="Q54" s="27"/>
      <c r="R54" s="11"/>
    </row>
    <row r="55" spans="1:18" ht="15.75" customHeight="1">
      <c r="A55" s="40"/>
      <c r="B55" s="40"/>
      <c r="C55" s="25"/>
      <c r="D55" s="26"/>
      <c r="E55" s="26"/>
      <c r="F55" s="26"/>
      <c r="G55" s="26"/>
      <c r="H55" s="26"/>
      <c r="I55" s="26"/>
      <c r="J55" s="26"/>
      <c r="K55" s="26"/>
      <c r="L55" s="26"/>
      <c r="M55" s="26"/>
      <c r="N55" s="27"/>
      <c r="O55" s="27"/>
      <c r="P55" s="27"/>
      <c r="Q55" s="27"/>
      <c r="R55" s="11"/>
    </row>
    <row r="56" spans="1:18" ht="15.75" customHeight="1">
      <c r="A56" s="41"/>
      <c r="B56" s="41"/>
      <c r="C56" s="25"/>
      <c r="D56" s="26"/>
      <c r="E56" s="26"/>
      <c r="F56" s="26"/>
      <c r="G56" s="26"/>
      <c r="H56" s="26"/>
      <c r="I56" s="26"/>
      <c r="J56" s="26"/>
      <c r="K56" s="26"/>
      <c r="L56" s="26"/>
      <c r="M56" s="26"/>
      <c r="N56" s="27"/>
      <c r="O56" s="27"/>
      <c r="P56" s="27"/>
      <c r="Q56" s="27"/>
      <c r="R56" s="11"/>
    </row>
    <row r="57" spans="1:18" ht="15.75" customHeight="1">
      <c r="A57" s="41"/>
      <c r="B57" s="41"/>
      <c r="C57" s="25"/>
      <c r="D57" s="26"/>
      <c r="E57" s="26"/>
      <c r="F57" s="26"/>
      <c r="G57" s="26"/>
      <c r="H57" s="26"/>
      <c r="I57" s="26"/>
      <c r="J57" s="26"/>
      <c r="K57" s="26"/>
      <c r="L57" s="26"/>
      <c r="M57" s="26"/>
      <c r="N57" s="27"/>
      <c r="O57" s="27"/>
      <c r="P57" s="27"/>
      <c r="Q57" s="27"/>
      <c r="R57" s="11"/>
    </row>
    <row r="58" spans="1:18" ht="15.75" customHeight="1">
      <c r="A58" s="41"/>
      <c r="B58" s="41"/>
      <c r="C58" s="25"/>
      <c r="D58" s="26"/>
      <c r="E58" s="26"/>
      <c r="F58" s="26"/>
      <c r="G58" s="26"/>
      <c r="H58" s="26"/>
      <c r="I58" s="26"/>
      <c r="J58" s="26"/>
      <c r="K58" s="26"/>
      <c r="L58" s="26"/>
      <c r="M58" s="26"/>
      <c r="N58" s="27"/>
      <c r="O58" s="27"/>
      <c r="P58" s="27"/>
      <c r="Q58" s="27"/>
      <c r="R58" s="11"/>
    </row>
    <row r="59" spans="1:18" ht="15.75" customHeight="1">
      <c r="A59" s="41"/>
      <c r="B59" s="41"/>
      <c r="C59" s="25"/>
      <c r="D59" s="26"/>
      <c r="E59" s="26"/>
      <c r="F59" s="26"/>
      <c r="G59" s="26"/>
      <c r="H59" s="26"/>
      <c r="I59" s="26"/>
      <c r="J59" s="26"/>
      <c r="K59" s="26"/>
      <c r="L59" s="26"/>
      <c r="M59" s="26"/>
      <c r="N59" s="27"/>
      <c r="O59" s="27"/>
      <c r="P59" s="27"/>
      <c r="Q59" s="27"/>
      <c r="R59" s="11"/>
    </row>
    <row r="60" spans="1:18" ht="15.75" customHeight="1">
      <c r="A60" s="41"/>
      <c r="B60" s="41"/>
      <c r="C60" s="25"/>
      <c r="D60" s="26"/>
      <c r="E60" s="26"/>
      <c r="F60" s="26"/>
      <c r="G60" s="26"/>
      <c r="H60" s="26"/>
      <c r="I60" s="26"/>
      <c r="J60" s="26"/>
      <c r="K60" s="26"/>
      <c r="L60" s="26"/>
      <c r="M60" s="26"/>
      <c r="N60" s="27"/>
      <c r="O60" s="27"/>
      <c r="P60" s="27"/>
      <c r="Q60" s="27"/>
      <c r="R60" s="11"/>
    </row>
    <row r="61" spans="1:18" ht="15.75" customHeight="1">
      <c r="A61" s="41"/>
      <c r="B61" s="41"/>
      <c r="C61" s="25"/>
      <c r="D61" s="26"/>
      <c r="E61" s="26"/>
      <c r="F61" s="26"/>
      <c r="G61" s="26"/>
      <c r="H61" s="26"/>
      <c r="I61" s="26"/>
      <c r="J61" s="26"/>
      <c r="K61" s="26"/>
      <c r="L61" s="26"/>
      <c r="M61" s="26"/>
      <c r="N61" s="27"/>
      <c r="O61" s="27"/>
      <c r="P61" s="27"/>
      <c r="Q61" s="27"/>
      <c r="R61" s="11"/>
    </row>
    <row r="62" spans="1:18" ht="15.75" customHeight="1">
      <c r="A62" s="41"/>
      <c r="B62" s="41"/>
      <c r="C62" s="25"/>
      <c r="D62" s="26"/>
      <c r="E62" s="26"/>
      <c r="F62" s="26"/>
      <c r="G62" s="26"/>
      <c r="H62" s="26"/>
      <c r="I62" s="26"/>
      <c r="J62" s="26"/>
      <c r="K62" s="26"/>
      <c r="L62" s="26"/>
      <c r="M62" s="26"/>
      <c r="N62" s="27"/>
      <c r="O62" s="27"/>
      <c r="P62" s="27"/>
      <c r="Q62" s="27"/>
      <c r="R62" s="11"/>
    </row>
    <row r="63" spans="1:18" ht="15.75" customHeight="1">
      <c r="A63" s="41"/>
      <c r="B63" s="41"/>
      <c r="C63" s="25"/>
      <c r="D63" s="26"/>
      <c r="E63" s="26"/>
      <c r="F63" s="26"/>
      <c r="G63" s="26"/>
      <c r="H63" s="26"/>
      <c r="I63" s="26"/>
      <c r="J63" s="26"/>
      <c r="K63" s="26"/>
      <c r="L63" s="26"/>
      <c r="M63" s="26"/>
      <c r="N63" s="27"/>
      <c r="O63" s="27"/>
      <c r="P63" s="27"/>
      <c r="Q63" s="27"/>
      <c r="R63" s="11"/>
    </row>
    <row r="64" spans="1:18" ht="15.75" customHeight="1">
      <c r="A64" s="41"/>
      <c r="B64" s="41"/>
      <c r="C64" s="25"/>
      <c r="D64" s="26"/>
      <c r="E64" s="26"/>
      <c r="F64" s="26"/>
      <c r="G64" s="26"/>
      <c r="H64" s="26"/>
      <c r="I64" s="26"/>
      <c r="J64" s="26"/>
      <c r="K64" s="26"/>
      <c r="L64" s="26"/>
      <c r="M64" s="26"/>
      <c r="N64" s="27"/>
      <c r="O64" s="27"/>
      <c r="P64" s="27"/>
      <c r="Q64" s="27"/>
      <c r="R64" s="11"/>
    </row>
    <row r="65" spans="1:18" ht="15.75" customHeight="1">
      <c r="A65" s="41"/>
      <c r="B65" s="41"/>
      <c r="C65" s="25"/>
      <c r="D65" s="26"/>
      <c r="E65" s="26"/>
      <c r="F65" s="26"/>
      <c r="G65" s="26"/>
      <c r="H65" s="26"/>
      <c r="I65" s="26"/>
      <c r="J65" s="26"/>
      <c r="K65" s="26"/>
      <c r="L65" s="26"/>
      <c r="M65" s="26"/>
      <c r="N65" s="27"/>
      <c r="O65" s="27"/>
      <c r="P65" s="27"/>
      <c r="Q65" s="27"/>
      <c r="R65" s="11"/>
    </row>
    <row r="66" spans="1:18" ht="15.75" customHeight="1">
      <c r="A66" s="42"/>
      <c r="B66" s="42"/>
      <c r="C66" s="25"/>
      <c r="D66" s="26"/>
      <c r="E66" s="26"/>
      <c r="F66" s="26"/>
      <c r="G66" s="26"/>
      <c r="H66" s="26"/>
      <c r="I66" s="26"/>
      <c r="J66" s="26"/>
      <c r="K66" s="26"/>
      <c r="L66" s="26"/>
      <c r="M66" s="26"/>
      <c r="N66" s="27"/>
      <c r="O66" s="27"/>
      <c r="P66" s="27"/>
      <c r="Q66" s="27"/>
      <c r="R66" s="11"/>
    </row>
    <row r="67" spans="1:18" ht="15.75" customHeight="1">
      <c r="A67" s="28"/>
      <c r="B67" s="28"/>
      <c r="C67" s="25"/>
      <c r="D67" s="26"/>
      <c r="E67" s="26"/>
      <c r="F67" s="26"/>
      <c r="G67" s="26"/>
      <c r="H67" s="26"/>
      <c r="I67" s="26"/>
      <c r="J67" s="26"/>
      <c r="K67" s="26"/>
      <c r="L67" s="26"/>
      <c r="M67" s="26"/>
      <c r="N67" s="27"/>
      <c r="O67" s="27"/>
      <c r="P67" s="27"/>
      <c r="Q67" s="27"/>
      <c r="R67" s="11"/>
    </row>
    <row r="68" spans="1:18" ht="15.75" customHeight="1">
      <c r="A68" s="28"/>
      <c r="B68" s="28"/>
      <c r="C68" s="25"/>
      <c r="D68" s="26"/>
      <c r="E68" s="26"/>
      <c r="F68" s="26"/>
      <c r="G68" s="26"/>
      <c r="H68" s="26"/>
      <c r="I68" s="26"/>
      <c r="J68" s="26"/>
      <c r="K68" s="26"/>
      <c r="L68" s="26"/>
      <c r="M68" s="26"/>
      <c r="N68" s="27"/>
      <c r="O68" s="27"/>
      <c r="P68" s="27"/>
      <c r="Q68" s="27"/>
      <c r="R68" s="11"/>
    </row>
    <row r="69" spans="1:18" ht="15.75" customHeight="1">
      <c r="A69" s="28"/>
      <c r="B69" s="28"/>
      <c r="C69" s="25"/>
      <c r="D69" s="26"/>
      <c r="E69" s="26"/>
      <c r="F69" s="26"/>
      <c r="G69" s="26"/>
      <c r="H69" s="26"/>
      <c r="I69" s="26"/>
      <c r="J69" s="26"/>
      <c r="K69" s="26"/>
      <c r="L69" s="26"/>
      <c r="M69" s="26"/>
      <c r="N69" s="27"/>
      <c r="O69" s="27"/>
      <c r="P69" s="27"/>
      <c r="Q69" s="27"/>
      <c r="R69" s="11"/>
    </row>
    <row r="70" spans="1:18" ht="15.75" customHeight="1">
      <c r="A70" s="28"/>
      <c r="B70" s="28"/>
      <c r="C70" s="25"/>
      <c r="D70" s="25"/>
      <c r="E70" s="25"/>
      <c r="F70" s="25"/>
      <c r="G70" s="25"/>
      <c r="H70" s="25"/>
      <c r="I70" s="26"/>
      <c r="J70" s="26"/>
      <c r="K70" s="26"/>
      <c r="L70" s="26"/>
      <c r="M70" s="26"/>
      <c r="N70" s="27"/>
      <c r="O70" s="27"/>
      <c r="P70" s="27"/>
      <c r="Q70" s="27"/>
      <c r="R70" s="11"/>
    </row>
    <row r="71" spans="1:18" ht="15.75" customHeight="1">
      <c r="A71" s="28"/>
      <c r="B71" s="28"/>
      <c r="C71" s="25"/>
      <c r="D71" s="26"/>
      <c r="E71" s="26"/>
      <c r="F71" s="26"/>
      <c r="G71" s="26"/>
      <c r="H71" s="26"/>
      <c r="I71" s="25"/>
      <c r="J71" s="25"/>
      <c r="K71" s="25"/>
      <c r="L71" s="25"/>
      <c r="M71" s="25"/>
      <c r="N71" s="27"/>
      <c r="O71" s="27"/>
      <c r="P71" s="27"/>
      <c r="Q71" s="27"/>
      <c r="R71" s="11"/>
    </row>
    <row r="72" spans="1:18" ht="15.75" customHeight="1">
      <c r="A72" s="28"/>
      <c r="B72" s="28"/>
      <c r="C72" s="25"/>
      <c r="D72" s="26"/>
      <c r="E72" s="26"/>
      <c r="F72" s="26"/>
      <c r="G72" s="26"/>
      <c r="H72" s="26"/>
      <c r="I72" s="26"/>
      <c r="J72" s="26"/>
      <c r="K72" s="26"/>
      <c r="L72" s="26"/>
      <c r="M72" s="26"/>
      <c r="N72" s="27"/>
      <c r="O72" s="27"/>
      <c r="P72" s="27"/>
      <c r="Q72" s="27"/>
      <c r="R72" s="11"/>
    </row>
    <row r="73" spans="1:18" ht="15.75" customHeight="1">
      <c r="A73" s="28"/>
      <c r="B73" s="28"/>
      <c r="C73" s="25"/>
      <c r="D73" s="26"/>
      <c r="E73" s="26"/>
      <c r="F73" s="26"/>
      <c r="G73" s="26"/>
      <c r="H73" s="26"/>
      <c r="I73" s="26"/>
      <c r="J73" s="26"/>
      <c r="K73" s="26"/>
      <c r="L73" s="26"/>
      <c r="M73" s="26"/>
      <c r="N73" s="13"/>
      <c r="O73" s="13"/>
      <c r="P73" s="13"/>
      <c r="Q73" s="26"/>
      <c r="R73" s="11"/>
    </row>
    <row r="74" spans="1:18" ht="15.75" customHeight="1">
      <c r="A74" s="28"/>
      <c r="B74" s="28"/>
      <c r="C74" s="25"/>
      <c r="D74" s="26"/>
      <c r="E74" s="26"/>
      <c r="F74" s="26"/>
      <c r="G74" s="26"/>
      <c r="H74" s="26"/>
      <c r="I74" s="26"/>
      <c r="J74" s="26"/>
      <c r="K74" s="26"/>
      <c r="L74" s="26"/>
      <c r="M74" s="26"/>
      <c r="N74" s="29"/>
      <c r="O74" s="29"/>
      <c r="P74" s="29"/>
      <c r="Q74" s="29"/>
      <c r="R74" s="11"/>
    </row>
    <row r="75" spans="1:18" ht="15.75" customHeight="1">
      <c r="A75" s="28"/>
      <c r="B75" s="28"/>
      <c r="C75" s="25"/>
      <c r="D75" s="26"/>
      <c r="E75" s="26"/>
      <c r="F75" s="26"/>
      <c r="G75" s="26"/>
      <c r="H75" s="26"/>
      <c r="I75" s="26"/>
      <c r="J75" s="26"/>
      <c r="K75" s="26"/>
      <c r="L75" s="26"/>
      <c r="M75" s="26"/>
      <c r="N75" s="29"/>
      <c r="O75" s="29"/>
      <c r="P75" s="29"/>
      <c r="Q75" s="29"/>
      <c r="R75" s="11"/>
    </row>
    <row r="76" spans="1:18" ht="15.75" customHeight="1">
      <c r="A76" s="28"/>
      <c r="B76" s="28"/>
      <c r="C76" s="25"/>
      <c r="D76" s="26"/>
      <c r="E76" s="26"/>
      <c r="F76" s="26"/>
      <c r="G76" s="26"/>
      <c r="H76" s="26"/>
      <c r="I76" s="26"/>
      <c r="J76" s="26"/>
      <c r="K76" s="26"/>
      <c r="L76" s="26"/>
      <c r="M76" s="26"/>
      <c r="N76" s="29"/>
      <c r="O76" s="29"/>
      <c r="P76" s="29"/>
      <c r="Q76" s="29"/>
      <c r="R76" s="11"/>
    </row>
    <row r="77" spans="1:18" ht="15.75" customHeight="1">
      <c r="A77" s="28"/>
      <c r="B77" s="28"/>
      <c r="C77" s="25"/>
      <c r="D77" s="26"/>
      <c r="E77" s="26"/>
      <c r="F77" s="26"/>
      <c r="G77" s="26"/>
      <c r="H77" s="26"/>
      <c r="I77" s="26"/>
      <c r="J77" s="26"/>
      <c r="K77" s="26"/>
      <c r="L77" s="26"/>
      <c r="M77" s="26"/>
      <c r="N77" s="29"/>
      <c r="O77" s="29"/>
      <c r="P77" s="29"/>
      <c r="Q77" s="29"/>
      <c r="R77" s="11"/>
    </row>
    <row r="78" spans="1:18" ht="15.75" customHeight="1">
      <c r="A78" s="28"/>
      <c r="B78" s="28"/>
      <c r="C78" s="25"/>
      <c r="D78" s="26"/>
      <c r="E78" s="26"/>
      <c r="F78" s="26"/>
      <c r="G78" s="26"/>
      <c r="H78" s="26"/>
      <c r="I78" s="26"/>
      <c r="J78" s="26"/>
      <c r="K78" s="26"/>
      <c r="L78" s="26"/>
      <c r="M78" s="26"/>
      <c r="N78" s="29"/>
      <c r="O78" s="29"/>
      <c r="P78" s="29"/>
      <c r="Q78" s="29"/>
      <c r="R78" s="11"/>
    </row>
    <row r="79" spans="1:18" ht="15.75" customHeight="1">
      <c r="A79" s="28"/>
      <c r="B79" s="28"/>
      <c r="C79" s="25"/>
      <c r="D79" s="26"/>
      <c r="E79" s="26"/>
      <c r="F79" s="26"/>
      <c r="G79" s="26"/>
      <c r="H79" s="26"/>
      <c r="I79" s="26"/>
      <c r="J79" s="26"/>
      <c r="K79" s="26"/>
      <c r="L79" s="26"/>
      <c r="M79" s="26"/>
      <c r="N79" s="29"/>
      <c r="O79" s="29"/>
      <c r="P79" s="29"/>
      <c r="Q79" s="29"/>
      <c r="R79" s="11"/>
    </row>
    <row r="80" spans="1:18" ht="15.75" customHeight="1">
      <c r="A80" s="28"/>
      <c r="B80" s="28"/>
      <c r="C80" s="25"/>
      <c r="D80" s="26"/>
      <c r="E80" s="26"/>
      <c r="F80" s="26"/>
      <c r="G80" s="26"/>
      <c r="H80" s="26"/>
      <c r="I80" s="26"/>
      <c r="J80" s="26"/>
      <c r="K80" s="26"/>
      <c r="L80" s="26"/>
      <c r="M80" s="26"/>
      <c r="N80" s="29"/>
      <c r="O80" s="29"/>
      <c r="P80" s="29"/>
      <c r="Q80" s="29"/>
      <c r="R80" s="11"/>
    </row>
    <row r="81" spans="1:18" ht="15.75" customHeight="1">
      <c r="A81" s="28"/>
      <c r="B81" s="28"/>
      <c r="C81" s="25"/>
      <c r="D81" s="26"/>
      <c r="E81" s="26"/>
      <c r="F81" s="26"/>
      <c r="G81" s="26"/>
      <c r="H81" s="26"/>
      <c r="I81" s="26"/>
      <c r="J81" s="26"/>
      <c r="K81" s="26"/>
      <c r="L81" s="26"/>
      <c r="M81" s="26"/>
      <c r="N81" s="29"/>
      <c r="O81" s="29"/>
      <c r="P81" s="29"/>
      <c r="Q81" s="29"/>
      <c r="R81" s="11"/>
    </row>
    <row r="82" spans="1:18" ht="15.75" customHeight="1">
      <c r="A82" s="28"/>
      <c r="B82" s="28"/>
      <c r="C82" s="25"/>
      <c r="D82" s="26"/>
      <c r="E82" s="26"/>
      <c r="F82" s="26"/>
      <c r="G82" s="26"/>
      <c r="H82" s="26"/>
      <c r="I82" s="26"/>
      <c r="J82" s="26"/>
      <c r="K82" s="26"/>
      <c r="L82" s="26"/>
      <c r="M82" s="26"/>
      <c r="N82" s="29"/>
      <c r="O82" s="29"/>
      <c r="P82" s="29"/>
      <c r="Q82" s="29"/>
      <c r="R82" s="11"/>
    </row>
    <row r="83" spans="1:18" ht="15.75" customHeight="1">
      <c r="A83" s="28"/>
      <c r="B83" s="28"/>
      <c r="C83" s="25"/>
      <c r="D83" s="26"/>
      <c r="E83" s="26"/>
      <c r="F83" s="26"/>
      <c r="G83" s="26"/>
      <c r="H83" s="26"/>
      <c r="I83" s="26"/>
      <c r="J83" s="26"/>
      <c r="K83" s="26"/>
      <c r="L83" s="26"/>
      <c r="M83" s="26"/>
      <c r="N83" s="29"/>
      <c r="O83" s="29"/>
      <c r="P83" s="29"/>
      <c r="Q83" s="29"/>
      <c r="R83" s="11"/>
    </row>
    <row r="84" spans="1:18" ht="15.75" customHeight="1">
      <c r="A84" s="28"/>
      <c r="B84" s="28"/>
      <c r="C84" s="25"/>
      <c r="D84" s="26"/>
      <c r="E84" s="26"/>
      <c r="F84" s="26"/>
      <c r="G84" s="26"/>
      <c r="H84" s="26"/>
      <c r="I84" s="26"/>
      <c r="J84" s="26"/>
      <c r="K84" s="26"/>
      <c r="L84" s="26"/>
      <c r="M84" s="26"/>
      <c r="N84" s="29"/>
      <c r="O84" s="29"/>
      <c r="P84" s="29"/>
      <c r="Q84" s="29"/>
      <c r="R84" s="11"/>
    </row>
    <row r="85" spans="1:18" ht="15.75" customHeight="1">
      <c r="A85" s="28"/>
      <c r="B85" s="28"/>
      <c r="C85" s="25"/>
      <c r="D85" s="26"/>
      <c r="E85" s="26"/>
      <c r="F85" s="26"/>
      <c r="G85" s="26"/>
      <c r="H85" s="26"/>
      <c r="I85" s="26"/>
      <c r="J85" s="26"/>
      <c r="K85" s="26"/>
      <c r="L85" s="26"/>
      <c r="M85" s="26"/>
      <c r="N85" s="29"/>
      <c r="O85" s="29"/>
      <c r="P85" s="29"/>
      <c r="Q85" s="29"/>
      <c r="R85" s="11"/>
    </row>
    <row r="86" spans="1:18" ht="15.75" customHeight="1">
      <c r="A86" s="28"/>
      <c r="B86" s="28"/>
      <c r="C86" s="25"/>
      <c r="D86" s="26"/>
      <c r="E86" s="26"/>
      <c r="F86" s="26"/>
      <c r="G86" s="26"/>
      <c r="H86" s="26"/>
      <c r="I86" s="26"/>
      <c r="J86" s="26"/>
      <c r="K86" s="26"/>
      <c r="L86" s="26"/>
      <c r="M86" s="26"/>
      <c r="N86" s="29"/>
      <c r="O86" s="29"/>
      <c r="P86" s="29"/>
      <c r="Q86" s="29"/>
      <c r="R86" s="11"/>
    </row>
    <row r="87" spans="1:18" ht="15.75" customHeight="1">
      <c r="A87" s="28"/>
      <c r="B87" s="28"/>
      <c r="C87" s="25"/>
      <c r="D87" s="26"/>
      <c r="E87" s="26"/>
      <c r="F87" s="26"/>
      <c r="G87" s="26"/>
      <c r="H87" s="26"/>
      <c r="I87" s="26"/>
      <c r="J87" s="26"/>
      <c r="K87" s="26"/>
      <c r="L87" s="26"/>
      <c r="M87" s="26"/>
      <c r="N87" s="29"/>
      <c r="O87" s="29"/>
      <c r="P87" s="29"/>
      <c r="Q87" s="29"/>
      <c r="R87" s="11"/>
    </row>
    <row r="88" spans="1:18" ht="15.75" customHeight="1">
      <c r="A88" s="28"/>
      <c r="B88" s="28"/>
      <c r="C88" s="25"/>
      <c r="D88" s="26"/>
      <c r="E88" s="26"/>
      <c r="F88" s="26"/>
      <c r="G88" s="26"/>
      <c r="H88" s="26"/>
      <c r="I88" s="26"/>
      <c r="J88" s="26"/>
      <c r="K88" s="26"/>
      <c r="L88" s="26"/>
      <c r="M88" s="26"/>
      <c r="N88" s="29"/>
      <c r="O88" s="29"/>
      <c r="P88" s="29"/>
      <c r="Q88" s="29"/>
      <c r="R88" s="11"/>
    </row>
    <row r="89" spans="1:18" ht="15.75" customHeight="1">
      <c r="A89" s="28"/>
      <c r="B89" s="28"/>
      <c r="C89" s="25"/>
      <c r="D89" s="26"/>
      <c r="E89" s="26"/>
      <c r="F89" s="26"/>
      <c r="G89" s="26"/>
      <c r="H89" s="26"/>
      <c r="I89" s="26"/>
      <c r="J89" s="26"/>
      <c r="K89" s="26"/>
      <c r="L89" s="26"/>
      <c r="M89" s="26"/>
      <c r="N89" s="29"/>
      <c r="O89" s="29"/>
      <c r="P89" s="29"/>
      <c r="Q89" s="29"/>
      <c r="R89" s="11"/>
    </row>
    <row r="90" spans="1:18" ht="15.75" customHeight="1">
      <c r="A90" s="28"/>
      <c r="B90" s="28"/>
      <c r="C90" s="25"/>
      <c r="D90" s="26"/>
      <c r="E90" s="26"/>
      <c r="F90" s="26"/>
      <c r="G90" s="26"/>
      <c r="H90" s="26"/>
      <c r="I90" s="26"/>
      <c r="J90" s="26"/>
      <c r="K90" s="26"/>
      <c r="L90" s="26"/>
      <c r="M90" s="26"/>
      <c r="N90" s="29"/>
      <c r="O90" s="29"/>
      <c r="P90" s="29"/>
      <c r="Q90" s="29"/>
      <c r="R90" s="11"/>
    </row>
    <row r="91" spans="1:18" ht="15.75" customHeight="1">
      <c r="A91" s="28"/>
      <c r="B91" s="28"/>
      <c r="C91" s="25"/>
      <c r="D91" s="26"/>
      <c r="E91" s="26"/>
      <c r="F91" s="26"/>
      <c r="G91" s="26"/>
      <c r="H91" s="26"/>
      <c r="I91" s="26"/>
      <c r="J91" s="26"/>
      <c r="K91" s="26"/>
      <c r="L91" s="26"/>
      <c r="M91" s="26"/>
      <c r="N91" s="29"/>
      <c r="O91" s="29"/>
      <c r="P91" s="29"/>
      <c r="Q91" s="29"/>
      <c r="R91" s="11"/>
    </row>
    <row r="92" spans="1:18" ht="15.75" customHeight="1">
      <c r="A92" s="28"/>
      <c r="B92" s="28"/>
      <c r="C92" s="25"/>
      <c r="D92" s="26"/>
      <c r="E92" s="26"/>
      <c r="F92" s="26"/>
      <c r="G92" s="26"/>
      <c r="H92" s="26"/>
      <c r="I92" s="26"/>
      <c r="J92" s="26"/>
      <c r="K92" s="26"/>
      <c r="L92" s="26"/>
      <c r="M92" s="26"/>
      <c r="N92" s="29"/>
      <c r="O92" s="29"/>
      <c r="P92" s="29"/>
      <c r="Q92" s="29"/>
      <c r="R92" s="11"/>
    </row>
    <row r="93" spans="1:18" ht="15.75" customHeight="1">
      <c r="A93" s="28"/>
      <c r="B93" s="28"/>
      <c r="C93" s="25"/>
      <c r="D93" s="26"/>
      <c r="E93" s="26"/>
      <c r="F93" s="26"/>
      <c r="G93" s="26"/>
      <c r="H93" s="26"/>
      <c r="I93" s="26"/>
      <c r="J93" s="26"/>
      <c r="K93" s="26"/>
      <c r="L93" s="26"/>
      <c r="M93" s="26"/>
      <c r="N93" s="29"/>
      <c r="O93" s="29"/>
      <c r="P93" s="29"/>
      <c r="Q93" s="29"/>
      <c r="R93" s="11"/>
    </row>
    <row r="94" spans="1:18" ht="15.75" customHeight="1">
      <c r="A94" s="28"/>
      <c r="B94" s="28"/>
      <c r="C94" s="25"/>
      <c r="D94" s="26"/>
      <c r="E94" s="26"/>
      <c r="F94" s="26"/>
      <c r="G94" s="26"/>
      <c r="H94" s="26"/>
      <c r="I94" s="26"/>
      <c r="J94" s="26"/>
      <c r="K94" s="26"/>
      <c r="L94" s="26"/>
      <c r="M94" s="26"/>
      <c r="N94" s="29"/>
      <c r="O94" s="29"/>
      <c r="P94" s="29"/>
      <c r="Q94" s="29"/>
      <c r="R94" s="11"/>
    </row>
    <row r="95" spans="1:18" ht="15.75" customHeight="1">
      <c r="A95" s="28"/>
      <c r="B95" s="28"/>
      <c r="C95" s="25"/>
      <c r="D95" s="26"/>
      <c r="E95" s="26"/>
      <c r="F95" s="26"/>
      <c r="G95" s="26"/>
      <c r="H95" s="26"/>
      <c r="I95" s="26"/>
      <c r="J95" s="26"/>
      <c r="K95" s="26"/>
      <c r="L95" s="26"/>
      <c r="M95" s="26"/>
      <c r="N95" s="29"/>
      <c r="O95" s="29"/>
      <c r="P95" s="29"/>
      <c r="Q95" s="29"/>
      <c r="R95" s="11"/>
    </row>
    <row r="96" spans="1:18" ht="15.75" customHeight="1">
      <c r="A96" s="28"/>
      <c r="B96" s="28"/>
      <c r="C96" s="25"/>
      <c r="D96" s="26"/>
      <c r="E96" s="26"/>
      <c r="F96" s="26"/>
      <c r="G96" s="26"/>
      <c r="H96" s="26"/>
      <c r="I96" s="26"/>
      <c r="J96" s="26"/>
      <c r="K96" s="26"/>
      <c r="L96" s="26"/>
      <c r="M96" s="26"/>
      <c r="N96" s="29"/>
      <c r="O96" s="29"/>
      <c r="P96" s="29"/>
      <c r="Q96" s="29"/>
      <c r="R96" s="11"/>
    </row>
    <row r="97" spans="1:18" ht="15.75" customHeight="1">
      <c r="A97" s="28"/>
      <c r="B97" s="28"/>
      <c r="C97" s="25"/>
      <c r="D97" s="26"/>
      <c r="E97" s="26"/>
      <c r="F97" s="26"/>
      <c r="G97" s="26"/>
      <c r="H97" s="26"/>
      <c r="I97" s="26"/>
      <c r="J97" s="26"/>
      <c r="K97" s="26"/>
      <c r="L97" s="26"/>
      <c r="M97" s="26"/>
      <c r="N97" s="29"/>
      <c r="O97" s="29"/>
      <c r="P97" s="29"/>
      <c r="Q97" s="29"/>
      <c r="R97" s="11"/>
    </row>
    <row r="98" spans="1:18" ht="15.75" customHeight="1">
      <c r="A98" s="28"/>
      <c r="B98" s="28"/>
      <c r="C98" s="25"/>
      <c r="D98" s="26"/>
      <c r="E98" s="26"/>
      <c r="F98" s="26"/>
      <c r="G98" s="26"/>
      <c r="H98" s="26"/>
      <c r="I98" s="26"/>
      <c r="J98" s="26"/>
      <c r="K98" s="26"/>
      <c r="L98" s="26"/>
      <c r="M98" s="26"/>
      <c r="N98" s="29"/>
      <c r="O98" s="29"/>
      <c r="P98" s="29"/>
      <c r="Q98" s="29"/>
      <c r="R98" s="11"/>
    </row>
    <row r="99" spans="1:18" ht="15.75" customHeight="1">
      <c r="A99" s="28"/>
      <c r="B99" s="28"/>
      <c r="C99" s="25"/>
      <c r="D99" s="26"/>
      <c r="E99" s="26"/>
      <c r="F99" s="26"/>
      <c r="G99" s="26"/>
      <c r="H99" s="26"/>
      <c r="I99" s="26"/>
      <c r="J99" s="26"/>
      <c r="K99" s="26"/>
      <c r="L99" s="26"/>
      <c r="M99" s="26"/>
      <c r="N99" s="29"/>
      <c r="O99" s="29"/>
      <c r="P99" s="29"/>
      <c r="Q99" s="29"/>
      <c r="R99" s="11"/>
    </row>
    <row r="100" spans="1:18" ht="15.75" customHeight="1">
      <c r="A100" s="28"/>
      <c r="B100" s="28"/>
      <c r="C100" s="25"/>
      <c r="D100" s="26"/>
      <c r="E100" s="26"/>
      <c r="F100" s="26"/>
      <c r="G100" s="26"/>
      <c r="H100" s="26"/>
      <c r="I100" s="26"/>
      <c r="J100" s="26"/>
      <c r="K100" s="26"/>
      <c r="L100" s="26"/>
      <c r="M100" s="26"/>
      <c r="N100" s="29"/>
      <c r="O100" s="29"/>
      <c r="P100" s="29"/>
      <c r="Q100" s="29"/>
      <c r="R100" s="11"/>
    </row>
    <row r="101" spans="1:18" ht="15.75" customHeight="1">
      <c r="A101" s="28"/>
      <c r="B101" s="28"/>
      <c r="C101" s="25"/>
      <c r="D101" s="26"/>
      <c r="E101" s="26"/>
      <c r="F101" s="26"/>
      <c r="G101" s="26"/>
      <c r="H101" s="26"/>
      <c r="I101" s="26"/>
      <c r="J101" s="26"/>
      <c r="K101" s="26"/>
      <c r="L101" s="26"/>
      <c r="M101" s="26"/>
      <c r="N101" s="29"/>
      <c r="O101" s="29"/>
      <c r="P101" s="29"/>
      <c r="Q101" s="29"/>
      <c r="R101" s="11"/>
    </row>
    <row r="102" spans="1:18" ht="15.75" customHeight="1">
      <c r="A102" s="28"/>
      <c r="B102" s="28"/>
      <c r="C102" s="25"/>
      <c r="D102" s="26"/>
      <c r="E102" s="26"/>
      <c r="F102" s="26"/>
      <c r="G102" s="26"/>
      <c r="H102" s="26"/>
      <c r="I102" s="26"/>
      <c r="J102" s="26"/>
      <c r="K102" s="26"/>
      <c r="L102" s="26"/>
      <c r="M102" s="26"/>
      <c r="N102" s="29"/>
      <c r="O102" s="29"/>
      <c r="P102" s="29"/>
      <c r="Q102" s="29"/>
      <c r="R102" s="11"/>
    </row>
    <row r="103" spans="1:18" ht="15.75" customHeight="1">
      <c r="A103" s="28"/>
      <c r="B103" s="28"/>
      <c r="C103" s="25"/>
      <c r="D103" s="26"/>
      <c r="E103" s="26"/>
      <c r="F103" s="26"/>
      <c r="G103" s="26"/>
      <c r="H103" s="26"/>
      <c r="I103" s="26"/>
      <c r="J103" s="26"/>
      <c r="K103" s="26"/>
      <c r="L103" s="26"/>
      <c r="M103" s="26"/>
      <c r="N103" s="29"/>
      <c r="O103" s="29"/>
      <c r="P103" s="29"/>
      <c r="Q103" s="29"/>
      <c r="R103" s="11"/>
    </row>
    <row r="104" spans="1:18" ht="15.75" customHeight="1">
      <c r="A104" s="28"/>
      <c r="B104" s="28"/>
      <c r="C104" s="25"/>
      <c r="D104" s="26"/>
      <c r="E104" s="26"/>
      <c r="F104" s="26"/>
      <c r="G104" s="26"/>
      <c r="H104" s="26"/>
      <c r="I104" s="26"/>
      <c r="J104" s="26"/>
      <c r="K104" s="26"/>
      <c r="L104" s="26"/>
      <c r="M104" s="26"/>
      <c r="N104" s="29"/>
      <c r="O104" s="29"/>
      <c r="P104" s="29"/>
      <c r="Q104" s="29"/>
      <c r="R104" s="11"/>
    </row>
    <row r="105" spans="1:18" ht="15.75" customHeight="1">
      <c r="A105" s="28"/>
      <c r="B105" s="28"/>
      <c r="C105" s="25"/>
      <c r="D105" s="26"/>
      <c r="E105" s="26"/>
      <c r="F105" s="26"/>
      <c r="G105" s="26"/>
      <c r="H105" s="26"/>
      <c r="I105" s="26"/>
      <c r="J105" s="26"/>
      <c r="K105" s="26"/>
      <c r="L105" s="26"/>
      <c r="M105" s="26"/>
      <c r="N105" s="29"/>
      <c r="O105" s="29"/>
      <c r="P105" s="29"/>
      <c r="Q105" s="29"/>
      <c r="R105" s="11"/>
    </row>
    <row r="106" spans="1:18" ht="15.75" customHeight="1">
      <c r="A106" s="28"/>
      <c r="B106" s="28"/>
      <c r="C106" s="25"/>
      <c r="D106" s="26"/>
      <c r="E106" s="26"/>
      <c r="F106" s="26"/>
      <c r="G106" s="26"/>
      <c r="H106" s="26"/>
      <c r="I106" s="26"/>
      <c r="J106" s="26"/>
      <c r="K106" s="26"/>
      <c r="L106" s="26"/>
      <c r="M106" s="26"/>
      <c r="N106" s="29"/>
      <c r="O106" s="29"/>
      <c r="P106" s="29"/>
      <c r="Q106" s="29"/>
      <c r="R106" s="11"/>
    </row>
    <row r="107" spans="1:18" ht="15.75" customHeight="1">
      <c r="A107" s="28"/>
      <c r="B107" s="28"/>
      <c r="C107" s="25"/>
      <c r="D107" s="26"/>
      <c r="E107" s="26"/>
      <c r="F107" s="26"/>
      <c r="G107" s="26"/>
      <c r="H107" s="26"/>
      <c r="I107" s="26"/>
      <c r="J107" s="26"/>
      <c r="K107" s="26"/>
      <c r="L107" s="26"/>
      <c r="M107" s="26"/>
      <c r="N107" s="29"/>
      <c r="O107" s="29"/>
      <c r="P107" s="29"/>
      <c r="Q107" s="29"/>
      <c r="R107" s="11"/>
    </row>
    <row r="108" spans="1:18" ht="15.75" customHeight="1">
      <c r="A108" s="28"/>
      <c r="B108" s="28"/>
      <c r="C108" s="25"/>
      <c r="D108" s="26"/>
      <c r="E108" s="26"/>
      <c r="F108" s="26"/>
      <c r="G108" s="26"/>
      <c r="H108" s="26"/>
      <c r="I108" s="26"/>
      <c r="J108" s="26"/>
      <c r="K108" s="26"/>
      <c r="L108" s="26"/>
      <c r="M108" s="26"/>
      <c r="N108" s="29"/>
      <c r="O108" s="29"/>
      <c r="P108" s="29"/>
      <c r="Q108" s="29"/>
      <c r="R108" s="11"/>
    </row>
    <row r="109" spans="1:18" ht="15.75" customHeight="1">
      <c r="A109" s="28"/>
      <c r="B109" s="28"/>
      <c r="C109" s="25"/>
      <c r="D109" s="26"/>
      <c r="E109" s="26"/>
      <c r="F109" s="26"/>
      <c r="G109" s="26"/>
      <c r="H109" s="26"/>
      <c r="I109" s="26"/>
      <c r="J109" s="26"/>
      <c r="K109" s="26"/>
      <c r="L109" s="26"/>
      <c r="M109" s="26"/>
      <c r="N109" s="29"/>
      <c r="O109" s="29"/>
      <c r="P109" s="29"/>
      <c r="Q109" s="29"/>
      <c r="R109" s="11"/>
    </row>
    <row r="110" spans="1:18" ht="15.75" customHeight="1">
      <c r="A110" s="28"/>
      <c r="B110" s="28"/>
      <c r="C110" s="25"/>
      <c r="D110" s="26"/>
      <c r="E110" s="26"/>
      <c r="F110" s="26"/>
      <c r="G110" s="26"/>
      <c r="H110" s="26"/>
      <c r="I110" s="26"/>
      <c r="J110" s="26"/>
      <c r="K110" s="26"/>
      <c r="L110" s="26"/>
      <c r="M110" s="26"/>
      <c r="N110" s="29"/>
      <c r="O110" s="29"/>
      <c r="P110" s="29"/>
      <c r="Q110" s="29"/>
      <c r="R110" s="11"/>
    </row>
    <row r="111" spans="1:18" ht="15.75" customHeight="1">
      <c r="A111" s="28"/>
      <c r="B111" s="28"/>
      <c r="C111" s="25"/>
      <c r="D111" s="26"/>
      <c r="E111" s="26"/>
      <c r="F111" s="26"/>
      <c r="G111" s="26"/>
      <c r="H111" s="26"/>
      <c r="I111" s="26"/>
      <c r="J111" s="26"/>
      <c r="K111" s="26"/>
      <c r="L111" s="26"/>
      <c r="M111" s="26"/>
      <c r="N111" s="29"/>
      <c r="O111" s="29"/>
      <c r="P111" s="29"/>
      <c r="Q111" s="29"/>
      <c r="R111" s="11"/>
    </row>
    <row r="112" spans="1:18" ht="15.75" customHeight="1">
      <c r="A112" s="28"/>
      <c r="B112" s="28"/>
      <c r="C112" s="25"/>
      <c r="D112" s="26"/>
      <c r="E112" s="26"/>
      <c r="F112" s="26"/>
      <c r="G112" s="26"/>
      <c r="H112" s="26"/>
      <c r="I112" s="26"/>
      <c r="J112" s="26"/>
      <c r="K112" s="26"/>
      <c r="L112" s="26"/>
      <c r="M112" s="26"/>
      <c r="N112" s="29"/>
      <c r="O112" s="29"/>
      <c r="P112" s="29"/>
      <c r="Q112" s="29"/>
      <c r="R112" s="11"/>
    </row>
    <row r="113" spans="1:18" ht="15.75" customHeight="1">
      <c r="A113" s="28"/>
      <c r="B113" s="28"/>
      <c r="C113" s="25"/>
      <c r="D113" s="26"/>
      <c r="E113" s="26"/>
      <c r="F113" s="26"/>
      <c r="G113" s="26"/>
      <c r="H113" s="26"/>
      <c r="I113" s="26"/>
      <c r="J113" s="26"/>
      <c r="K113" s="26"/>
      <c r="L113" s="26"/>
      <c r="M113" s="26"/>
      <c r="N113" s="29"/>
      <c r="O113" s="29"/>
      <c r="P113" s="29"/>
      <c r="Q113" s="29"/>
      <c r="R113" s="11"/>
    </row>
    <row r="114" spans="1:18" ht="15.75" customHeight="1">
      <c r="A114" s="28"/>
      <c r="B114" s="28"/>
      <c r="C114" s="25"/>
      <c r="D114" s="26"/>
      <c r="E114" s="26"/>
      <c r="F114" s="26"/>
      <c r="G114" s="26"/>
      <c r="H114" s="26"/>
      <c r="I114" s="26"/>
      <c r="J114" s="26"/>
      <c r="K114" s="26"/>
      <c r="L114" s="26"/>
      <c r="M114" s="26"/>
      <c r="N114" s="29"/>
      <c r="O114" s="29"/>
      <c r="P114" s="29"/>
      <c r="Q114" s="29"/>
      <c r="R114" s="11"/>
    </row>
    <row r="115" spans="1:18" ht="15.75" customHeight="1">
      <c r="A115" s="28"/>
      <c r="B115" s="28"/>
      <c r="C115" s="25"/>
      <c r="D115" s="26"/>
      <c r="E115" s="26"/>
      <c r="F115" s="26"/>
      <c r="G115" s="26"/>
      <c r="H115" s="26"/>
      <c r="I115" s="26"/>
      <c r="J115" s="26"/>
      <c r="K115" s="26"/>
      <c r="L115" s="26"/>
      <c r="M115" s="26"/>
      <c r="N115" s="29"/>
      <c r="O115" s="29"/>
      <c r="P115" s="29"/>
      <c r="Q115" s="29"/>
      <c r="R115" s="11"/>
    </row>
    <row r="116" spans="1:18" ht="15.75" customHeight="1">
      <c r="A116" s="28"/>
      <c r="B116" s="28"/>
      <c r="C116" s="25"/>
      <c r="D116" s="26"/>
      <c r="E116" s="26"/>
      <c r="F116" s="26"/>
      <c r="G116" s="26"/>
      <c r="H116" s="26"/>
      <c r="I116" s="26"/>
      <c r="J116" s="26"/>
      <c r="K116" s="26"/>
      <c r="L116" s="26"/>
      <c r="M116" s="26"/>
      <c r="N116" s="29"/>
      <c r="O116" s="29"/>
      <c r="P116" s="29"/>
      <c r="Q116" s="29"/>
      <c r="R116" s="11"/>
    </row>
    <row r="117" spans="1:18" ht="15.75" customHeight="1">
      <c r="A117" s="28"/>
      <c r="B117" s="28"/>
      <c r="C117" s="25"/>
      <c r="D117" s="26"/>
      <c r="E117" s="26"/>
      <c r="F117" s="26"/>
      <c r="G117" s="26"/>
      <c r="H117" s="26"/>
      <c r="I117" s="26"/>
      <c r="J117" s="26"/>
      <c r="K117" s="26"/>
      <c r="L117" s="26"/>
      <c r="M117" s="26"/>
      <c r="N117" s="29"/>
      <c r="O117" s="29"/>
      <c r="P117" s="29"/>
      <c r="Q117" s="29"/>
      <c r="R117" s="11"/>
    </row>
    <row r="118" spans="1:18" ht="15.75" customHeight="1">
      <c r="A118" s="28"/>
      <c r="B118" s="28"/>
      <c r="C118" s="25"/>
      <c r="D118" s="26"/>
      <c r="E118" s="26"/>
      <c r="F118" s="26"/>
      <c r="G118" s="26"/>
      <c r="H118" s="26"/>
      <c r="I118" s="26"/>
      <c r="J118" s="26"/>
      <c r="K118" s="26"/>
      <c r="L118" s="26"/>
      <c r="M118" s="26"/>
      <c r="N118" s="29"/>
      <c r="O118" s="29"/>
      <c r="P118" s="29"/>
      <c r="Q118" s="29"/>
      <c r="R118" s="11"/>
    </row>
    <row r="119" spans="1:18" ht="15.75" customHeight="1">
      <c r="A119" s="28"/>
      <c r="B119" s="28"/>
      <c r="C119" s="25"/>
      <c r="D119" s="26"/>
      <c r="E119" s="26"/>
      <c r="F119" s="26"/>
      <c r="G119" s="26"/>
      <c r="H119" s="26"/>
      <c r="I119" s="26"/>
      <c r="J119" s="26"/>
      <c r="K119" s="26"/>
      <c r="L119" s="26"/>
      <c r="M119" s="26"/>
      <c r="N119" s="29"/>
      <c r="O119" s="29"/>
      <c r="P119" s="29"/>
      <c r="Q119" s="29"/>
      <c r="R119" s="11"/>
    </row>
    <row r="120" spans="1:18" ht="15.75" customHeight="1">
      <c r="A120" s="28"/>
      <c r="B120" s="28"/>
      <c r="C120" s="25"/>
      <c r="D120" s="26"/>
      <c r="E120" s="26"/>
      <c r="F120" s="26"/>
      <c r="G120" s="26"/>
      <c r="H120" s="26"/>
      <c r="I120" s="26"/>
      <c r="J120" s="26"/>
      <c r="K120" s="26"/>
      <c r="L120" s="26"/>
      <c r="M120" s="26"/>
      <c r="N120" s="29"/>
      <c r="O120" s="29"/>
      <c r="P120" s="29"/>
      <c r="Q120" s="29"/>
      <c r="R120" s="11"/>
    </row>
    <row r="121" spans="1:18" ht="15.75" customHeight="1">
      <c r="A121" s="28"/>
      <c r="B121" s="28"/>
      <c r="C121" s="25"/>
      <c r="D121" s="26"/>
      <c r="E121" s="26"/>
      <c r="F121" s="26"/>
      <c r="G121" s="26"/>
      <c r="H121" s="26"/>
      <c r="I121" s="26"/>
      <c r="J121" s="26"/>
      <c r="K121" s="26"/>
      <c r="L121" s="26"/>
      <c r="M121" s="26"/>
      <c r="N121" s="29"/>
      <c r="O121" s="29"/>
      <c r="P121" s="29"/>
      <c r="Q121" s="29"/>
      <c r="R121" s="11"/>
    </row>
    <row r="122" spans="1:18" ht="15.75" customHeight="1">
      <c r="A122" s="28"/>
      <c r="B122" s="28"/>
      <c r="C122" s="25"/>
      <c r="D122" s="26"/>
      <c r="E122" s="26"/>
      <c r="F122" s="26"/>
      <c r="G122" s="26"/>
      <c r="H122" s="26"/>
      <c r="I122" s="26"/>
      <c r="J122" s="26"/>
      <c r="K122" s="26"/>
      <c r="L122" s="26"/>
      <c r="M122" s="26"/>
      <c r="N122" s="29"/>
      <c r="O122" s="29"/>
      <c r="P122" s="29"/>
      <c r="Q122" s="29"/>
      <c r="R122" s="11"/>
    </row>
    <row r="123" spans="1:18" ht="15.75" customHeight="1">
      <c r="A123" s="28"/>
      <c r="B123" s="28"/>
      <c r="C123" s="25"/>
      <c r="D123" s="26"/>
      <c r="E123" s="26"/>
      <c r="F123" s="26"/>
      <c r="G123" s="26"/>
      <c r="H123" s="26"/>
      <c r="I123" s="26"/>
      <c r="J123" s="26"/>
      <c r="K123" s="26"/>
      <c r="L123" s="26"/>
      <c r="M123" s="26"/>
      <c r="N123" s="29"/>
      <c r="O123" s="29"/>
      <c r="P123" s="29"/>
      <c r="Q123" s="29"/>
      <c r="R123" s="11"/>
    </row>
    <row r="124" spans="1:18" ht="15.75" customHeight="1">
      <c r="A124" s="28"/>
      <c r="B124" s="28"/>
      <c r="C124" s="25"/>
      <c r="D124" s="26"/>
      <c r="E124" s="26"/>
      <c r="F124" s="26"/>
      <c r="G124" s="26"/>
      <c r="H124" s="26"/>
      <c r="I124" s="26"/>
      <c r="J124" s="26"/>
      <c r="K124" s="26"/>
      <c r="L124" s="26"/>
      <c r="M124" s="26"/>
      <c r="N124" s="29"/>
      <c r="O124" s="29"/>
      <c r="P124" s="29"/>
      <c r="Q124" s="29"/>
      <c r="R124" s="11"/>
    </row>
    <row r="125" spans="1:18" ht="15.75" customHeight="1">
      <c r="A125" s="28"/>
      <c r="B125" s="28"/>
      <c r="C125" s="25"/>
      <c r="D125" s="26"/>
      <c r="E125" s="26"/>
      <c r="F125" s="26"/>
      <c r="G125" s="26"/>
      <c r="H125" s="26"/>
      <c r="I125" s="26"/>
      <c r="J125" s="26"/>
      <c r="K125" s="26"/>
      <c r="L125" s="26"/>
      <c r="M125" s="26"/>
      <c r="N125" s="29"/>
      <c r="O125" s="29"/>
      <c r="P125" s="29"/>
      <c r="Q125" s="29"/>
      <c r="R125" s="11"/>
    </row>
    <row r="126" spans="1:18" ht="15.75" customHeight="1">
      <c r="A126" s="28"/>
      <c r="B126" s="28"/>
      <c r="C126" s="25"/>
      <c r="D126" s="26"/>
      <c r="E126" s="26"/>
      <c r="F126" s="26"/>
      <c r="G126" s="26"/>
      <c r="H126" s="26"/>
      <c r="I126" s="26"/>
      <c r="J126" s="26"/>
      <c r="K126" s="26"/>
      <c r="L126" s="26"/>
      <c r="M126" s="26"/>
      <c r="N126" s="29"/>
      <c r="O126" s="29"/>
      <c r="P126" s="29"/>
      <c r="Q126" s="29"/>
      <c r="R126" s="11"/>
    </row>
    <row r="127" spans="1:18" ht="15.75" customHeight="1">
      <c r="A127" s="28"/>
      <c r="B127" s="28"/>
      <c r="C127" s="25"/>
      <c r="D127" s="26"/>
      <c r="E127" s="26"/>
      <c r="F127" s="26"/>
      <c r="G127" s="26"/>
      <c r="H127" s="26"/>
      <c r="I127" s="26"/>
      <c r="J127" s="26"/>
      <c r="K127" s="26"/>
      <c r="L127" s="26"/>
      <c r="M127" s="26"/>
      <c r="N127" s="29"/>
      <c r="O127" s="29"/>
      <c r="P127" s="29"/>
      <c r="Q127" s="29"/>
      <c r="R127" s="11"/>
    </row>
    <row r="128" spans="1:18" ht="15.75" customHeight="1">
      <c r="A128" s="28"/>
      <c r="B128" s="28"/>
      <c r="C128" s="25"/>
      <c r="D128" s="26"/>
      <c r="E128" s="26"/>
      <c r="F128" s="26"/>
      <c r="G128" s="26"/>
      <c r="H128" s="26"/>
      <c r="I128" s="26"/>
      <c r="J128" s="26"/>
      <c r="K128" s="26"/>
      <c r="L128" s="26"/>
      <c r="M128" s="26"/>
      <c r="N128" s="29"/>
      <c r="O128" s="29"/>
      <c r="P128" s="29"/>
      <c r="Q128" s="29"/>
      <c r="R128" s="11"/>
    </row>
    <row r="129" spans="1:18" ht="15.75" customHeight="1">
      <c r="A129" s="28"/>
      <c r="B129" s="28"/>
      <c r="C129" s="25"/>
      <c r="D129" s="26"/>
      <c r="E129" s="26"/>
      <c r="F129" s="26"/>
      <c r="G129" s="26"/>
      <c r="H129" s="26"/>
      <c r="I129" s="26"/>
      <c r="J129" s="26"/>
      <c r="K129" s="26"/>
      <c r="L129" s="26"/>
      <c r="M129" s="26"/>
      <c r="N129" s="29"/>
      <c r="O129" s="29"/>
      <c r="P129" s="29"/>
      <c r="Q129" s="29"/>
      <c r="R129" s="11"/>
    </row>
    <row r="130" spans="1:18" ht="15.75" customHeight="1">
      <c r="A130" s="28"/>
      <c r="B130" s="28"/>
      <c r="C130" s="25"/>
      <c r="D130" s="26"/>
      <c r="E130" s="26"/>
      <c r="F130" s="26"/>
      <c r="G130" s="26"/>
      <c r="H130" s="26"/>
      <c r="I130" s="26"/>
      <c r="J130" s="26"/>
      <c r="K130" s="26"/>
      <c r="L130" s="26"/>
      <c r="M130" s="26"/>
      <c r="N130" s="29"/>
      <c r="O130" s="29"/>
      <c r="P130" s="29"/>
      <c r="Q130" s="29"/>
      <c r="R130" s="11"/>
    </row>
    <row r="131" spans="1:18" ht="15.75" customHeight="1">
      <c r="A131" s="28"/>
      <c r="B131" s="28"/>
      <c r="C131" s="25"/>
      <c r="D131" s="26"/>
      <c r="E131" s="26"/>
      <c r="F131" s="26"/>
      <c r="G131" s="26"/>
      <c r="H131" s="26"/>
      <c r="I131" s="26"/>
      <c r="J131" s="26"/>
      <c r="K131" s="26"/>
      <c r="L131" s="26"/>
      <c r="M131" s="26"/>
      <c r="N131" s="29"/>
      <c r="O131" s="29"/>
      <c r="P131" s="29"/>
      <c r="Q131" s="29"/>
      <c r="R131" s="11"/>
    </row>
    <row r="132" spans="1:18" ht="15.75" customHeight="1">
      <c r="A132" s="28"/>
      <c r="B132" s="28"/>
      <c r="C132" s="25"/>
      <c r="D132" s="26"/>
      <c r="E132" s="26"/>
      <c r="F132" s="26"/>
      <c r="G132" s="26"/>
      <c r="H132" s="26"/>
      <c r="I132" s="26"/>
      <c r="J132" s="26"/>
      <c r="K132" s="26"/>
      <c r="L132" s="26"/>
      <c r="M132" s="26"/>
      <c r="N132" s="29"/>
      <c r="O132" s="29"/>
      <c r="P132" s="29"/>
      <c r="Q132" s="29"/>
      <c r="R132" s="11"/>
    </row>
    <row r="133" spans="1:18" ht="15.75" customHeight="1">
      <c r="A133" s="28"/>
      <c r="B133" s="28"/>
      <c r="C133" s="25"/>
      <c r="D133" s="26"/>
      <c r="E133" s="26"/>
      <c r="F133" s="26"/>
      <c r="G133" s="26"/>
      <c r="H133" s="26"/>
      <c r="I133" s="26"/>
      <c r="J133" s="26"/>
      <c r="K133" s="26"/>
      <c r="L133" s="26"/>
      <c r="M133" s="26"/>
      <c r="N133" s="29"/>
      <c r="O133" s="29"/>
      <c r="P133" s="29"/>
      <c r="Q133" s="29"/>
      <c r="R133" s="11"/>
    </row>
    <row r="134" spans="1:18" ht="15.75" customHeight="1">
      <c r="A134" s="28"/>
      <c r="B134" s="28"/>
      <c r="C134" s="25"/>
      <c r="D134" s="26"/>
      <c r="E134" s="26"/>
      <c r="F134" s="26"/>
      <c r="G134" s="26"/>
      <c r="H134" s="26"/>
      <c r="I134" s="26"/>
      <c r="J134" s="26"/>
      <c r="K134" s="26"/>
      <c r="L134" s="26"/>
      <c r="M134" s="26"/>
      <c r="N134" s="29"/>
      <c r="O134" s="29"/>
      <c r="P134" s="29"/>
      <c r="Q134" s="29"/>
      <c r="R134" s="11"/>
    </row>
    <row r="135" spans="1:18" ht="15.75" customHeight="1">
      <c r="A135" s="28"/>
      <c r="B135" s="28"/>
      <c r="C135" s="25"/>
      <c r="D135" s="26"/>
      <c r="E135" s="26"/>
      <c r="F135" s="26"/>
      <c r="G135" s="26"/>
      <c r="H135" s="26"/>
      <c r="I135" s="26"/>
      <c r="J135" s="26"/>
      <c r="K135" s="26"/>
      <c r="L135" s="26"/>
      <c r="M135" s="26"/>
      <c r="N135" s="29"/>
      <c r="O135" s="29"/>
      <c r="P135" s="29"/>
      <c r="Q135" s="29"/>
      <c r="R135" s="11"/>
    </row>
    <row r="136" spans="1:18" ht="15.75" customHeight="1">
      <c r="A136" s="28"/>
      <c r="B136" s="28"/>
      <c r="C136" s="25"/>
      <c r="D136" s="26"/>
      <c r="E136" s="26"/>
      <c r="F136" s="26"/>
      <c r="G136" s="26"/>
      <c r="H136" s="26"/>
      <c r="I136" s="26"/>
      <c r="J136" s="26"/>
      <c r="K136" s="26"/>
      <c r="L136" s="26"/>
      <c r="M136" s="26"/>
      <c r="N136" s="29"/>
      <c r="O136" s="29"/>
      <c r="P136" s="29"/>
      <c r="Q136" s="29"/>
      <c r="R136" s="11"/>
    </row>
    <row r="137" spans="1:18" ht="15.75" customHeight="1">
      <c r="A137" s="28"/>
      <c r="B137" s="28"/>
      <c r="C137" s="25"/>
      <c r="D137" s="26"/>
      <c r="E137" s="26"/>
      <c r="F137" s="26"/>
      <c r="G137" s="26"/>
      <c r="H137" s="26"/>
      <c r="I137" s="26"/>
      <c r="J137" s="26"/>
      <c r="K137" s="26"/>
      <c r="L137" s="26"/>
      <c r="M137" s="26"/>
      <c r="N137" s="29"/>
      <c r="O137" s="29"/>
      <c r="P137" s="29"/>
      <c r="Q137" s="29"/>
      <c r="R137" s="11"/>
    </row>
    <row r="138" spans="1:18" ht="15.75" customHeight="1">
      <c r="A138" s="28"/>
      <c r="B138" s="28"/>
      <c r="C138" s="25"/>
      <c r="D138" s="26"/>
      <c r="E138" s="26"/>
      <c r="F138" s="26"/>
      <c r="G138" s="26"/>
      <c r="H138" s="26"/>
      <c r="I138" s="26"/>
      <c r="J138" s="26"/>
      <c r="K138" s="26"/>
      <c r="L138" s="26"/>
      <c r="M138" s="26"/>
      <c r="N138" s="29"/>
      <c r="O138" s="29"/>
      <c r="P138" s="29"/>
      <c r="Q138" s="29"/>
      <c r="R138" s="11"/>
    </row>
    <row r="139" spans="1:18" ht="15.75" customHeight="1">
      <c r="A139" s="28"/>
      <c r="B139" s="28"/>
      <c r="C139" s="25"/>
      <c r="D139" s="26"/>
      <c r="E139" s="26"/>
      <c r="F139" s="26"/>
      <c r="G139" s="26"/>
      <c r="H139" s="26"/>
      <c r="I139" s="26"/>
      <c r="J139" s="26"/>
      <c r="K139" s="26"/>
      <c r="L139" s="26"/>
      <c r="M139" s="26"/>
      <c r="N139" s="29"/>
      <c r="O139" s="29"/>
      <c r="P139" s="29"/>
      <c r="Q139" s="29"/>
      <c r="R139" s="11"/>
    </row>
    <row r="140" spans="1:18" ht="15.75" customHeight="1">
      <c r="A140" s="28"/>
      <c r="B140" s="28"/>
      <c r="C140" s="25"/>
      <c r="D140" s="26"/>
      <c r="E140" s="26"/>
      <c r="F140" s="26"/>
      <c r="G140" s="26"/>
      <c r="H140" s="26"/>
      <c r="I140" s="26"/>
      <c r="J140" s="26"/>
      <c r="K140" s="26"/>
      <c r="L140" s="26"/>
      <c r="M140" s="26"/>
      <c r="N140" s="29"/>
      <c r="O140" s="29"/>
      <c r="P140" s="29"/>
      <c r="Q140" s="29"/>
      <c r="R140" s="11"/>
    </row>
    <row r="141" spans="1:18" ht="15.75" customHeight="1">
      <c r="A141" s="28"/>
      <c r="B141" s="28"/>
      <c r="C141" s="25"/>
      <c r="D141" s="26"/>
      <c r="E141" s="26"/>
      <c r="F141" s="26"/>
      <c r="G141" s="26"/>
      <c r="H141" s="26"/>
      <c r="I141" s="26"/>
      <c r="J141" s="26"/>
      <c r="K141" s="26"/>
      <c r="L141" s="26"/>
      <c r="M141" s="26"/>
      <c r="N141" s="29"/>
      <c r="O141" s="29"/>
      <c r="P141" s="29"/>
      <c r="Q141" s="29"/>
      <c r="R141" s="11"/>
    </row>
    <row r="142" spans="1:18" ht="15.75" customHeight="1">
      <c r="A142" s="28"/>
      <c r="B142" s="28"/>
      <c r="C142" s="25"/>
      <c r="D142" s="26"/>
      <c r="E142" s="26"/>
      <c r="F142" s="26"/>
      <c r="G142" s="26"/>
      <c r="H142" s="26"/>
      <c r="I142" s="26"/>
      <c r="J142" s="26"/>
      <c r="K142" s="26"/>
      <c r="L142" s="26"/>
      <c r="M142" s="26"/>
      <c r="N142" s="29"/>
      <c r="O142" s="29"/>
      <c r="P142" s="29"/>
      <c r="Q142" s="29"/>
      <c r="R142" s="11"/>
    </row>
    <row r="143" spans="1:18" ht="15.75" customHeight="1">
      <c r="A143" s="28"/>
      <c r="B143" s="28"/>
      <c r="C143" s="25"/>
      <c r="D143" s="26"/>
      <c r="E143" s="26"/>
      <c r="F143" s="26"/>
      <c r="G143" s="26"/>
      <c r="H143" s="26"/>
      <c r="I143" s="26"/>
      <c r="J143" s="26"/>
      <c r="K143" s="26"/>
      <c r="L143" s="26"/>
      <c r="M143" s="26"/>
      <c r="N143" s="29"/>
      <c r="O143" s="29"/>
      <c r="P143" s="29"/>
      <c r="Q143" s="29"/>
      <c r="R143" s="11"/>
    </row>
    <row r="144" spans="1:18" ht="15.75" customHeight="1">
      <c r="A144" s="28"/>
      <c r="B144" s="28"/>
      <c r="C144" s="25"/>
      <c r="D144" s="26"/>
      <c r="E144" s="26"/>
      <c r="F144" s="26"/>
      <c r="G144" s="26"/>
      <c r="H144" s="26"/>
      <c r="I144" s="26"/>
      <c r="J144" s="26"/>
      <c r="K144" s="26"/>
      <c r="L144" s="26"/>
      <c r="M144" s="26"/>
      <c r="N144" s="29"/>
      <c r="O144" s="29"/>
      <c r="P144" s="29"/>
      <c r="Q144" s="29"/>
      <c r="R144" s="11"/>
    </row>
    <row r="145" spans="1:18" ht="15.75" customHeight="1">
      <c r="A145" s="28"/>
      <c r="B145" s="28"/>
      <c r="C145" s="25"/>
      <c r="D145" s="26"/>
      <c r="E145" s="26"/>
      <c r="F145" s="26"/>
      <c r="G145" s="26"/>
      <c r="H145" s="26"/>
      <c r="I145" s="26"/>
      <c r="J145" s="26"/>
      <c r="K145" s="26"/>
      <c r="L145" s="26"/>
      <c r="M145" s="26"/>
      <c r="N145" s="29"/>
      <c r="O145" s="29"/>
      <c r="P145" s="29"/>
      <c r="Q145" s="29"/>
      <c r="R145" s="11"/>
    </row>
    <row r="146" spans="1:18" ht="15.75" customHeight="1">
      <c r="A146" s="28"/>
      <c r="B146" s="28"/>
      <c r="C146" s="25"/>
      <c r="D146" s="26"/>
      <c r="E146" s="26"/>
      <c r="F146" s="26"/>
      <c r="G146" s="26"/>
      <c r="H146" s="26"/>
      <c r="I146" s="26"/>
      <c r="J146" s="26"/>
      <c r="K146" s="26"/>
      <c r="L146" s="26"/>
      <c r="M146" s="26"/>
      <c r="N146" s="29"/>
      <c r="O146" s="29"/>
      <c r="P146" s="29"/>
      <c r="Q146" s="29"/>
      <c r="R146" s="11"/>
    </row>
    <row r="147" spans="1:18" ht="15.75" customHeight="1">
      <c r="A147" s="28"/>
      <c r="B147" s="28"/>
      <c r="C147" s="25"/>
      <c r="D147" s="26"/>
      <c r="E147" s="26"/>
      <c r="F147" s="26"/>
      <c r="G147" s="26"/>
      <c r="H147" s="26"/>
      <c r="I147" s="26"/>
      <c r="J147" s="26"/>
      <c r="K147" s="26"/>
      <c r="L147" s="26"/>
      <c r="M147" s="26"/>
      <c r="N147" s="29"/>
      <c r="O147" s="29"/>
      <c r="P147" s="29"/>
      <c r="Q147" s="29"/>
      <c r="R147" s="11"/>
    </row>
    <row r="148" spans="1:18" ht="15.75" customHeight="1">
      <c r="A148" s="28"/>
      <c r="B148" s="28"/>
      <c r="C148" s="25"/>
      <c r="D148" s="26"/>
      <c r="E148" s="26"/>
      <c r="F148" s="26"/>
      <c r="G148" s="26"/>
      <c r="H148" s="26"/>
      <c r="I148" s="26"/>
      <c r="J148" s="26"/>
      <c r="K148" s="26"/>
      <c r="L148" s="26"/>
      <c r="M148" s="26"/>
      <c r="N148" s="29"/>
      <c r="O148" s="29"/>
      <c r="P148" s="29"/>
      <c r="Q148" s="29"/>
      <c r="R148" s="11"/>
    </row>
    <row r="149" spans="1:18" ht="15.75" customHeight="1">
      <c r="A149" s="28"/>
      <c r="B149" s="28"/>
      <c r="C149" s="25"/>
      <c r="D149" s="26"/>
      <c r="E149" s="26"/>
      <c r="F149" s="26"/>
      <c r="G149" s="26"/>
      <c r="H149" s="26"/>
      <c r="I149" s="26"/>
      <c r="J149" s="26"/>
      <c r="K149" s="26"/>
      <c r="L149" s="26"/>
      <c r="M149" s="26"/>
      <c r="N149" s="29"/>
      <c r="O149" s="29"/>
      <c r="P149" s="29"/>
      <c r="Q149" s="29"/>
      <c r="R149" s="11"/>
    </row>
    <row r="150" spans="1:18" ht="15.75" customHeight="1">
      <c r="A150" s="28"/>
      <c r="B150" s="28"/>
      <c r="C150" s="25"/>
      <c r="D150" s="26"/>
      <c r="E150" s="26"/>
      <c r="F150" s="26"/>
      <c r="G150" s="26"/>
      <c r="H150" s="26"/>
      <c r="I150" s="26"/>
      <c r="J150" s="26"/>
      <c r="K150" s="26"/>
      <c r="L150" s="26"/>
      <c r="M150" s="26"/>
      <c r="N150" s="29"/>
      <c r="O150" s="29"/>
      <c r="P150" s="29"/>
      <c r="Q150" s="29"/>
      <c r="R150" s="11"/>
    </row>
    <row r="151" spans="1:18" ht="15.75" customHeight="1">
      <c r="A151" s="28"/>
      <c r="B151" s="28"/>
      <c r="C151" s="25"/>
      <c r="D151" s="26"/>
      <c r="E151" s="26"/>
      <c r="F151" s="26"/>
      <c r="G151" s="26"/>
      <c r="H151" s="26"/>
      <c r="I151" s="26"/>
      <c r="J151" s="26"/>
      <c r="K151" s="26"/>
      <c r="L151" s="26"/>
      <c r="M151" s="26"/>
      <c r="N151" s="29"/>
      <c r="O151" s="29"/>
      <c r="P151" s="29"/>
      <c r="Q151" s="29"/>
      <c r="R151" s="11"/>
    </row>
    <row r="152" spans="1:18" ht="15.75" customHeight="1">
      <c r="A152" s="28"/>
      <c r="B152" s="28"/>
      <c r="C152" s="25"/>
      <c r="D152" s="26"/>
      <c r="E152" s="26"/>
      <c r="F152" s="26"/>
      <c r="G152" s="26"/>
      <c r="H152" s="26"/>
      <c r="I152" s="26"/>
      <c r="J152" s="26"/>
      <c r="K152" s="26"/>
      <c r="L152" s="26"/>
      <c r="M152" s="26"/>
      <c r="N152" s="29"/>
      <c r="O152" s="29"/>
      <c r="P152" s="29"/>
      <c r="Q152" s="29"/>
      <c r="R152" s="11"/>
    </row>
    <row r="153" spans="1:18" ht="15.75" customHeight="1">
      <c r="A153" s="28"/>
      <c r="B153" s="28"/>
      <c r="C153" s="25"/>
      <c r="D153" s="26"/>
      <c r="E153" s="26"/>
      <c r="F153" s="26"/>
      <c r="G153" s="26"/>
      <c r="H153" s="26"/>
      <c r="I153" s="26"/>
      <c r="J153" s="26"/>
      <c r="K153" s="26"/>
      <c r="L153" s="26"/>
      <c r="M153" s="26"/>
      <c r="N153" s="29"/>
      <c r="O153" s="29"/>
      <c r="P153" s="29"/>
      <c r="Q153" s="29"/>
      <c r="R153" s="11"/>
    </row>
    <row r="154" spans="1:18" ht="15.75" customHeight="1">
      <c r="A154" s="28"/>
      <c r="B154" s="28"/>
      <c r="C154" s="25"/>
      <c r="D154" s="26"/>
      <c r="E154" s="26"/>
      <c r="F154" s="26"/>
      <c r="G154" s="26"/>
      <c r="H154" s="26"/>
      <c r="I154" s="26"/>
      <c r="J154" s="26"/>
      <c r="K154" s="26"/>
      <c r="L154" s="26"/>
      <c r="M154" s="26"/>
      <c r="N154" s="29"/>
      <c r="O154" s="29"/>
      <c r="P154" s="29"/>
      <c r="Q154" s="29"/>
      <c r="R154" s="11"/>
    </row>
    <row r="155" spans="1:18" ht="15.75" customHeight="1">
      <c r="A155" s="28"/>
      <c r="B155" s="28"/>
      <c r="C155" s="25"/>
      <c r="D155" s="26"/>
      <c r="E155" s="26"/>
      <c r="F155" s="26"/>
      <c r="G155" s="26"/>
      <c r="H155" s="26"/>
      <c r="I155" s="26"/>
      <c r="J155" s="26"/>
      <c r="K155" s="26"/>
      <c r="L155" s="26"/>
      <c r="M155" s="26"/>
      <c r="N155" s="29"/>
      <c r="O155" s="29"/>
      <c r="P155" s="29"/>
      <c r="Q155" s="29"/>
      <c r="R155" s="11"/>
    </row>
    <row r="156" spans="1:18" ht="15.75" customHeight="1">
      <c r="A156" s="28"/>
      <c r="B156" s="28"/>
      <c r="C156" s="25"/>
      <c r="D156" s="26"/>
      <c r="E156" s="26"/>
      <c r="F156" s="26"/>
      <c r="G156" s="26"/>
      <c r="H156" s="26"/>
      <c r="I156" s="26"/>
      <c r="J156" s="26"/>
      <c r="K156" s="26"/>
      <c r="L156" s="26"/>
      <c r="M156" s="26"/>
      <c r="N156" s="29"/>
      <c r="O156" s="29"/>
      <c r="P156" s="29"/>
      <c r="Q156" s="29"/>
      <c r="R156" s="11"/>
    </row>
    <row r="157" spans="1:18" ht="15.75" customHeight="1">
      <c r="A157" s="28"/>
      <c r="B157" s="28"/>
      <c r="C157" s="25"/>
      <c r="D157" s="26"/>
      <c r="E157" s="26"/>
      <c r="F157" s="26"/>
      <c r="G157" s="26"/>
      <c r="H157" s="26"/>
      <c r="I157" s="26"/>
      <c r="J157" s="26"/>
      <c r="K157" s="26"/>
      <c r="L157" s="26"/>
      <c r="M157" s="26"/>
      <c r="N157" s="29"/>
      <c r="O157" s="29"/>
      <c r="P157" s="29"/>
      <c r="Q157" s="29"/>
      <c r="R157" s="11"/>
    </row>
    <row r="158" spans="1:18" ht="15.75" customHeight="1">
      <c r="A158" s="28"/>
      <c r="B158" s="28"/>
      <c r="C158" s="25"/>
      <c r="D158" s="26"/>
      <c r="E158" s="26"/>
      <c r="F158" s="26"/>
      <c r="G158" s="26"/>
      <c r="H158" s="26"/>
      <c r="I158" s="26"/>
      <c r="J158" s="26"/>
      <c r="K158" s="26"/>
      <c r="L158" s="26"/>
      <c r="M158" s="26"/>
      <c r="N158" s="29"/>
      <c r="O158" s="29"/>
      <c r="P158" s="29"/>
      <c r="Q158" s="29"/>
      <c r="R158" s="11"/>
    </row>
    <row r="159" spans="1:18" ht="15.75" customHeight="1">
      <c r="A159" s="28"/>
      <c r="B159" s="28"/>
      <c r="C159" s="25"/>
      <c r="D159" s="26"/>
      <c r="E159" s="26"/>
      <c r="F159" s="26"/>
      <c r="G159" s="26"/>
      <c r="H159" s="26"/>
      <c r="I159" s="26"/>
      <c r="J159" s="26"/>
      <c r="K159" s="26"/>
      <c r="L159" s="26"/>
      <c r="M159" s="26"/>
      <c r="N159" s="29"/>
      <c r="O159" s="29"/>
      <c r="P159" s="29"/>
      <c r="Q159" s="29"/>
      <c r="R159" s="11"/>
    </row>
    <row r="160" spans="1:18" ht="15.75" customHeight="1">
      <c r="A160" s="28"/>
      <c r="B160" s="28"/>
      <c r="C160" s="25"/>
      <c r="D160" s="26"/>
      <c r="E160" s="26"/>
      <c r="F160" s="26"/>
      <c r="G160" s="26"/>
      <c r="H160" s="26"/>
      <c r="I160" s="26"/>
      <c r="J160" s="26"/>
      <c r="K160" s="26"/>
      <c r="L160" s="26"/>
      <c r="M160" s="26"/>
      <c r="N160" s="29"/>
      <c r="O160" s="29"/>
      <c r="P160" s="29"/>
      <c r="Q160" s="29"/>
      <c r="R160" s="11"/>
    </row>
    <row r="161" spans="1:18" ht="15.75" customHeight="1">
      <c r="A161" s="28"/>
      <c r="B161" s="28"/>
      <c r="C161" s="25"/>
      <c r="D161" s="26"/>
      <c r="E161" s="26"/>
      <c r="F161" s="26"/>
      <c r="G161" s="26"/>
      <c r="H161" s="26"/>
      <c r="I161" s="26"/>
      <c r="J161" s="26"/>
      <c r="K161" s="26"/>
      <c r="L161" s="26"/>
      <c r="M161" s="26"/>
      <c r="N161" s="29"/>
      <c r="O161" s="29"/>
      <c r="P161" s="29"/>
      <c r="Q161" s="29"/>
      <c r="R161" s="11"/>
    </row>
    <row r="162" spans="1:18" ht="15.75" customHeight="1">
      <c r="A162" s="28"/>
      <c r="B162" s="28"/>
      <c r="C162" s="25"/>
      <c r="D162" s="26"/>
      <c r="E162" s="26"/>
      <c r="F162" s="26"/>
      <c r="G162" s="26"/>
      <c r="H162" s="26"/>
      <c r="I162" s="26"/>
      <c r="J162" s="26"/>
      <c r="K162" s="26"/>
      <c r="L162" s="26"/>
      <c r="M162" s="26"/>
      <c r="N162" s="29"/>
      <c r="O162" s="29"/>
      <c r="P162" s="29"/>
      <c r="Q162" s="29"/>
      <c r="R162" s="11"/>
    </row>
    <row r="163" spans="1:18" ht="15.75" customHeight="1">
      <c r="A163" s="28"/>
      <c r="B163" s="28"/>
      <c r="C163" s="25"/>
      <c r="D163" s="26"/>
      <c r="E163" s="26"/>
      <c r="F163" s="26"/>
      <c r="G163" s="26"/>
      <c r="H163" s="26"/>
      <c r="I163" s="26"/>
      <c r="J163" s="26"/>
      <c r="K163" s="26"/>
      <c r="L163" s="26"/>
      <c r="M163" s="26"/>
      <c r="N163" s="29"/>
      <c r="O163" s="29"/>
      <c r="P163" s="29"/>
      <c r="Q163" s="29"/>
      <c r="R163" s="11"/>
    </row>
    <row r="164" spans="1:18" ht="15.75" customHeight="1">
      <c r="A164" s="28"/>
      <c r="B164" s="28"/>
      <c r="C164" s="25"/>
      <c r="D164" s="26"/>
      <c r="E164" s="26"/>
      <c r="F164" s="26"/>
      <c r="G164" s="26"/>
      <c r="H164" s="26"/>
      <c r="I164" s="26"/>
      <c r="J164" s="26"/>
      <c r="K164" s="26"/>
      <c r="L164" s="26"/>
      <c r="M164" s="26"/>
      <c r="N164" s="29"/>
      <c r="O164" s="29"/>
      <c r="P164" s="29"/>
      <c r="Q164" s="29"/>
      <c r="R164" s="11"/>
    </row>
    <row r="165" spans="1:18" ht="15.75" customHeight="1">
      <c r="A165" s="28"/>
      <c r="B165" s="28"/>
      <c r="C165" s="25"/>
      <c r="D165" s="26"/>
      <c r="E165" s="26"/>
      <c r="F165" s="26"/>
      <c r="G165" s="26"/>
      <c r="H165" s="26"/>
      <c r="I165" s="26"/>
      <c r="J165" s="26"/>
      <c r="K165" s="26"/>
      <c r="L165" s="26"/>
      <c r="M165" s="26"/>
      <c r="N165" s="29"/>
      <c r="O165" s="29"/>
      <c r="P165" s="29"/>
      <c r="Q165" s="29"/>
      <c r="R165" s="11"/>
    </row>
    <row r="166" spans="1:18" ht="15.75" customHeight="1">
      <c r="A166" s="28"/>
      <c r="B166" s="28"/>
      <c r="C166" s="25"/>
      <c r="D166" s="26"/>
      <c r="E166" s="26"/>
      <c r="F166" s="26"/>
      <c r="G166" s="26"/>
      <c r="H166" s="26"/>
      <c r="I166" s="26"/>
      <c r="J166" s="26"/>
      <c r="K166" s="26"/>
      <c r="L166" s="26"/>
      <c r="M166" s="26"/>
      <c r="N166" s="29"/>
      <c r="O166" s="29"/>
      <c r="P166" s="29"/>
      <c r="Q166" s="29"/>
      <c r="R166" s="11"/>
    </row>
    <row r="167" spans="1:18" ht="15.75" customHeight="1">
      <c r="A167" s="28"/>
      <c r="B167" s="28"/>
      <c r="C167" s="25"/>
      <c r="D167" s="26"/>
      <c r="E167" s="26"/>
      <c r="F167" s="26"/>
      <c r="G167" s="26"/>
      <c r="H167" s="26"/>
      <c r="I167" s="26"/>
      <c r="J167" s="26"/>
      <c r="K167" s="26"/>
      <c r="L167" s="26"/>
      <c r="M167" s="26"/>
      <c r="N167" s="29"/>
      <c r="O167" s="29"/>
      <c r="P167" s="29"/>
      <c r="Q167" s="29"/>
      <c r="R167" s="11"/>
    </row>
    <row r="168" spans="1:18" ht="15.75" customHeight="1">
      <c r="A168" s="28"/>
      <c r="B168" s="28"/>
      <c r="C168" s="25"/>
      <c r="D168" s="26"/>
      <c r="E168" s="26"/>
      <c r="F168" s="26"/>
      <c r="G168" s="26"/>
      <c r="H168" s="26"/>
      <c r="I168" s="26"/>
      <c r="J168" s="26"/>
      <c r="K168" s="26"/>
      <c r="L168" s="26"/>
      <c r="M168" s="26"/>
      <c r="N168" s="29"/>
      <c r="O168" s="29"/>
      <c r="P168" s="29"/>
      <c r="Q168" s="29"/>
      <c r="R168" s="11"/>
    </row>
    <row r="169" spans="1:18" ht="15.75" customHeight="1">
      <c r="A169" s="28"/>
      <c r="B169" s="28"/>
      <c r="C169" s="25"/>
      <c r="D169" s="26"/>
      <c r="E169" s="26"/>
      <c r="F169" s="26"/>
      <c r="G169" s="26"/>
      <c r="H169" s="26"/>
      <c r="I169" s="26"/>
      <c r="J169" s="26"/>
      <c r="K169" s="26"/>
      <c r="L169" s="26"/>
      <c r="M169" s="26"/>
      <c r="N169" s="29"/>
      <c r="O169" s="29"/>
      <c r="P169" s="29"/>
      <c r="Q169" s="29"/>
      <c r="R169" s="11"/>
    </row>
    <row r="170" spans="1:18" ht="15.75" customHeight="1">
      <c r="A170" s="28"/>
      <c r="B170" s="28"/>
      <c r="C170" s="25"/>
      <c r="D170" s="26"/>
      <c r="E170" s="26"/>
      <c r="F170" s="26"/>
      <c r="G170" s="26"/>
      <c r="H170" s="26"/>
      <c r="I170" s="26"/>
      <c r="J170" s="26"/>
      <c r="K170" s="26"/>
      <c r="L170" s="26"/>
      <c r="M170" s="26"/>
      <c r="N170" s="29"/>
      <c r="O170" s="29"/>
      <c r="P170" s="29"/>
      <c r="Q170" s="29"/>
      <c r="R170" s="11"/>
    </row>
    <row r="171" spans="1:18" ht="15.75" customHeight="1">
      <c r="A171" s="28"/>
      <c r="B171" s="28"/>
      <c r="C171" s="25"/>
      <c r="D171" s="26"/>
      <c r="E171" s="26"/>
      <c r="F171" s="26"/>
      <c r="G171" s="26"/>
      <c r="H171" s="26"/>
      <c r="I171" s="26"/>
      <c r="J171" s="26"/>
      <c r="K171" s="26"/>
      <c r="L171" s="26"/>
      <c r="M171" s="26"/>
      <c r="N171" s="29"/>
      <c r="O171" s="29"/>
      <c r="P171" s="29"/>
      <c r="Q171" s="29"/>
      <c r="R171" s="11"/>
    </row>
    <row r="172" spans="1:18" ht="15.75" customHeight="1">
      <c r="A172" s="28"/>
      <c r="B172" s="28"/>
      <c r="C172" s="25"/>
      <c r="D172" s="26"/>
      <c r="E172" s="26"/>
      <c r="F172" s="26"/>
      <c r="G172" s="26"/>
      <c r="H172" s="26"/>
      <c r="I172" s="26"/>
      <c r="J172" s="26"/>
      <c r="K172" s="26"/>
      <c r="L172" s="26"/>
      <c r="M172" s="26"/>
      <c r="N172" s="29"/>
      <c r="O172" s="29"/>
      <c r="P172" s="29"/>
      <c r="Q172" s="29"/>
      <c r="R172" s="11"/>
    </row>
    <row r="173" spans="1:18" ht="15.75" customHeight="1">
      <c r="A173" s="28"/>
      <c r="B173" s="28"/>
      <c r="C173" s="25"/>
      <c r="D173" s="26"/>
      <c r="E173" s="26"/>
      <c r="F173" s="26"/>
      <c r="G173" s="26"/>
      <c r="H173" s="26"/>
      <c r="I173" s="26"/>
      <c r="J173" s="26"/>
      <c r="K173" s="26"/>
      <c r="L173" s="26"/>
      <c r="M173" s="26"/>
      <c r="N173" s="29"/>
      <c r="O173" s="29"/>
      <c r="P173" s="29"/>
      <c r="Q173" s="29"/>
      <c r="R173" s="11"/>
    </row>
    <row r="174" spans="1:18" ht="15.75" customHeight="1">
      <c r="A174" s="28"/>
      <c r="B174" s="28"/>
      <c r="C174" s="25"/>
      <c r="D174" s="26"/>
      <c r="E174" s="26"/>
      <c r="F174" s="26"/>
      <c r="G174" s="26"/>
      <c r="H174" s="26"/>
      <c r="I174" s="26"/>
      <c r="J174" s="26"/>
      <c r="K174" s="26"/>
      <c r="L174" s="26"/>
      <c r="M174" s="26"/>
      <c r="N174" s="29"/>
      <c r="O174" s="29"/>
      <c r="P174" s="29"/>
      <c r="Q174" s="29"/>
      <c r="R174" s="11"/>
    </row>
    <row r="175" spans="1:18" ht="15.75" customHeight="1">
      <c r="A175" s="28"/>
      <c r="B175" s="28"/>
      <c r="C175" s="25"/>
      <c r="D175" s="26"/>
      <c r="E175" s="26"/>
      <c r="F175" s="26"/>
      <c r="G175" s="26"/>
      <c r="H175" s="26"/>
      <c r="I175" s="26"/>
      <c r="J175" s="26"/>
      <c r="K175" s="26"/>
      <c r="L175" s="26"/>
      <c r="M175" s="26"/>
      <c r="N175" s="29"/>
      <c r="O175" s="29"/>
      <c r="P175" s="29"/>
      <c r="Q175" s="29"/>
      <c r="R175" s="11"/>
    </row>
    <row r="176" spans="1:18" ht="15.75" customHeight="1">
      <c r="A176" s="28"/>
      <c r="B176" s="28"/>
      <c r="C176" s="25"/>
      <c r="D176" s="26"/>
      <c r="E176" s="26"/>
      <c r="F176" s="26"/>
      <c r="G176" s="26"/>
      <c r="H176" s="26"/>
      <c r="I176" s="26"/>
      <c r="J176" s="26"/>
      <c r="K176" s="26"/>
      <c r="L176" s="26"/>
      <c r="M176" s="26"/>
      <c r="N176" s="29"/>
      <c r="O176" s="29"/>
      <c r="P176" s="29"/>
      <c r="Q176" s="29"/>
      <c r="R176" s="11"/>
    </row>
    <row r="177" spans="1:18" ht="15.75" customHeight="1">
      <c r="A177" s="28"/>
      <c r="B177" s="28"/>
      <c r="C177" s="25"/>
      <c r="D177" s="26"/>
      <c r="E177" s="26"/>
      <c r="F177" s="26"/>
      <c r="G177" s="26"/>
      <c r="H177" s="26"/>
      <c r="I177" s="26"/>
      <c r="J177" s="26"/>
      <c r="K177" s="26"/>
      <c r="L177" s="26"/>
      <c r="M177" s="26"/>
      <c r="N177" s="29"/>
      <c r="O177" s="29"/>
      <c r="P177" s="29"/>
      <c r="Q177" s="29"/>
      <c r="R177" s="11"/>
    </row>
    <row r="178" spans="1:18" ht="15.75" customHeight="1">
      <c r="A178" s="28"/>
      <c r="B178" s="28"/>
      <c r="C178" s="25"/>
      <c r="D178" s="26"/>
      <c r="E178" s="26"/>
      <c r="F178" s="26"/>
      <c r="G178" s="26"/>
      <c r="H178" s="26"/>
      <c r="I178" s="26"/>
      <c r="J178" s="26"/>
      <c r="K178" s="26"/>
      <c r="L178" s="26"/>
      <c r="M178" s="26"/>
      <c r="N178" s="29"/>
      <c r="O178" s="29"/>
      <c r="P178" s="29"/>
      <c r="Q178" s="29"/>
      <c r="R178" s="11"/>
    </row>
    <row r="179" spans="1:18" ht="15.75" customHeight="1">
      <c r="A179" s="28"/>
      <c r="B179" s="28"/>
      <c r="C179" s="25"/>
      <c r="D179" s="26"/>
      <c r="E179" s="26"/>
      <c r="F179" s="26"/>
      <c r="G179" s="26"/>
      <c r="H179" s="26"/>
      <c r="I179" s="26"/>
      <c r="J179" s="26"/>
      <c r="K179" s="26"/>
      <c r="L179" s="26"/>
      <c r="M179" s="26"/>
      <c r="N179" s="29"/>
      <c r="O179" s="29"/>
      <c r="P179" s="29"/>
      <c r="Q179" s="29"/>
      <c r="R179" s="11"/>
    </row>
    <row r="180" spans="1:18" ht="15.75" customHeight="1">
      <c r="A180" s="28"/>
      <c r="B180" s="28"/>
      <c r="C180" s="25"/>
      <c r="D180" s="26"/>
      <c r="E180" s="26"/>
      <c r="F180" s="26"/>
      <c r="G180" s="26"/>
      <c r="H180" s="26"/>
      <c r="I180" s="26"/>
      <c r="J180" s="26"/>
      <c r="K180" s="26"/>
      <c r="L180" s="26"/>
      <c r="M180" s="26"/>
      <c r="N180" s="29"/>
      <c r="O180" s="29"/>
      <c r="P180" s="29"/>
      <c r="Q180" s="29"/>
      <c r="R180" s="11"/>
    </row>
    <row r="181" spans="1:18" ht="15.75" customHeight="1">
      <c r="A181" s="28"/>
      <c r="B181" s="28"/>
      <c r="C181" s="25"/>
      <c r="D181" s="26"/>
      <c r="E181" s="26"/>
      <c r="F181" s="26"/>
      <c r="G181" s="26"/>
      <c r="H181" s="26"/>
      <c r="I181" s="26"/>
      <c r="J181" s="26"/>
      <c r="K181" s="26"/>
      <c r="L181" s="26"/>
      <c r="M181" s="26"/>
      <c r="N181" s="29"/>
      <c r="O181" s="29"/>
      <c r="P181" s="29"/>
      <c r="Q181" s="29"/>
      <c r="R181" s="11"/>
    </row>
    <row r="182" spans="1:18" ht="15.75" customHeight="1">
      <c r="A182" s="28"/>
      <c r="B182" s="28"/>
      <c r="C182" s="25"/>
      <c r="D182" s="26"/>
      <c r="E182" s="26"/>
      <c r="F182" s="26"/>
      <c r="G182" s="26"/>
      <c r="H182" s="26"/>
      <c r="I182" s="26"/>
      <c r="J182" s="26"/>
      <c r="K182" s="26"/>
      <c r="L182" s="26"/>
      <c r="M182" s="26"/>
      <c r="N182" s="29"/>
      <c r="O182" s="29"/>
      <c r="P182" s="29"/>
      <c r="Q182" s="29"/>
      <c r="R182" s="11"/>
    </row>
    <row r="183" spans="1:18" ht="15.75" customHeight="1">
      <c r="A183" s="28"/>
      <c r="B183" s="28"/>
      <c r="C183" s="25"/>
      <c r="D183" s="26"/>
      <c r="E183" s="26"/>
      <c r="F183" s="26"/>
      <c r="G183" s="26"/>
      <c r="H183" s="26"/>
      <c r="I183" s="26"/>
      <c r="J183" s="26"/>
      <c r="K183" s="26"/>
      <c r="L183" s="26"/>
      <c r="M183" s="26"/>
      <c r="N183" s="29"/>
      <c r="O183" s="29"/>
      <c r="P183" s="29"/>
      <c r="Q183" s="29"/>
      <c r="R183" s="11"/>
    </row>
    <row r="184" spans="1:18" ht="15.75" customHeight="1">
      <c r="A184" s="28"/>
      <c r="B184" s="28"/>
      <c r="C184" s="25"/>
      <c r="D184" s="26"/>
      <c r="E184" s="26"/>
      <c r="F184" s="26"/>
      <c r="G184" s="26"/>
      <c r="H184" s="26"/>
      <c r="I184" s="26"/>
      <c r="J184" s="26"/>
      <c r="K184" s="26"/>
      <c r="L184" s="26"/>
      <c r="M184" s="26"/>
      <c r="N184" s="29"/>
      <c r="O184" s="29"/>
      <c r="P184" s="29"/>
      <c r="Q184" s="29"/>
      <c r="R184" s="11"/>
    </row>
    <row r="185" spans="1:18" ht="15.75" customHeight="1">
      <c r="A185" s="28"/>
      <c r="B185" s="28"/>
      <c r="C185" s="25"/>
      <c r="D185" s="26"/>
      <c r="E185" s="26"/>
      <c r="F185" s="26"/>
      <c r="G185" s="26"/>
      <c r="H185" s="26"/>
      <c r="I185" s="26"/>
      <c r="J185" s="26"/>
      <c r="K185" s="26"/>
      <c r="L185" s="26"/>
      <c r="M185" s="26"/>
      <c r="N185" s="29"/>
      <c r="O185" s="29"/>
      <c r="P185" s="29"/>
      <c r="Q185" s="29"/>
      <c r="R185" s="11"/>
    </row>
    <row r="186" spans="1:18" ht="15.75" customHeight="1">
      <c r="A186" s="28"/>
      <c r="B186" s="28"/>
      <c r="C186" s="25"/>
      <c r="D186" s="26"/>
      <c r="E186" s="26"/>
      <c r="F186" s="26"/>
      <c r="G186" s="26"/>
      <c r="H186" s="26"/>
      <c r="I186" s="26"/>
      <c r="J186" s="26"/>
      <c r="K186" s="26"/>
      <c r="L186" s="26"/>
      <c r="M186" s="26"/>
      <c r="N186" s="29"/>
      <c r="O186" s="29"/>
      <c r="P186" s="29"/>
      <c r="Q186" s="29"/>
      <c r="R186" s="11"/>
    </row>
    <row r="187" spans="1:18" ht="15.75" customHeight="1">
      <c r="A187" s="28"/>
      <c r="B187" s="28"/>
      <c r="C187" s="25"/>
      <c r="D187" s="26"/>
      <c r="E187" s="26"/>
      <c r="F187" s="26"/>
      <c r="G187" s="26"/>
      <c r="H187" s="26"/>
      <c r="I187" s="26"/>
      <c r="J187" s="26"/>
      <c r="K187" s="26"/>
      <c r="L187" s="26"/>
      <c r="M187" s="26"/>
      <c r="N187" s="29"/>
      <c r="O187" s="29"/>
      <c r="P187" s="29"/>
      <c r="Q187" s="29"/>
      <c r="R187" s="11"/>
    </row>
    <row r="188" spans="1:18" ht="15.75" customHeight="1">
      <c r="A188" s="28"/>
      <c r="B188" s="28"/>
      <c r="C188" s="25"/>
      <c r="D188" s="26"/>
      <c r="E188" s="26"/>
      <c r="F188" s="26"/>
      <c r="G188" s="26"/>
      <c r="H188" s="26"/>
      <c r="I188" s="26"/>
      <c r="J188" s="26"/>
      <c r="K188" s="26"/>
      <c r="L188" s="26"/>
      <c r="M188" s="26"/>
      <c r="N188" s="29"/>
      <c r="O188" s="29"/>
      <c r="P188" s="29"/>
      <c r="Q188" s="29"/>
      <c r="R188" s="11"/>
    </row>
    <row r="189" spans="1:18" ht="15.75" customHeight="1">
      <c r="A189" s="28"/>
      <c r="B189" s="28"/>
      <c r="C189" s="25"/>
      <c r="D189" s="26"/>
      <c r="E189" s="26"/>
      <c r="F189" s="26"/>
      <c r="G189" s="26"/>
      <c r="H189" s="26"/>
      <c r="I189" s="26"/>
      <c r="J189" s="26"/>
      <c r="K189" s="26"/>
      <c r="L189" s="26"/>
      <c r="M189" s="26"/>
      <c r="N189" s="29"/>
      <c r="O189" s="29"/>
      <c r="P189" s="29"/>
      <c r="Q189" s="29"/>
      <c r="R189" s="11"/>
    </row>
    <row r="190" spans="1:18" ht="15.75" customHeight="1">
      <c r="A190" s="28"/>
      <c r="B190" s="28"/>
      <c r="C190" s="25"/>
      <c r="D190" s="26"/>
      <c r="E190" s="26"/>
      <c r="F190" s="26"/>
      <c r="G190" s="26"/>
      <c r="H190" s="26"/>
      <c r="I190" s="26"/>
      <c r="J190" s="26"/>
      <c r="K190" s="26"/>
      <c r="L190" s="26"/>
      <c r="M190" s="26"/>
      <c r="N190" s="29"/>
      <c r="O190" s="29"/>
      <c r="P190" s="29"/>
      <c r="Q190" s="29"/>
      <c r="R190" s="11"/>
    </row>
    <row r="191" spans="1:18" ht="15.75" customHeight="1">
      <c r="A191" s="28"/>
      <c r="B191" s="28"/>
      <c r="C191" s="25"/>
      <c r="D191" s="26"/>
      <c r="E191" s="26"/>
      <c r="F191" s="26"/>
      <c r="G191" s="26"/>
      <c r="H191" s="26"/>
      <c r="I191" s="26"/>
      <c r="J191" s="26"/>
      <c r="K191" s="26"/>
      <c r="L191" s="26"/>
      <c r="M191" s="26"/>
      <c r="N191" s="29"/>
      <c r="O191" s="29"/>
      <c r="P191" s="29"/>
      <c r="Q191" s="29"/>
      <c r="R191" s="11"/>
    </row>
    <row r="192" spans="1:18" ht="15.75" customHeight="1">
      <c r="A192" s="28"/>
      <c r="B192" s="28"/>
      <c r="C192" s="25"/>
      <c r="D192" s="26"/>
      <c r="E192" s="26"/>
      <c r="F192" s="26"/>
      <c r="G192" s="26"/>
      <c r="H192" s="26"/>
      <c r="I192" s="26"/>
      <c r="J192" s="26"/>
      <c r="K192" s="26"/>
      <c r="L192" s="26"/>
      <c r="M192" s="26"/>
      <c r="N192" s="29"/>
      <c r="O192" s="29"/>
      <c r="P192" s="29"/>
      <c r="Q192" s="29"/>
      <c r="R192" s="11"/>
    </row>
    <row r="193" spans="1:18" ht="15.75" customHeight="1">
      <c r="A193" s="28"/>
      <c r="B193" s="28"/>
      <c r="C193" s="25"/>
      <c r="D193" s="26"/>
      <c r="E193" s="26"/>
      <c r="F193" s="26"/>
      <c r="G193" s="26"/>
      <c r="H193" s="26"/>
      <c r="I193" s="26"/>
      <c r="J193" s="26"/>
      <c r="K193" s="26"/>
      <c r="L193" s="26"/>
      <c r="M193" s="26"/>
      <c r="N193" s="29"/>
      <c r="O193" s="29"/>
      <c r="P193" s="29"/>
      <c r="Q193" s="29"/>
      <c r="R193" s="11"/>
    </row>
    <row r="194" spans="1:18" ht="15.75" customHeight="1">
      <c r="A194" s="28"/>
      <c r="B194" s="28"/>
      <c r="C194" s="25"/>
      <c r="D194" s="26"/>
      <c r="E194" s="26"/>
      <c r="F194" s="26"/>
      <c r="G194" s="26"/>
      <c r="H194" s="26"/>
      <c r="I194" s="26"/>
      <c r="J194" s="26"/>
      <c r="K194" s="26"/>
      <c r="L194" s="26"/>
      <c r="M194" s="26"/>
      <c r="N194" s="29"/>
      <c r="O194" s="29"/>
      <c r="P194" s="29"/>
      <c r="Q194" s="29"/>
      <c r="R194" s="11"/>
    </row>
    <row r="195" spans="1:18" ht="15.75" customHeight="1">
      <c r="A195" s="28"/>
      <c r="B195" s="28"/>
      <c r="C195" s="25"/>
      <c r="D195" s="26"/>
      <c r="E195" s="26"/>
      <c r="F195" s="26"/>
      <c r="G195" s="26"/>
      <c r="H195" s="26"/>
      <c r="I195" s="26"/>
      <c r="J195" s="26"/>
      <c r="K195" s="26"/>
      <c r="L195" s="26"/>
      <c r="M195" s="26"/>
      <c r="N195" s="29"/>
      <c r="O195" s="29"/>
      <c r="P195" s="29"/>
      <c r="Q195" s="29"/>
      <c r="R195" s="11"/>
    </row>
    <row r="196" spans="1:18" ht="15.75" customHeight="1">
      <c r="A196" s="28"/>
      <c r="B196" s="28"/>
      <c r="C196" s="25"/>
      <c r="D196" s="26"/>
      <c r="E196" s="26"/>
      <c r="F196" s="26"/>
      <c r="G196" s="26"/>
      <c r="H196" s="26"/>
      <c r="I196" s="26"/>
      <c r="J196" s="26"/>
      <c r="K196" s="26"/>
      <c r="L196" s="26"/>
      <c r="M196" s="26"/>
      <c r="N196" s="29"/>
      <c r="O196" s="29"/>
      <c r="P196" s="29"/>
      <c r="Q196" s="29"/>
      <c r="R196" s="11"/>
    </row>
    <row r="197" spans="1:18" ht="15.75" customHeight="1">
      <c r="A197" s="28"/>
      <c r="B197" s="28"/>
      <c r="C197" s="25"/>
      <c r="D197" s="26"/>
      <c r="E197" s="26"/>
      <c r="F197" s="26"/>
      <c r="G197" s="26"/>
      <c r="H197" s="26"/>
      <c r="I197" s="26"/>
      <c r="J197" s="26"/>
      <c r="K197" s="26"/>
      <c r="L197" s="26"/>
      <c r="M197" s="26"/>
      <c r="N197" s="29"/>
      <c r="O197" s="29"/>
      <c r="P197" s="29"/>
      <c r="Q197" s="29"/>
      <c r="R197" s="11"/>
    </row>
    <row r="198" spans="1:18" ht="15.75" customHeight="1">
      <c r="A198" s="28"/>
      <c r="B198" s="28"/>
      <c r="C198" s="25"/>
      <c r="D198" s="26"/>
      <c r="E198" s="26"/>
      <c r="F198" s="26"/>
      <c r="G198" s="26"/>
      <c r="H198" s="26"/>
      <c r="I198" s="26"/>
      <c r="J198" s="26"/>
      <c r="K198" s="26"/>
      <c r="L198" s="26"/>
      <c r="M198" s="26"/>
      <c r="N198" s="29"/>
      <c r="O198" s="29"/>
      <c r="P198" s="29"/>
      <c r="Q198" s="29"/>
      <c r="R198" s="11"/>
    </row>
    <row r="199" spans="1:18" ht="15.75" customHeight="1">
      <c r="A199" s="28"/>
      <c r="B199" s="28"/>
      <c r="C199" s="25"/>
      <c r="D199" s="26"/>
      <c r="E199" s="26"/>
      <c r="F199" s="26"/>
      <c r="G199" s="26"/>
      <c r="H199" s="26"/>
      <c r="I199" s="26"/>
      <c r="J199" s="26"/>
      <c r="K199" s="26"/>
      <c r="L199" s="26"/>
      <c r="M199" s="26"/>
      <c r="N199" s="29"/>
      <c r="O199" s="29"/>
      <c r="P199" s="29"/>
      <c r="Q199" s="29"/>
      <c r="R199" s="11"/>
    </row>
    <row r="200" spans="1:18" ht="15.75" customHeight="1">
      <c r="A200" s="28"/>
      <c r="B200" s="28"/>
      <c r="C200" s="25"/>
      <c r="D200" s="26"/>
      <c r="E200" s="26"/>
      <c r="F200" s="26"/>
      <c r="G200" s="26"/>
      <c r="H200" s="26"/>
      <c r="I200" s="26"/>
      <c r="J200" s="26"/>
      <c r="K200" s="26"/>
      <c r="L200" s="26"/>
      <c r="M200" s="26"/>
      <c r="N200" s="29"/>
      <c r="O200" s="29"/>
      <c r="P200" s="29"/>
      <c r="Q200" s="29"/>
      <c r="R200" s="11"/>
    </row>
    <row r="201" spans="1:18" ht="15.75" customHeight="1">
      <c r="A201" s="28"/>
      <c r="B201" s="28"/>
      <c r="C201" s="25"/>
      <c r="D201" s="26"/>
      <c r="E201" s="26"/>
      <c r="F201" s="26"/>
      <c r="G201" s="26"/>
      <c r="H201" s="26"/>
      <c r="I201" s="26"/>
      <c r="J201" s="26"/>
      <c r="K201" s="26"/>
      <c r="L201" s="26"/>
      <c r="M201" s="26"/>
      <c r="N201" s="29"/>
      <c r="O201" s="29"/>
      <c r="P201" s="29"/>
      <c r="Q201" s="29"/>
      <c r="R201" s="11"/>
    </row>
    <row r="202" spans="1:18" ht="15.75" customHeight="1">
      <c r="A202" s="28"/>
      <c r="B202" s="28"/>
      <c r="C202" s="25"/>
      <c r="D202" s="26"/>
      <c r="E202" s="26"/>
      <c r="F202" s="26"/>
      <c r="G202" s="26"/>
      <c r="H202" s="26"/>
      <c r="I202" s="26"/>
      <c r="J202" s="26"/>
      <c r="K202" s="26"/>
      <c r="L202" s="26"/>
      <c r="M202" s="26"/>
      <c r="N202" s="29"/>
      <c r="O202" s="29"/>
      <c r="P202" s="29"/>
      <c r="Q202" s="29"/>
      <c r="R202" s="11"/>
    </row>
    <row r="203" spans="1:18" ht="15.75" customHeight="1">
      <c r="A203" s="28"/>
      <c r="B203" s="28"/>
      <c r="C203" s="25"/>
      <c r="D203" s="26"/>
      <c r="E203" s="26"/>
      <c r="F203" s="26"/>
      <c r="G203" s="26"/>
      <c r="H203" s="26"/>
      <c r="I203" s="26"/>
      <c r="J203" s="26"/>
      <c r="K203" s="26"/>
      <c r="L203" s="26"/>
      <c r="M203" s="26"/>
      <c r="N203" s="29"/>
      <c r="O203" s="29"/>
      <c r="P203" s="29"/>
      <c r="Q203" s="29"/>
      <c r="R203" s="11"/>
    </row>
    <row r="204" spans="1:18" ht="15.75" customHeight="1">
      <c r="A204" s="28"/>
      <c r="B204" s="28"/>
      <c r="C204" s="25"/>
      <c r="D204" s="26"/>
      <c r="E204" s="26"/>
      <c r="F204" s="26"/>
      <c r="G204" s="26"/>
      <c r="H204" s="26"/>
      <c r="I204" s="26"/>
      <c r="J204" s="26"/>
      <c r="K204" s="26"/>
      <c r="L204" s="26"/>
      <c r="M204" s="26"/>
      <c r="N204" s="29"/>
      <c r="O204" s="29"/>
      <c r="P204" s="29"/>
      <c r="Q204" s="29"/>
      <c r="R204" s="11"/>
    </row>
    <row r="205" spans="1:18" ht="15.75" customHeight="1">
      <c r="A205" s="28"/>
      <c r="B205" s="28"/>
      <c r="C205" s="25"/>
      <c r="D205" s="26"/>
      <c r="E205" s="26"/>
      <c r="F205" s="26"/>
      <c r="G205" s="26"/>
      <c r="H205" s="26"/>
      <c r="I205" s="26"/>
      <c r="J205" s="26"/>
      <c r="K205" s="26"/>
      <c r="L205" s="26"/>
      <c r="M205" s="26"/>
      <c r="N205" s="29"/>
      <c r="O205" s="29"/>
      <c r="P205" s="29"/>
      <c r="Q205" s="29"/>
      <c r="R205" s="11"/>
    </row>
    <row r="206" spans="1:18" ht="15.75" customHeight="1">
      <c r="A206" s="28"/>
      <c r="B206" s="28"/>
      <c r="C206" s="25"/>
      <c r="D206" s="26"/>
      <c r="E206" s="26"/>
      <c r="F206" s="26"/>
      <c r="G206" s="26"/>
      <c r="H206" s="26"/>
      <c r="I206" s="26"/>
      <c r="J206" s="26"/>
      <c r="K206" s="26"/>
      <c r="L206" s="26"/>
      <c r="M206" s="26"/>
      <c r="N206" s="29"/>
      <c r="O206" s="29"/>
      <c r="P206" s="29"/>
      <c r="Q206" s="29"/>
      <c r="R206" s="11"/>
    </row>
    <row r="207" spans="1:18" ht="15.75" customHeight="1">
      <c r="A207" s="28"/>
      <c r="B207" s="28"/>
      <c r="C207" s="25"/>
      <c r="D207" s="26"/>
      <c r="E207" s="26"/>
      <c r="F207" s="26"/>
      <c r="G207" s="26"/>
      <c r="H207" s="26"/>
      <c r="I207" s="26"/>
      <c r="J207" s="26"/>
      <c r="K207" s="26"/>
      <c r="L207" s="26"/>
      <c r="M207" s="26"/>
      <c r="N207" s="29"/>
      <c r="O207" s="29"/>
      <c r="P207" s="29"/>
      <c r="Q207" s="29"/>
      <c r="R207" s="11"/>
    </row>
    <row r="208" spans="1:18" ht="15.75" customHeight="1">
      <c r="A208" s="28"/>
      <c r="B208" s="28"/>
      <c r="C208" s="25"/>
      <c r="D208" s="26"/>
      <c r="E208" s="26"/>
      <c r="F208" s="26"/>
      <c r="G208" s="26"/>
      <c r="H208" s="26"/>
      <c r="I208" s="26"/>
      <c r="J208" s="26"/>
      <c r="K208" s="26"/>
      <c r="L208" s="26"/>
      <c r="M208" s="26"/>
      <c r="N208" s="29"/>
      <c r="O208" s="29"/>
      <c r="P208" s="29"/>
      <c r="Q208" s="29"/>
      <c r="R208" s="11"/>
    </row>
    <row r="209" spans="1:18" ht="15.75" customHeight="1">
      <c r="A209" s="28"/>
      <c r="B209" s="28"/>
      <c r="C209" s="25"/>
      <c r="D209" s="26"/>
      <c r="E209" s="26"/>
      <c r="F209" s="26"/>
      <c r="G209" s="26"/>
      <c r="H209" s="26"/>
      <c r="I209" s="26"/>
      <c r="J209" s="26"/>
      <c r="K209" s="26"/>
      <c r="L209" s="26"/>
      <c r="M209" s="26"/>
      <c r="N209" s="29"/>
      <c r="O209" s="29"/>
      <c r="P209" s="29"/>
      <c r="Q209" s="29"/>
      <c r="R209" s="11"/>
    </row>
    <row r="210" spans="1:18" ht="15.75" customHeight="1">
      <c r="A210" s="28"/>
      <c r="B210" s="28"/>
      <c r="C210" s="25"/>
      <c r="D210" s="26"/>
      <c r="E210" s="26"/>
      <c r="F210" s="26"/>
      <c r="G210" s="26"/>
      <c r="H210" s="26"/>
      <c r="I210" s="26"/>
      <c r="J210" s="26"/>
      <c r="K210" s="26"/>
      <c r="L210" s="26"/>
      <c r="M210" s="26"/>
      <c r="N210" s="29"/>
      <c r="O210" s="29"/>
      <c r="P210" s="29"/>
      <c r="Q210" s="29"/>
      <c r="R210" s="11"/>
    </row>
    <row r="211" spans="1:18" ht="15.75" customHeight="1">
      <c r="A211" s="28"/>
      <c r="B211" s="28"/>
      <c r="C211" s="25"/>
      <c r="D211" s="26"/>
      <c r="E211" s="26"/>
      <c r="F211" s="26"/>
      <c r="G211" s="26"/>
      <c r="H211" s="26"/>
      <c r="I211" s="26"/>
      <c r="J211" s="26"/>
      <c r="K211" s="26"/>
      <c r="L211" s="26"/>
      <c r="M211" s="26"/>
      <c r="N211" s="29"/>
      <c r="O211" s="29"/>
      <c r="P211" s="29"/>
      <c r="Q211" s="29"/>
      <c r="R211" s="11"/>
    </row>
    <row r="212" spans="1:18" ht="15.75" customHeight="1">
      <c r="A212" s="28"/>
      <c r="B212" s="28"/>
      <c r="C212" s="25"/>
      <c r="D212" s="26"/>
      <c r="E212" s="26"/>
      <c r="F212" s="26"/>
      <c r="G212" s="26"/>
      <c r="H212" s="26"/>
      <c r="I212" s="26"/>
      <c r="J212" s="26"/>
      <c r="K212" s="26"/>
      <c r="L212" s="26"/>
      <c r="M212" s="26"/>
      <c r="N212" s="29"/>
      <c r="O212" s="29"/>
      <c r="P212" s="29"/>
      <c r="Q212" s="29"/>
      <c r="R212" s="11"/>
    </row>
    <row r="213" spans="1:18" ht="15.75" customHeight="1">
      <c r="A213" s="28"/>
      <c r="B213" s="28"/>
      <c r="C213" s="25"/>
      <c r="D213" s="26"/>
      <c r="E213" s="26"/>
      <c r="F213" s="26"/>
      <c r="G213" s="26"/>
      <c r="H213" s="26"/>
      <c r="I213" s="26"/>
      <c r="J213" s="26"/>
      <c r="K213" s="26"/>
      <c r="L213" s="26"/>
      <c r="M213" s="26"/>
      <c r="N213" s="29"/>
      <c r="O213" s="29"/>
      <c r="P213" s="29"/>
      <c r="Q213" s="29"/>
      <c r="R213" s="11"/>
    </row>
    <row r="214" spans="1:18" ht="15.75" customHeight="1">
      <c r="A214" s="28"/>
      <c r="B214" s="28"/>
      <c r="C214" s="25"/>
      <c r="D214" s="26"/>
      <c r="E214" s="26"/>
      <c r="F214" s="26"/>
      <c r="G214" s="26"/>
      <c r="H214" s="26"/>
      <c r="I214" s="26"/>
      <c r="J214" s="26"/>
      <c r="K214" s="26"/>
      <c r="L214" s="26"/>
      <c r="M214" s="26"/>
      <c r="N214" s="29"/>
      <c r="O214" s="29"/>
      <c r="P214" s="29"/>
      <c r="Q214" s="29"/>
      <c r="R214" s="11"/>
    </row>
    <row r="215" spans="1:18" ht="15.75" customHeight="1">
      <c r="A215" s="28"/>
      <c r="B215" s="28"/>
      <c r="C215" s="25"/>
      <c r="D215" s="26"/>
      <c r="E215" s="26"/>
      <c r="F215" s="26"/>
      <c r="G215" s="26"/>
      <c r="H215" s="26"/>
      <c r="I215" s="26"/>
      <c r="J215" s="26"/>
      <c r="K215" s="26"/>
      <c r="L215" s="26"/>
      <c r="M215" s="26"/>
      <c r="N215" s="29"/>
      <c r="O215" s="29"/>
      <c r="P215" s="29"/>
      <c r="Q215" s="29"/>
      <c r="R215" s="11"/>
    </row>
    <row r="216" spans="1:18" ht="15.75" customHeight="1">
      <c r="A216" s="28"/>
      <c r="B216" s="28"/>
      <c r="C216" s="25"/>
      <c r="D216" s="26"/>
      <c r="E216" s="26"/>
      <c r="F216" s="26"/>
      <c r="G216" s="26"/>
      <c r="H216" s="26"/>
      <c r="I216" s="26"/>
      <c r="J216" s="26"/>
      <c r="K216" s="26"/>
      <c r="L216" s="26"/>
      <c r="M216" s="26"/>
      <c r="N216" s="29"/>
      <c r="O216" s="29"/>
      <c r="P216" s="29"/>
      <c r="Q216" s="29"/>
      <c r="R216" s="11"/>
    </row>
    <row r="217" spans="1:18" ht="15.75" customHeight="1">
      <c r="A217" s="28"/>
      <c r="B217" s="28"/>
      <c r="C217" s="25"/>
      <c r="D217" s="26"/>
      <c r="E217" s="26"/>
      <c r="F217" s="26"/>
      <c r="G217" s="26"/>
      <c r="H217" s="26"/>
      <c r="I217" s="26"/>
      <c r="J217" s="26"/>
      <c r="K217" s="26"/>
      <c r="L217" s="26"/>
      <c r="M217" s="26"/>
      <c r="N217" s="29"/>
      <c r="O217" s="29"/>
      <c r="P217" s="29"/>
      <c r="Q217" s="29"/>
      <c r="R217" s="11"/>
    </row>
    <row r="218" spans="1:18" ht="15.75" customHeight="1">
      <c r="A218" s="28"/>
      <c r="B218" s="28"/>
      <c r="C218" s="25"/>
      <c r="D218" s="26"/>
      <c r="E218" s="26"/>
      <c r="F218" s="26"/>
      <c r="G218" s="26"/>
      <c r="H218" s="26"/>
      <c r="I218" s="26"/>
      <c r="J218" s="26"/>
      <c r="K218" s="26"/>
      <c r="L218" s="26"/>
      <c r="M218" s="26"/>
      <c r="N218" s="29"/>
      <c r="O218" s="29"/>
      <c r="P218" s="29"/>
      <c r="Q218" s="29"/>
      <c r="R218" s="11"/>
    </row>
    <row r="219" spans="1:18" ht="15.75" customHeight="1">
      <c r="A219" s="28"/>
      <c r="B219" s="28"/>
      <c r="C219" s="25"/>
      <c r="D219" s="26"/>
      <c r="E219" s="26"/>
      <c r="F219" s="26"/>
      <c r="G219" s="26"/>
      <c r="H219" s="26"/>
      <c r="I219" s="26"/>
      <c r="J219" s="26"/>
      <c r="K219" s="26"/>
      <c r="L219" s="26"/>
      <c r="M219" s="26"/>
      <c r="N219" s="29"/>
      <c r="O219" s="29"/>
      <c r="P219" s="29"/>
      <c r="Q219" s="29"/>
      <c r="R219" s="11"/>
    </row>
    <row r="220" spans="1:18" ht="15.75" customHeight="1">
      <c r="A220" s="28"/>
      <c r="B220" s="28"/>
      <c r="C220" s="25"/>
      <c r="D220" s="26"/>
      <c r="E220" s="26"/>
      <c r="F220" s="26"/>
      <c r="G220" s="26"/>
      <c r="H220" s="26"/>
      <c r="I220" s="26"/>
      <c r="J220" s="26"/>
      <c r="K220" s="26"/>
      <c r="L220" s="26"/>
      <c r="M220" s="26"/>
      <c r="N220" s="29"/>
      <c r="O220" s="29"/>
      <c r="P220" s="29"/>
      <c r="Q220" s="29"/>
      <c r="R220" s="11"/>
    </row>
    <row r="221" spans="1:18" ht="15.75" customHeight="1">
      <c r="A221" s="28"/>
      <c r="B221" s="28"/>
      <c r="C221" s="25"/>
      <c r="D221" s="26"/>
      <c r="E221" s="26"/>
      <c r="F221" s="26"/>
      <c r="G221" s="26"/>
      <c r="H221" s="26"/>
      <c r="I221" s="26"/>
      <c r="J221" s="26"/>
      <c r="K221" s="26"/>
      <c r="L221" s="26"/>
      <c r="M221" s="26"/>
      <c r="N221" s="29"/>
      <c r="O221" s="29"/>
      <c r="P221" s="29"/>
      <c r="Q221" s="29"/>
      <c r="R221" s="11"/>
    </row>
    <row r="222" spans="1:18" ht="15.75" customHeight="1">
      <c r="A222" s="28"/>
      <c r="B222" s="28"/>
      <c r="C222" s="25"/>
      <c r="D222" s="26"/>
      <c r="E222" s="26"/>
      <c r="F222" s="26"/>
      <c r="G222" s="26"/>
      <c r="H222" s="26"/>
      <c r="I222" s="26"/>
      <c r="J222" s="26"/>
      <c r="K222" s="26"/>
      <c r="L222" s="26"/>
      <c r="M222" s="26"/>
      <c r="N222" s="29"/>
      <c r="O222" s="29"/>
      <c r="P222" s="29"/>
      <c r="Q222" s="29"/>
      <c r="R222" s="11"/>
    </row>
    <row r="223" spans="1:18" ht="15.75" customHeight="1">
      <c r="A223" s="28"/>
      <c r="B223" s="28"/>
      <c r="C223" s="25"/>
      <c r="D223" s="26"/>
      <c r="E223" s="26"/>
      <c r="F223" s="26"/>
      <c r="G223" s="26"/>
      <c r="H223" s="26"/>
      <c r="I223" s="26"/>
      <c r="J223" s="26"/>
      <c r="K223" s="26"/>
      <c r="L223" s="26"/>
      <c r="M223" s="26"/>
      <c r="N223" s="29"/>
      <c r="O223" s="29"/>
      <c r="P223" s="29"/>
      <c r="Q223" s="29"/>
      <c r="R223" s="11"/>
    </row>
    <row r="224" spans="1:18" ht="15.75" customHeight="1">
      <c r="A224" s="28"/>
      <c r="B224" s="28"/>
      <c r="C224" s="25"/>
      <c r="D224" s="26"/>
      <c r="E224" s="26"/>
      <c r="F224" s="26"/>
      <c r="G224" s="26"/>
      <c r="H224" s="26"/>
      <c r="I224" s="26"/>
      <c r="J224" s="26"/>
      <c r="K224" s="26"/>
      <c r="L224" s="26"/>
      <c r="M224" s="26"/>
      <c r="N224" s="29"/>
      <c r="O224" s="29"/>
      <c r="P224" s="29"/>
      <c r="Q224" s="29"/>
      <c r="R224" s="11"/>
    </row>
    <row r="225" spans="1:18" ht="15.75" customHeight="1">
      <c r="A225" s="28"/>
      <c r="B225" s="28"/>
      <c r="C225" s="25"/>
      <c r="D225" s="26"/>
      <c r="E225" s="26"/>
      <c r="F225" s="26"/>
      <c r="G225" s="26"/>
      <c r="H225" s="26"/>
      <c r="I225" s="26"/>
      <c r="J225" s="26"/>
      <c r="K225" s="26"/>
      <c r="L225" s="26"/>
      <c r="M225" s="26"/>
      <c r="N225" s="29"/>
      <c r="O225" s="29"/>
      <c r="P225" s="29"/>
      <c r="Q225" s="29"/>
      <c r="R225" s="11"/>
    </row>
    <row r="226" spans="1:18" ht="15.75" customHeight="1">
      <c r="A226" s="28"/>
      <c r="B226" s="28"/>
      <c r="C226" s="25"/>
      <c r="D226" s="26"/>
      <c r="E226" s="26"/>
      <c r="F226" s="26"/>
      <c r="G226" s="26"/>
      <c r="H226" s="26"/>
      <c r="I226" s="26"/>
      <c r="J226" s="26"/>
      <c r="K226" s="26"/>
      <c r="L226" s="26"/>
      <c r="M226" s="26"/>
      <c r="N226" s="29"/>
      <c r="O226" s="29"/>
      <c r="P226" s="29"/>
      <c r="Q226" s="29"/>
      <c r="R226" s="11"/>
    </row>
    <row r="227" spans="1:18" ht="15.75" customHeight="1">
      <c r="A227" s="28"/>
      <c r="B227" s="28"/>
      <c r="C227" s="25"/>
      <c r="D227" s="26"/>
      <c r="E227" s="26"/>
      <c r="F227" s="26"/>
      <c r="G227" s="26"/>
      <c r="H227" s="26"/>
      <c r="I227" s="26"/>
      <c r="J227" s="26"/>
      <c r="K227" s="26"/>
      <c r="L227" s="26"/>
      <c r="M227" s="26"/>
      <c r="N227" s="29"/>
      <c r="O227" s="29"/>
      <c r="P227" s="29"/>
      <c r="Q227" s="29"/>
      <c r="R227" s="11"/>
    </row>
    <row r="228" spans="1:18" ht="15.75" customHeight="1">
      <c r="A228" s="28"/>
      <c r="B228" s="28"/>
      <c r="C228" s="25"/>
      <c r="D228" s="26"/>
      <c r="E228" s="26"/>
      <c r="F228" s="26"/>
      <c r="G228" s="26"/>
      <c r="H228" s="26"/>
      <c r="I228" s="26"/>
      <c r="J228" s="26"/>
      <c r="K228" s="26"/>
      <c r="L228" s="26"/>
      <c r="M228" s="26"/>
      <c r="N228" s="29"/>
      <c r="O228" s="29"/>
      <c r="P228" s="29"/>
      <c r="Q228" s="29"/>
      <c r="R228" s="11"/>
    </row>
    <row r="229" spans="1:18" ht="15.75" customHeight="1">
      <c r="A229" s="28"/>
      <c r="B229" s="28"/>
      <c r="C229" s="25"/>
      <c r="D229" s="26"/>
      <c r="E229" s="26"/>
      <c r="F229" s="26"/>
      <c r="G229" s="26"/>
      <c r="H229" s="26"/>
      <c r="I229" s="26"/>
      <c r="J229" s="26"/>
      <c r="K229" s="26"/>
      <c r="L229" s="26"/>
      <c r="M229" s="26"/>
      <c r="N229" s="29"/>
      <c r="O229" s="29"/>
      <c r="P229" s="29"/>
      <c r="Q229" s="29"/>
      <c r="R229" s="11"/>
    </row>
    <row r="230" spans="1:18" ht="15.75" customHeight="1">
      <c r="A230" s="28"/>
      <c r="B230" s="28"/>
      <c r="C230" s="25"/>
      <c r="D230" s="26"/>
      <c r="E230" s="26"/>
      <c r="F230" s="26"/>
      <c r="G230" s="26"/>
      <c r="H230" s="26"/>
      <c r="I230" s="26"/>
      <c r="J230" s="26"/>
      <c r="K230" s="26"/>
      <c r="L230" s="26"/>
      <c r="M230" s="26"/>
      <c r="N230" s="29"/>
      <c r="O230" s="29"/>
      <c r="P230" s="29"/>
      <c r="Q230" s="29"/>
      <c r="R230" s="11"/>
    </row>
    <row r="231" spans="1:18" ht="15.75" customHeight="1">
      <c r="A231" s="28"/>
      <c r="B231" s="28"/>
      <c r="C231" s="25"/>
      <c r="D231" s="26"/>
      <c r="E231" s="26"/>
      <c r="F231" s="26"/>
      <c r="G231" s="26"/>
      <c r="H231" s="26"/>
      <c r="I231" s="26"/>
      <c r="J231" s="26"/>
      <c r="K231" s="26"/>
      <c r="L231" s="26"/>
      <c r="M231" s="26"/>
      <c r="N231" s="29"/>
      <c r="O231" s="29"/>
      <c r="P231" s="29"/>
      <c r="Q231" s="29"/>
      <c r="R231" s="11"/>
    </row>
    <row r="232" spans="1:18" ht="15.75" customHeight="1">
      <c r="A232" s="28"/>
      <c r="B232" s="28"/>
      <c r="C232" s="25"/>
      <c r="D232" s="26"/>
      <c r="E232" s="26"/>
      <c r="F232" s="26"/>
      <c r="G232" s="26"/>
      <c r="H232" s="26"/>
      <c r="I232" s="26"/>
      <c r="J232" s="26"/>
      <c r="K232" s="26"/>
      <c r="L232" s="26"/>
      <c r="M232" s="26"/>
      <c r="N232" s="29"/>
      <c r="O232" s="29"/>
      <c r="P232" s="29"/>
      <c r="Q232" s="29"/>
      <c r="R232" s="11"/>
    </row>
    <row r="233" spans="1:18" ht="15.75" customHeight="1">
      <c r="A233" s="28"/>
      <c r="B233" s="28"/>
      <c r="C233" s="25"/>
      <c r="D233" s="26"/>
      <c r="E233" s="26"/>
      <c r="F233" s="26"/>
      <c r="G233" s="26"/>
      <c r="H233" s="26"/>
      <c r="I233" s="26"/>
      <c r="J233" s="26"/>
      <c r="K233" s="26"/>
      <c r="L233" s="26"/>
      <c r="M233" s="26"/>
      <c r="N233" s="29"/>
      <c r="O233" s="29"/>
      <c r="P233" s="29"/>
      <c r="Q233" s="29"/>
      <c r="R233" s="11"/>
    </row>
    <row r="234" spans="1:18" ht="15.75" customHeight="1">
      <c r="A234" s="28"/>
      <c r="B234" s="28"/>
      <c r="C234" s="25"/>
      <c r="D234" s="26"/>
      <c r="E234" s="26"/>
      <c r="F234" s="26"/>
      <c r="G234" s="26"/>
      <c r="H234" s="26"/>
      <c r="I234" s="26"/>
      <c r="J234" s="26"/>
      <c r="K234" s="26"/>
      <c r="L234" s="26"/>
      <c r="M234" s="26"/>
      <c r="N234" s="29"/>
      <c r="O234" s="29"/>
      <c r="P234" s="29"/>
      <c r="Q234" s="29"/>
      <c r="R234" s="11"/>
    </row>
    <row r="235" spans="1:18" ht="15.75" customHeight="1">
      <c r="A235" s="28"/>
      <c r="B235" s="28"/>
      <c r="C235" s="25"/>
      <c r="D235" s="26"/>
      <c r="E235" s="26"/>
      <c r="F235" s="26"/>
      <c r="G235" s="26"/>
      <c r="H235" s="26"/>
      <c r="I235" s="26"/>
      <c r="J235" s="26"/>
      <c r="K235" s="26"/>
      <c r="L235" s="26"/>
      <c r="M235" s="26"/>
      <c r="N235" s="29"/>
      <c r="O235" s="29"/>
      <c r="P235" s="29"/>
      <c r="Q235" s="29"/>
      <c r="R235" s="11"/>
    </row>
    <row r="236" spans="1:18" ht="15.75" customHeight="1">
      <c r="A236" s="28"/>
      <c r="B236" s="28"/>
      <c r="C236" s="25"/>
      <c r="D236" s="26"/>
      <c r="E236" s="26"/>
      <c r="F236" s="26"/>
      <c r="G236" s="26"/>
      <c r="H236" s="26"/>
      <c r="I236" s="26"/>
      <c r="J236" s="26"/>
      <c r="K236" s="26"/>
      <c r="L236" s="26"/>
      <c r="M236" s="26"/>
      <c r="N236" s="29"/>
      <c r="O236" s="29"/>
      <c r="P236" s="29"/>
      <c r="Q236" s="29"/>
      <c r="R236" s="11"/>
    </row>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9:L29"/>
    <mergeCell ref="A30:L30"/>
    <mergeCell ref="A31:L31"/>
    <mergeCell ref="A36:L36"/>
  </mergeCells>
  <phoneticPr fontId="21"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00"/>
  <sheetViews>
    <sheetView topLeftCell="A7" workbookViewId="0">
      <selection activeCell="K22" sqref="K22"/>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29" width="8.7109375" customWidth="1"/>
  </cols>
  <sheetData>
    <row r="1" spans="1:18" ht="15.75" customHeight="1">
      <c r="A1" s="3" t="s">
        <v>108</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24" t="s">
        <v>109</v>
      </c>
      <c r="B2" s="5" t="s">
        <v>20</v>
      </c>
      <c r="C2" s="6" t="s">
        <v>20</v>
      </c>
      <c r="D2" s="6" t="s">
        <v>20</v>
      </c>
      <c r="E2" s="6" t="s">
        <v>20</v>
      </c>
      <c r="F2" s="6" t="s">
        <v>20</v>
      </c>
      <c r="G2" s="6" t="s">
        <v>20</v>
      </c>
      <c r="H2" s="6"/>
      <c r="I2" s="6"/>
      <c r="J2" s="6"/>
      <c r="K2" s="6"/>
      <c r="L2" s="6"/>
      <c r="M2" s="6">
        <f t="shared" ref="M2:Q2" si="0">IF(TRIM(SUBSTITUTE(C2, "　", " "))=TRIM(SUBSTITUTE($B2, "　", " ")), 2, 0)</f>
        <v>2</v>
      </c>
      <c r="N2" s="6">
        <f t="shared" si="0"/>
        <v>2</v>
      </c>
      <c r="O2" s="6">
        <f t="shared" si="0"/>
        <v>2</v>
      </c>
      <c r="P2" s="6">
        <f t="shared" si="0"/>
        <v>2</v>
      </c>
      <c r="Q2" s="6">
        <f t="shared" si="0"/>
        <v>2</v>
      </c>
      <c r="R2" s="2"/>
    </row>
    <row r="3" spans="1:18" ht="15.75" customHeight="1">
      <c r="A3" s="24" t="s">
        <v>110</v>
      </c>
      <c r="B3" s="5" t="s">
        <v>17</v>
      </c>
      <c r="C3" s="6" t="s">
        <v>17</v>
      </c>
      <c r="D3" s="6" t="s">
        <v>17</v>
      </c>
      <c r="E3" s="6" t="s">
        <v>17</v>
      </c>
      <c r="F3" s="6" t="s">
        <v>17</v>
      </c>
      <c r="G3" s="6" t="s">
        <v>17</v>
      </c>
      <c r="H3" s="6"/>
      <c r="I3" s="6"/>
      <c r="J3" s="6"/>
      <c r="K3" s="6"/>
      <c r="L3" s="6"/>
      <c r="M3" s="6">
        <f t="shared" ref="M3:Q3" si="1">IF(TRIM(SUBSTITUTE(C3, "　", " "))=TRIM(SUBSTITUTE($B3, "　", " ")), 2, 0)</f>
        <v>2</v>
      </c>
      <c r="N3" s="6">
        <f t="shared" si="1"/>
        <v>2</v>
      </c>
      <c r="O3" s="6">
        <f t="shared" si="1"/>
        <v>2</v>
      </c>
      <c r="P3" s="6">
        <f t="shared" si="1"/>
        <v>2</v>
      </c>
      <c r="Q3" s="6">
        <f t="shared" si="1"/>
        <v>2</v>
      </c>
      <c r="R3" s="11"/>
    </row>
    <row r="4" spans="1:18" ht="15.75" customHeight="1">
      <c r="A4" s="24" t="s">
        <v>111</v>
      </c>
      <c r="B4" s="5" t="s">
        <v>17</v>
      </c>
      <c r="C4" s="6" t="s">
        <v>18</v>
      </c>
      <c r="D4" s="6" t="s">
        <v>18</v>
      </c>
      <c r="E4" s="6" t="s">
        <v>20</v>
      </c>
      <c r="F4" s="6" t="s">
        <v>18</v>
      </c>
      <c r="G4" s="6" t="s">
        <v>18</v>
      </c>
      <c r="H4" s="6"/>
      <c r="I4" s="6"/>
      <c r="J4" s="6"/>
      <c r="K4" s="6"/>
      <c r="L4" s="6"/>
      <c r="M4" s="6">
        <f t="shared" ref="M4:Q4" si="2">IF(TRIM(SUBSTITUTE(C4, "　", " "))=TRIM(SUBSTITUTE($B4, "　", " ")), 2, 0)</f>
        <v>0</v>
      </c>
      <c r="N4" s="6">
        <f t="shared" si="2"/>
        <v>0</v>
      </c>
      <c r="O4" s="6">
        <f t="shared" si="2"/>
        <v>0</v>
      </c>
      <c r="P4" s="6">
        <f t="shared" si="2"/>
        <v>0</v>
      </c>
      <c r="Q4" s="6">
        <f t="shared" si="2"/>
        <v>0</v>
      </c>
      <c r="R4" s="11"/>
    </row>
    <row r="5" spans="1:18" ht="15.75" customHeight="1">
      <c r="A5" s="24" t="s">
        <v>112</v>
      </c>
      <c r="B5" s="5" t="s">
        <v>20</v>
      </c>
      <c r="C5" s="6" t="s">
        <v>17</v>
      </c>
      <c r="D5" s="6" t="s">
        <v>17</v>
      </c>
      <c r="E5" s="6" t="s">
        <v>20</v>
      </c>
      <c r="F5" s="6" t="s">
        <v>17</v>
      </c>
      <c r="G5" s="6" t="s">
        <v>20</v>
      </c>
      <c r="H5" s="6"/>
      <c r="I5" s="6"/>
      <c r="J5" s="6"/>
      <c r="K5" s="6"/>
      <c r="L5" s="6"/>
      <c r="M5" s="6">
        <f t="shared" ref="M5:Q5" si="3">IF(TRIM(SUBSTITUTE(C5, "　", " "))=TRIM(SUBSTITUTE($B5, "　", " ")), 2, 0)</f>
        <v>0</v>
      </c>
      <c r="N5" s="6">
        <f t="shared" si="3"/>
        <v>0</v>
      </c>
      <c r="O5" s="6">
        <f t="shared" si="3"/>
        <v>2</v>
      </c>
      <c r="P5" s="6">
        <f t="shared" si="3"/>
        <v>0</v>
      </c>
      <c r="Q5" s="6">
        <f t="shared" si="3"/>
        <v>2</v>
      </c>
      <c r="R5" s="2"/>
    </row>
    <row r="6" spans="1:18" ht="15.75" customHeight="1">
      <c r="A6" s="24" t="s">
        <v>113</v>
      </c>
      <c r="B6" s="5" t="s">
        <v>23</v>
      </c>
      <c r="C6" s="6" t="s">
        <v>18</v>
      </c>
      <c r="D6" s="6" t="s">
        <v>23</v>
      </c>
      <c r="E6" s="6" t="s">
        <v>20</v>
      </c>
      <c r="F6" s="6" t="s">
        <v>20</v>
      </c>
      <c r="G6" s="6" t="s">
        <v>23</v>
      </c>
      <c r="H6" s="6"/>
      <c r="I6" s="6"/>
      <c r="J6" s="6"/>
      <c r="K6" s="6"/>
      <c r="L6" s="6"/>
      <c r="M6" s="6">
        <f t="shared" ref="M6:Q6" si="4">IF(TRIM(SUBSTITUTE(C6, "　", " "))=TRIM(SUBSTITUTE($B6, "　", " ")), 2, 0)</f>
        <v>0</v>
      </c>
      <c r="N6" s="6">
        <f t="shared" si="4"/>
        <v>2</v>
      </c>
      <c r="O6" s="6">
        <f t="shared" si="4"/>
        <v>0</v>
      </c>
      <c r="P6" s="6">
        <f t="shared" si="4"/>
        <v>0</v>
      </c>
      <c r="Q6" s="6">
        <f t="shared" si="4"/>
        <v>2</v>
      </c>
      <c r="R6" s="2"/>
    </row>
    <row r="7" spans="1:18" ht="15.75" customHeight="1">
      <c r="A7" s="24" t="s">
        <v>114</v>
      </c>
      <c r="B7" s="5" t="s">
        <v>23</v>
      </c>
      <c r="C7" s="6" t="s">
        <v>23</v>
      </c>
      <c r="D7" s="6" t="s">
        <v>23</v>
      </c>
      <c r="E7" s="6" t="s">
        <v>23</v>
      </c>
      <c r="F7" s="6" t="s">
        <v>23</v>
      </c>
      <c r="G7" s="6" t="s">
        <v>23</v>
      </c>
      <c r="H7" s="6"/>
      <c r="I7" s="6"/>
      <c r="J7" s="6"/>
      <c r="K7" s="6"/>
      <c r="L7" s="6"/>
      <c r="M7" s="6">
        <f t="shared" ref="M7:Q7" si="5">IF(TRIM(SUBSTITUTE(C7, "　", " "))=TRIM(SUBSTITUTE($B7, "　", " ")), 2, 0)</f>
        <v>2</v>
      </c>
      <c r="N7" s="6">
        <f t="shared" si="5"/>
        <v>2</v>
      </c>
      <c r="O7" s="6">
        <f t="shared" si="5"/>
        <v>2</v>
      </c>
      <c r="P7" s="6">
        <f t="shared" si="5"/>
        <v>2</v>
      </c>
      <c r="Q7" s="6">
        <f t="shared" si="5"/>
        <v>2</v>
      </c>
      <c r="R7" s="2"/>
    </row>
    <row r="8" spans="1:18" ht="15.75" customHeight="1">
      <c r="A8" s="24" t="s">
        <v>115</v>
      </c>
      <c r="B8" s="5" t="s">
        <v>17</v>
      </c>
      <c r="C8" s="6" t="s">
        <v>17</v>
      </c>
      <c r="D8" s="6" t="s">
        <v>17</v>
      </c>
      <c r="E8" s="6" t="s">
        <v>17</v>
      </c>
      <c r="F8" s="6" t="s">
        <v>17</v>
      </c>
      <c r="G8" s="6" t="s">
        <v>17</v>
      </c>
      <c r="H8" s="6"/>
      <c r="I8" s="6"/>
      <c r="J8" s="6"/>
      <c r="K8" s="6"/>
      <c r="L8" s="6"/>
      <c r="M8" s="6">
        <f t="shared" ref="M8:Q8" si="6">IF(TRIM(SUBSTITUTE(C8, "　", " "))=TRIM(SUBSTITUTE($B8, "　", " ")), 2, 0)</f>
        <v>2</v>
      </c>
      <c r="N8" s="6">
        <f t="shared" si="6"/>
        <v>2</v>
      </c>
      <c r="O8" s="6">
        <f t="shared" si="6"/>
        <v>2</v>
      </c>
      <c r="P8" s="6">
        <f t="shared" si="6"/>
        <v>2</v>
      </c>
      <c r="Q8" s="6">
        <f t="shared" si="6"/>
        <v>2</v>
      </c>
      <c r="R8" s="2"/>
    </row>
    <row r="9" spans="1:18" ht="15.75" customHeight="1">
      <c r="A9" s="43" t="s">
        <v>116</v>
      </c>
      <c r="B9" s="5"/>
      <c r="C9" s="6"/>
      <c r="D9" s="6"/>
      <c r="E9" s="6"/>
      <c r="F9" s="6"/>
      <c r="G9" s="6"/>
      <c r="H9" s="6"/>
      <c r="I9" s="6"/>
      <c r="J9" s="6"/>
      <c r="K9" s="6"/>
      <c r="L9" s="6"/>
      <c r="M9" s="6"/>
      <c r="N9" s="6"/>
      <c r="O9" s="6"/>
      <c r="P9" s="6"/>
      <c r="Q9" s="6"/>
      <c r="R9" s="2"/>
    </row>
    <row r="10" spans="1:18" ht="15.75" customHeight="1">
      <c r="A10" s="24" t="s">
        <v>117</v>
      </c>
      <c r="B10" s="5" t="s">
        <v>18</v>
      </c>
      <c r="C10" s="6" t="s">
        <v>18</v>
      </c>
      <c r="D10" s="6" t="s">
        <v>18</v>
      </c>
      <c r="E10" s="5" t="s">
        <v>18</v>
      </c>
      <c r="F10" s="5" t="s">
        <v>18</v>
      </c>
      <c r="G10" s="5" t="s">
        <v>18</v>
      </c>
      <c r="H10" s="5"/>
      <c r="I10" s="5"/>
      <c r="J10" s="5"/>
      <c r="K10" s="5"/>
      <c r="L10" s="5"/>
      <c r="M10" s="6">
        <f t="shared" ref="M10:Q10" si="7">IF(TRIM(SUBSTITUTE(C10, "　", " "))=TRIM(SUBSTITUTE($B10, "　", " ")), 2, 0)</f>
        <v>2</v>
      </c>
      <c r="N10" s="6">
        <f t="shared" si="7"/>
        <v>2</v>
      </c>
      <c r="O10" s="6">
        <f t="shared" si="7"/>
        <v>2</v>
      </c>
      <c r="P10" s="6">
        <f t="shared" si="7"/>
        <v>2</v>
      </c>
      <c r="Q10" s="6">
        <f t="shared" si="7"/>
        <v>2</v>
      </c>
      <c r="R10" s="2"/>
    </row>
    <row r="11" spans="1:18" ht="15.75" customHeight="1">
      <c r="A11" s="24" t="s">
        <v>118</v>
      </c>
      <c r="B11" s="5" t="s">
        <v>20</v>
      </c>
      <c r="C11" s="6" t="s">
        <v>20</v>
      </c>
      <c r="D11" s="6" t="s">
        <v>18</v>
      </c>
      <c r="E11" s="5" t="s">
        <v>18</v>
      </c>
      <c r="F11" s="5" t="s">
        <v>20</v>
      </c>
      <c r="G11" s="5" t="s">
        <v>18</v>
      </c>
      <c r="H11" s="5"/>
      <c r="I11" s="5"/>
      <c r="J11" s="5"/>
      <c r="K11" s="5"/>
      <c r="L11" s="5"/>
      <c r="M11" s="6">
        <f t="shared" ref="M11:Q11" si="8">IF(TRIM(SUBSTITUTE(C11, "　", " "))=TRIM(SUBSTITUTE($B11, "　", " ")), 2, 0)</f>
        <v>2</v>
      </c>
      <c r="N11" s="6">
        <f t="shared" si="8"/>
        <v>0</v>
      </c>
      <c r="O11" s="6">
        <f t="shared" si="8"/>
        <v>0</v>
      </c>
      <c r="P11" s="6">
        <f t="shared" si="8"/>
        <v>2</v>
      </c>
      <c r="Q11" s="6">
        <f t="shared" si="8"/>
        <v>0</v>
      </c>
      <c r="R11" s="2"/>
    </row>
    <row r="12" spans="1:18" ht="15.75" customHeight="1">
      <c r="A12" s="43" t="s">
        <v>119</v>
      </c>
      <c r="B12" s="5"/>
      <c r="C12" s="6"/>
      <c r="D12" s="6" t="s">
        <v>83</v>
      </c>
      <c r="E12" s="5"/>
      <c r="F12" s="5"/>
      <c r="G12" s="5"/>
      <c r="H12" s="5"/>
      <c r="I12" s="5"/>
      <c r="J12" s="5"/>
      <c r="K12" s="5"/>
      <c r="L12" s="5"/>
      <c r="M12" s="6"/>
      <c r="N12" s="6"/>
      <c r="O12" s="6"/>
      <c r="P12" s="6"/>
      <c r="Q12" s="6"/>
      <c r="R12" s="2"/>
    </row>
    <row r="13" spans="1:18" ht="15.75" customHeight="1">
      <c r="A13" s="24" t="s">
        <v>120</v>
      </c>
      <c r="B13" s="5" t="s">
        <v>20</v>
      </c>
      <c r="C13" s="6" t="s">
        <v>20</v>
      </c>
      <c r="D13" s="6" t="s">
        <v>20</v>
      </c>
      <c r="E13" s="6" t="s">
        <v>20</v>
      </c>
      <c r="F13" s="6" t="s">
        <v>20</v>
      </c>
      <c r="G13" s="6" t="s">
        <v>20</v>
      </c>
      <c r="H13" s="6"/>
      <c r="I13" s="6"/>
      <c r="J13" s="6"/>
      <c r="K13" s="6"/>
      <c r="L13" s="6"/>
      <c r="M13" s="6">
        <f t="shared" ref="M13:Q13" si="9">IF(TRIM(SUBSTITUTE(C13, "　", " "))=TRIM(SUBSTITUTE($B13, "　", " ")), 2, 0)</f>
        <v>2</v>
      </c>
      <c r="N13" s="6">
        <f t="shared" si="9"/>
        <v>2</v>
      </c>
      <c r="O13" s="6">
        <f t="shared" si="9"/>
        <v>2</v>
      </c>
      <c r="P13" s="6">
        <f t="shared" si="9"/>
        <v>2</v>
      </c>
      <c r="Q13" s="6">
        <f t="shared" si="9"/>
        <v>2</v>
      </c>
      <c r="R13" s="2"/>
    </row>
    <row r="14" spans="1:18" ht="15.75" customHeight="1">
      <c r="A14" s="24" t="s">
        <v>121</v>
      </c>
      <c r="B14" s="5" t="s">
        <v>17</v>
      </c>
      <c r="C14" s="6" t="s">
        <v>20</v>
      </c>
      <c r="D14" s="6" t="s">
        <v>17</v>
      </c>
      <c r="E14" s="6" t="s">
        <v>20</v>
      </c>
      <c r="F14" s="6" t="s">
        <v>17</v>
      </c>
      <c r="G14" s="6" t="s">
        <v>17</v>
      </c>
      <c r="H14" s="6"/>
      <c r="I14" s="6"/>
      <c r="J14" s="6"/>
      <c r="K14" s="6"/>
      <c r="L14" s="6"/>
      <c r="M14" s="6">
        <f t="shared" ref="M14:Q14" si="10">IF(TRIM(SUBSTITUTE(C14, "　", " "))=TRIM(SUBSTITUTE($B14, "　", " ")), 2, 0)</f>
        <v>0</v>
      </c>
      <c r="N14" s="6">
        <f t="shared" si="10"/>
        <v>2</v>
      </c>
      <c r="O14" s="6">
        <f t="shared" si="10"/>
        <v>0</v>
      </c>
      <c r="P14" s="6">
        <f t="shared" si="10"/>
        <v>2</v>
      </c>
      <c r="Q14" s="6">
        <f t="shared" si="10"/>
        <v>2</v>
      </c>
      <c r="R14" s="2"/>
    </row>
    <row r="15" spans="1:18" ht="15.75" customHeight="1">
      <c r="A15" s="43" t="s">
        <v>122</v>
      </c>
      <c r="B15" s="5"/>
      <c r="C15" s="6"/>
      <c r="D15" s="6"/>
      <c r="E15" s="6"/>
      <c r="F15" s="6"/>
      <c r="G15" s="6"/>
      <c r="H15" s="6"/>
      <c r="I15" s="6"/>
      <c r="J15" s="6"/>
      <c r="K15" s="6"/>
      <c r="L15" s="6"/>
      <c r="M15" s="6"/>
      <c r="N15" s="6"/>
      <c r="O15" s="6"/>
      <c r="P15" s="6"/>
      <c r="Q15" s="6"/>
      <c r="R15" s="2"/>
    </row>
    <row r="16" spans="1:18" ht="15.75" customHeight="1">
      <c r="A16" s="24" t="s">
        <v>123</v>
      </c>
      <c r="B16" s="5" t="s">
        <v>18</v>
      </c>
      <c r="C16" s="6" t="s">
        <v>18</v>
      </c>
      <c r="D16" s="6" t="s">
        <v>18</v>
      </c>
      <c r="E16" s="6" t="s">
        <v>18</v>
      </c>
      <c r="F16" s="6" t="s">
        <v>18</v>
      </c>
      <c r="G16" s="6" t="s">
        <v>18</v>
      </c>
      <c r="H16" s="6"/>
      <c r="I16" s="6"/>
      <c r="J16" s="6"/>
      <c r="K16" s="6"/>
      <c r="L16" s="6"/>
      <c r="M16" s="6">
        <f t="shared" ref="M16:Q16" si="11">IF(TRIM(SUBSTITUTE(C16, "　", " "))=TRIM(SUBSTITUTE($B16, "　", " ")), 2, 0)</f>
        <v>2</v>
      </c>
      <c r="N16" s="6">
        <f t="shared" si="11"/>
        <v>2</v>
      </c>
      <c r="O16" s="6">
        <f t="shared" si="11"/>
        <v>2</v>
      </c>
      <c r="P16" s="6">
        <f t="shared" si="11"/>
        <v>2</v>
      </c>
      <c r="Q16" s="6">
        <f t="shared" si="11"/>
        <v>2</v>
      </c>
      <c r="R16" s="2"/>
    </row>
    <row r="17" spans="1:18" ht="15.75" customHeight="1">
      <c r="A17" s="24" t="s">
        <v>124</v>
      </c>
      <c r="B17" s="5" t="s">
        <v>18</v>
      </c>
      <c r="C17" s="13" t="s">
        <v>18</v>
      </c>
      <c r="D17" s="13" t="s">
        <v>18</v>
      </c>
      <c r="E17" s="13" t="s">
        <v>18</v>
      </c>
      <c r="F17" s="13" t="s">
        <v>18</v>
      </c>
      <c r="G17" s="13" t="s">
        <v>18</v>
      </c>
      <c r="H17" s="13"/>
      <c r="I17" s="13"/>
      <c r="J17" s="13"/>
      <c r="K17" s="13"/>
      <c r="L17" s="13"/>
      <c r="M17" s="6">
        <f t="shared" ref="M17:Q17" si="12">IF(TRIM(SUBSTITUTE(C17, "　", " "))=TRIM(SUBSTITUTE($B17, "　", " ")), 2, 0)</f>
        <v>2</v>
      </c>
      <c r="N17" s="6">
        <f t="shared" si="12"/>
        <v>2</v>
      </c>
      <c r="O17" s="6">
        <f t="shared" si="12"/>
        <v>2</v>
      </c>
      <c r="P17" s="6">
        <f t="shared" si="12"/>
        <v>2</v>
      </c>
      <c r="Q17" s="6">
        <f t="shared" si="12"/>
        <v>2</v>
      </c>
      <c r="R17" s="2"/>
    </row>
    <row r="18" spans="1:18" ht="15.75" customHeight="1">
      <c r="A18" s="43" t="s">
        <v>125</v>
      </c>
      <c r="B18" s="5"/>
      <c r="C18" s="13"/>
      <c r="D18" s="13"/>
      <c r="E18" s="13"/>
      <c r="F18" s="13"/>
      <c r="G18" s="13"/>
      <c r="H18" s="13"/>
      <c r="I18" s="13"/>
      <c r="J18" s="13"/>
      <c r="K18" s="13"/>
      <c r="L18" s="13"/>
      <c r="M18" s="6"/>
      <c r="N18" s="6"/>
      <c r="O18" s="6"/>
      <c r="P18" s="6"/>
      <c r="Q18" s="6"/>
      <c r="R18" s="2"/>
    </row>
    <row r="19" spans="1:18" ht="15.75" customHeight="1">
      <c r="A19" s="24" t="s">
        <v>126</v>
      </c>
      <c r="B19" s="5" t="s">
        <v>23</v>
      </c>
      <c r="C19" s="13" t="s">
        <v>23</v>
      </c>
      <c r="D19" s="13" t="s">
        <v>23</v>
      </c>
      <c r="E19" s="13" t="s">
        <v>18</v>
      </c>
      <c r="F19" s="13" t="s">
        <v>23</v>
      </c>
      <c r="G19" s="13" t="s">
        <v>23</v>
      </c>
      <c r="H19" s="13"/>
      <c r="I19" s="13"/>
      <c r="J19" s="13"/>
      <c r="K19" s="13"/>
      <c r="L19" s="13"/>
      <c r="M19" s="6">
        <f t="shared" ref="M19:Q19" si="13">IF(TRIM(SUBSTITUTE(C19, "　", " "))=TRIM(SUBSTITUTE($B19, "　", " ")), 2, 0)</f>
        <v>2</v>
      </c>
      <c r="N19" s="6">
        <f t="shared" si="13"/>
        <v>2</v>
      </c>
      <c r="O19" s="6">
        <f t="shared" si="13"/>
        <v>0</v>
      </c>
      <c r="P19" s="6">
        <f t="shared" si="13"/>
        <v>2</v>
      </c>
      <c r="Q19" s="6">
        <f t="shared" si="13"/>
        <v>2</v>
      </c>
      <c r="R19" s="2"/>
    </row>
    <row r="20" spans="1:18" ht="15.75" customHeight="1">
      <c r="A20" s="24" t="s">
        <v>127</v>
      </c>
      <c r="B20" s="5" t="s">
        <v>18</v>
      </c>
      <c r="C20" s="13" t="s">
        <v>18</v>
      </c>
      <c r="D20" s="13" t="s">
        <v>18</v>
      </c>
      <c r="E20" s="13" t="s">
        <v>17</v>
      </c>
      <c r="F20" s="13" t="s">
        <v>18</v>
      </c>
      <c r="G20" s="13" t="s">
        <v>18</v>
      </c>
      <c r="H20" s="13"/>
      <c r="I20" s="13"/>
      <c r="J20" s="13"/>
      <c r="K20" s="13"/>
      <c r="L20" s="13"/>
      <c r="M20" s="6">
        <f t="shared" ref="M20:Q20" si="14">IF(TRIM(SUBSTITUTE(C20, "　", " "))=TRIM(SUBSTITUTE($B20, "　", " ")), 2, 0)</f>
        <v>2</v>
      </c>
      <c r="N20" s="6">
        <f t="shared" si="14"/>
        <v>2</v>
      </c>
      <c r="O20" s="6">
        <f t="shared" si="14"/>
        <v>0</v>
      </c>
      <c r="P20" s="6">
        <f t="shared" si="14"/>
        <v>2</v>
      </c>
      <c r="Q20" s="6">
        <f t="shared" si="14"/>
        <v>2</v>
      </c>
      <c r="R20" s="2"/>
    </row>
    <row r="21" spans="1:18" ht="15.75" customHeight="1">
      <c r="A21" s="43" t="s">
        <v>128</v>
      </c>
      <c r="B21" s="5"/>
      <c r="C21" s="13"/>
      <c r="D21" s="13"/>
      <c r="E21" s="13"/>
      <c r="F21" s="13"/>
      <c r="G21" s="13"/>
      <c r="H21" s="13"/>
      <c r="I21" s="13"/>
      <c r="J21" s="13"/>
      <c r="K21" s="13"/>
      <c r="L21" s="13"/>
      <c r="M21" s="6"/>
      <c r="N21" s="6"/>
      <c r="O21" s="6"/>
      <c r="P21" s="6"/>
      <c r="Q21" s="6"/>
      <c r="R21" s="2"/>
    </row>
    <row r="22" spans="1:18" ht="15.75" customHeight="1">
      <c r="A22" s="24" t="s">
        <v>129</v>
      </c>
      <c r="B22" s="5" t="s">
        <v>51</v>
      </c>
      <c r="C22" s="13" t="s">
        <v>130</v>
      </c>
      <c r="D22" s="13" t="s">
        <v>51</v>
      </c>
      <c r="E22" s="13" t="s">
        <v>99</v>
      </c>
      <c r="F22" s="13" t="s">
        <v>51</v>
      </c>
      <c r="G22" s="13" t="s">
        <v>99</v>
      </c>
      <c r="H22" s="14" cm="1">
        <f t="array" ref="H22">_xlfn.LET(
_xlpm.opts,{"A","B","C","D","E"},
_xlpm.ans,UPPER(SUBSTITUTE(SUBSTITUTE(SUBSTITUTE(SUBSTITUTE(SUBSTITUTE(TRIM($B22),"　","")," ",""),",",""),"，",""),"、","")),
_xlpm.resp,UPPER(SUBSTITUTE(SUBSTITUTE(SUBSTITUTE(SUBSTITUTE(SUBSTITUTE(TRIM(C22),"　","")," ",""),",",""),"，",""),"、","")),
IF(_xlpm.resp="",99,
SUMPRODUCT(--(ISNUMBER(SEARCH(_xlpm.opts,_xlpm.ans))&lt;&gt;ISNUMBER(SEARCH(_xlpm.opts,_xlpm.resp)))))
)</f>
        <v>1</v>
      </c>
      <c r="I22" s="14" cm="1">
        <f t="array" ref="I22">_xlfn.LET(
_xlpm.opts,{"A","B","C","D","E"},
_xlpm.ans,UPPER(SUBSTITUTE(SUBSTITUTE(SUBSTITUTE(SUBSTITUTE(SUBSTITUTE(TRIM($B22),"　","")," ",""),",",""),"，",""),"、","")),
_xlpm.resp,UPPER(SUBSTITUTE(SUBSTITUTE(SUBSTITUTE(SUBSTITUTE(SUBSTITUTE(TRIM(D22),"　","")," ",""),",",""),"，",""),"、","")),
IF(_xlpm.resp="",99,
SUMPRODUCT(--(ISNUMBER(SEARCH(_xlpm.opts,_xlpm.ans))&lt;&gt;ISNUMBER(SEARCH(_xlpm.opts,_xlpm.resp)))))
)</f>
        <v>0</v>
      </c>
      <c r="J22" s="14" cm="1">
        <f t="array" ref="J22">_xlfn.LET(
_xlpm.opts,{"A","B","C","D","E"},
_xlpm.ans,UPPER(SUBSTITUTE(SUBSTITUTE(SUBSTITUTE(SUBSTITUTE(SUBSTITUTE(TRIM($B22),"　","")," ",""),",",""),"，",""),"、","")),
_xlpm.resp,UPPER(SUBSTITUTE(SUBSTITUTE(SUBSTITUTE(SUBSTITUTE(SUBSTITUTE(TRIM(E22),"　","")," ",""),",",""),"，",""),"、","")),
IF(_xlpm.resp="",99,
SUMPRODUCT(--(ISNUMBER(SEARCH(_xlpm.opts,_xlpm.ans))&lt;&gt;ISNUMBER(SEARCH(_xlpm.opts,_xlpm.resp)))))
)</f>
        <v>1</v>
      </c>
      <c r="K22" s="14" cm="1">
        <f t="array" ref="K22">_xlfn.LET(
_xlpm.opts,{"A","B","C","D","E"},
_xlpm.ans,UPPER(SUBSTITUTE(SUBSTITUTE(SUBSTITUTE(SUBSTITUTE(SUBSTITUTE(TRIM($B22),"　","")," ",""),",",""),"，",""),"、","")),
_xlpm.resp,UPPER(SUBSTITUTE(SUBSTITUTE(SUBSTITUTE(SUBSTITUTE(SUBSTITUTE(TRIM(F22),"　","")," ",""),",",""),"，",""),"、","")),
IF(_xlpm.resp="",99,
SUMPRODUCT(--(ISNUMBER(SEARCH(_xlpm.opts,_xlpm.ans))&lt;&gt;ISNUMBER(SEARCH(_xlpm.opts,_xlpm.resp)))))
)</f>
        <v>0</v>
      </c>
      <c r="L22" s="14" cm="1">
        <f t="array" ref="L22">_xlfn.LET(
_xlpm.opts,{"A","B","C","D","E"},
_xlpm.ans,UPPER(SUBSTITUTE(SUBSTITUTE(SUBSTITUTE(SUBSTITUTE(SUBSTITUTE(TRIM($B22),"　","")," ",""),",",""),"，",""),"、","")),
_xlpm.resp,UPPER(SUBSTITUTE(SUBSTITUTE(SUBSTITUTE(SUBSTITUTE(SUBSTITUTE(TRIM(G22),"　","")," ",""),",",""),"，",""),"、","")),
IF(_xlpm.resp="",99,
SUMPRODUCT(--(ISNUMBER(SEARCH(_xlpm.opts,_xlpm.ans))&lt;&gt;ISNUMBER(SEARCH(_xlpm.opts,_xlpm.resp)))))
)</f>
        <v>1</v>
      </c>
      <c r="M22" s="7">
        <f>IF(H22=0,3,IF(H22=1,1.8,IF(H22=2,0.6,0)))</f>
        <v>1.8</v>
      </c>
      <c r="N22" s="7">
        <f t="shared" ref="N22:Q29" si="15">IF(I22=0,3,IF(I22=1,1.8,IF(I22=2,0.6,0)))</f>
        <v>3</v>
      </c>
      <c r="O22" s="7">
        <f t="shared" si="15"/>
        <v>1.8</v>
      </c>
      <c r="P22" s="7">
        <f t="shared" si="15"/>
        <v>3</v>
      </c>
      <c r="Q22" s="7">
        <f t="shared" si="15"/>
        <v>1.8</v>
      </c>
      <c r="R22" s="2"/>
    </row>
    <row r="23" spans="1:18" ht="15.75" customHeight="1">
      <c r="A23" s="24" t="s">
        <v>131</v>
      </c>
      <c r="B23" s="5" t="s">
        <v>99</v>
      </c>
      <c r="C23" s="13" t="s">
        <v>130</v>
      </c>
      <c r="D23" s="13" t="s">
        <v>132</v>
      </c>
      <c r="E23" s="13" t="s">
        <v>23</v>
      </c>
      <c r="F23" s="13" t="s">
        <v>99</v>
      </c>
      <c r="G23" s="13" t="s">
        <v>99</v>
      </c>
      <c r="H23" s="14" cm="1">
        <f t="array" ref="H23">_xlfn.LET(
_xlpm.opts,{"A","B","C","D","E"},
_xlpm.ans,UPPER(SUBSTITUTE(SUBSTITUTE(SUBSTITUTE(SUBSTITUTE(SUBSTITUTE(TRIM($B23),"　","")," ",""),",",""),"，",""),"、","")),
_xlpm.resp,UPPER(SUBSTITUTE(SUBSTITUTE(SUBSTITUTE(SUBSTITUTE(SUBSTITUTE(TRIM(C23),"　","")," ",""),",",""),"，",""),"、","")),
IF(_xlpm.resp="",99,
SUMPRODUCT(--(ISNUMBER(SEARCH(_xlpm.opts,_xlpm.ans))&lt;&gt;ISNUMBER(SEARCH(_xlpm.opts,_xlpm.resp)))))
)</f>
        <v>2</v>
      </c>
      <c r="I23" s="14" cm="1">
        <f t="array" ref="I23">_xlfn.LET(
_xlpm.opts,{"A","B","C","D","E"},
_xlpm.ans,UPPER(SUBSTITUTE(SUBSTITUTE(SUBSTITUTE(SUBSTITUTE(SUBSTITUTE(TRIM($B23),"　","")," ",""),",",""),"，",""),"、","")),
_xlpm.resp,UPPER(SUBSTITUTE(SUBSTITUTE(SUBSTITUTE(SUBSTITUTE(SUBSTITUTE(TRIM(D23),"　","")," ",""),",",""),"，",""),"、","")),
IF(_xlpm.resp="",99,
SUMPRODUCT(--(ISNUMBER(SEARCH(_xlpm.opts,_xlpm.ans))&lt;&gt;ISNUMBER(SEARCH(_xlpm.opts,_xlpm.resp)))))
)</f>
        <v>1</v>
      </c>
      <c r="J23" s="14" cm="1">
        <f t="array" ref="J23">_xlfn.LET(
_xlpm.opts,{"A","B","C","D","E"},
_xlpm.ans,UPPER(SUBSTITUTE(SUBSTITUTE(SUBSTITUTE(SUBSTITUTE(SUBSTITUTE(TRIM($B23),"　","")," ",""),",",""),"，",""),"、","")),
_xlpm.resp,UPPER(SUBSTITUTE(SUBSTITUTE(SUBSTITUTE(SUBSTITUTE(SUBSTITUTE(TRIM(E23),"　","")," ",""),",",""),"，",""),"、","")),
IF(_xlpm.resp="",99,
SUMPRODUCT(--(ISNUMBER(SEARCH(_xlpm.opts,_xlpm.ans))&lt;&gt;ISNUMBER(SEARCH(_xlpm.opts,_xlpm.resp)))))
)</f>
        <v>1</v>
      </c>
      <c r="K23" s="14" cm="1">
        <f t="array" ref="K23">_xlfn.LET(
_xlpm.opts,{"A","B","C","D","E"},
_xlpm.ans,UPPER(SUBSTITUTE(SUBSTITUTE(SUBSTITUTE(SUBSTITUTE(SUBSTITUTE(TRIM($B23),"　","")," ",""),",",""),"，",""),"、","")),
_xlpm.resp,UPPER(SUBSTITUTE(SUBSTITUTE(SUBSTITUTE(SUBSTITUTE(SUBSTITUTE(TRIM(F23),"　","")," ",""),",",""),"，",""),"、","")),
IF(_xlpm.resp="",99,
SUMPRODUCT(--(ISNUMBER(SEARCH(_xlpm.opts,_xlpm.ans))&lt;&gt;ISNUMBER(SEARCH(_xlpm.opts,_xlpm.resp)))))
)</f>
        <v>0</v>
      </c>
      <c r="L23" s="14" cm="1">
        <f t="array" ref="L23">_xlfn.LET(
_xlpm.opts,{"A","B","C","D","E"},
_xlpm.ans,UPPER(SUBSTITUTE(SUBSTITUTE(SUBSTITUTE(SUBSTITUTE(SUBSTITUTE(TRIM($B23),"　","")," ",""),",",""),"，",""),"、","")),
_xlpm.resp,UPPER(SUBSTITUTE(SUBSTITUTE(SUBSTITUTE(SUBSTITUTE(SUBSTITUTE(TRIM(G23),"　","")," ",""),",",""),"，",""),"、","")),
IF(_xlpm.resp="",99,
SUMPRODUCT(--(ISNUMBER(SEARCH(_xlpm.opts,_xlpm.ans))&lt;&gt;ISNUMBER(SEARCH(_xlpm.opts,_xlpm.resp)))))
)</f>
        <v>0</v>
      </c>
      <c r="M23" s="7">
        <f t="shared" ref="M23:M29" si="16">IF(H23=0,3,IF(H23=1,1.8,IF(H23=2,0.6,0)))</f>
        <v>0.6</v>
      </c>
      <c r="N23" s="7">
        <f t="shared" si="15"/>
        <v>1.8</v>
      </c>
      <c r="O23" s="7">
        <f t="shared" si="15"/>
        <v>1.8</v>
      </c>
      <c r="P23" s="7">
        <f t="shared" si="15"/>
        <v>3</v>
      </c>
      <c r="Q23" s="7">
        <f t="shared" si="15"/>
        <v>3</v>
      </c>
      <c r="R23" s="11"/>
    </row>
    <row r="24" spans="1:18" ht="15.75" customHeight="1">
      <c r="A24" s="24" t="s">
        <v>133</v>
      </c>
      <c r="B24" s="5" t="s">
        <v>134</v>
      </c>
      <c r="C24" s="13" t="s">
        <v>135</v>
      </c>
      <c r="D24" s="13" t="s">
        <v>135</v>
      </c>
      <c r="E24" s="13" t="s">
        <v>136</v>
      </c>
      <c r="F24" s="13" t="s">
        <v>57</v>
      </c>
      <c r="G24" s="13" t="s">
        <v>134</v>
      </c>
      <c r="H24" s="14" cm="1">
        <f t="array" ref="H24">_xlfn.LET(
_xlpm.opts,{"A","B","C","D","E"},
_xlpm.ans,UPPER(SUBSTITUTE(SUBSTITUTE(SUBSTITUTE(SUBSTITUTE(SUBSTITUTE(TRIM($B24),"　","")," ",""),",",""),"，",""),"、","")),
_xlpm.resp,UPPER(SUBSTITUTE(SUBSTITUTE(SUBSTITUTE(SUBSTITUTE(SUBSTITUTE(TRIM(C24),"　","")," ",""),",",""),"，",""),"、","")),
IF(_xlpm.resp="",99,
SUMPRODUCT(--(ISNUMBER(SEARCH(_xlpm.opts,_xlpm.ans))&lt;&gt;ISNUMBER(SEARCH(_xlpm.opts,_xlpm.resp)))))
)</f>
        <v>1</v>
      </c>
      <c r="I24" s="14" cm="1">
        <f t="array" ref="I24">_xlfn.LET(
_xlpm.opts,{"A","B","C","D","E"},
_xlpm.ans,UPPER(SUBSTITUTE(SUBSTITUTE(SUBSTITUTE(SUBSTITUTE(SUBSTITUTE(TRIM($B24),"　","")," ",""),",",""),"，",""),"、","")),
_xlpm.resp,UPPER(SUBSTITUTE(SUBSTITUTE(SUBSTITUTE(SUBSTITUTE(SUBSTITUTE(TRIM(D24),"　","")," ",""),",",""),"，",""),"、","")),
IF(_xlpm.resp="",99,
SUMPRODUCT(--(ISNUMBER(SEARCH(_xlpm.opts,_xlpm.ans))&lt;&gt;ISNUMBER(SEARCH(_xlpm.opts,_xlpm.resp)))))
)</f>
        <v>1</v>
      </c>
      <c r="J24" s="14" cm="1">
        <f t="array" ref="J24">_xlfn.LET(
_xlpm.opts,{"A","B","C","D","E"},
_xlpm.ans,UPPER(SUBSTITUTE(SUBSTITUTE(SUBSTITUTE(SUBSTITUTE(SUBSTITUTE(TRIM($B24),"　","")," ",""),",",""),"，",""),"、","")),
_xlpm.resp,UPPER(SUBSTITUTE(SUBSTITUTE(SUBSTITUTE(SUBSTITUTE(SUBSTITUTE(TRIM(E24),"　","")," ",""),",",""),"，",""),"、","")),
IF(_xlpm.resp="",99,
SUMPRODUCT(--(ISNUMBER(SEARCH(_xlpm.opts,_xlpm.ans))&lt;&gt;ISNUMBER(SEARCH(_xlpm.opts,_xlpm.resp)))))
)</f>
        <v>2</v>
      </c>
      <c r="K24" s="14" cm="1">
        <f t="array" ref="K24">_xlfn.LET(
_xlpm.opts,{"A","B","C","D","E"},
_xlpm.ans,UPPER(SUBSTITUTE(SUBSTITUTE(SUBSTITUTE(SUBSTITUTE(SUBSTITUTE(TRIM($B24),"　","")," ",""),",",""),"，",""),"、","")),
_xlpm.resp,UPPER(SUBSTITUTE(SUBSTITUTE(SUBSTITUTE(SUBSTITUTE(SUBSTITUTE(TRIM(F24),"　","")," ",""),",",""),"，",""),"、","")),
IF(_xlpm.resp="",99,
SUMPRODUCT(--(ISNUMBER(SEARCH(_xlpm.opts,_xlpm.ans))&lt;&gt;ISNUMBER(SEARCH(_xlpm.opts,_xlpm.resp)))))
)</f>
        <v>2</v>
      </c>
      <c r="L24" s="14" cm="1">
        <f t="array" ref="L24">_xlfn.LET(
_xlpm.opts,{"A","B","C","D","E"},
_xlpm.ans,UPPER(SUBSTITUTE(SUBSTITUTE(SUBSTITUTE(SUBSTITUTE(SUBSTITUTE(TRIM($B24),"　","")," ",""),",",""),"，",""),"、","")),
_xlpm.resp,UPPER(SUBSTITUTE(SUBSTITUTE(SUBSTITUTE(SUBSTITUTE(SUBSTITUTE(TRIM(G24),"　","")," ",""),",",""),"，",""),"、","")),
IF(_xlpm.resp="",99,
SUMPRODUCT(--(ISNUMBER(SEARCH(_xlpm.opts,_xlpm.ans))&lt;&gt;ISNUMBER(SEARCH(_xlpm.opts,_xlpm.resp)))))
)</f>
        <v>0</v>
      </c>
      <c r="M24" s="7">
        <f t="shared" si="16"/>
        <v>1.8</v>
      </c>
      <c r="N24" s="7">
        <f t="shared" si="15"/>
        <v>1.8</v>
      </c>
      <c r="O24" s="7">
        <f t="shared" si="15"/>
        <v>0.6</v>
      </c>
      <c r="P24" s="7">
        <f t="shared" si="15"/>
        <v>0.6</v>
      </c>
      <c r="Q24" s="7">
        <f t="shared" si="15"/>
        <v>3</v>
      </c>
      <c r="R24" s="11"/>
    </row>
    <row r="25" spans="1:18" ht="15.75" customHeight="1">
      <c r="A25" s="24" t="s">
        <v>137</v>
      </c>
      <c r="B25" s="5" t="s">
        <v>97</v>
      </c>
      <c r="C25" s="13" t="s">
        <v>54</v>
      </c>
      <c r="D25" s="13" t="s">
        <v>97</v>
      </c>
      <c r="E25" s="13" t="s">
        <v>17</v>
      </c>
      <c r="F25" s="13" t="s">
        <v>54</v>
      </c>
      <c r="G25" s="13" t="s">
        <v>54</v>
      </c>
      <c r="H25" s="14" cm="1">
        <f t="array" ref="H25">_xlfn.LET(
_xlpm.opts,{"A","B","C","D","E"},
_xlpm.ans,UPPER(SUBSTITUTE(SUBSTITUTE(SUBSTITUTE(SUBSTITUTE(SUBSTITUTE(TRIM($B25),"　","")," ",""),",",""),"，",""),"、","")),
_xlpm.resp,UPPER(SUBSTITUTE(SUBSTITUTE(SUBSTITUTE(SUBSTITUTE(SUBSTITUTE(TRIM(C25),"　","")," ",""),",",""),"，",""),"、","")),
IF(_xlpm.resp="",99,
SUMPRODUCT(--(ISNUMBER(SEARCH(_xlpm.opts,_xlpm.ans))&lt;&gt;ISNUMBER(SEARCH(_xlpm.opts,_xlpm.resp)))))
)</f>
        <v>1</v>
      </c>
      <c r="I25" s="14" cm="1">
        <f t="array" ref="I25">_xlfn.LET(
_xlpm.opts,{"A","B","C","D","E"},
_xlpm.ans,UPPER(SUBSTITUTE(SUBSTITUTE(SUBSTITUTE(SUBSTITUTE(SUBSTITUTE(TRIM($B25),"　","")," ",""),",",""),"，",""),"、","")),
_xlpm.resp,UPPER(SUBSTITUTE(SUBSTITUTE(SUBSTITUTE(SUBSTITUTE(SUBSTITUTE(TRIM(D25),"　","")," ",""),",",""),"，",""),"、","")),
IF(_xlpm.resp="",99,
SUMPRODUCT(--(ISNUMBER(SEARCH(_xlpm.opts,_xlpm.ans))&lt;&gt;ISNUMBER(SEARCH(_xlpm.opts,_xlpm.resp)))))
)</f>
        <v>0</v>
      </c>
      <c r="J25" s="14" cm="1">
        <f t="array" ref="J25">_xlfn.LET(
_xlpm.opts,{"A","B","C","D","E"},
_xlpm.ans,UPPER(SUBSTITUTE(SUBSTITUTE(SUBSTITUTE(SUBSTITUTE(SUBSTITUTE(TRIM($B25),"　","")," ",""),",",""),"，",""),"、","")),
_xlpm.resp,UPPER(SUBSTITUTE(SUBSTITUTE(SUBSTITUTE(SUBSTITUTE(SUBSTITUTE(TRIM(E25),"　","")," ",""),",",""),"，",""),"、","")),
IF(_xlpm.resp="",99,
SUMPRODUCT(--(ISNUMBER(SEARCH(_xlpm.opts,_xlpm.ans))&lt;&gt;ISNUMBER(SEARCH(_xlpm.opts,_xlpm.resp)))))
)</f>
        <v>3</v>
      </c>
      <c r="K25" s="14" cm="1">
        <f t="array" ref="K25">_xlfn.LET(
_xlpm.opts,{"A","B","C","D","E"},
_xlpm.ans,UPPER(SUBSTITUTE(SUBSTITUTE(SUBSTITUTE(SUBSTITUTE(SUBSTITUTE(TRIM($B25),"　","")," ",""),",",""),"，",""),"、","")),
_xlpm.resp,UPPER(SUBSTITUTE(SUBSTITUTE(SUBSTITUTE(SUBSTITUTE(SUBSTITUTE(TRIM(F25),"　","")," ",""),",",""),"，",""),"、","")),
IF(_xlpm.resp="",99,
SUMPRODUCT(--(ISNUMBER(SEARCH(_xlpm.opts,_xlpm.ans))&lt;&gt;ISNUMBER(SEARCH(_xlpm.opts,_xlpm.resp)))))
)</f>
        <v>1</v>
      </c>
      <c r="L25" s="14" cm="1">
        <f t="array" ref="L25">_xlfn.LET(
_xlpm.opts,{"A","B","C","D","E"},
_xlpm.ans,UPPER(SUBSTITUTE(SUBSTITUTE(SUBSTITUTE(SUBSTITUTE(SUBSTITUTE(TRIM($B25),"　","")," ",""),",",""),"，",""),"、","")),
_xlpm.resp,UPPER(SUBSTITUTE(SUBSTITUTE(SUBSTITUTE(SUBSTITUTE(SUBSTITUTE(TRIM(G25),"　","")," ",""),",",""),"，",""),"、","")),
IF(_xlpm.resp="",99,
SUMPRODUCT(--(ISNUMBER(SEARCH(_xlpm.opts,_xlpm.ans))&lt;&gt;ISNUMBER(SEARCH(_xlpm.opts,_xlpm.resp)))))
)</f>
        <v>1</v>
      </c>
      <c r="M25" s="7">
        <f t="shared" si="16"/>
        <v>1.8</v>
      </c>
      <c r="N25" s="7">
        <f t="shared" si="15"/>
        <v>3</v>
      </c>
      <c r="O25" s="7">
        <f t="shared" si="15"/>
        <v>0</v>
      </c>
      <c r="P25" s="7">
        <f t="shared" si="15"/>
        <v>1.8</v>
      </c>
      <c r="Q25" s="7">
        <f t="shared" si="15"/>
        <v>1.8</v>
      </c>
      <c r="R25" s="11"/>
    </row>
    <row r="26" spans="1:18" ht="15.75" customHeight="1">
      <c r="A26" s="24" t="s">
        <v>138</v>
      </c>
      <c r="B26" s="5" t="s">
        <v>139</v>
      </c>
      <c r="C26" s="5" t="s">
        <v>139</v>
      </c>
      <c r="D26" s="13" t="s">
        <v>136</v>
      </c>
      <c r="E26" s="13" t="s">
        <v>139</v>
      </c>
      <c r="F26" s="13" t="s">
        <v>90</v>
      </c>
      <c r="G26" s="13" t="s">
        <v>139</v>
      </c>
      <c r="H26" s="14" cm="1">
        <f t="array" ref="H26">_xlfn.LET(
_xlpm.opts,{"A","B","C","D","E"},
_xlpm.ans,UPPER(SUBSTITUTE(SUBSTITUTE(SUBSTITUTE(SUBSTITUTE(SUBSTITUTE(TRIM($B26),"　","")," ",""),",",""),"，",""),"、","")),
_xlpm.resp,UPPER(SUBSTITUTE(SUBSTITUTE(SUBSTITUTE(SUBSTITUTE(SUBSTITUTE(TRIM(C26),"　","")," ",""),",",""),"，",""),"、","")),
IF(_xlpm.resp="",99,
SUMPRODUCT(--(ISNUMBER(SEARCH(_xlpm.opts,_xlpm.ans))&lt;&gt;ISNUMBER(SEARCH(_xlpm.opts,_xlpm.resp)))))
)</f>
        <v>0</v>
      </c>
      <c r="I26" s="14" cm="1">
        <f t="array" ref="I26">_xlfn.LET(
_xlpm.opts,{"A","B","C","D","E"},
_xlpm.ans,UPPER(SUBSTITUTE(SUBSTITUTE(SUBSTITUTE(SUBSTITUTE(SUBSTITUTE(TRIM($B26),"　","")," ",""),",",""),"，",""),"、","")),
_xlpm.resp,UPPER(SUBSTITUTE(SUBSTITUTE(SUBSTITUTE(SUBSTITUTE(SUBSTITUTE(TRIM(D26),"　","")," ",""),",",""),"，",""),"、","")),
IF(_xlpm.resp="",99,
SUMPRODUCT(--(ISNUMBER(SEARCH(_xlpm.opts,_xlpm.ans))&lt;&gt;ISNUMBER(SEARCH(_xlpm.opts,_xlpm.resp)))))
)</f>
        <v>1</v>
      </c>
      <c r="J26" s="14" cm="1">
        <f t="array" ref="J26">_xlfn.LET(
_xlpm.opts,{"A","B","C","D","E"},
_xlpm.ans,UPPER(SUBSTITUTE(SUBSTITUTE(SUBSTITUTE(SUBSTITUTE(SUBSTITUTE(TRIM($B26),"　","")," ",""),",",""),"，",""),"、","")),
_xlpm.resp,UPPER(SUBSTITUTE(SUBSTITUTE(SUBSTITUTE(SUBSTITUTE(SUBSTITUTE(TRIM(E26),"　","")," ",""),",",""),"，",""),"、","")),
IF(_xlpm.resp="",99,
SUMPRODUCT(--(ISNUMBER(SEARCH(_xlpm.opts,_xlpm.ans))&lt;&gt;ISNUMBER(SEARCH(_xlpm.opts,_xlpm.resp)))))
)</f>
        <v>0</v>
      </c>
      <c r="K26" s="14" cm="1">
        <f t="array" ref="K26">_xlfn.LET(
_xlpm.opts,{"A","B","C","D","E"},
_xlpm.ans,UPPER(SUBSTITUTE(SUBSTITUTE(SUBSTITUTE(SUBSTITUTE(SUBSTITUTE(TRIM($B26),"　","")," ",""),",",""),"，",""),"、","")),
_xlpm.resp,UPPER(SUBSTITUTE(SUBSTITUTE(SUBSTITUTE(SUBSTITUTE(SUBSTITUTE(TRIM(F26),"　","")," ",""),",",""),"，",""),"、","")),
IF(_xlpm.resp="",99,
SUMPRODUCT(--(ISNUMBER(SEARCH(_xlpm.opts,_xlpm.ans))&lt;&gt;ISNUMBER(SEARCH(_xlpm.opts,_xlpm.resp)))))
)</f>
        <v>2</v>
      </c>
      <c r="L26" s="14" cm="1">
        <f t="array" ref="L26">_xlfn.LET(
_xlpm.opts,{"A","B","C","D","E"},
_xlpm.ans,UPPER(SUBSTITUTE(SUBSTITUTE(SUBSTITUTE(SUBSTITUTE(SUBSTITUTE(TRIM($B26),"　","")," ",""),",",""),"，",""),"、","")),
_xlpm.resp,UPPER(SUBSTITUTE(SUBSTITUTE(SUBSTITUTE(SUBSTITUTE(SUBSTITUTE(TRIM(G26),"　","")," ",""),",",""),"，",""),"、","")),
IF(_xlpm.resp="",99,
SUMPRODUCT(--(ISNUMBER(SEARCH(_xlpm.opts,_xlpm.ans))&lt;&gt;ISNUMBER(SEARCH(_xlpm.opts,_xlpm.resp)))))
)</f>
        <v>0</v>
      </c>
      <c r="M26" s="7">
        <f t="shared" si="16"/>
        <v>3</v>
      </c>
      <c r="N26" s="7">
        <f t="shared" si="15"/>
        <v>1.8</v>
      </c>
      <c r="O26" s="7">
        <f t="shared" si="15"/>
        <v>3</v>
      </c>
      <c r="P26" s="7">
        <f t="shared" si="15"/>
        <v>0.6</v>
      </c>
      <c r="Q26" s="7">
        <f t="shared" si="15"/>
        <v>3</v>
      </c>
      <c r="R26" s="11"/>
    </row>
    <row r="27" spans="1:18" ht="15.75" customHeight="1">
      <c r="A27" s="24" t="s">
        <v>140</v>
      </c>
      <c r="B27" s="5" t="s">
        <v>54</v>
      </c>
      <c r="C27" s="13" t="s">
        <v>54</v>
      </c>
      <c r="D27" s="13" t="s">
        <v>54</v>
      </c>
      <c r="E27" s="13" t="s">
        <v>95</v>
      </c>
      <c r="F27" s="13" t="s">
        <v>54</v>
      </c>
      <c r="G27" s="13" t="s">
        <v>54</v>
      </c>
      <c r="H27" s="14" cm="1">
        <f t="array" ref="H27">_xlfn.LET(
_xlpm.opts,{"A","B","C","D","E"},
_xlpm.ans,UPPER(SUBSTITUTE(SUBSTITUTE(SUBSTITUTE(SUBSTITUTE(SUBSTITUTE(TRIM($B27),"　","")," ",""),",",""),"，",""),"、","")),
_xlpm.resp,UPPER(SUBSTITUTE(SUBSTITUTE(SUBSTITUTE(SUBSTITUTE(SUBSTITUTE(TRIM(C27),"　","")," ",""),",",""),"，",""),"、","")),
IF(_xlpm.resp="",99,
SUMPRODUCT(--(ISNUMBER(SEARCH(_xlpm.opts,_xlpm.ans))&lt;&gt;ISNUMBER(SEARCH(_xlpm.opts,_xlpm.resp)))))
)</f>
        <v>0</v>
      </c>
      <c r="I27" s="14" cm="1">
        <f t="array" ref="I27">_xlfn.LET(
_xlpm.opts,{"A","B","C","D","E"},
_xlpm.ans,UPPER(SUBSTITUTE(SUBSTITUTE(SUBSTITUTE(SUBSTITUTE(SUBSTITUTE(TRIM($B27),"　","")," ",""),",",""),"，",""),"、","")),
_xlpm.resp,UPPER(SUBSTITUTE(SUBSTITUTE(SUBSTITUTE(SUBSTITUTE(SUBSTITUTE(TRIM(D27),"　","")," ",""),",",""),"，",""),"、","")),
IF(_xlpm.resp="",99,
SUMPRODUCT(--(ISNUMBER(SEARCH(_xlpm.opts,_xlpm.ans))&lt;&gt;ISNUMBER(SEARCH(_xlpm.opts,_xlpm.resp)))))
)</f>
        <v>0</v>
      </c>
      <c r="J27" s="14" cm="1">
        <f t="array" ref="J27">_xlfn.LET(
_xlpm.opts,{"A","B","C","D","E"},
_xlpm.ans,UPPER(SUBSTITUTE(SUBSTITUTE(SUBSTITUTE(SUBSTITUTE(SUBSTITUTE(TRIM($B27),"　","")," ",""),",",""),"，",""),"、","")),
_xlpm.resp,UPPER(SUBSTITUTE(SUBSTITUTE(SUBSTITUTE(SUBSTITUTE(SUBSTITUTE(TRIM(E27),"　","")," ",""),",",""),"，",""),"、","")),
IF(_xlpm.resp="",99,
SUMPRODUCT(--(ISNUMBER(SEARCH(_xlpm.opts,_xlpm.ans))&lt;&gt;ISNUMBER(SEARCH(_xlpm.opts,_xlpm.resp)))))
)</f>
        <v>2</v>
      </c>
      <c r="K27" s="14" cm="1">
        <f t="array" ref="K27">_xlfn.LET(
_xlpm.opts,{"A","B","C","D","E"},
_xlpm.ans,UPPER(SUBSTITUTE(SUBSTITUTE(SUBSTITUTE(SUBSTITUTE(SUBSTITUTE(TRIM($B27),"　","")," ",""),",",""),"，",""),"、","")),
_xlpm.resp,UPPER(SUBSTITUTE(SUBSTITUTE(SUBSTITUTE(SUBSTITUTE(SUBSTITUTE(TRIM(F27),"　","")," ",""),",",""),"，",""),"、","")),
IF(_xlpm.resp="",99,
SUMPRODUCT(--(ISNUMBER(SEARCH(_xlpm.opts,_xlpm.ans))&lt;&gt;ISNUMBER(SEARCH(_xlpm.opts,_xlpm.resp)))))
)</f>
        <v>0</v>
      </c>
      <c r="L27" s="14" cm="1">
        <f t="array" ref="L27">_xlfn.LET(
_xlpm.opts,{"A","B","C","D","E"},
_xlpm.ans,UPPER(SUBSTITUTE(SUBSTITUTE(SUBSTITUTE(SUBSTITUTE(SUBSTITUTE(TRIM($B27),"　","")," ",""),",",""),"，",""),"、","")),
_xlpm.resp,UPPER(SUBSTITUTE(SUBSTITUTE(SUBSTITUTE(SUBSTITUTE(SUBSTITUTE(TRIM(G27),"　","")," ",""),",",""),"，",""),"、","")),
IF(_xlpm.resp="",99,
SUMPRODUCT(--(ISNUMBER(SEARCH(_xlpm.opts,_xlpm.ans))&lt;&gt;ISNUMBER(SEARCH(_xlpm.opts,_xlpm.resp)))))
)</f>
        <v>0</v>
      </c>
      <c r="M27" s="7">
        <f t="shared" si="16"/>
        <v>3</v>
      </c>
      <c r="N27" s="7">
        <f t="shared" si="15"/>
        <v>3</v>
      </c>
      <c r="O27" s="7">
        <f t="shared" si="15"/>
        <v>0.6</v>
      </c>
      <c r="P27" s="7">
        <f t="shared" si="15"/>
        <v>3</v>
      </c>
      <c r="Q27" s="7">
        <f t="shared" si="15"/>
        <v>3</v>
      </c>
      <c r="R27" s="11"/>
    </row>
    <row r="28" spans="1:18" ht="15.75" customHeight="1">
      <c r="A28" s="24" t="s">
        <v>141</v>
      </c>
      <c r="B28" s="5" t="s">
        <v>40</v>
      </c>
      <c r="C28" s="13" t="s">
        <v>42</v>
      </c>
      <c r="D28" s="13" t="s">
        <v>57</v>
      </c>
      <c r="E28" s="13" t="s">
        <v>95</v>
      </c>
      <c r="F28" s="13" t="s">
        <v>40</v>
      </c>
      <c r="G28" s="13" t="s">
        <v>40</v>
      </c>
      <c r="H28" s="14" cm="1">
        <f t="array" ref="H28">_xlfn.LET(
_xlpm.opts,{"A","B","C","D","E"},
_xlpm.ans,UPPER(SUBSTITUTE(SUBSTITUTE(SUBSTITUTE(SUBSTITUTE(SUBSTITUTE(TRIM($B28),"　","")," ",""),",",""),"，",""),"、","")),
_xlpm.resp,UPPER(SUBSTITUTE(SUBSTITUTE(SUBSTITUTE(SUBSTITUTE(SUBSTITUTE(TRIM(C28),"　","")," ",""),",",""),"，",""),"、","")),
IF(_xlpm.resp="",99,
SUMPRODUCT(--(ISNUMBER(SEARCH(_xlpm.opts,_xlpm.ans))&lt;&gt;ISNUMBER(SEARCH(_xlpm.opts,_xlpm.resp)))))
)</f>
        <v>4</v>
      </c>
      <c r="I28" s="14" cm="1">
        <f t="array" ref="I28">_xlfn.LET(
_xlpm.opts,{"A","B","C","D","E"},
_xlpm.ans,UPPER(SUBSTITUTE(SUBSTITUTE(SUBSTITUTE(SUBSTITUTE(SUBSTITUTE(TRIM($B28),"　","")," ",""),",",""),"，",""),"、","")),
_xlpm.resp,UPPER(SUBSTITUTE(SUBSTITUTE(SUBSTITUTE(SUBSTITUTE(SUBSTITUTE(TRIM(D28),"　","")," ",""),",",""),"，",""),"、","")),
IF(_xlpm.resp="",99,
SUMPRODUCT(--(ISNUMBER(SEARCH(_xlpm.opts,_xlpm.ans))&lt;&gt;ISNUMBER(SEARCH(_xlpm.opts,_xlpm.resp)))))
)</f>
        <v>1</v>
      </c>
      <c r="J28" s="14" cm="1">
        <f t="array" ref="J28">_xlfn.LET(
_xlpm.opts,{"A","B","C","D","E"},
_xlpm.ans,UPPER(SUBSTITUTE(SUBSTITUTE(SUBSTITUTE(SUBSTITUTE(SUBSTITUTE(TRIM($B28),"　","")," ",""),",",""),"，",""),"、","")),
_xlpm.resp,UPPER(SUBSTITUTE(SUBSTITUTE(SUBSTITUTE(SUBSTITUTE(SUBSTITUTE(TRIM(E28),"　","")," ",""),",",""),"，",""),"、","")),
IF(_xlpm.resp="",99,
SUMPRODUCT(--(ISNUMBER(SEARCH(_xlpm.opts,_xlpm.ans))&lt;&gt;ISNUMBER(SEARCH(_xlpm.opts,_xlpm.resp)))))
)</f>
        <v>3</v>
      </c>
      <c r="K28" s="14" cm="1">
        <f t="array" ref="K28">_xlfn.LET(
_xlpm.opts,{"A","B","C","D","E"},
_xlpm.ans,UPPER(SUBSTITUTE(SUBSTITUTE(SUBSTITUTE(SUBSTITUTE(SUBSTITUTE(TRIM($B28),"　","")," ",""),",",""),"，",""),"、","")),
_xlpm.resp,UPPER(SUBSTITUTE(SUBSTITUTE(SUBSTITUTE(SUBSTITUTE(SUBSTITUTE(TRIM(F28),"　","")," ",""),",",""),"，",""),"、","")),
IF(_xlpm.resp="",99,
SUMPRODUCT(--(ISNUMBER(SEARCH(_xlpm.opts,_xlpm.ans))&lt;&gt;ISNUMBER(SEARCH(_xlpm.opts,_xlpm.resp)))))
)</f>
        <v>0</v>
      </c>
      <c r="L28" s="14" cm="1">
        <f t="array" ref="L28">_xlfn.LET(
_xlpm.opts,{"A","B","C","D","E"},
_xlpm.ans,UPPER(SUBSTITUTE(SUBSTITUTE(SUBSTITUTE(SUBSTITUTE(SUBSTITUTE(TRIM($B28),"　","")," ",""),",",""),"，",""),"、","")),
_xlpm.resp,UPPER(SUBSTITUTE(SUBSTITUTE(SUBSTITUTE(SUBSTITUTE(SUBSTITUTE(TRIM(G28),"　","")," ",""),",",""),"，",""),"、","")),
IF(_xlpm.resp="",99,
SUMPRODUCT(--(ISNUMBER(SEARCH(_xlpm.opts,_xlpm.ans))&lt;&gt;ISNUMBER(SEARCH(_xlpm.opts,_xlpm.resp)))))
)</f>
        <v>0</v>
      </c>
      <c r="M28" s="7">
        <f t="shared" si="16"/>
        <v>0</v>
      </c>
      <c r="N28" s="7">
        <f t="shared" si="15"/>
        <v>1.8</v>
      </c>
      <c r="O28" s="7">
        <f t="shared" si="15"/>
        <v>0</v>
      </c>
      <c r="P28" s="7">
        <f t="shared" si="15"/>
        <v>3</v>
      </c>
      <c r="Q28" s="7">
        <f t="shared" si="15"/>
        <v>3</v>
      </c>
      <c r="R28" s="11"/>
    </row>
    <row r="29" spans="1:18" ht="15.75" customHeight="1">
      <c r="A29" s="24" t="s">
        <v>142</v>
      </c>
      <c r="B29" s="5" t="s">
        <v>45</v>
      </c>
      <c r="C29" s="13" t="s">
        <v>134</v>
      </c>
      <c r="D29" s="13" t="s">
        <v>57</v>
      </c>
      <c r="E29" s="13" t="s">
        <v>18</v>
      </c>
      <c r="F29" s="44" t="s">
        <v>101</v>
      </c>
      <c r="G29" s="44" t="s">
        <v>101</v>
      </c>
      <c r="H29" s="14" cm="1">
        <f t="array" ref="H29">_xlfn.LET(
_xlpm.opts,{"A","B","C","D","E"},
_xlpm.ans,UPPER(SUBSTITUTE(SUBSTITUTE(SUBSTITUTE(SUBSTITUTE(SUBSTITUTE(TRIM($B29),"　","")," ",""),",",""),"，",""),"、","")),
_xlpm.resp,UPPER(SUBSTITUTE(SUBSTITUTE(SUBSTITUTE(SUBSTITUTE(SUBSTITUTE(TRIM(C29),"　","")," ",""),",",""),"，",""),"、","")),
IF(_xlpm.resp="",99,
SUMPRODUCT(--(ISNUMBER(SEARCH(_xlpm.opts,_xlpm.ans))&lt;&gt;ISNUMBER(SEARCH(_xlpm.opts,_xlpm.resp)))))
)</f>
        <v>3</v>
      </c>
      <c r="I29" s="14" cm="1">
        <f t="array" ref="I29">_xlfn.LET(
_xlpm.opts,{"A","B","C","D","E"},
_xlpm.ans,UPPER(SUBSTITUTE(SUBSTITUTE(SUBSTITUTE(SUBSTITUTE(SUBSTITUTE(TRIM($B29),"　","")," ",""),",",""),"，",""),"、","")),
_xlpm.resp,UPPER(SUBSTITUTE(SUBSTITUTE(SUBSTITUTE(SUBSTITUTE(SUBSTITUTE(TRIM(D29),"　","")," ",""),",",""),"，",""),"、","")),
IF(_xlpm.resp="",99,
SUMPRODUCT(--(ISNUMBER(SEARCH(_xlpm.opts,_xlpm.ans))&lt;&gt;ISNUMBER(SEARCH(_xlpm.opts,_xlpm.resp)))))
)</f>
        <v>1</v>
      </c>
      <c r="J29" s="14" cm="1">
        <f t="array" ref="J29">_xlfn.LET(
_xlpm.opts,{"A","B","C","D","E"},
_xlpm.ans,UPPER(SUBSTITUTE(SUBSTITUTE(SUBSTITUTE(SUBSTITUTE(SUBSTITUTE(TRIM($B29),"　","")," ",""),",",""),"，",""),"、","")),
_xlpm.resp,UPPER(SUBSTITUTE(SUBSTITUTE(SUBSTITUTE(SUBSTITUTE(SUBSTITUTE(TRIM(E29),"　","")," ",""),",",""),"，",""),"、","")),
IF(_xlpm.resp="",99,
SUMPRODUCT(--(ISNUMBER(SEARCH(_xlpm.opts,_xlpm.ans))&lt;&gt;ISNUMBER(SEARCH(_xlpm.opts,_xlpm.resp)))))
)</f>
        <v>1</v>
      </c>
      <c r="K29" s="14" cm="1">
        <f t="array" ref="K29">_xlfn.LET(
_xlpm.opts,{"A","B","C","D","E"},
_xlpm.ans,UPPER(SUBSTITUTE(SUBSTITUTE(SUBSTITUTE(SUBSTITUTE(SUBSTITUTE(TRIM($B29),"　","")," ",""),",",""),"，",""),"、","")),
_xlpm.resp,UPPER(SUBSTITUTE(SUBSTITUTE(SUBSTITUTE(SUBSTITUTE(SUBSTITUTE(TRIM(F29),"　","")," ",""),",",""),"，",""),"、","")),
IF(_xlpm.resp="",99,
SUMPRODUCT(--(ISNUMBER(SEARCH(_xlpm.opts,_xlpm.ans))&lt;&gt;ISNUMBER(SEARCH(_xlpm.opts,_xlpm.resp)))))
)</f>
        <v>4</v>
      </c>
      <c r="L29" s="14" cm="1">
        <f t="array" ref="L29">_xlfn.LET(
_xlpm.opts,{"A","B","C","D","E"},
_xlpm.ans,UPPER(SUBSTITUTE(SUBSTITUTE(SUBSTITUTE(SUBSTITUTE(SUBSTITUTE(TRIM($B29),"　","")," ",""),",",""),"，",""),"、","")),
_xlpm.resp,UPPER(SUBSTITUTE(SUBSTITUTE(SUBSTITUTE(SUBSTITUTE(SUBSTITUTE(TRIM(G29),"　","")," ",""),",",""),"，",""),"、","")),
IF(_xlpm.resp="",99,
SUMPRODUCT(--(ISNUMBER(SEARCH(_xlpm.opts,_xlpm.ans))&lt;&gt;ISNUMBER(SEARCH(_xlpm.opts,_xlpm.resp)))))
)</f>
        <v>4</v>
      </c>
      <c r="M29" s="7">
        <f t="shared" si="16"/>
        <v>0</v>
      </c>
      <c r="N29" s="7">
        <f t="shared" si="15"/>
        <v>1.8</v>
      </c>
      <c r="O29" s="7">
        <f t="shared" si="15"/>
        <v>1.8</v>
      </c>
      <c r="P29" s="7">
        <f t="shared" si="15"/>
        <v>0</v>
      </c>
      <c r="Q29" s="7">
        <f t="shared" si="15"/>
        <v>0</v>
      </c>
      <c r="R29" s="11"/>
    </row>
    <row r="30" spans="1:18" ht="15.75" customHeight="1">
      <c r="A30" s="90" t="s">
        <v>58</v>
      </c>
      <c r="B30" s="91"/>
      <c r="C30" s="91"/>
      <c r="D30" s="91"/>
      <c r="E30" s="91"/>
      <c r="F30" s="91"/>
      <c r="G30" s="91"/>
      <c r="H30" s="91"/>
      <c r="I30" s="91"/>
      <c r="J30" s="91"/>
      <c r="K30" s="91"/>
      <c r="L30" s="95"/>
      <c r="M30" s="15">
        <f t="shared" ref="M30:Q30" si="17">SUM(M5:M29)</f>
        <v>30.000000000000004</v>
      </c>
      <c r="N30" s="15">
        <f t="shared" si="17"/>
        <v>38</v>
      </c>
      <c r="O30" s="15">
        <f t="shared" si="17"/>
        <v>23.600000000000005</v>
      </c>
      <c r="P30" s="15">
        <f t="shared" si="17"/>
        <v>35</v>
      </c>
      <c r="Q30" s="15">
        <f t="shared" si="17"/>
        <v>40.6</v>
      </c>
      <c r="R30" s="11"/>
    </row>
    <row r="31" spans="1:18" ht="15.75" customHeight="1">
      <c r="A31" s="93" t="s">
        <v>59</v>
      </c>
      <c r="B31" s="91"/>
      <c r="C31" s="91"/>
      <c r="D31" s="91"/>
      <c r="E31" s="91"/>
      <c r="F31" s="91"/>
      <c r="G31" s="91"/>
      <c r="H31" s="91"/>
      <c r="I31" s="91"/>
      <c r="J31" s="91"/>
      <c r="K31" s="91"/>
      <c r="L31" s="95"/>
      <c r="M31" s="16">
        <v>54</v>
      </c>
      <c r="N31" s="16">
        <v>54</v>
      </c>
      <c r="O31" s="16">
        <v>54</v>
      </c>
      <c r="P31" s="16">
        <v>54</v>
      </c>
      <c r="Q31" s="16">
        <v>54</v>
      </c>
      <c r="R31" s="11"/>
    </row>
    <row r="32" spans="1:18" ht="15.75" customHeight="1">
      <c r="A32" s="94" t="s">
        <v>60</v>
      </c>
      <c r="B32" s="91"/>
      <c r="C32" s="91"/>
      <c r="D32" s="91"/>
      <c r="E32" s="91"/>
      <c r="F32" s="91"/>
      <c r="G32" s="91"/>
      <c r="H32" s="91"/>
      <c r="I32" s="91"/>
      <c r="J32" s="91"/>
      <c r="K32" s="91"/>
      <c r="L32" s="95"/>
      <c r="M32" s="18">
        <f t="shared" ref="M32:Q32" si="18">M30/M31</f>
        <v>0.55555555555555558</v>
      </c>
      <c r="N32" s="18">
        <f t="shared" si="18"/>
        <v>0.70370370370370372</v>
      </c>
      <c r="O32" s="18">
        <f t="shared" si="18"/>
        <v>0.43703703703703711</v>
      </c>
      <c r="P32" s="18">
        <f t="shared" si="18"/>
        <v>0.64814814814814814</v>
      </c>
      <c r="Q32" s="18">
        <f t="shared" si="18"/>
        <v>0.75185185185185188</v>
      </c>
      <c r="R32" s="11"/>
    </row>
    <row r="33" spans="1:18" ht="15.75" customHeight="1">
      <c r="A33" s="10" t="s">
        <v>143</v>
      </c>
      <c r="B33" s="5"/>
      <c r="C33" s="13"/>
      <c r="D33" s="13"/>
      <c r="E33" s="13"/>
      <c r="F33" s="13"/>
      <c r="G33" s="13"/>
      <c r="H33" s="13"/>
      <c r="I33" s="13"/>
      <c r="J33" s="13"/>
      <c r="K33" s="13"/>
      <c r="L33" s="13"/>
      <c r="M33" s="19">
        <v>9</v>
      </c>
      <c r="N33" s="19">
        <v>9</v>
      </c>
      <c r="O33" s="19">
        <v>9</v>
      </c>
      <c r="P33" s="19">
        <v>9</v>
      </c>
      <c r="Q33" s="19">
        <v>9</v>
      </c>
      <c r="R33" s="11"/>
    </row>
    <row r="34" spans="1:18" ht="15.75" customHeight="1">
      <c r="A34" s="10" t="s">
        <v>144</v>
      </c>
      <c r="B34" s="5"/>
      <c r="C34" s="13"/>
      <c r="D34" s="13"/>
      <c r="E34" s="13"/>
      <c r="F34" s="13"/>
      <c r="G34" s="13"/>
      <c r="H34" s="13"/>
      <c r="I34" s="13"/>
      <c r="J34" s="13"/>
      <c r="K34" s="13"/>
      <c r="L34" s="13"/>
      <c r="M34" s="19">
        <v>18</v>
      </c>
      <c r="N34" s="19">
        <v>18</v>
      </c>
      <c r="O34" s="19">
        <v>18</v>
      </c>
      <c r="P34" s="19">
        <v>18</v>
      </c>
      <c r="Q34" s="19">
        <v>18</v>
      </c>
      <c r="R34" s="11"/>
    </row>
    <row r="35" spans="1:18" ht="15.75" customHeight="1">
      <c r="A35" s="10" t="s">
        <v>145</v>
      </c>
      <c r="B35" s="5"/>
      <c r="C35" s="13"/>
      <c r="D35" s="13"/>
      <c r="E35" s="13"/>
      <c r="F35" s="13"/>
      <c r="G35" s="13"/>
      <c r="H35" s="13"/>
      <c r="I35" s="13"/>
      <c r="J35" s="13"/>
      <c r="K35" s="13"/>
      <c r="L35" s="13"/>
      <c r="M35" s="19">
        <v>27</v>
      </c>
      <c r="N35" s="19">
        <v>27</v>
      </c>
      <c r="O35" s="19">
        <v>27</v>
      </c>
      <c r="P35" s="19">
        <v>27</v>
      </c>
      <c r="Q35" s="19">
        <v>27</v>
      </c>
      <c r="R35" s="11"/>
    </row>
    <row r="36" spans="1:18" ht="15.75" customHeight="1">
      <c r="A36" s="88" t="s">
        <v>66</v>
      </c>
      <c r="B36" s="91"/>
      <c r="C36" s="91"/>
      <c r="D36" s="91"/>
      <c r="E36" s="91"/>
      <c r="F36" s="91"/>
      <c r="G36" s="91"/>
      <c r="H36" s="91"/>
      <c r="I36" s="91"/>
      <c r="J36" s="91"/>
      <c r="K36" s="91"/>
      <c r="L36" s="95"/>
      <c r="M36" s="23">
        <f t="shared" ref="M36:Q36" si="19">SUM(M33:M35)</f>
        <v>54</v>
      </c>
      <c r="N36" s="23">
        <f t="shared" si="19"/>
        <v>54</v>
      </c>
      <c r="O36" s="23">
        <f t="shared" si="19"/>
        <v>54</v>
      </c>
      <c r="P36" s="23">
        <f t="shared" si="19"/>
        <v>54</v>
      </c>
      <c r="Q36" s="23">
        <f t="shared" si="19"/>
        <v>54</v>
      </c>
      <c r="R36" s="11"/>
    </row>
    <row r="37" spans="1:18" ht="15.75" customHeight="1">
      <c r="A37" s="28"/>
      <c r="B37" s="25"/>
      <c r="C37" s="26"/>
      <c r="D37" s="26"/>
      <c r="E37" s="26"/>
      <c r="F37" s="26"/>
      <c r="G37" s="26"/>
      <c r="H37" s="26"/>
      <c r="I37" s="26"/>
      <c r="J37" s="26"/>
      <c r="K37" s="26"/>
      <c r="L37" s="26"/>
      <c r="M37" s="27"/>
      <c r="N37" s="27"/>
      <c r="O37" s="27"/>
      <c r="P37" s="27"/>
      <c r="Q37" s="27"/>
      <c r="R37" s="11"/>
    </row>
    <row r="38" spans="1:18" ht="15.75" customHeight="1">
      <c r="A38" s="28"/>
      <c r="B38" s="25"/>
      <c r="C38" s="26"/>
      <c r="D38" s="26"/>
      <c r="E38" s="26"/>
      <c r="F38" s="26"/>
      <c r="G38" s="26"/>
      <c r="H38" s="26"/>
      <c r="I38" s="26"/>
      <c r="J38" s="26"/>
      <c r="K38" s="26"/>
      <c r="L38" s="26"/>
      <c r="M38" s="27"/>
      <c r="N38" s="27"/>
      <c r="O38" s="27"/>
      <c r="P38" s="27"/>
      <c r="Q38" s="27"/>
      <c r="R38" s="11"/>
    </row>
    <row r="39" spans="1:18" ht="15.75" customHeight="1">
      <c r="A39" s="28"/>
      <c r="B39" s="25"/>
      <c r="C39" s="26"/>
      <c r="D39" s="26"/>
      <c r="E39" s="26"/>
      <c r="F39" s="26"/>
      <c r="G39" s="26"/>
      <c r="H39" s="26"/>
      <c r="I39" s="26"/>
      <c r="J39" s="26"/>
      <c r="K39" s="26"/>
      <c r="L39" s="26"/>
      <c r="M39" s="27"/>
      <c r="N39" s="27"/>
      <c r="O39" s="27"/>
      <c r="P39" s="27"/>
      <c r="Q39" s="27"/>
      <c r="R39" s="11"/>
    </row>
    <row r="40" spans="1:18" ht="15.75" customHeight="1">
      <c r="A40" s="28"/>
      <c r="B40" s="25"/>
      <c r="C40" s="26"/>
      <c r="D40" s="26"/>
      <c r="E40" s="26"/>
      <c r="F40" s="26"/>
      <c r="G40" s="26"/>
      <c r="H40" s="26"/>
      <c r="I40" s="26"/>
      <c r="J40" s="26"/>
      <c r="K40" s="26"/>
      <c r="L40" s="26"/>
      <c r="M40" s="27"/>
      <c r="N40" s="27"/>
      <c r="O40" s="27"/>
      <c r="P40" s="27"/>
      <c r="Q40" s="27"/>
      <c r="R40" s="11"/>
    </row>
    <row r="41" spans="1:18" ht="15.75" customHeight="1">
      <c r="A41" s="28"/>
      <c r="B41" s="25"/>
      <c r="C41" s="26"/>
      <c r="D41" s="26"/>
      <c r="E41" s="26"/>
      <c r="F41" s="26"/>
      <c r="G41" s="26"/>
      <c r="H41" s="26"/>
      <c r="I41" s="26"/>
      <c r="J41" s="26"/>
      <c r="K41" s="26"/>
      <c r="L41" s="26"/>
      <c r="M41" s="27"/>
      <c r="N41" s="27"/>
      <c r="O41" s="27"/>
      <c r="P41" s="27"/>
      <c r="Q41" s="27"/>
      <c r="R41" s="11"/>
    </row>
    <row r="42" spans="1:18" ht="15.75" customHeight="1">
      <c r="A42" s="28"/>
      <c r="B42" s="25"/>
      <c r="C42" s="26"/>
      <c r="D42" s="26"/>
      <c r="E42" s="26"/>
      <c r="F42" s="26"/>
      <c r="G42" s="26"/>
      <c r="H42" s="26"/>
      <c r="I42" s="26"/>
      <c r="J42" s="26"/>
      <c r="K42" s="26"/>
      <c r="L42" s="26"/>
      <c r="M42" s="27"/>
      <c r="N42" s="27"/>
      <c r="O42" s="27"/>
      <c r="P42" s="27"/>
      <c r="Q42" s="27"/>
      <c r="R42" s="11"/>
    </row>
    <row r="43" spans="1:18" ht="15.75" customHeight="1">
      <c r="A43" s="28"/>
      <c r="B43" s="25"/>
      <c r="C43" s="26"/>
      <c r="D43" s="26"/>
      <c r="E43" s="26"/>
      <c r="F43" s="26"/>
      <c r="G43" s="26"/>
      <c r="H43" s="26"/>
      <c r="I43" s="26"/>
      <c r="J43" s="26"/>
      <c r="K43" s="26"/>
      <c r="L43" s="26"/>
      <c r="M43" s="27"/>
      <c r="N43" s="27"/>
      <c r="O43" s="27"/>
      <c r="P43" s="27"/>
      <c r="Q43" s="27"/>
      <c r="R43" s="11"/>
    </row>
    <row r="44" spans="1:18" ht="15.75" customHeight="1">
      <c r="A44" s="28"/>
      <c r="B44" s="25"/>
      <c r="C44" s="26"/>
      <c r="D44" s="26"/>
      <c r="E44" s="26"/>
      <c r="F44" s="26"/>
      <c r="G44" s="26"/>
      <c r="H44" s="26"/>
      <c r="I44" s="26"/>
      <c r="J44" s="26"/>
      <c r="K44" s="26"/>
      <c r="L44" s="26"/>
      <c r="M44" s="27"/>
      <c r="N44" s="27"/>
      <c r="O44" s="27"/>
      <c r="P44" s="27"/>
      <c r="Q44" s="27"/>
      <c r="R44" s="11"/>
    </row>
    <row r="45" spans="1:18" ht="15.75" customHeight="1">
      <c r="A45" s="28"/>
      <c r="B45" s="25"/>
      <c r="C45" s="26"/>
      <c r="D45" s="26"/>
      <c r="E45" s="26"/>
      <c r="F45" s="26"/>
      <c r="G45" s="26"/>
      <c r="H45" s="26"/>
      <c r="I45" s="26"/>
      <c r="J45" s="26"/>
      <c r="K45" s="26"/>
      <c r="L45" s="26"/>
      <c r="M45" s="27"/>
      <c r="N45" s="27"/>
      <c r="O45" s="27"/>
      <c r="P45" s="27"/>
      <c r="Q45" s="27"/>
      <c r="R45" s="11"/>
    </row>
    <row r="46" spans="1:18" ht="15.75" customHeight="1">
      <c r="A46" s="28"/>
      <c r="B46" s="25"/>
      <c r="C46" s="26"/>
      <c r="D46" s="26"/>
      <c r="E46" s="26"/>
      <c r="F46" s="26"/>
      <c r="G46" s="26"/>
      <c r="H46" s="26"/>
      <c r="I46" s="26"/>
      <c r="J46" s="26"/>
      <c r="K46" s="26"/>
      <c r="L46" s="26"/>
      <c r="M46" s="27"/>
      <c r="N46" s="27"/>
      <c r="O46" s="27"/>
      <c r="P46" s="27"/>
      <c r="Q46" s="27"/>
      <c r="R46" s="11"/>
    </row>
    <row r="47" spans="1:18" ht="15.75" customHeight="1">
      <c r="A47" s="28"/>
      <c r="B47" s="25"/>
      <c r="C47" s="26"/>
      <c r="D47" s="26"/>
      <c r="E47" s="26"/>
      <c r="F47" s="26"/>
      <c r="G47" s="26"/>
      <c r="H47" s="26"/>
      <c r="I47" s="26"/>
      <c r="J47" s="26"/>
      <c r="K47" s="26"/>
      <c r="L47" s="26"/>
      <c r="M47" s="27"/>
      <c r="N47" s="27"/>
      <c r="O47" s="27"/>
      <c r="P47" s="27"/>
      <c r="Q47" s="27"/>
      <c r="R47" s="11"/>
    </row>
    <row r="48" spans="1:18" ht="15.75" customHeight="1">
      <c r="A48" s="24"/>
      <c r="B48" s="25"/>
      <c r="C48" s="26"/>
      <c r="D48" s="26"/>
      <c r="E48" s="26"/>
      <c r="F48" s="26"/>
      <c r="G48" s="26"/>
      <c r="H48" s="26"/>
      <c r="I48" s="26"/>
      <c r="J48" s="26"/>
      <c r="K48" s="26"/>
      <c r="L48" s="26"/>
      <c r="M48" s="27"/>
      <c r="N48" s="27"/>
      <c r="O48" s="27"/>
      <c r="P48" s="27"/>
      <c r="Q48" s="27"/>
      <c r="R48" s="11"/>
    </row>
    <row r="49" spans="1:29" ht="15.75" customHeight="1">
      <c r="A49" s="24"/>
      <c r="B49" s="25"/>
      <c r="C49" s="26"/>
      <c r="D49" s="26"/>
      <c r="E49" s="26"/>
      <c r="F49" s="26"/>
      <c r="G49" s="26"/>
      <c r="H49" s="26"/>
      <c r="I49" s="26"/>
      <c r="J49" s="26"/>
      <c r="K49" s="26"/>
      <c r="L49" s="26"/>
      <c r="M49" s="27"/>
      <c r="N49" s="27"/>
      <c r="O49" s="27"/>
      <c r="P49" s="27"/>
      <c r="Q49" s="27"/>
      <c r="R49" s="11"/>
      <c r="S49" s="11"/>
      <c r="T49" s="11"/>
      <c r="U49" s="11"/>
      <c r="V49" s="11"/>
      <c r="W49" s="11"/>
      <c r="X49" s="11"/>
      <c r="Y49" s="11"/>
      <c r="Z49" s="11"/>
      <c r="AA49" s="11"/>
      <c r="AB49" s="11"/>
      <c r="AC49" s="11"/>
    </row>
    <row r="50" spans="1:29" ht="15.75" customHeight="1">
      <c r="A50" s="24"/>
      <c r="B50" s="25"/>
      <c r="C50" s="26"/>
      <c r="D50" s="26"/>
      <c r="E50" s="26"/>
      <c r="F50" s="26"/>
      <c r="G50" s="26"/>
      <c r="H50" s="26"/>
      <c r="I50" s="26"/>
      <c r="J50" s="26"/>
      <c r="K50" s="26"/>
      <c r="L50" s="26"/>
      <c r="M50" s="27"/>
      <c r="N50" s="27"/>
      <c r="O50" s="27"/>
      <c r="P50" s="27"/>
      <c r="Q50" s="27"/>
      <c r="R50" s="11"/>
      <c r="S50" s="11"/>
      <c r="T50" s="11"/>
      <c r="U50" s="11"/>
      <c r="V50" s="11"/>
      <c r="W50" s="11"/>
      <c r="X50" s="11"/>
      <c r="Y50" s="11"/>
      <c r="Z50" s="11"/>
      <c r="AA50" s="11"/>
      <c r="AB50" s="11"/>
      <c r="AC50" s="11"/>
    </row>
    <row r="51" spans="1:29" ht="15.75" customHeight="1">
      <c r="A51" s="24"/>
      <c r="B51" s="25"/>
      <c r="C51" s="26"/>
      <c r="D51" s="26"/>
      <c r="E51" s="26"/>
      <c r="F51" s="26"/>
      <c r="G51" s="26"/>
      <c r="H51" s="26"/>
      <c r="I51" s="26"/>
      <c r="J51" s="26"/>
      <c r="K51" s="26"/>
      <c r="L51" s="26"/>
      <c r="M51" s="27"/>
      <c r="N51" s="27"/>
      <c r="O51" s="27"/>
      <c r="P51" s="27"/>
      <c r="Q51" s="27"/>
      <c r="R51" s="11"/>
      <c r="S51" s="11"/>
      <c r="T51" s="11"/>
      <c r="U51" s="11"/>
      <c r="V51" s="11"/>
      <c r="W51" s="11"/>
      <c r="X51" s="11"/>
      <c r="Y51" s="11"/>
      <c r="Z51" s="11"/>
      <c r="AA51" s="11"/>
      <c r="AB51" s="11"/>
      <c r="AC51" s="11"/>
    </row>
    <row r="52" spans="1:29" ht="15.75" customHeight="1">
      <c r="A52" s="24"/>
      <c r="B52" s="25"/>
      <c r="C52" s="26"/>
      <c r="D52" s="26"/>
      <c r="E52" s="26"/>
      <c r="F52" s="26"/>
      <c r="G52" s="26"/>
      <c r="H52" s="26"/>
      <c r="I52" s="26"/>
      <c r="J52" s="26"/>
      <c r="K52" s="26"/>
      <c r="L52" s="26"/>
      <c r="M52" s="27"/>
      <c r="N52" s="27"/>
      <c r="O52" s="27"/>
      <c r="P52" s="27"/>
      <c r="Q52" s="27"/>
      <c r="R52" s="11"/>
      <c r="S52" s="11"/>
      <c r="T52" s="11"/>
      <c r="U52" s="11"/>
      <c r="V52" s="11"/>
      <c r="W52" s="11"/>
      <c r="X52" s="11"/>
      <c r="Y52" s="11"/>
      <c r="Z52" s="11"/>
      <c r="AA52" s="11"/>
      <c r="AB52" s="11"/>
      <c r="AC52" s="11"/>
    </row>
    <row r="53" spans="1:29" ht="15.75" customHeight="1">
      <c r="A53" s="24"/>
      <c r="B53" s="25"/>
      <c r="C53" s="26"/>
      <c r="D53" s="26"/>
      <c r="E53" s="26"/>
      <c r="F53" s="26"/>
      <c r="G53" s="26"/>
      <c r="H53" s="26"/>
      <c r="I53" s="26"/>
      <c r="J53" s="26"/>
      <c r="K53" s="26"/>
      <c r="L53" s="26"/>
      <c r="M53" s="27"/>
      <c r="N53" s="27"/>
      <c r="O53" s="27"/>
      <c r="P53" s="27"/>
      <c r="Q53" s="27"/>
      <c r="R53" s="11"/>
      <c r="S53" s="11"/>
      <c r="T53" s="11"/>
      <c r="U53" s="11"/>
      <c r="V53" s="11"/>
      <c r="W53" s="11"/>
      <c r="X53" s="11"/>
      <c r="Y53" s="11"/>
      <c r="Z53" s="11"/>
      <c r="AA53" s="11"/>
      <c r="AB53" s="11"/>
      <c r="AC53" s="11"/>
    </row>
    <row r="54" spans="1:29" ht="15.75" customHeight="1">
      <c r="A54" s="24"/>
      <c r="B54" s="25"/>
      <c r="C54" s="26"/>
      <c r="D54" s="26"/>
      <c r="E54" s="26"/>
      <c r="F54" s="26"/>
      <c r="G54" s="26"/>
      <c r="H54" s="26"/>
      <c r="I54" s="26"/>
      <c r="J54" s="26"/>
      <c r="K54" s="26"/>
      <c r="L54" s="26"/>
      <c r="M54" s="27"/>
      <c r="N54" s="27"/>
      <c r="O54" s="27"/>
      <c r="P54" s="27"/>
      <c r="Q54" s="27"/>
      <c r="R54" s="11"/>
      <c r="S54" s="11"/>
      <c r="T54" s="11"/>
      <c r="U54" s="11"/>
      <c r="V54" s="11"/>
      <c r="W54" s="11"/>
      <c r="X54" s="11"/>
      <c r="Y54" s="11"/>
      <c r="Z54" s="11"/>
      <c r="AA54" s="11"/>
      <c r="AB54" s="11"/>
      <c r="AC54" s="11"/>
    </row>
    <row r="55" spans="1:29" ht="15.75" customHeight="1">
      <c r="A55" s="24"/>
      <c r="B55" s="25"/>
      <c r="C55" s="26"/>
      <c r="D55" s="26"/>
      <c r="E55" s="26"/>
      <c r="F55" s="26"/>
      <c r="G55" s="26"/>
      <c r="H55" s="26"/>
      <c r="I55" s="26"/>
      <c r="J55" s="26"/>
      <c r="K55" s="26"/>
      <c r="L55" s="26"/>
      <c r="M55" s="27"/>
      <c r="N55" s="27"/>
      <c r="O55" s="27"/>
      <c r="P55" s="27"/>
      <c r="Q55" s="27"/>
      <c r="R55" s="11"/>
      <c r="S55" s="11"/>
      <c r="T55" s="11"/>
      <c r="U55" s="11"/>
      <c r="V55" s="11"/>
      <c r="W55" s="11"/>
      <c r="X55" s="11"/>
      <c r="Y55" s="11"/>
      <c r="Z55" s="11"/>
      <c r="AA55" s="11"/>
      <c r="AB55" s="11"/>
      <c r="AC55" s="11"/>
    </row>
    <row r="56" spans="1:29" ht="15.75" customHeight="1">
      <c r="A56" s="24"/>
      <c r="B56" s="25"/>
      <c r="C56" s="26"/>
      <c r="D56" s="26"/>
      <c r="E56" s="26"/>
      <c r="F56" s="26"/>
      <c r="G56" s="26"/>
      <c r="H56" s="26"/>
      <c r="I56" s="26"/>
      <c r="J56" s="26"/>
      <c r="K56" s="26"/>
      <c r="L56" s="26"/>
      <c r="M56" s="27"/>
      <c r="N56" s="27"/>
      <c r="O56" s="27"/>
      <c r="P56" s="27"/>
      <c r="Q56" s="27"/>
      <c r="R56" s="11"/>
      <c r="S56" s="11"/>
      <c r="T56" s="11"/>
      <c r="U56" s="11"/>
      <c r="V56" s="11"/>
      <c r="W56" s="11"/>
      <c r="X56" s="11"/>
      <c r="Y56" s="11"/>
      <c r="Z56" s="11"/>
      <c r="AA56" s="11"/>
      <c r="AB56" s="11"/>
      <c r="AC56" s="11"/>
    </row>
    <row r="57" spans="1:29" ht="15.75" customHeight="1">
      <c r="A57" s="24"/>
      <c r="B57" s="25"/>
      <c r="C57" s="26"/>
      <c r="D57" s="26"/>
      <c r="E57" s="26"/>
      <c r="F57" s="26"/>
      <c r="G57" s="26"/>
      <c r="H57" s="26"/>
      <c r="I57" s="26"/>
      <c r="J57" s="26"/>
      <c r="K57" s="26"/>
      <c r="L57" s="26"/>
      <c r="M57" s="27"/>
      <c r="N57" s="27"/>
      <c r="O57" s="27"/>
      <c r="P57" s="27"/>
      <c r="Q57" s="27"/>
      <c r="R57" s="11"/>
      <c r="S57" s="11"/>
      <c r="T57" s="11"/>
      <c r="U57" s="11"/>
      <c r="V57" s="11"/>
      <c r="W57" s="11"/>
      <c r="X57" s="11"/>
      <c r="Y57" s="11"/>
      <c r="Z57" s="11"/>
      <c r="AA57" s="11"/>
      <c r="AB57" s="11"/>
      <c r="AC57" s="11"/>
    </row>
    <row r="58" spans="1:29" ht="15.75" customHeight="1">
      <c r="A58" s="24"/>
      <c r="B58" s="25"/>
      <c r="C58" s="26"/>
      <c r="D58" s="26"/>
      <c r="E58" s="26"/>
      <c r="F58" s="26"/>
      <c r="G58" s="26"/>
      <c r="H58" s="26"/>
      <c r="I58" s="26"/>
      <c r="J58" s="26"/>
      <c r="K58" s="26"/>
      <c r="L58" s="26"/>
      <c r="M58" s="27"/>
      <c r="N58" s="27"/>
      <c r="O58" s="27"/>
      <c r="P58" s="27"/>
      <c r="Q58" s="27"/>
      <c r="R58" s="11"/>
      <c r="S58" s="11"/>
      <c r="T58" s="11"/>
      <c r="U58" s="11"/>
      <c r="V58" s="11"/>
      <c r="W58" s="11"/>
      <c r="X58" s="11"/>
      <c r="Y58" s="11"/>
      <c r="Z58" s="11"/>
      <c r="AA58" s="11"/>
      <c r="AB58" s="11"/>
      <c r="AC58" s="11"/>
    </row>
    <row r="59" spans="1:29" ht="15.75" customHeight="1">
      <c r="A59" s="24"/>
      <c r="B59" s="25"/>
      <c r="C59" s="26"/>
      <c r="D59" s="26"/>
      <c r="E59" s="26"/>
      <c r="F59" s="26"/>
      <c r="G59" s="26"/>
      <c r="H59" s="26"/>
      <c r="I59" s="26"/>
      <c r="J59" s="26"/>
      <c r="K59" s="26"/>
      <c r="L59" s="26"/>
      <c r="M59" s="27"/>
      <c r="N59" s="27"/>
      <c r="O59" s="27"/>
      <c r="P59" s="27"/>
      <c r="Q59" s="27"/>
      <c r="R59" s="11"/>
      <c r="S59" s="11"/>
      <c r="T59" s="11"/>
      <c r="U59" s="11"/>
      <c r="V59" s="11"/>
      <c r="W59" s="11"/>
      <c r="X59" s="11"/>
      <c r="Y59" s="11"/>
      <c r="Z59" s="11"/>
      <c r="AA59" s="11"/>
      <c r="AB59" s="11"/>
      <c r="AC59" s="11"/>
    </row>
    <row r="60" spans="1:29" ht="15.75" customHeight="1">
      <c r="A60" s="24"/>
      <c r="B60" s="25"/>
      <c r="C60" s="26"/>
      <c r="D60" s="26"/>
      <c r="E60" s="26"/>
      <c r="F60" s="26"/>
      <c r="G60" s="26"/>
      <c r="H60" s="26"/>
      <c r="I60" s="26"/>
      <c r="J60" s="26"/>
      <c r="K60" s="26"/>
      <c r="L60" s="26"/>
      <c r="M60" s="27"/>
      <c r="N60" s="27"/>
      <c r="O60" s="27"/>
      <c r="P60" s="27"/>
      <c r="Q60" s="27"/>
      <c r="R60" s="11"/>
      <c r="S60" s="11"/>
      <c r="T60" s="11"/>
      <c r="U60" s="11"/>
      <c r="V60" s="11"/>
      <c r="W60" s="11"/>
      <c r="X60" s="11"/>
      <c r="Y60" s="11"/>
      <c r="Z60" s="11"/>
      <c r="AA60" s="11"/>
      <c r="AB60" s="11"/>
      <c r="AC60" s="11"/>
    </row>
    <row r="61" spans="1:29" ht="15.75" customHeight="1">
      <c r="A61" s="24"/>
      <c r="B61" s="25"/>
      <c r="C61" s="26"/>
      <c r="D61" s="26"/>
      <c r="E61" s="26"/>
      <c r="F61" s="26"/>
      <c r="G61" s="26"/>
      <c r="H61" s="26"/>
      <c r="I61" s="26"/>
      <c r="J61" s="26"/>
      <c r="K61" s="26"/>
      <c r="L61" s="26"/>
      <c r="M61" s="27"/>
      <c r="N61" s="27"/>
      <c r="O61" s="27"/>
      <c r="P61" s="27"/>
      <c r="Q61" s="27"/>
      <c r="R61" s="11"/>
      <c r="S61" s="11"/>
      <c r="T61" s="11"/>
      <c r="U61" s="11"/>
      <c r="V61" s="11"/>
      <c r="W61" s="11"/>
      <c r="X61" s="11"/>
      <c r="Y61" s="11"/>
      <c r="Z61" s="11"/>
      <c r="AA61" s="11"/>
      <c r="AB61" s="11"/>
      <c r="AC61" s="11"/>
    </row>
    <row r="62" spans="1:29" ht="15.75" customHeight="1">
      <c r="A62" s="24"/>
      <c r="B62" s="25"/>
      <c r="C62" s="26"/>
      <c r="D62" s="26"/>
      <c r="E62" s="26"/>
      <c r="F62" s="26"/>
      <c r="G62" s="26"/>
      <c r="H62" s="26"/>
      <c r="I62" s="26"/>
      <c r="J62" s="26"/>
      <c r="K62" s="26"/>
      <c r="L62" s="26"/>
      <c r="M62" s="27"/>
      <c r="N62" s="27"/>
      <c r="O62" s="27"/>
      <c r="P62" s="27"/>
      <c r="Q62" s="27"/>
      <c r="R62" s="11"/>
      <c r="S62" s="11"/>
      <c r="T62" s="11"/>
      <c r="U62" s="11"/>
      <c r="V62" s="11"/>
      <c r="W62" s="11"/>
      <c r="X62" s="11"/>
      <c r="Y62" s="11"/>
      <c r="Z62" s="11"/>
      <c r="AA62" s="11"/>
      <c r="AB62" s="11"/>
      <c r="AC62" s="11"/>
    </row>
    <row r="63" spans="1:29" ht="15.75" customHeight="1">
      <c r="A63" s="24"/>
      <c r="B63" s="25"/>
      <c r="C63" s="26"/>
      <c r="D63" s="26"/>
      <c r="E63" s="26"/>
      <c r="F63" s="26"/>
      <c r="G63" s="26"/>
      <c r="H63" s="26"/>
      <c r="I63" s="26"/>
      <c r="J63" s="26"/>
      <c r="K63" s="26"/>
      <c r="L63" s="26"/>
      <c r="M63" s="27"/>
      <c r="N63" s="27"/>
      <c r="O63" s="27"/>
      <c r="P63" s="27"/>
      <c r="Q63" s="27"/>
      <c r="R63" s="11"/>
      <c r="S63" s="11"/>
      <c r="T63" s="11"/>
      <c r="U63" s="11"/>
      <c r="V63" s="11"/>
      <c r="W63" s="11"/>
      <c r="X63" s="11"/>
      <c r="Y63" s="11"/>
      <c r="Z63" s="11"/>
      <c r="AA63" s="11"/>
      <c r="AB63" s="11"/>
      <c r="AC63" s="11"/>
    </row>
    <row r="64" spans="1:29" ht="15.75" customHeight="1">
      <c r="A64" s="24"/>
      <c r="B64" s="25"/>
      <c r="C64" s="26"/>
      <c r="D64" s="26"/>
      <c r="E64" s="26"/>
      <c r="F64" s="26"/>
      <c r="G64" s="26"/>
      <c r="H64" s="26"/>
      <c r="I64" s="26"/>
      <c r="J64" s="26"/>
      <c r="K64" s="26"/>
      <c r="L64" s="26"/>
      <c r="M64" s="27"/>
      <c r="N64" s="27"/>
      <c r="O64" s="27"/>
      <c r="P64" s="27"/>
      <c r="Q64" s="27"/>
      <c r="R64" s="11"/>
      <c r="S64" s="11"/>
      <c r="T64" s="11"/>
      <c r="U64" s="11"/>
      <c r="V64" s="11"/>
      <c r="W64" s="11"/>
      <c r="X64" s="11"/>
      <c r="Y64" s="11"/>
      <c r="Z64" s="11"/>
      <c r="AA64" s="11"/>
      <c r="AB64" s="11"/>
      <c r="AC64" s="11"/>
    </row>
    <row r="65" spans="1:29" ht="15.75" customHeight="1">
      <c r="A65" s="24"/>
      <c r="B65" s="25"/>
      <c r="C65" s="26"/>
      <c r="D65" s="26"/>
      <c r="E65" s="26"/>
      <c r="F65" s="26"/>
      <c r="G65" s="26"/>
      <c r="H65" s="26"/>
      <c r="I65" s="26"/>
      <c r="J65" s="26"/>
      <c r="K65" s="26"/>
      <c r="L65" s="26"/>
      <c r="M65" s="27"/>
      <c r="N65" s="27"/>
      <c r="O65" s="27"/>
      <c r="P65" s="27"/>
      <c r="Q65" s="27"/>
      <c r="R65" s="11"/>
      <c r="S65" s="11"/>
      <c r="T65" s="11"/>
      <c r="U65" s="11"/>
      <c r="V65" s="11"/>
      <c r="W65" s="11"/>
      <c r="X65" s="11"/>
      <c r="Y65" s="11"/>
      <c r="Z65" s="11"/>
      <c r="AA65" s="11"/>
      <c r="AB65" s="11"/>
      <c r="AC65" s="11"/>
    </row>
    <row r="66" spans="1:29" ht="15.75" customHeight="1">
      <c r="A66" s="24"/>
      <c r="B66" s="25"/>
      <c r="C66" s="26"/>
      <c r="D66" s="26"/>
      <c r="E66" s="26"/>
      <c r="F66" s="26"/>
      <c r="G66" s="26"/>
      <c r="H66" s="26"/>
      <c r="I66" s="26"/>
      <c r="J66" s="26"/>
      <c r="K66" s="26"/>
      <c r="L66" s="26"/>
      <c r="M66" s="27"/>
      <c r="N66" s="27"/>
      <c r="O66" s="27"/>
      <c r="P66" s="27"/>
      <c r="Q66" s="27"/>
      <c r="R66" s="11"/>
      <c r="S66" s="11"/>
      <c r="T66" s="11"/>
      <c r="U66" s="11"/>
      <c r="V66" s="11"/>
      <c r="W66" s="11"/>
      <c r="X66" s="11"/>
      <c r="Y66" s="11"/>
      <c r="Z66" s="11"/>
      <c r="AA66" s="11"/>
      <c r="AB66" s="11"/>
      <c r="AC66" s="11"/>
    </row>
    <row r="67" spans="1:29" ht="15.75" customHeight="1">
      <c r="A67" s="42"/>
      <c r="B67" s="25"/>
      <c r="C67" s="26"/>
      <c r="D67" s="26"/>
      <c r="E67" s="26"/>
      <c r="F67" s="26"/>
      <c r="G67" s="26"/>
      <c r="H67" s="26"/>
      <c r="I67" s="26"/>
      <c r="J67" s="26"/>
      <c r="K67" s="26"/>
      <c r="L67" s="26"/>
      <c r="M67" s="27"/>
      <c r="N67" s="27"/>
      <c r="O67" s="27"/>
      <c r="P67" s="27"/>
      <c r="Q67" s="27"/>
      <c r="R67" s="11"/>
      <c r="S67" s="11"/>
      <c r="T67" s="11"/>
      <c r="U67" s="11"/>
      <c r="V67" s="11"/>
      <c r="W67" s="11"/>
      <c r="X67" s="11"/>
      <c r="Y67" s="11"/>
      <c r="Z67" s="11"/>
      <c r="AA67" s="11"/>
      <c r="AB67" s="11"/>
      <c r="AC67" s="11"/>
    </row>
    <row r="68" spans="1:29" ht="15.75" customHeight="1">
      <c r="A68" s="24"/>
      <c r="B68" s="25"/>
      <c r="C68" s="26"/>
      <c r="D68" s="26"/>
      <c r="E68" s="26"/>
      <c r="F68" s="26"/>
      <c r="G68" s="26"/>
      <c r="H68" s="26"/>
      <c r="I68" s="26"/>
      <c r="J68" s="26"/>
      <c r="K68" s="26"/>
      <c r="L68" s="26"/>
      <c r="M68" s="27"/>
      <c r="N68" s="27"/>
      <c r="O68" s="27"/>
      <c r="P68" s="27"/>
      <c r="Q68" s="27"/>
      <c r="R68" s="11"/>
      <c r="S68" s="11"/>
      <c r="T68" s="11"/>
      <c r="U68" s="11"/>
      <c r="V68" s="11"/>
      <c r="W68" s="11"/>
      <c r="X68" s="11"/>
      <c r="Y68" s="11"/>
      <c r="Z68" s="11"/>
      <c r="AA68" s="11"/>
      <c r="AB68" s="11"/>
      <c r="AC68" s="11"/>
    </row>
    <row r="69" spans="1:29" ht="15.75" customHeight="1">
      <c r="A69" s="24"/>
      <c r="B69" s="25"/>
      <c r="C69" s="26"/>
      <c r="D69" s="26"/>
      <c r="E69" s="26"/>
      <c r="F69" s="26"/>
      <c r="G69" s="26"/>
      <c r="H69" s="26"/>
      <c r="I69" s="26"/>
      <c r="J69" s="26"/>
      <c r="K69" s="26"/>
      <c r="L69" s="26"/>
      <c r="M69" s="27"/>
      <c r="N69" s="27"/>
      <c r="O69" s="27"/>
      <c r="P69" s="27"/>
      <c r="Q69" s="27"/>
      <c r="R69" s="11"/>
      <c r="S69" s="11"/>
      <c r="T69" s="11"/>
      <c r="U69" s="11"/>
      <c r="V69" s="11"/>
      <c r="W69" s="11"/>
      <c r="X69" s="11"/>
      <c r="Y69" s="11"/>
      <c r="Z69" s="11"/>
      <c r="AA69" s="11"/>
      <c r="AB69" s="11"/>
      <c r="AC69" s="11"/>
    </row>
    <row r="70" spans="1:29" ht="15.75" customHeight="1">
      <c r="A70" s="24"/>
      <c r="B70" s="25"/>
      <c r="C70" s="25"/>
      <c r="D70" s="25"/>
      <c r="E70" s="25"/>
      <c r="F70" s="25"/>
      <c r="G70" s="25"/>
      <c r="H70" s="26"/>
      <c r="I70" s="26"/>
      <c r="J70" s="26"/>
      <c r="K70" s="26"/>
      <c r="L70" s="26"/>
      <c r="M70" s="27"/>
      <c r="N70" s="27"/>
      <c r="O70" s="27"/>
      <c r="P70" s="27"/>
      <c r="Q70" s="27"/>
      <c r="R70" s="11"/>
      <c r="S70" s="11"/>
      <c r="T70" s="11"/>
      <c r="U70" s="11"/>
      <c r="V70" s="11"/>
      <c r="W70" s="11"/>
      <c r="X70" s="11"/>
      <c r="Y70" s="11"/>
      <c r="Z70" s="11"/>
      <c r="AA70" s="11"/>
      <c r="AB70" s="11"/>
      <c r="AC70" s="11"/>
    </row>
    <row r="71" spans="1:29" ht="15.75" customHeight="1">
      <c r="A71" s="24"/>
      <c r="B71" s="25"/>
      <c r="C71" s="26"/>
      <c r="D71" s="26"/>
      <c r="E71" s="26"/>
      <c r="F71" s="26"/>
      <c r="G71" s="26"/>
      <c r="H71" s="25"/>
      <c r="I71" s="25"/>
      <c r="J71" s="25"/>
      <c r="K71" s="25"/>
      <c r="L71" s="25"/>
      <c r="M71" s="27"/>
      <c r="N71" s="27"/>
      <c r="O71" s="27"/>
      <c r="P71" s="27"/>
      <c r="Q71" s="27"/>
      <c r="R71" s="11"/>
      <c r="S71" s="11"/>
      <c r="T71" s="11"/>
      <c r="U71" s="11"/>
      <c r="V71" s="11"/>
      <c r="W71" s="11"/>
      <c r="X71" s="11"/>
      <c r="Y71" s="11"/>
      <c r="Z71" s="11"/>
      <c r="AA71" s="11"/>
      <c r="AB71" s="11"/>
      <c r="AC71" s="11"/>
    </row>
    <row r="72" spans="1:29" ht="15.75" customHeight="1">
      <c r="A72" s="41"/>
      <c r="B72" s="25"/>
      <c r="C72" s="26"/>
      <c r="D72" s="26"/>
      <c r="E72" s="26"/>
      <c r="F72" s="26"/>
      <c r="G72" s="26"/>
      <c r="H72" s="26"/>
      <c r="I72" s="26"/>
      <c r="J72" s="26"/>
      <c r="K72" s="26"/>
      <c r="L72" s="26"/>
      <c r="M72" s="27"/>
      <c r="N72" s="27"/>
      <c r="O72" s="27"/>
      <c r="P72" s="27"/>
      <c r="Q72" s="27"/>
      <c r="R72" s="11"/>
      <c r="S72" s="11"/>
      <c r="T72" s="11"/>
      <c r="U72" s="11"/>
      <c r="V72" s="11"/>
      <c r="W72" s="11"/>
      <c r="X72" s="11"/>
      <c r="Y72" s="11"/>
      <c r="Z72" s="11"/>
      <c r="AA72" s="11"/>
      <c r="AB72" s="11"/>
      <c r="AC72" s="11"/>
    </row>
    <row r="73" spans="1:29" ht="15.75" customHeight="1">
      <c r="A73" s="41"/>
      <c r="B73" s="25"/>
      <c r="C73" s="26"/>
      <c r="D73" s="26"/>
      <c r="E73" s="26"/>
      <c r="F73" s="26"/>
      <c r="G73" s="26"/>
      <c r="H73" s="26"/>
      <c r="I73" s="26"/>
      <c r="J73" s="26"/>
      <c r="K73" s="26"/>
      <c r="L73" s="26"/>
      <c r="M73" s="27"/>
      <c r="N73" s="27"/>
      <c r="O73" s="27"/>
      <c r="P73" s="27"/>
      <c r="Q73" s="27"/>
      <c r="R73" s="11"/>
      <c r="S73" s="11"/>
      <c r="T73" s="11"/>
      <c r="U73" s="11"/>
      <c r="V73" s="11"/>
      <c r="W73" s="11"/>
      <c r="X73" s="11"/>
      <c r="Y73" s="11"/>
      <c r="Z73" s="11"/>
      <c r="AA73" s="11"/>
      <c r="AB73" s="11"/>
      <c r="AC73" s="11"/>
    </row>
    <row r="74" spans="1:29" ht="15.75" customHeight="1">
      <c r="A74" s="41"/>
      <c r="B74" s="25"/>
      <c r="C74" s="26"/>
      <c r="D74" s="26"/>
      <c r="E74" s="26"/>
      <c r="F74" s="26"/>
      <c r="G74" s="26"/>
      <c r="H74" s="26"/>
      <c r="I74" s="26"/>
      <c r="J74" s="26"/>
      <c r="K74" s="26"/>
      <c r="L74" s="26"/>
      <c r="M74" s="13"/>
      <c r="N74" s="13"/>
      <c r="O74" s="13"/>
      <c r="P74" s="26"/>
      <c r="Q74" s="26"/>
      <c r="R74" s="11"/>
      <c r="S74" s="11"/>
      <c r="T74" s="11"/>
      <c r="U74" s="11"/>
      <c r="V74" s="11"/>
      <c r="W74" s="11"/>
      <c r="X74" s="11"/>
      <c r="Y74" s="11"/>
      <c r="Z74" s="11"/>
      <c r="AA74" s="11"/>
      <c r="AB74" s="11"/>
      <c r="AC74" s="11"/>
    </row>
    <row r="75" spans="1:29" ht="15.75" customHeight="1">
      <c r="A75" s="41"/>
      <c r="B75" s="25"/>
      <c r="C75" s="26"/>
      <c r="D75" s="26"/>
      <c r="E75" s="26"/>
      <c r="F75" s="26"/>
      <c r="G75" s="26"/>
      <c r="H75" s="26"/>
      <c r="I75" s="26"/>
      <c r="J75" s="26"/>
      <c r="K75" s="26"/>
      <c r="L75" s="26"/>
      <c r="M75" s="29"/>
      <c r="N75" s="29"/>
      <c r="O75" s="29"/>
      <c r="P75" s="29"/>
      <c r="Q75" s="29"/>
      <c r="R75" s="11"/>
      <c r="S75" s="11"/>
      <c r="T75" s="11"/>
      <c r="U75" s="11"/>
      <c r="V75" s="11"/>
      <c r="W75" s="11"/>
      <c r="X75" s="11"/>
      <c r="Y75" s="11"/>
      <c r="Z75" s="11"/>
      <c r="AA75" s="11"/>
      <c r="AB75" s="11"/>
      <c r="AC75" s="11"/>
    </row>
    <row r="76" spans="1:29" ht="15.75" customHeight="1">
      <c r="A76" s="41"/>
      <c r="B76" s="25"/>
      <c r="C76" s="26"/>
      <c r="D76" s="26"/>
      <c r="E76" s="26"/>
      <c r="F76" s="26"/>
      <c r="G76" s="26"/>
      <c r="H76" s="26"/>
      <c r="I76" s="26"/>
      <c r="J76" s="26"/>
      <c r="K76" s="26"/>
      <c r="L76" s="26"/>
      <c r="M76" s="29"/>
      <c r="N76" s="29"/>
      <c r="O76" s="29"/>
      <c r="P76" s="29"/>
      <c r="Q76" s="29"/>
      <c r="R76" s="11"/>
      <c r="S76" s="11"/>
      <c r="T76" s="11"/>
      <c r="U76" s="11"/>
      <c r="V76" s="11"/>
      <c r="W76" s="11"/>
      <c r="X76" s="11"/>
      <c r="Y76" s="11"/>
      <c r="Z76" s="11"/>
      <c r="AA76" s="11"/>
      <c r="AB76" s="11"/>
      <c r="AC76" s="11"/>
    </row>
    <row r="77" spans="1:29" ht="15.75" customHeight="1">
      <c r="A77" s="41"/>
      <c r="B77" s="25"/>
      <c r="C77" s="26"/>
      <c r="D77" s="26"/>
      <c r="E77" s="26"/>
      <c r="F77" s="26"/>
      <c r="G77" s="26"/>
      <c r="H77" s="26"/>
      <c r="I77" s="26"/>
      <c r="J77" s="26"/>
      <c r="K77" s="26"/>
      <c r="L77" s="26"/>
      <c r="M77" s="29"/>
      <c r="N77" s="29"/>
      <c r="O77" s="29"/>
      <c r="P77" s="29"/>
      <c r="Q77" s="29"/>
      <c r="R77" s="11"/>
      <c r="S77" s="11"/>
      <c r="T77" s="11"/>
      <c r="U77" s="11"/>
      <c r="V77" s="11"/>
      <c r="W77" s="11"/>
      <c r="X77" s="11"/>
      <c r="Y77" s="11"/>
      <c r="Z77" s="11"/>
      <c r="AA77" s="11"/>
      <c r="AB77" s="11"/>
      <c r="AC77" s="11"/>
    </row>
    <row r="78" spans="1:29" ht="15.75" customHeight="1">
      <c r="A78" s="41"/>
      <c r="B78" s="25"/>
      <c r="C78" s="26"/>
      <c r="D78" s="26"/>
      <c r="E78" s="26"/>
      <c r="F78" s="26"/>
      <c r="G78" s="26"/>
      <c r="H78" s="26"/>
      <c r="I78" s="26"/>
      <c r="J78" s="26"/>
      <c r="K78" s="26"/>
      <c r="L78" s="26"/>
      <c r="M78" s="29"/>
      <c r="N78" s="29"/>
      <c r="O78" s="29"/>
      <c r="P78" s="29"/>
      <c r="Q78" s="29"/>
      <c r="R78" s="11"/>
      <c r="S78" s="11"/>
      <c r="T78" s="11"/>
      <c r="U78" s="11"/>
      <c r="V78" s="11"/>
      <c r="W78" s="11"/>
      <c r="X78" s="11"/>
      <c r="Y78" s="11"/>
      <c r="Z78" s="11"/>
      <c r="AA78" s="11"/>
      <c r="AB78" s="11"/>
      <c r="AC78" s="11"/>
    </row>
    <row r="79" spans="1:29" ht="15.75" customHeight="1">
      <c r="A79" s="41"/>
      <c r="B79" s="25"/>
      <c r="C79" s="26"/>
      <c r="D79" s="26"/>
      <c r="E79" s="26"/>
      <c r="F79" s="26"/>
      <c r="G79" s="26"/>
      <c r="H79" s="26"/>
      <c r="I79" s="26"/>
      <c r="J79" s="26"/>
      <c r="K79" s="26"/>
      <c r="L79" s="26"/>
      <c r="M79" s="29"/>
      <c r="N79" s="29"/>
      <c r="O79" s="29"/>
      <c r="P79" s="29"/>
      <c r="Q79" s="29"/>
      <c r="R79" s="11"/>
      <c r="S79" s="11"/>
      <c r="T79" s="11"/>
      <c r="U79" s="11"/>
      <c r="V79" s="11"/>
      <c r="W79" s="11"/>
      <c r="X79" s="11"/>
      <c r="Y79" s="11"/>
      <c r="Z79" s="11"/>
      <c r="AA79" s="11"/>
      <c r="AB79" s="11"/>
      <c r="AC79" s="11"/>
    </row>
    <row r="80" spans="1:29" ht="15.75" customHeight="1">
      <c r="A80" s="41"/>
      <c r="B80" s="25"/>
      <c r="C80" s="26"/>
      <c r="D80" s="26"/>
      <c r="E80" s="26"/>
      <c r="F80" s="26"/>
      <c r="G80" s="26"/>
      <c r="H80" s="26"/>
      <c r="I80" s="26"/>
      <c r="J80" s="26"/>
      <c r="K80" s="26"/>
      <c r="L80" s="26"/>
      <c r="M80" s="29"/>
      <c r="N80" s="29"/>
      <c r="O80" s="29"/>
      <c r="P80" s="29"/>
      <c r="Q80" s="29"/>
      <c r="R80" s="11"/>
      <c r="S80" s="11"/>
      <c r="T80" s="11"/>
      <c r="U80" s="11"/>
      <c r="V80" s="11"/>
      <c r="W80" s="11"/>
      <c r="X80" s="11"/>
      <c r="Y80" s="11"/>
      <c r="Z80" s="11"/>
      <c r="AA80" s="11"/>
      <c r="AB80" s="11"/>
      <c r="AC80" s="11"/>
    </row>
    <row r="81" spans="1:29" ht="15.75" customHeight="1">
      <c r="A81" s="41"/>
      <c r="B81" s="25"/>
      <c r="C81" s="26"/>
      <c r="D81" s="26"/>
      <c r="E81" s="26"/>
      <c r="F81" s="26"/>
      <c r="G81" s="26"/>
      <c r="H81" s="26"/>
      <c r="I81" s="26"/>
      <c r="J81" s="26"/>
      <c r="K81" s="26"/>
      <c r="L81" s="26"/>
      <c r="M81" s="29"/>
      <c r="N81" s="29"/>
      <c r="O81" s="29"/>
      <c r="P81" s="29"/>
      <c r="Q81" s="29"/>
      <c r="R81" s="11"/>
      <c r="S81" s="11"/>
      <c r="T81" s="11"/>
      <c r="U81" s="11"/>
      <c r="V81" s="11"/>
      <c r="W81" s="11"/>
      <c r="X81" s="11"/>
      <c r="Y81" s="11"/>
      <c r="Z81" s="11"/>
      <c r="AA81" s="11"/>
      <c r="AB81" s="11"/>
      <c r="AC81" s="11"/>
    </row>
    <row r="82" spans="1:29" ht="15.75" customHeight="1">
      <c r="A82" s="41"/>
      <c r="B82" s="25"/>
      <c r="C82" s="26"/>
      <c r="D82" s="26"/>
      <c r="E82" s="26"/>
      <c r="F82" s="26"/>
      <c r="G82" s="26"/>
      <c r="H82" s="26"/>
      <c r="I82" s="26"/>
      <c r="J82" s="26"/>
      <c r="K82" s="26"/>
      <c r="L82" s="26"/>
      <c r="M82" s="29"/>
      <c r="N82" s="29"/>
      <c r="O82" s="29"/>
      <c r="P82" s="29"/>
      <c r="Q82" s="29"/>
      <c r="R82" s="11"/>
      <c r="S82" s="11"/>
      <c r="T82" s="11"/>
      <c r="U82" s="11"/>
      <c r="V82" s="11"/>
      <c r="W82" s="11"/>
      <c r="X82" s="11"/>
      <c r="Y82" s="11"/>
      <c r="Z82" s="11"/>
      <c r="AA82" s="11"/>
      <c r="AB82" s="11"/>
      <c r="AC82" s="11"/>
    </row>
    <row r="83" spans="1:29" ht="15.75" customHeight="1">
      <c r="A83" s="42"/>
      <c r="B83" s="25"/>
      <c r="C83" s="26"/>
      <c r="D83" s="26"/>
      <c r="E83" s="26"/>
      <c r="F83" s="26"/>
      <c r="G83" s="26"/>
      <c r="H83" s="26"/>
      <c r="I83" s="26"/>
      <c r="J83" s="26"/>
      <c r="K83" s="26"/>
      <c r="L83" s="26"/>
      <c r="M83" s="29"/>
      <c r="N83" s="29"/>
      <c r="O83" s="29"/>
      <c r="P83" s="29"/>
      <c r="Q83" s="29"/>
      <c r="R83" s="11"/>
      <c r="S83" s="11"/>
      <c r="T83" s="11"/>
      <c r="U83" s="11"/>
      <c r="V83" s="11"/>
      <c r="W83" s="11"/>
      <c r="X83" s="11"/>
      <c r="Y83" s="11"/>
      <c r="Z83" s="11"/>
      <c r="AA83" s="11"/>
      <c r="AB83" s="11"/>
      <c r="AC83" s="11"/>
    </row>
    <row r="84" spans="1:29" ht="15.75" customHeight="1">
      <c r="A84" s="28"/>
      <c r="B84" s="25"/>
      <c r="C84" s="26"/>
      <c r="D84" s="26"/>
      <c r="E84" s="26"/>
      <c r="F84" s="26"/>
      <c r="G84" s="26"/>
      <c r="H84" s="26"/>
      <c r="I84" s="26"/>
      <c r="J84" s="26"/>
      <c r="K84" s="26"/>
      <c r="L84" s="26"/>
      <c r="M84" s="29"/>
      <c r="N84" s="29"/>
      <c r="O84" s="29"/>
      <c r="P84" s="29"/>
      <c r="Q84" s="29"/>
      <c r="R84" s="11"/>
      <c r="S84" s="11"/>
      <c r="T84" s="11"/>
      <c r="U84" s="11"/>
      <c r="V84" s="11"/>
      <c r="W84" s="11"/>
      <c r="X84" s="11"/>
      <c r="Y84" s="11"/>
      <c r="Z84" s="11"/>
      <c r="AA84" s="11"/>
      <c r="AB84" s="11"/>
      <c r="AC84" s="11"/>
    </row>
    <row r="85" spans="1:29" ht="15.75" customHeight="1">
      <c r="A85" s="28"/>
      <c r="B85" s="25"/>
      <c r="C85" s="26"/>
      <c r="D85" s="26"/>
      <c r="E85" s="26"/>
      <c r="F85" s="26"/>
      <c r="G85" s="26"/>
      <c r="H85" s="26"/>
      <c r="I85" s="26"/>
      <c r="J85" s="26"/>
      <c r="K85" s="26"/>
      <c r="L85" s="26"/>
      <c r="M85" s="29"/>
      <c r="N85" s="29"/>
      <c r="O85" s="29"/>
      <c r="P85" s="29"/>
      <c r="Q85" s="29"/>
      <c r="R85" s="11"/>
      <c r="S85" s="11"/>
      <c r="T85" s="11"/>
      <c r="U85" s="11"/>
      <c r="V85" s="11"/>
      <c r="W85" s="11"/>
      <c r="X85" s="11"/>
      <c r="Y85" s="11"/>
      <c r="Z85" s="11"/>
      <c r="AA85" s="11"/>
      <c r="AB85" s="11"/>
      <c r="AC85" s="11"/>
    </row>
    <row r="86" spans="1:29" ht="15.75" customHeight="1">
      <c r="A86" s="28"/>
      <c r="B86" s="25"/>
      <c r="C86" s="26"/>
      <c r="D86" s="26"/>
      <c r="E86" s="26"/>
      <c r="F86" s="26"/>
      <c r="G86" s="26"/>
      <c r="H86" s="26"/>
      <c r="I86" s="26"/>
      <c r="J86" s="26"/>
      <c r="K86" s="26"/>
      <c r="L86" s="26"/>
      <c r="M86" s="29"/>
      <c r="N86" s="29"/>
      <c r="O86" s="29"/>
      <c r="P86" s="29"/>
      <c r="Q86" s="29"/>
      <c r="R86" s="11"/>
      <c r="S86" s="11"/>
      <c r="T86" s="11"/>
      <c r="U86" s="11"/>
      <c r="V86" s="11"/>
      <c r="W86" s="11"/>
      <c r="X86" s="11"/>
      <c r="Y86" s="11"/>
      <c r="Z86" s="11"/>
      <c r="AA86" s="11"/>
      <c r="AB86" s="11"/>
      <c r="AC86" s="11"/>
    </row>
    <row r="87" spans="1:29" ht="15.75" customHeight="1">
      <c r="A87" s="28"/>
      <c r="B87" s="25"/>
      <c r="C87" s="26"/>
      <c r="D87" s="26"/>
      <c r="E87" s="26"/>
      <c r="F87" s="26"/>
      <c r="G87" s="26"/>
      <c r="H87" s="26"/>
      <c r="I87" s="26"/>
      <c r="J87" s="26"/>
      <c r="K87" s="26"/>
      <c r="L87" s="26"/>
      <c r="M87" s="29"/>
      <c r="N87" s="29"/>
      <c r="O87" s="29"/>
      <c r="P87" s="29"/>
      <c r="Q87" s="29"/>
      <c r="R87" s="11"/>
    </row>
    <row r="88" spans="1:29" ht="15.75" customHeight="1">
      <c r="A88" s="28"/>
      <c r="B88" s="25"/>
      <c r="C88" s="26"/>
      <c r="D88" s="26"/>
      <c r="E88" s="26"/>
      <c r="F88" s="26"/>
      <c r="G88" s="26"/>
      <c r="H88" s="26"/>
      <c r="I88" s="26"/>
      <c r="J88" s="26"/>
      <c r="K88" s="26"/>
      <c r="L88" s="26"/>
      <c r="M88" s="29"/>
      <c r="N88" s="29"/>
      <c r="O88" s="29"/>
      <c r="P88" s="29"/>
      <c r="Q88" s="29"/>
      <c r="R88" s="11"/>
    </row>
    <row r="89" spans="1:29" ht="15.75" customHeight="1">
      <c r="A89" s="28"/>
      <c r="B89" s="25"/>
      <c r="C89" s="26"/>
      <c r="D89" s="26"/>
      <c r="E89" s="26"/>
      <c r="F89" s="26"/>
      <c r="G89" s="26"/>
      <c r="H89" s="26"/>
      <c r="I89" s="26"/>
      <c r="J89" s="26"/>
      <c r="K89" s="26"/>
      <c r="L89" s="26"/>
      <c r="M89" s="29"/>
      <c r="N89" s="29"/>
      <c r="O89" s="29"/>
      <c r="P89" s="29"/>
      <c r="Q89" s="29"/>
      <c r="R89" s="11"/>
    </row>
    <row r="90" spans="1:29" ht="15.75" customHeight="1">
      <c r="A90" s="28"/>
      <c r="B90" s="25"/>
      <c r="C90" s="26"/>
      <c r="D90" s="26"/>
      <c r="E90" s="26"/>
      <c r="F90" s="26"/>
      <c r="G90" s="26"/>
      <c r="H90" s="26"/>
      <c r="I90" s="26"/>
      <c r="J90" s="26"/>
      <c r="K90" s="26"/>
      <c r="L90" s="26"/>
      <c r="M90" s="29"/>
      <c r="N90" s="29"/>
      <c r="O90" s="29"/>
      <c r="P90" s="29"/>
      <c r="Q90" s="29"/>
      <c r="R90" s="11"/>
    </row>
    <row r="91" spans="1:29" ht="15.75" customHeight="1">
      <c r="A91" s="28"/>
      <c r="B91" s="25"/>
      <c r="C91" s="26"/>
      <c r="D91" s="26"/>
      <c r="E91" s="26"/>
      <c r="F91" s="26"/>
      <c r="G91" s="26"/>
      <c r="H91" s="26"/>
      <c r="I91" s="26"/>
      <c r="J91" s="26"/>
      <c r="K91" s="26"/>
      <c r="L91" s="26"/>
      <c r="M91" s="29"/>
      <c r="N91" s="29"/>
      <c r="O91" s="29"/>
      <c r="P91" s="29"/>
      <c r="Q91" s="29"/>
      <c r="R91" s="11"/>
    </row>
    <row r="92" spans="1:29" ht="15.75" customHeight="1">
      <c r="A92" s="28"/>
      <c r="B92" s="25"/>
      <c r="C92" s="26"/>
      <c r="D92" s="26"/>
      <c r="E92" s="26"/>
      <c r="F92" s="26"/>
      <c r="G92" s="26"/>
      <c r="H92" s="26"/>
      <c r="I92" s="26"/>
      <c r="J92" s="26"/>
      <c r="K92" s="26"/>
      <c r="L92" s="26"/>
      <c r="M92" s="29"/>
      <c r="N92" s="29"/>
      <c r="O92" s="29"/>
      <c r="P92" s="29"/>
      <c r="Q92" s="29"/>
      <c r="R92" s="11"/>
    </row>
    <row r="93" spans="1:29" ht="15.75" customHeight="1">
      <c r="A93" s="28"/>
      <c r="B93" s="25"/>
      <c r="C93" s="26"/>
      <c r="D93" s="26"/>
      <c r="E93" s="26"/>
      <c r="F93" s="26"/>
      <c r="G93" s="26"/>
      <c r="H93" s="26"/>
      <c r="I93" s="26"/>
      <c r="J93" s="26"/>
      <c r="K93" s="26"/>
      <c r="L93" s="26"/>
      <c r="M93" s="29"/>
      <c r="N93" s="29"/>
      <c r="O93" s="29"/>
      <c r="P93" s="29"/>
      <c r="Q93" s="29"/>
      <c r="R93" s="11"/>
    </row>
    <row r="94" spans="1:29" ht="15.75" customHeight="1">
      <c r="A94" s="28"/>
      <c r="B94" s="25"/>
      <c r="C94" s="26"/>
      <c r="D94" s="26"/>
      <c r="E94" s="26"/>
      <c r="F94" s="26"/>
      <c r="G94" s="26"/>
      <c r="H94" s="26"/>
      <c r="I94" s="26"/>
      <c r="J94" s="26"/>
      <c r="K94" s="26"/>
      <c r="L94" s="26"/>
      <c r="M94" s="29"/>
      <c r="N94" s="29"/>
      <c r="O94" s="29"/>
      <c r="P94" s="29"/>
      <c r="Q94" s="29"/>
      <c r="R94" s="11"/>
    </row>
    <row r="95" spans="1:29" ht="15.75" customHeight="1">
      <c r="A95" s="28"/>
      <c r="B95" s="25"/>
      <c r="C95" s="26"/>
      <c r="D95" s="26"/>
      <c r="E95" s="26"/>
      <c r="F95" s="26"/>
      <c r="G95" s="26"/>
      <c r="H95" s="26"/>
      <c r="I95" s="26"/>
      <c r="J95" s="26"/>
      <c r="K95" s="26"/>
      <c r="L95" s="26"/>
      <c r="M95" s="29"/>
      <c r="N95" s="29"/>
      <c r="O95" s="29"/>
      <c r="P95" s="29"/>
      <c r="Q95" s="29"/>
      <c r="R95" s="11"/>
    </row>
    <row r="96" spans="1:29" ht="15.75" customHeight="1">
      <c r="A96" s="28"/>
      <c r="B96" s="25"/>
      <c r="C96" s="26"/>
      <c r="D96" s="26"/>
      <c r="E96" s="26"/>
      <c r="F96" s="26"/>
      <c r="G96" s="26"/>
      <c r="H96" s="26"/>
      <c r="I96" s="26"/>
      <c r="J96" s="26"/>
      <c r="K96" s="26"/>
      <c r="L96" s="26"/>
      <c r="M96" s="29"/>
      <c r="N96" s="29"/>
      <c r="O96" s="29"/>
      <c r="P96" s="29"/>
      <c r="Q96" s="29"/>
      <c r="R96" s="11"/>
    </row>
    <row r="97" spans="1:18" ht="15.75" customHeight="1">
      <c r="A97" s="28"/>
      <c r="B97" s="25"/>
      <c r="C97" s="26"/>
      <c r="D97" s="26"/>
      <c r="E97" s="26"/>
      <c r="F97" s="26"/>
      <c r="G97" s="26"/>
      <c r="H97" s="26"/>
      <c r="I97" s="26"/>
      <c r="J97" s="26"/>
      <c r="K97" s="26"/>
      <c r="L97" s="26"/>
      <c r="M97" s="29"/>
      <c r="N97" s="29"/>
      <c r="O97" s="29"/>
      <c r="P97" s="29"/>
      <c r="Q97" s="29"/>
      <c r="R97" s="11"/>
    </row>
    <row r="98" spans="1:18" ht="15.75" customHeight="1">
      <c r="A98" s="28"/>
      <c r="B98" s="25"/>
      <c r="C98" s="26"/>
      <c r="D98" s="26"/>
      <c r="E98" s="26"/>
      <c r="F98" s="26"/>
      <c r="G98" s="26"/>
      <c r="H98" s="26"/>
      <c r="I98" s="26"/>
      <c r="J98" s="26"/>
      <c r="K98" s="26"/>
      <c r="L98" s="26"/>
      <c r="M98" s="29"/>
      <c r="N98" s="29"/>
      <c r="O98" s="29"/>
      <c r="P98" s="29"/>
      <c r="Q98" s="29"/>
      <c r="R98" s="11"/>
    </row>
    <row r="99" spans="1:18" ht="15.75" customHeight="1">
      <c r="A99" s="28"/>
      <c r="B99" s="25"/>
      <c r="C99" s="26"/>
      <c r="D99" s="26"/>
      <c r="E99" s="26"/>
      <c r="F99" s="26"/>
      <c r="G99" s="26"/>
      <c r="H99" s="26"/>
      <c r="I99" s="26"/>
      <c r="J99" s="26"/>
      <c r="K99" s="26"/>
      <c r="L99" s="26"/>
      <c r="M99" s="29"/>
      <c r="N99" s="29"/>
      <c r="O99" s="29"/>
      <c r="P99" s="29"/>
      <c r="Q99" s="29"/>
      <c r="R99" s="11"/>
    </row>
    <row r="100" spans="1:18" ht="15.75" customHeight="1">
      <c r="A100" s="28"/>
      <c r="B100" s="25"/>
      <c r="C100" s="26"/>
      <c r="D100" s="26"/>
      <c r="E100" s="26"/>
      <c r="F100" s="26"/>
      <c r="G100" s="26"/>
      <c r="H100" s="26"/>
      <c r="I100" s="26"/>
      <c r="J100" s="26"/>
      <c r="K100" s="26"/>
      <c r="L100" s="26"/>
      <c r="M100" s="29"/>
      <c r="N100" s="29"/>
      <c r="O100" s="29"/>
      <c r="P100" s="29"/>
      <c r="Q100" s="29"/>
      <c r="R100" s="11"/>
    </row>
    <row r="101" spans="1:18" ht="15.75" customHeight="1">
      <c r="A101" s="28"/>
      <c r="B101" s="25"/>
      <c r="C101" s="26"/>
      <c r="D101" s="26"/>
      <c r="E101" s="26"/>
      <c r="F101" s="26"/>
      <c r="G101" s="26"/>
      <c r="H101" s="26"/>
      <c r="I101" s="26"/>
      <c r="J101" s="26"/>
      <c r="K101" s="26"/>
      <c r="L101" s="26"/>
      <c r="M101" s="29"/>
      <c r="N101" s="29"/>
      <c r="O101" s="29"/>
      <c r="P101" s="29"/>
      <c r="Q101" s="29"/>
      <c r="R101" s="11"/>
    </row>
    <row r="102" spans="1:18" ht="15.75" customHeight="1">
      <c r="A102" s="28"/>
      <c r="B102" s="25"/>
      <c r="C102" s="26"/>
      <c r="D102" s="26"/>
      <c r="E102" s="26"/>
      <c r="F102" s="26"/>
      <c r="G102" s="26"/>
      <c r="H102" s="26"/>
      <c r="I102" s="26"/>
      <c r="J102" s="26"/>
      <c r="K102" s="26"/>
      <c r="L102" s="26"/>
      <c r="M102" s="29"/>
      <c r="N102" s="29"/>
      <c r="O102" s="29"/>
      <c r="P102" s="29"/>
      <c r="Q102" s="29"/>
      <c r="R102" s="11"/>
    </row>
    <row r="103" spans="1:18" ht="15.75" customHeight="1">
      <c r="A103" s="28"/>
      <c r="B103" s="25"/>
      <c r="C103" s="26"/>
      <c r="D103" s="26"/>
      <c r="E103" s="26"/>
      <c r="F103" s="26"/>
      <c r="G103" s="26"/>
      <c r="H103" s="26"/>
      <c r="I103" s="26"/>
      <c r="J103" s="26"/>
      <c r="K103" s="26"/>
      <c r="L103" s="26"/>
      <c r="M103" s="29"/>
      <c r="N103" s="29"/>
      <c r="O103" s="29"/>
      <c r="P103" s="29"/>
      <c r="Q103" s="29"/>
      <c r="R103" s="11"/>
    </row>
    <row r="104" spans="1:18" ht="15.75" customHeight="1">
      <c r="A104" s="28"/>
      <c r="B104" s="25"/>
      <c r="C104" s="26"/>
      <c r="D104" s="26"/>
      <c r="E104" s="26"/>
      <c r="F104" s="26"/>
      <c r="G104" s="26"/>
      <c r="H104" s="26"/>
      <c r="I104" s="26"/>
      <c r="J104" s="26"/>
      <c r="K104" s="26"/>
      <c r="L104" s="26"/>
      <c r="M104" s="29"/>
      <c r="N104" s="29"/>
      <c r="O104" s="29"/>
      <c r="P104" s="29"/>
      <c r="Q104" s="29"/>
      <c r="R104" s="11"/>
    </row>
    <row r="105" spans="1:18" ht="15.75" customHeight="1">
      <c r="A105" s="28"/>
      <c r="B105" s="25"/>
      <c r="C105" s="26"/>
      <c r="D105" s="26"/>
      <c r="E105" s="26"/>
      <c r="F105" s="26"/>
      <c r="G105" s="26"/>
      <c r="H105" s="26"/>
      <c r="I105" s="26"/>
      <c r="J105" s="26"/>
      <c r="K105" s="26"/>
      <c r="L105" s="26"/>
      <c r="M105" s="29"/>
      <c r="N105" s="29"/>
      <c r="O105" s="29"/>
      <c r="P105" s="29"/>
      <c r="Q105" s="29"/>
      <c r="R105" s="11"/>
    </row>
    <row r="106" spans="1:18" ht="15.75" customHeight="1">
      <c r="A106" s="28"/>
      <c r="B106" s="25"/>
      <c r="C106" s="26"/>
      <c r="D106" s="26"/>
      <c r="E106" s="26"/>
      <c r="F106" s="26"/>
      <c r="G106" s="26"/>
      <c r="H106" s="26"/>
      <c r="I106" s="26"/>
      <c r="J106" s="26"/>
      <c r="K106" s="26"/>
      <c r="L106" s="26"/>
      <c r="M106" s="29"/>
      <c r="N106" s="29"/>
      <c r="O106" s="29"/>
      <c r="P106" s="29"/>
      <c r="Q106" s="29"/>
      <c r="R106" s="11"/>
    </row>
    <row r="107" spans="1:18" ht="15.75" customHeight="1">
      <c r="A107" s="28"/>
      <c r="B107" s="25"/>
      <c r="C107" s="26"/>
      <c r="D107" s="26"/>
      <c r="E107" s="26"/>
      <c r="F107" s="26"/>
      <c r="G107" s="26"/>
      <c r="H107" s="26"/>
      <c r="I107" s="26"/>
      <c r="J107" s="26"/>
      <c r="K107" s="26"/>
      <c r="L107" s="26"/>
      <c r="M107" s="29"/>
      <c r="N107" s="29"/>
      <c r="O107" s="29"/>
      <c r="P107" s="29"/>
      <c r="Q107" s="29"/>
      <c r="R107" s="11"/>
    </row>
    <row r="108" spans="1:18" ht="15.75" customHeight="1">
      <c r="A108" s="28"/>
      <c r="B108" s="25"/>
      <c r="C108" s="26"/>
      <c r="D108" s="26"/>
      <c r="E108" s="26"/>
      <c r="F108" s="26"/>
      <c r="G108" s="26"/>
      <c r="H108" s="26"/>
      <c r="I108" s="26"/>
      <c r="J108" s="26"/>
      <c r="K108" s="26"/>
      <c r="L108" s="26"/>
      <c r="M108" s="29"/>
      <c r="N108" s="29"/>
      <c r="O108" s="29"/>
      <c r="P108" s="29"/>
      <c r="Q108" s="29"/>
      <c r="R108" s="11"/>
    </row>
    <row r="109" spans="1:18" ht="15.75" customHeight="1">
      <c r="A109" s="28"/>
      <c r="B109" s="25"/>
      <c r="C109" s="26"/>
      <c r="D109" s="26"/>
      <c r="E109" s="26"/>
      <c r="F109" s="26"/>
      <c r="G109" s="26"/>
      <c r="H109" s="26"/>
      <c r="I109" s="26"/>
      <c r="J109" s="26"/>
      <c r="K109" s="26"/>
      <c r="L109" s="26"/>
      <c r="M109" s="29"/>
      <c r="N109" s="29"/>
      <c r="O109" s="29"/>
      <c r="P109" s="29"/>
      <c r="Q109" s="29"/>
      <c r="R109" s="11"/>
    </row>
    <row r="110" spans="1:18" ht="15.75" customHeight="1">
      <c r="A110" s="28"/>
      <c r="B110" s="25"/>
      <c r="C110" s="26"/>
      <c r="D110" s="26"/>
      <c r="E110" s="26"/>
      <c r="F110" s="26"/>
      <c r="G110" s="26"/>
      <c r="H110" s="26"/>
      <c r="I110" s="26"/>
      <c r="J110" s="26"/>
      <c r="K110" s="26"/>
      <c r="L110" s="26"/>
      <c r="M110" s="29"/>
      <c r="N110" s="29"/>
      <c r="O110" s="29"/>
      <c r="P110" s="29"/>
      <c r="Q110" s="29"/>
      <c r="R110" s="11"/>
    </row>
    <row r="111" spans="1:18" ht="15.75" customHeight="1">
      <c r="A111" s="28"/>
      <c r="B111" s="25"/>
      <c r="C111" s="26"/>
      <c r="D111" s="26"/>
      <c r="E111" s="26"/>
      <c r="F111" s="26"/>
      <c r="G111" s="26"/>
      <c r="H111" s="26"/>
      <c r="I111" s="26"/>
      <c r="J111" s="26"/>
      <c r="K111" s="26"/>
      <c r="L111" s="26"/>
      <c r="M111" s="29"/>
      <c r="N111" s="29"/>
      <c r="O111" s="29"/>
      <c r="P111" s="29"/>
      <c r="Q111" s="29"/>
      <c r="R111" s="11"/>
    </row>
    <row r="112" spans="1:18" ht="15.75" customHeight="1">
      <c r="A112" s="28"/>
      <c r="B112" s="25"/>
      <c r="C112" s="26"/>
      <c r="D112" s="26"/>
      <c r="E112" s="26"/>
      <c r="F112" s="26"/>
      <c r="G112" s="26"/>
      <c r="H112" s="26"/>
      <c r="I112" s="26"/>
      <c r="J112" s="26"/>
      <c r="K112" s="26"/>
      <c r="L112" s="26"/>
      <c r="M112" s="29"/>
      <c r="N112" s="29"/>
      <c r="O112" s="29"/>
      <c r="P112" s="29"/>
      <c r="Q112" s="29"/>
      <c r="R112" s="11"/>
    </row>
    <row r="113" spans="1:18" ht="15.75" customHeight="1">
      <c r="A113" s="28"/>
      <c r="B113" s="25"/>
      <c r="C113" s="26"/>
      <c r="D113" s="26"/>
      <c r="E113" s="26"/>
      <c r="F113" s="26"/>
      <c r="G113" s="26"/>
      <c r="H113" s="26"/>
      <c r="I113" s="26"/>
      <c r="J113" s="26"/>
      <c r="K113" s="26"/>
      <c r="L113" s="26"/>
      <c r="M113" s="29"/>
      <c r="N113" s="29"/>
      <c r="O113" s="29"/>
      <c r="P113" s="29"/>
      <c r="Q113" s="29"/>
      <c r="R113" s="11"/>
    </row>
    <row r="114" spans="1:18" ht="15.75" customHeight="1">
      <c r="A114" s="28"/>
      <c r="B114" s="25"/>
      <c r="C114" s="26"/>
      <c r="D114" s="26"/>
      <c r="E114" s="26"/>
      <c r="F114" s="26"/>
      <c r="G114" s="26"/>
      <c r="H114" s="26"/>
      <c r="I114" s="26"/>
      <c r="J114" s="26"/>
      <c r="K114" s="26"/>
      <c r="L114" s="26"/>
      <c r="M114" s="29"/>
      <c r="N114" s="29"/>
      <c r="O114" s="29"/>
      <c r="P114" s="29"/>
      <c r="Q114" s="29"/>
      <c r="R114" s="11"/>
    </row>
    <row r="115" spans="1:18" ht="15.75" customHeight="1">
      <c r="A115" s="28"/>
      <c r="B115" s="25"/>
      <c r="C115" s="26"/>
      <c r="D115" s="26"/>
      <c r="E115" s="26"/>
      <c r="F115" s="26"/>
      <c r="G115" s="26"/>
      <c r="H115" s="26"/>
      <c r="I115" s="26"/>
      <c r="J115" s="26"/>
      <c r="K115" s="26"/>
      <c r="L115" s="26"/>
      <c r="M115" s="29"/>
      <c r="N115" s="29"/>
      <c r="O115" s="29"/>
      <c r="P115" s="29"/>
      <c r="Q115" s="29"/>
      <c r="R115" s="11"/>
    </row>
    <row r="116" spans="1:18" ht="15.75" customHeight="1">
      <c r="A116" s="28"/>
      <c r="B116" s="25"/>
      <c r="C116" s="26"/>
      <c r="D116" s="26"/>
      <c r="E116" s="26"/>
      <c r="F116" s="26"/>
      <c r="G116" s="26"/>
      <c r="H116" s="26"/>
      <c r="I116" s="26"/>
      <c r="J116" s="26"/>
      <c r="K116" s="26"/>
      <c r="L116" s="26"/>
      <c r="M116" s="29"/>
      <c r="N116" s="29"/>
      <c r="O116" s="29"/>
      <c r="P116" s="29"/>
      <c r="Q116" s="29"/>
      <c r="R116" s="11"/>
    </row>
    <row r="117" spans="1:18" ht="15.75" customHeight="1">
      <c r="A117" s="28"/>
      <c r="B117" s="25"/>
      <c r="C117" s="26"/>
      <c r="D117" s="26"/>
      <c r="E117" s="26"/>
      <c r="F117" s="26"/>
      <c r="G117" s="26"/>
      <c r="H117" s="26"/>
      <c r="I117" s="26"/>
      <c r="J117" s="26"/>
      <c r="K117" s="26"/>
      <c r="L117" s="26"/>
      <c r="M117" s="29"/>
      <c r="N117" s="29"/>
      <c r="O117" s="29"/>
      <c r="P117" s="29"/>
      <c r="Q117" s="29"/>
      <c r="R117" s="11"/>
    </row>
    <row r="118" spans="1:18" ht="15.75" customHeight="1">
      <c r="A118" s="28"/>
      <c r="B118" s="25"/>
      <c r="C118" s="26"/>
      <c r="D118" s="26"/>
      <c r="E118" s="26"/>
      <c r="F118" s="26"/>
      <c r="G118" s="26"/>
      <c r="H118" s="26"/>
      <c r="I118" s="26"/>
      <c r="J118" s="26"/>
      <c r="K118" s="26"/>
      <c r="L118" s="26"/>
      <c r="M118" s="29"/>
      <c r="N118" s="29"/>
      <c r="O118" s="29"/>
      <c r="P118" s="29"/>
      <c r="Q118" s="29"/>
      <c r="R118" s="11"/>
    </row>
    <row r="119" spans="1:18" ht="15.75" customHeight="1">
      <c r="A119" s="28"/>
      <c r="B119" s="25"/>
      <c r="C119" s="26"/>
      <c r="D119" s="26"/>
      <c r="E119" s="26"/>
      <c r="F119" s="26"/>
      <c r="G119" s="26"/>
      <c r="H119" s="26"/>
      <c r="I119" s="26"/>
      <c r="J119" s="26"/>
      <c r="K119" s="26"/>
      <c r="L119" s="26"/>
      <c r="M119" s="29"/>
      <c r="N119" s="29"/>
      <c r="O119" s="29"/>
      <c r="P119" s="29"/>
      <c r="Q119" s="29"/>
      <c r="R119" s="11"/>
    </row>
    <row r="120" spans="1:18" ht="15.75" customHeight="1">
      <c r="A120" s="28"/>
      <c r="B120" s="25"/>
      <c r="C120" s="26"/>
      <c r="D120" s="26"/>
      <c r="E120" s="26"/>
      <c r="F120" s="26"/>
      <c r="G120" s="26"/>
      <c r="H120" s="26"/>
      <c r="I120" s="26"/>
      <c r="J120" s="26"/>
      <c r="K120" s="26"/>
      <c r="L120" s="26"/>
      <c r="M120" s="29"/>
      <c r="N120" s="29"/>
      <c r="O120" s="29"/>
      <c r="P120" s="29"/>
      <c r="Q120" s="29"/>
      <c r="R120" s="11"/>
    </row>
    <row r="121" spans="1:18" ht="15.75" customHeight="1">
      <c r="A121" s="28"/>
      <c r="B121" s="25"/>
      <c r="C121" s="26"/>
      <c r="D121" s="26"/>
      <c r="E121" s="26"/>
      <c r="F121" s="26"/>
      <c r="G121" s="26"/>
      <c r="H121" s="26"/>
      <c r="I121" s="26"/>
      <c r="J121" s="26"/>
      <c r="K121" s="26"/>
      <c r="L121" s="26"/>
      <c r="M121" s="29"/>
      <c r="N121" s="29"/>
      <c r="O121" s="29"/>
      <c r="P121" s="29"/>
      <c r="Q121" s="29"/>
      <c r="R121" s="11"/>
    </row>
    <row r="122" spans="1:18" ht="15.75" customHeight="1">
      <c r="A122" s="28"/>
      <c r="B122" s="25"/>
      <c r="C122" s="26"/>
      <c r="D122" s="26"/>
      <c r="E122" s="26"/>
      <c r="F122" s="26"/>
      <c r="G122" s="26"/>
      <c r="H122" s="26"/>
      <c r="I122" s="26"/>
      <c r="J122" s="26"/>
      <c r="K122" s="26"/>
      <c r="L122" s="26"/>
      <c r="M122" s="29"/>
      <c r="N122" s="29"/>
      <c r="O122" s="29"/>
      <c r="P122" s="29"/>
      <c r="Q122" s="29"/>
      <c r="R122" s="11"/>
    </row>
    <row r="123" spans="1:18" ht="15.75" customHeight="1">
      <c r="A123" s="28"/>
      <c r="B123" s="25"/>
      <c r="C123" s="26"/>
      <c r="D123" s="26"/>
      <c r="E123" s="26"/>
      <c r="F123" s="26"/>
      <c r="G123" s="26"/>
      <c r="H123" s="26"/>
      <c r="I123" s="26"/>
      <c r="J123" s="26"/>
      <c r="K123" s="26"/>
      <c r="L123" s="26"/>
      <c r="M123" s="29"/>
      <c r="N123" s="29"/>
      <c r="O123" s="29"/>
      <c r="P123" s="29"/>
      <c r="Q123" s="29"/>
      <c r="R123" s="11"/>
    </row>
    <row r="124" spans="1:18" ht="15.75" customHeight="1">
      <c r="A124" s="28"/>
      <c r="B124" s="25"/>
      <c r="C124" s="26"/>
      <c r="D124" s="26"/>
      <c r="E124" s="26"/>
      <c r="F124" s="26"/>
      <c r="G124" s="26"/>
      <c r="H124" s="26"/>
      <c r="I124" s="26"/>
      <c r="J124" s="26"/>
      <c r="K124" s="26"/>
      <c r="L124" s="26"/>
      <c r="M124" s="29"/>
      <c r="N124" s="29"/>
      <c r="O124" s="29"/>
      <c r="P124" s="29"/>
      <c r="Q124" s="29"/>
      <c r="R124" s="11"/>
    </row>
    <row r="125" spans="1:18" ht="15.75" customHeight="1">
      <c r="A125" s="28"/>
      <c r="B125" s="25"/>
      <c r="C125" s="26"/>
      <c r="D125" s="26"/>
      <c r="E125" s="26"/>
      <c r="F125" s="26"/>
      <c r="G125" s="26"/>
      <c r="H125" s="26"/>
      <c r="I125" s="26"/>
      <c r="J125" s="26"/>
      <c r="K125" s="26"/>
      <c r="L125" s="26"/>
      <c r="M125" s="29"/>
      <c r="N125" s="29"/>
      <c r="O125" s="29"/>
      <c r="P125" s="29"/>
      <c r="Q125" s="29"/>
      <c r="R125" s="11"/>
    </row>
    <row r="126" spans="1:18" ht="15.75" customHeight="1">
      <c r="A126" s="28"/>
      <c r="B126" s="25"/>
      <c r="C126" s="26"/>
      <c r="D126" s="26"/>
      <c r="E126" s="26"/>
      <c r="F126" s="26"/>
      <c r="G126" s="26"/>
      <c r="H126" s="26"/>
      <c r="I126" s="26"/>
      <c r="J126" s="26"/>
      <c r="K126" s="26"/>
      <c r="L126" s="26"/>
      <c r="M126" s="29"/>
      <c r="N126" s="29"/>
      <c r="O126" s="29"/>
      <c r="P126" s="29"/>
      <c r="Q126" s="29"/>
      <c r="R126" s="11"/>
    </row>
    <row r="127" spans="1:18" ht="15.75" customHeight="1">
      <c r="A127" s="28"/>
      <c r="B127" s="25"/>
      <c r="C127" s="26"/>
      <c r="D127" s="26"/>
      <c r="E127" s="26"/>
      <c r="F127" s="26"/>
      <c r="G127" s="26"/>
      <c r="H127" s="26"/>
      <c r="I127" s="26"/>
      <c r="J127" s="26"/>
      <c r="K127" s="26"/>
      <c r="L127" s="26"/>
      <c r="M127" s="29"/>
      <c r="N127" s="29"/>
      <c r="O127" s="29"/>
      <c r="P127" s="29"/>
      <c r="Q127" s="29"/>
      <c r="R127" s="11"/>
    </row>
    <row r="128" spans="1:18" ht="15.75" customHeight="1">
      <c r="A128" s="28"/>
      <c r="B128" s="25"/>
      <c r="C128" s="26"/>
      <c r="D128" s="26"/>
      <c r="E128" s="26"/>
      <c r="F128" s="26"/>
      <c r="G128" s="26"/>
      <c r="H128" s="26"/>
      <c r="I128" s="26"/>
      <c r="J128" s="26"/>
      <c r="K128" s="26"/>
      <c r="L128" s="26"/>
      <c r="M128" s="29"/>
      <c r="N128" s="29"/>
      <c r="O128" s="29"/>
      <c r="P128" s="29"/>
      <c r="Q128" s="29"/>
      <c r="R128" s="11"/>
    </row>
    <row r="129" spans="1:18" ht="15.75" customHeight="1">
      <c r="A129" s="28"/>
      <c r="B129" s="25"/>
      <c r="C129" s="26"/>
      <c r="D129" s="26"/>
      <c r="E129" s="26"/>
      <c r="F129" s="26"/>
      <c r="G129" s="26"/>
      <c r="H129" s="26"/>
      <c r="I129" s="26"/>
      <c r="J129" s="26"/>
      <c r="K129" s="26"/>
      <c r="L129" s="26"/>
      <c r="M129" s="29"/>
      <c r="N129" s="29"/>
      <c r="O129" s="29"/>
      <c r="P129" s="29"/>
      <c r="Q129" s="29"/>
      <c r="R129" s="11"/>
    </row>
    <row r="130" spans="1:18" ht="15.75" customHeight="1">
      <c r="A130" s="28"/>
      <c r="B130" s="25"/>
      <c r="C130" s="26"/>
      <c r="D130" s="26"/>
      <c r="E130" s="26"/>
      <c r="F130" s="26"/>
      <c r="G130" s="26"/>
      <c r="H130" s="26"/>
      <c r="I130" s="26"/>
      <c r="J130" s="26"/>
      <c r="K130" s="26"/>
      <c r="L130" s="26"/>
      <c r="M130" s="29"/>
      <c r="N130" s="29"/>
      <c r="O130" s="29"/>
      <c r="P130" s="29"/>
      <c r="Q130" s="29"/>
      <c r="R130" s="11"/>
    </row>
    <row r="131" spans="1:18" ht="15.75" customHeight="1">
      <c r="A131" s="28"/>
      <c r="B131" s="25"/>
      <c r="C131" s="26"/>
      <c r="D131" s="26"/>
      <c r="E131" s="26"/>
      <c r="F131" s="26"/>
      <c r="G131" s="26"/>
      <c r="H131" s="26"/>
      <c r="I131" s="26"/>
      <c r="J131" s="26"/>
      <c r="K131" s="26"/>
      <c r="L131" s="26"/>
      <c r="M131" s="29"/>
      <c r="N131" s="29"/>
      <c r="O131" s="29"/>
      <c r="P131" s="29"/>
      <c r="Q131" s="29"/>
      <c r="R131" s="11"/>
    </row>
    <row r="132" spans="1:18" ht="15.75" customHeight="1">
      <c r="A132" s="28"/>
      <c r="B132" s="25"/>
      <c r="C132" s="26"/>
      <c r="D132" s="26"/>
      <c r="E132" s="26"/>
      <c r="F132" s="26"/>
      <c r="G132" s="26"/>
      <c r="H132" s="26"/>
      <c r="I132" s="26"/>
      <c r="J132" s="26"/>
      <c r="K132" s="26"/>
      <c r="L132" s="26"/>
      <c r="M132" s="29"/>
      <c r="N132" s="29"/>
      <c r="O132" s="29"/>
      <c r="P132" s="29"/>
      <c r="Q132" s="29"/>
      <c r="R132" s="11"/>
    </row>
    <row r="133" spans="1:18" ht="15.75" customHeight="1">
      <c r="A133" s="28"/>
      <c r="B133" s="25"/>
      <c r="C133" s="26"/>
      <c r="D133" s="26"/>
      <c r="E133" s="26"/>
      <c r="F133" s="26"/>
      <c r="G133" s="26"/>
      <c r="H133" s="26"/>
      <c r="I133" s="26"/>
      <c r="J133" s="26"/>
      <c r="K133" s="26"/>
      <c r="L133" s="26"/>
      <c r="M133" s="29"/>
      <c r="N133" s="29"/>
      <c r="O133" s="29"/>
      <c r="P133" s="29"/>
      <c r="Q133" s="29"/>
      <c r="R133" s="11"/>
    </row>
    <row r="134" spans="1:18" ht="15.75" customHeight="1">
      <c r="A134" s="28"/>
      <c r="B134" s="25"/>
      <c r="C134" s="26"/>
      <c r="D134" s="26"/>
      <c r="E134" s="26"/>
      <c r="F134" s="26"/>
      <c r="G134" s="26"/>
      <c r="H134" s="26"/>
      <c r="I134" s="26"/>
      <c r="J134" s="26"/>
      <c r="K134" s="26"/>
      <c r="L134" s="26"/>
      <c r="M134" s="29"/>
      <c r="N134" s="29"/>
      <c r="O134" s="29"/>
      <c r="P134" s="29"/>
      <c r="Q134" s="29"/>
      <c r="R134" s="11"/>
    </row>
    <row r="135" spans="1:18" ht="15.75" customHeight="1">
      <c r="A135" s="28"/>
      <c r="B135" s="25"/>
      <c r="C135" s="26"/>
      <c r="D135" s="26"/>
      <c r="E135" s="26"/>
      <c r="F135" s="26"/>
      <c r="G135" s="26"/>
      <c r="H135" s="26"/>
      <c r="I135" s="26"/>
      <c r="J135" s="26"/>
      <c r="K135" s="26"/>
      <c r="L135" s="26"/>
      <c r="M135" s="29"/>
      <c r="N135" s="29"/>
      <c r="O135" s="29"/>
      <c r="P135" s="29"/>
      <c r="Q135" s="29"/>
      <c r="R135" s="11"/>
    </row>
    <row r="136" spans="1:18" ht="15.75" customHeight="1">
      <c r="A136" s="28"/>
      <c r="B136" s="25"/>
      <c r="C136" s="26"/>
      <c r="D136" s="26"/>
      <c r="E136" s="26"/>
      <c r="F136" s="26"/>
      <c r="G136" s="26"/>
      <c r="H136" s="26"/>
      <c r="I136" s="26"/>
      <c r="J136" s="26"/>
      <c r="K136" s="26"/>
      <c r="L136" s="26"/>
      <c r="M136" s="29"/>
      <c r="N136" s="29"/>
      <c r="O136" s="29"/>
      <c r="P136" s="29"/>
      <c r="Q136" s="29"/>
      <c r="R136" s="11"/>
    </row>
    <row r="137" spans="1:18" ht="15.75" customHeight="1">
      <c r="A137" s="28"/>
      <c r="B137" s="25"/>
      <c r="C137" s="26"/>
      <c r="D137" s="26"/>
      <c r="E137" s="26"/>
      <c r="F137" s="26"/>
      <c r="G137" s="26"/>
      <c r="H137" s="26"/>
      <c r="I137" s="26"/>
      <c r="J137" s="26"/>
      <c r="K137" s="26"/>
      <c r="L137" s="26"/>
      <c r="M137" s="29"/>
      <c r="N137" s="29"/>
      <c r="O137" s="29"/>
      <c r="P137" s="29"/>
      <c r="Q137" s="29"/>
      <c r="R137" s="11"/>
    </row>
    <row r="138" spans="1:18" ht="15.75" customHeight="1">
      <c r="A138" s="28"/>
      <c r="B138" s="25"/>
      <c r="C138" s="26"/>
      <c r="D138" s="26"/>
      <c r="E138" s="26"/>
      <c r="F138" s="26"/>
      <c r="G138" s="26"/>
      <c r="H138" s="26"/>
      <c r="I138" s="26"/>
      <c r="J138" s="26"/>
      <c r="K138" s="26"/>
      <c r="L138" s="26"/>
      <c r="M138" s="29"/>
      <c r="N138" s="29"/>
      <c r="O138" s="29"/>
      <c r="P138" s="29"/>
      <c r="Q138" s="29"/>
      <c r="R138" s="11"/>
    </row>
    <row r="139" spans="1:18" ht="15.75" customHeight="1">
      <c r="A139" s="28"/>
      <c r="B139" s="25"/>
      <c r="C139" s="26"/>
      <c r="D139" s="26"/>
      <c r="E139" s="26"/>
      <c r="F139" s="26"/>
      <c r="G139" s="26"/>
      <c r="H139" s="26"/>
      <c r="I139" s="26"/>
      <c r="J139" s="26"/>
      <c r="K139" s="26"/>
      <c r="L139" s="26"/>
      <c r="M139" s="29"/>
      <c r="N139" s="29"/>
      <c r="O139" s="29"/>
      <c r="P139" s="29"/>
      <c r="Q139" s="29"/>
      <c r="R139" s="11"/>
    </row>
    <row r="140" spans="1:18" ht="15.75" customHeight="1">
      <c r="A140" s="28"/>
      <c r="B140" s="25"/>
      <c r="C140" s="26"/>
      <c r="D140" s="26"/>
      <c r="E140" s="26"/>
      <c r="F140" s="26"/>
      <c r="G140" s="26"/>
      <c r="H140" s="26"/>
      <c r="I140" s="26"/>
      <c r="J140" s="26"/>
      <c r="K140" s="26"/>
      <c r="L140" s="26"/>
      <c r="M140" s="29"/>
      <c r="N140" s="29"/>
      <c r="O140" s="29"/>
      <c r="P140" s="29"/>
      <c r="Q140" s="29"/>
      <c r="R140" s="11"/>
    </row>
    <row r="141" spans="1:18" ht="15.75" customHeight="1">
      <c r="A141" s="28"/>
      <c r="B141" s="25"/>
      <c r="C141" s="26"/>
      <c r="D141" s="26"/>
      <c r="E141" s="26"/>
      <c r="F141" s="26"/>
      <c r="G141" s="26"/>
      <c r="H141" s="26"/>
      <c r="I141" s="26"/>
      <c r="J141" s="26"/>
      <c r="K141" s="26"/>
      <c r="L141" s="26"/>
      <c r="M141" s="29"/>
      <c r="N141" s="29"/>
      <c r="O141" s="29"/>
      <c r="P141" s="29"/>
      <c r="Q141" s="29"/>
      <c r="R141" s="11"/>
    </row>
    <row r="142" spans="1:18" ht="15.75" customHeight="1">
      <c r="A142" s="28"/>
      <c r="B142" s="25"/>
      <c r="C142" s="26"/>
      <c r="D142" s="26"/>
      <c r="E142" s="26"/>
      <c r="F142" s="26"/>
      <c r="G142" s="26"/>
      <c r="H142" s="26"/>
      <c r="I142" s="26"/>
      <c r="J142" s="26"/>
      <c r="K142" s="26"/>
      <c r="L142" s="26"/>
      <c r="M142" s="29"/>
      <c r="N142" s="29"/>
      <c r="O142" s="29"/>
      <c r="P142" s="29"/>
      <c r="Q142" s="29"/>
      <c r="R142" s="11"/>
    </row>
    <row r="143" spans="1:18" ht="15.75" customHeight="1">
      <c r="A143" s="28"/>
      <c r="B143" s="25"/>
      <c r="C143" s="26"/>
      <c r="D143" s="26"/>
      <c r="E143" s="26"/>
      <c r="F143" s="26"/>
      <c r="G143" s="26"/>
      <c r="H143" s="26"/>
      <c r="I143" s="26"/>
      <c r="J143" s="26"/>
      <c r="K143" s="26"/>
      <c r="L143" s="26"/>
      <c r="M143" s="29"/>
      <c r="N143" s="29"/>
      <c r="O143" s="29"/>
      <c r="P143" s="29"/>
      <c r="Q143" s="29"/>
      <c r="R143" s="11"/>
    </row>
    <row r="144" spans="1:18" ht="15.75" customHeight="1">
      <c r="A144" s="28"/>
      <c r="B144" s="25"/>
      <c r="C144" s="26"/>
      <c r="D144" s="26"/>
      <c r="E144" s="26"/>
      <c r="F144" s="26"/>
      <c r="G144" s="26"/>
      <c r="H144" s="26"/>
      <c r="I144" s="26"/>
      <c r="J144" s="26"/>
      <c r="K144" s="26"/>
      <c r="L144" s="26"/>
      <c r="M144" s="29"/>
      <c r="N144" s="29"/>
      <c r="O144" s="29"/>
      <c r="P144" s="29"/>
      <c r="Q144" s="29"/>
      <c r="R144" s="11"/>
    </row>
    <row r="145" spans="1:18" ht="15.75" customHeight="1">
      <c r="A145" s="28"/>
      <c r="B145" s="25"/>
      <c r="C145" s="26"/>
      <c r="D145" s="26"/>
      <c r="E145" s="26"/>
      <c r="F145" s="26"/>
      <c r="G145" s="26"/>
      <c r="H145" s="26"/>
      <c r="I145" s="26"/>
      <c r="J145" s="26"/>
      <c r="K145" s="26"/>
      <c r="L145" s="26"/>
      <c r="M145" s="29"/>
      <c r="N145" s="29"/>
      <c r="O145" s="29"/>
      <c r="P145" s="29"/>
      <c r="Q145" s="29"/>
      <c r="R145" s="11"/>
    </row>
    <row r="146" spans="1:18" ht="15.75" customHeight="1">
      <c r="A146" s="28"/>
      <c r="B146" s="25"/>
      <c r="C146" s="26"/>
      <c r="D146" s="26"/>
      <c r="E146" s="26"/>
      <c r="F146" s="26"/>
      <c r="G146" s="26"/>
      <c r="H146" s="26"/>
      <c r="I146" s="26"/>
      <c r="J146" s="26"/>
      <c r="K146" s="26"/>
      <c r="L146" s="26"/>
      <c r="M146" s="29"/>
      <c r="N146" s="29"/>
      <c r="O146" s="29"/>
      <c r="P146" s="29"/>
      <c r="Q146" s="29"/>
      <c r="R146" s="11"/>
    </row>
    <row r="147" spans="1:18" ht="15.75" customHeight="1">
      <c r="A147" s="28"/>
      <c r="B147" s="25"/>
      <c r="C147" s="26"/>
      <c r="D147" s="26"/>
      <c r="E147" s="26"/>
      <c r="F147" s="26"/>
      <c r="G147" s="26"/>
      <c r="H147" s="26"/>
      <c r="I147" s="26"/>
      <c r="J147" s="26"/>
      <c r="K147" s="26"/>
      <c r="L147" s="26"/>
      <c r="M147" s="29"/>
      <c r="N147" s="29"/>
      <c r="O147" s="29"/>
      <c r="P147" s="29"/>
      <c r="Q147" s="29"/>
      <c r="R147" s="11"/>
    </row>
    <row r="148" spans="1:18" ht="15.75" customHeight="1">
      <c r="A148" s="28"/>
      <c r="B148" s="25"/>
      <c r="C148" s="26"/>
      <c r="D148" s="26"/>
      <c r="E148" s="26"/>
      <c r="F148" s="26"/>
      <c r="G148" s="26"/>
      <c r="H148" s="26"/>
      <c r="I148" s="26"/>
      <c r="J148" s="26"/>
      <c r="K148" s="26"/>
      <c r="L148" s="26"/>
      <c r="M148" s="29"/>
      <c r="N148" s="29"/>
      <c r="O148" s="29"/>
      <c r="P148" s="29"/>
      <c r="Q148" s="29"/>
      <c r="R148" s="11"/>
    </row>
    <row r="149" spans="1:18" ht="15.75" customHeight="1">
      <c r="A149" s="28"/>
      <c r="B149" s="25"/>
      <c r="C149" s="26"/>
      <c r="D149" s="26"/>
      <c r="E149" s="26"/>
      <c r="F149" s="26"/>
      <c r="G149" s="26"/>
      <c r="H149" s="26"/>
      <c r="I149" s="26"/>
      <c r="J149" s="26"/>
      <c r="K149" s="26"/>
      <c r="L149" s="26"/>
      <c r="M149" s="29"/>
      <c r="N149" s="29"/>
      <c r="O149" s="29"/>
      <c r="P149" s="29"/>
      <c r="Q149" s="29"/>
      <c r="R149" s="11"/>
    </row>
    <row r="150" spans="1:18" ht="15.75" customHeight="1">
      <c r="A150" s="28"/>
      <c r="B150" s="25"/>
      <c r="C150" s="26"/>
      <c r="D150" s="26"/>
      <c r="E150" s="26"/>
      <c r="F150" s="26"/>
      <c r="G150" s="26"/>
      <c r="H150" s="26"/>
      <c r="I150" s="26"/>
      <c r="J150" s="26"/>
      <c r="K150" s="26"/>
      <c r="L150" s="26"/>
      <c r="M150" s="29"/>
      <c r="N150" s="29"/>
      <c r="O150" s="29"/>
      <c r="P150" s="29"/>
      <c r="Q150" s="29"/>
      <c r="R150" s="11"/>
    </row>
    <row r="151" spans="1:18" ht="15.75" customHeight="1">
      <c r="A151" s="28"/>
      <c r="B151" s="25"/>
      <c r="C151" s="26"/>
      <c r="D151" s="26"/>
      <c r="E151" s="26"/>
      <c r="F151" s="26"/>
      <c r="G151" s="26"/>
      <c r="H151" s="26"/>
      <c r="I151" s="26"/>
      <c r="J151" s="26"/>
      <c r="K151" s="26"/>
      <c r="L151" s="26"/>
      <c r="M151" s="29"/>
      <c r="N151" s="29"/>
      <c r="O151" s="29"/>
      <c r="P151" s="29"/>
      <c r="Q151" s="29"/>
      <c r="R151" s="11"/>
    </row>
    <row r="152" spans="1:18" ht="15.75" customHeight="1">
      <c r="A152" s="28"/>
      <c r="B152" s="25"/>
      <c r="C152" s="26"/>
      <c r="D152" s="26"/>
      <c r="E152" s="26"/>
      <c r="F152" s="26"/>
      <c r="G152" s="26"/>
      <c r="H152" s="26"/>
      <c r="I152" s="26"/>
      <c r="J152" s="26"/>
      <c r="K152" s="26"/>
      <c r="L152" s="26"/>
      <c r="M152" s="29"/>
      <c r="N152" s="29"/>
      <c r="O152" s="29"/>
      <c r="P152" s="29"/>
      <c r="Q152" s="29"/>
      <c r="R152" s="11"/>
    </row>
    <row r="153" spans="1:18" ht="15.75" customHeight="1">
      <c r="A153" s="28"/>
      <c r="B153" s="25"/>
      <c r="C153" s="26"/>
      <c r="D153" s="26"/>
      <c r="E153" s="26"/>
      <c r="F153" s="26"/>
      <c r="G153" s="26"/>
      <c r="H153" s="26"/>
      <c r="I153" s="26"/>
      <c r="J153" s="26"/>
      <c r="K153" s="26"/>
      <c r="L153" s="26"/>
      <c r="M153" s="29"/>
      <c r="N153" s="29"/>
      <c r="O153" s="29"/>
      <c r="P153" s="29"/>
      <c r="Q153" s="29"/>
      <c r="R153" s="11"/>
    </row>
    <row r="154" spans="1:18" ht="15.75" customHeight="1">
      <c r="A154" s="28"/>
      <c r="B154" s="25"/>
      <c r="C154" s="26"/>
      <c r="D154" s="26"/>
      <c r="E154" s="26"/>
      <c r="F154" s="26"/>
      <c r="G154" s="26"/>
      <c r="H154" s="26"/>
      <c r="I154" s="26"/>
      <c r="J154" s="26"/>
      <c r="K154" s="26"/>
      <c r="L154" s="26"/>
      <c r="M154" s="29"/>
      <c r="N154" s="29"/>
      <c r="O154" s="29"/>
      <c r="P154" s="29"/>
      <c r="Q154" s="29"/>
      <c r="R154" s="11"/>
    </row>
    <row r="155" spans="1:18" ht="15.75" customHeight="1">
      <c r="A155" s="28"/>
      <c r="B155" s="25"/>
      <c r="C155" s="26"/>
      <c r="D155" s="26"/>
      <c r="E155" s="26"/>
      <c r="F155" s="26"/>
      <c r="G155" s="26"/>
      <c r="H155" s="26"/>
      <c r="I155" s="26"/>
      <c r="J155" s="26"/>
      <c r="K155" s="26"/>
      <c r="L155" s="26"/>
      <c r="M155" s="29"/>
      <c r="N155" s="29"/>
      <c r="O155" s="29"/>
      <c r="P155" s="29"/>
      <c r="Q155" s="29"/>
      <c r="R155" s="11"/>
    </row>
    <row r="156" spans="1:18" ht="15.75" customHeight="1">
      <c r="A156" s="28"/>
      <c r="B156" s="25"/>
      <c r="C156" s="26"/>
      <c r="D156" s="26"/>
      <c r="E156" s="26"/>
      <c r="F156" s="26"/>
      <c r="G156" s="26"/>
      <c r="H156" s="26"/>
      <c r="I156" s="26"/>
      <c r="J156" s="26"/>
      <c r="K156" s="26"/>
      <c r="L156" s="26"/>
      <c r="M156" s="29"/>
      <c r="N156" s="29"/>
      <c r="O156" s="29"/>
      <c r="P156" s="29"/>
      <c r="Q156" s="29"/>
      <c r="R156" s="11"/>
    </row>
    <row r="157" spans="1:18" ht="15.75" customHeight="1">
      <c r="A157" s="28"/>
      <c r="B157" s="25"/>
      <c r="C157" s="26"/>
      <c r="D157" s="26"/>
      <c r="E157" s="26"/>
      <c r="F157" s="26"/>
      <c r="G157" s="26"/>
      <c r="H157" s="26"/>
      <c r="I157" s="26"/>
      <c r="J157" s="26"/>
      <c r="K157" s="26"/>
      <c r="L157" s="26"/>
      <c r="M157" s="29"/>
      <c r="N157" s="29"/>
      <c r="O157" s="29"/>
      <c r="P157" s="29"/>
      <c r="Q157" s="29"/>
      <c r="R157" s="11"/>
    </row>
    <row r="158" spans="1:18" ht="15.75" customHeight="1">
      <c r="A158" s="28"/>
      <c r="B158" s="25"/>
      <c r="C158" s="26"/>
      <c r="D158" s="26"/>
      <c r="E158" s="26"/>
      <c r="F158" s="26"/>
      <c r="G158" s="26"/>
      <c r="H158" s="26"/>
      <c r="I158" s="26"/>
      <c r="J158" s="26"/>
      <c r="K158" s="26"/>
      <c r="L158" s="26"/>
      <c r="M158" s="29"/>
      <c r="N158" s="29"/>
      <c r="O158" s="29"/>
      <c r="P158" s="29"/>
      <c r="Q158" s="29"/>
      <c r="R158" s="11"/>
    </row>
    <row r="159" spans="1:18" ht="15.75" customHeight="1">
      <c r="A159" s="28"/>
      <c r="B159" s="25"/>
      <c r="C159" s="26"/>
      <c r="D159" s="26"/>
      <c r="E159" s="26"/>
      <c r="F159" s="26"/>
      <c r="G159" s="26"/>
      <c r="H159" s="26"/>
      <c r="I159" s="26"/>
      <c r="J159" s="26"/>
      <c r="K159" s="26"/>
      <c r="L159" s="26"/>
      <c r="M159" s="29"/>
      <c r="N159" s="29"/>
      <c r="O159" s="29"/>
      <c r="P159" s="29"/>
      <c r="Q159" s="29"/>
      <c r="R159" s="11"/>
    </row>
    <row r="160" spans="1:18" ht="15.75" customHeight="1">
      <c r="A160" s="28"/>
      <c r="B160" s="25"/>
      <c r="C160" s="26"/>
      <c r="D160" s="26"/>
      <c r="E160" s="26"/>
      <c r="F160" s="26"/>
      <c r="G160" s="26"/>
      <c r="H160" s="26"/>
      <c r="I160" s="26"/>
      <c r="J160" s="26"/>
      <c r="K160" s="26"/>
      <c r="L160" s="26"/>
      <c r="M160" s="29"/>
      <c r="N160" s="29"/>
      <c r="O160" s="29"/>
      <c r="P160" s="29"/>
      <c r="Q160" s="29"/>
      <c r="R160" s="11"/>
    </row>
    <row r="161" spans="1:18" ht="15.75" customHeight="1">
      <c r="A161" s="28"/>
      <c r="B161" s="25"/>
      <c r="C161" s="26"/>
      <c r="D161" s="26"/>
      <c r="E161" s="26"/>
      <c r="F161" s="26"/>
      <c r="G161" s="26"/>
      <c r="H161" s="26"/>
      <c r="I161" s="26"/>
      <c r="J161" s="26"/>
      <c r="K161" s="26"/>
      <c r="L161" s="26"/>
      <c r="M161" s="29"/>
      <c r="N161" s="29"/>
      <c r="O161" s="29"/>
      <c r="P161" s="29"/>
      <c r="Q161" s="29"/>
      <c r="R161" s="11"/>
    </row>
    <row r="162" spans="1:18" ht="15.75" customHeight="1">
      <c r="A162" s="28"/>
      <c r="B162" s="25"/>
      <c r="C162" s="26"/>
      <c r="D162" s="26"/>
      <c r="E162" s="26"/>
      <c r="F162" s="26"/>
      <c r="G162" s="26"/>
      <c r="H162" s="26"/>
      <c r="I162" s="26"/>
      <c r="J162" s="26"/>
      <c r="K162" s="26"/>
      <c r="L162" s="26"/>
      <c r="M162" s="29"/>
      <c r="N162" s="29"/>
      <c r="O162" s="29"/>
      <c r="P162" s="29"/>
      <c r="Q162" s="29"/>
      <c r="R162" s="11"/>
    </row>
    <row r="163" spans="1:18" ht="15.75" customHeight="1">
      <c r="A163" s="28"/>
      <c r="B163" s="25"/>
      <c r="C163" s="26"/>
      <c r="D163" s="26"/>
      <c r="E163" s="26"/>
      <c r="F163" s="26"/>
      <c r="G163" s="26"/>
      <c r="H163" s="26"/>
      <c r="I163" s="26"/>
      <c r="J163" s="26"/>
      <c r="K163" s="26"/>
      <c r="L163" s="26"/>
      <c r="M163" s="29"/>
      <c r="N163" s="29"/>
      <c r="O163" s="29"/>
      <c r="P163" s="29"/>
      <c r="Q163" s="29"/>
      <c r="R163" s="11"/>
    </row>
    <row r="164" spans="1:18" ht="15.75" customHeight="1">
      <c r="A164" s="28"/>
      <c r="B164" s="25"/>
      <c r="C164" s="26"/>
      <c r="D164" s="26"/>
      <c r="E164" s="26"/>
      <c r="F164" s="26"/>
      <c r="G164" s="26"/>
      <c r="H164" s="26"/>
      <c r="I164" s="26"/>
      <c r="J164" s="26"/>
      <c r="K164" s="26"/>
      <c r="L164" s="26"/>
      <c r="M164" s="29"/>
      <c r="N164" s="29"/>
      <c r="O164" s="29"/>
      <c r="P164" s="29"/>
      <c r="Q164" s="29"/>
      <c r="R164" s="11"/>
    </row>
    <row r="165" spans="1:18" ht="15.75" customHeight="1">
      <c r="A165" s="28"/>
      <c r="B165" s="25"/>
      <c r="C165" s="26"/>
      <c r="D165" s="26"/>
      <c r="E165" s="26"/>
      <c r="F165" s="26"/>
      <c r="G165" s="26"/>
      <c r="H165" s="26"/>
      <c r="I165" s="26"/>
      <c r="J165" s="26"/>
      <c r="K165" s="26"/>
      <c r="L165" s="26"/>
      <c r="M165" s="29"/>
      <c r="N165" s="29"/>
      <c r="O165" s="29"/>
      <c r="P165" s="29"/>
      <c r="Q165" s="29"/>
      <c r="R165" s="11"/>
    </row>
    <row r="166" spans="1:18" ht="15.75" customHeight="1">
      <c r="A166" s="28"/>
      <c r="B166" s="25"/>
      <c r="C166" s="26"/>
      <c r="D166" s="26"/>
      <c r="E166" s="26"/>
      <c r="F166" s="26"/>
      <c r="G166" s="26"/>
      <c r="H166" s="26"/>
      <c r="I166" s="26"/>
      <c r="J166" s="26"/>
      <c r="K166" s="26"/>
      <c r="L166" s="26"/>
      <c r="M166" s="29"/>
      <c r="N166" s="29"/>
      <c r="O166" s="29"/>
      <c r="P166" s="29"/>
      <c r="Q166" s="29"/>
      <c r="R166" s="11"/>
    </row>
    <row r="167" spans="1:18" ht="15.75" customHeight="1">
      <c r="A167" s="28"/>
      <c r="B167" s="25"/>
      <c r="C167" s="26"/>
      <c r="D167" s="26"/>
      <c r="E167" s="26"/>
      <c r="F167" s="26"/>
      <c r="G167" s="26"/>
      <c r="H167" s="26"/>
      <c r="I167" s="26"/>
      <c r="J167" s="26"/>
      <c r="K167" s="26"/>
      <c r="L167" s="26"/>
      <c r="M167" s="29"/>
      <c r="N167" s="29"/>
      <c r="O167" s="29"/>
      <c r="P167" s="29"/>
      <c r="Q167" s="29"/>
      <c r="R167" s="11"/>
    </row>
    <row r="168" spans="1:18" ht="15.75" customHeight="1">
      <c r="A168" s="28"/>
      <c r="B168" s="25"/>
      <c r="C168" s="26"/>
      <c r="D168" s="26"/>
      <c r="E168" s="26"/>
      <c r="F168" s="26"/>
      <c r="G168" s="26"/>
      <c r="H168" s="26"/>
      <c r="I168" s="26"/>
      <c r="J168" s="26"/>
      <c r="K168" s="26"/>
      <c r="L168" s="26"/>
      <c r="M168" s="29"/>
      <c r="N168" s="29"/>
      <c r="O168" s="29"/>
      <c r="P168" s="29"/>
      <c r="Q168" s="29"/>
      <c r="R168" s="11"/>
    </row>
    <row r="169" spans="1:18" ht="15.75" customHeight="1">
      <c r="A169" s="28"/>
      <c r="B169" s="25"/>
      <c r="C169" s="26"/>
      <c r="D169" s="26"/>
      <c r="E169" s="26"/>
      <c r="F169" s="26"/>
      <c r="G169" s="26"/>
      <c r="H169" s="26"/>
      <c r="I169" s="26"/>
      <c r="J169" s="26"/>
      <c r="K169" s="26"/>
      <c r="L169" s="26"/>
      <c r="M169" s="29"/>
      <c r="N169" s="29"/>
      <c r="O169" s="29"/>
      <c r="P169" s="29"/>
      <c r="Q169" s="29"/>
      <c r="R169" s="11"/>
    </row>
    <row r="170" spans="1:18" ht="15.75" customHeight="1">
      <c r="A170" s="28"/>
      <c r="B170" s="25"/>
      <c r="C170" s="26"/>
      <c r="D170" s="26"/>
      <c r="E170" s="26"/>
      <c r="F170" s="26"/>
      <c r="G170" s="26"/>
      <c r="H170" s="26"/>
      <c r="I170" s="26"/>
      <c r="J170" s="26"/>
      <c r="K170" s="26"/>
      <c r="L170" s="26"/>
      <c r="M170" s="29"/>
      <c r="N170" s="29"/>
      <c r="O170" s="29"/>
      <c r="P170" s="29"/>
      <c r="Q170" s="29"/>
      <c r="R170" s="11"/>
    </row>
    <row r="171" spans="1:18" ht="15.75" customHeight="1">
      <c r="A171" s="28"/>
      <c r="B171" s="25"/>
      <c r="C171" s="26"/>
      <c r="D171" s="26"/>
      <c r="E171" s="26"/>
      <c r="F171" s="26"/>
      <c r="G171" s="26"/>
      <c r="H171" s="26"/>
      <c r="I171" s="26"/>
      <c r="J171" s="26"/>
      <c r="K171" s="26"/>
      <c r="L171" s="26"/>
      <c r="M171" s="29"/>
      <c r="N171" s="29"/>
      <c r="O171" s="29"/>
      <c r="P171" s="29"/>
      <c r="Q171" s="29"/>
      <c r="R171" s="11"/>
    </row>
    <row r="172" spans="1:18" ht="15.75" customHeight="1">
      <c r="A172" s="28"/>
      <c r="B172" s="25"/>
      <c r="C172" s="26"/>
      <c r="D172" s="26"/>
      <c r="E172" s="26"/>
      <c r="F172" s="26"/>
      <c r="G172" s="26"/>
      <c r="H172" s="26"/>
      <c r="I172" s="26"/>
      <c r="J172" s="26"/>
      <c r="K172" s="26"/>
      <c r="L172" s="26"/>
      <c r="M172" s="29"/>
      <c r="N172" s="29"/>
      <c r="O172" s="29"/>
      <c r="P172" s="29"/>
      <c r="Q172" s="29"/>
      <c r="R172" s="11"/>
    </row>
    <row r="173" spans="1:18" ht="15.75" customHeight="1">
      <c r="A173" s="28"/>
      <c r="B173" s="25"/>
      <c r="C173" s="26"/>
      <c r="D173" s="26"/>
      <c r="E173" s="26"/>
      <c r="F173" s="26"/>
      <c r="G173" s="26"/>
      <c r="H173" s="26"/>
      <c r="I173" s="26"/>
      <c r="J173" s="26"/>
      <c r="K173" s="26"/>
      <c r="L173" s="26"/>
      <c r="M173" s="29"/>
      <c r="N173" s="29"/>
      <c r="O173" s="29"/>
      <c r="P173" s="29"/>
      <c r="Q173" s="29"/>
      <c r="R173" s="11"/>
    </row>
    <row r="174" spans="1:18" ht="15.75" customHeight="1">
      <c r="A174" s="28"/>
      <c r="B174" s="25"/>
      <c r="C174" s="26"/>
      <c r="D174" s="26"/>
      <c r="E174" s="26"/>
      <c r="F174" s="26"/>
      <c r="G174" s="26"/>
      <c r="H174" s="26"/>
      <c r="I174" s="26"/>
      <c r="J174" s="26"/>
      <c r="K174" s="26"/>
      <c r="L174" s="26"/>
      <c r="M174" s="29"/>
      <c r="N174" s="29"/>
      <c r="O174" s="29"/>
      <c r="P174" s="29"/>
      <c r="Q174" s="29"/>
      <c r="R174" s="11"/>
    </row>
    <row r="175" spans="1:18" ht="15.75" customHeight="1">
      <c r="A175" s="28"/>
      <c r="B175" s="25"/>
      <c r="C175" s="26"/>
      <c r="D175" s="26"/>
      <c r="E175" s="26"/>
      <c r="F175" s="26"/>
      <c r="G175" s="26"/>
      <c r="H175" s="26"/>
      <c r="I175" s="26"/>
      <c r="J175" s="26"/>
      <c r="K175" s="26"/>
      <c r="L175" s="26"/>
      <c r="M175" s="29"/>
      <c r="N175" s="29"/>
      <c r="O175" s="29"/>
      <c r="P175" s="29"/>
      <c r="Q175" s="29"/>
      <c r="R175" s="11"/>
    </row>
    <row r="176" spans="1:18" ht="15.75" customHeight="1">
      <c r="A176" s="28"/>
      <c r="B176" s="25"/>
      <c r="C176" s="26"/>
      <c r="D176" s="26"/>
      <c r="E176" s="26"/>
      <c r="F176" s="26"/>
      <c r="G176" s="26"/>
      <c r="H176" s="26"/>
      <c r="I176" s="26"/>
      <c r="J176" s="26"/>
      <c r="K176" s="26"/>
      <c r="L176" s="26"/>
      <c r="M176" s="29"/>
      <c r="N176" s="29"/>
      <c r="O176" s="29"/>
      <c r="P176" s="29"/>
      <c r="Q176" s="29"/>
      <c r="R176" s="11"/>
    </row>
    <row r="177" spans="1:18" ht="15.75" customHeight="1">
      <c r="A177" s="28"/>
      <c r="B177" s="25"/>
      <c r="C177" s="26"/>
      <c r="D177" s="26"/>
      <c r="E177" s="26"/>
      <c r="F177" s="26"/>
      <c r="G177" s="26"/>
      <c r="H177" s="26"/>
      <c r="I177" s="26"/>
      <c r="J177" s="26"/>
      <c r="K177" s="26"/>
      <c r="L177" s="26"/>
      <c r="M177" s="29"/>
      <c r="N177" s="29"/>
      <c r="O177" s="29"/>
      <c r="P177" s="29"/>
      <c r="Q177" s="29"/>
      <c r="R177" s="11"/>
    </row>
    <row r="178" spans="1:18" ht="15.75" customHeight="1">
      <c r="A178" s="28"/>
      <c r="B178" s="25"/>
      <c r="C178" s="26"/>
      <c r="D178" s="26"/>
      <c r="E178" s="26"/>
      <c r="F178" s="26"/>
      <c r="G178" s="26"/>
      <c r="H178" s="26"/>
      <c r="I178" s="26"/>
      <c r="J178" s="26"/>
      <c r="K178" s="26"/>
      <c r="L178" s="26"/>
      <c r="M178" s="29"/>
      <c r="N178" s="29"/>
      <c r="O178" s="29"/>
      <c r="P178" s="29"/>
      <c r="Q178" s="29"/>
      <c r="R178" s="11"/>
    </row>
    <row r="179" spans="1:18" ht="15.75" customHeight="1">
      <c r="A179" s="28"/>
      <c r="B179" s="25"/>
      <c r="C179" s="26"/>
      <c r="D179" s="26"/>
      <c r="E179" s="26"/>
      <c r="F179" s="26"/>
      <c r="G179" s="26"/>
      <c r="H179" s="26"/>
      <c r="I179" s="26"/>
      <c r="J179" s="26"/>
      <c r="K179" s="26"/>
      <c r="L179" s="26"/>
      <c r="M179" s="29"/>
      <c r="N179" s="29"/>
      <c r="O179" s="29"/>
      <c r="P179" s="29"/>
      <c r="Q179" s="29"/>
      <c r="R179" s="11"/>
    </row>
    <row r="180" spans="1:18" ht="15.75" customHeight="1">
      <c r="A180" s="28"/>
      <c r="B180" s="25"/>
      <c r="C180" s="26"/>
      <c r="D180" s="26"/>
      <c r="E180" s="26"/>
      <c r="F180" s="26"/>
      <c r="G180" s="26"/>
      <c r="H180" s="26"/>
      <c r="I180" s="26"/>
      <c r="J180" s="26"/>
      <c r="K180" s="26"/>
      <c r="L180" s="26"/>
      <c r="M180" s="29"/>
      <c r="N180" s="29"/>
      <c r="O180" s="29"/>
      <c r="P180" s="29"/>
      <c r="Q180" s="29"/>
      <c r="R180" s="11"/>
    </row>
    <row r="181" spans="1:18" ht="15.75" customHeight="1">
      <c r="A181" s="28"/>
      <c r="B181" s="25"/>
      <c r="C181" s="26"/>
      <c r="D181" s="26"/>
      <c r="E181" s="26"/>
      <c r="F181" s="26"/>
      <c r="G181" s="26"/>
      <c r="H181" s="26"/>
      <c r="I181" s="26"/>
      <c r="J181" s="26"/>
      <c r="K181" s="26"/>
      <c r="L181" s="26"/>
      <c r="M181" s="29"/>
      <c r="N181" s="29"/>
      <c r="O181" s="29"/>
      <c r="P181" s="29"/>
      <c r="Q181" s="29"/>
      <c r="R181" s="11"/>
    </row>
    <row r="182" spans="1:18" ht="15.75" customHeight="1">
      <c r="A182" s="28"/>
      <c r="B182" s="25"/>
      <c r="C182" s="26"/>
      <c r="D182" s="26"/>
      <c r="E182" s="26"/>
      <c r="F182" s="26"/>
      <c r="G182" s="26"/>
      <c r="H182" s="26"/>
      <c r="I182" s="26"/>
      <c r="J182" s="26"/>
      <c r="K182" s="26"/>
      <c r="L182" s="26"/>
      <c r="M182" s="29"/>
      <c r="N182" s="29"/>
      <c r="O182" s="29"/>
      <c r="P182" s="29"/>
      <c r="Q182" s="29"/>
      <c r="R182" s="11"/>
    </row>
    <row r="183" spans="1:18" ht="15.75" customHeight="1">
      <c r="A183" s="28"/>
      <c r="B183" s="25"/>
      <c r="C183" s="26"/>
      <c r="D183" s="26"/>
      <c r="E183" s="26"/>
      <c r="F183" s="26"/>
      <c r="G183" s="26"/>
      <c r="H183" s="26"/>
      <c r="I183" s="26"/>
      <c r="J183" s="26"/>
      <c r="K183" s="26"/>
      <c r="L183" s="26"/>
      <c r="M183" s="29"/>
      <c r="N183" s="29"/>
      <c r="O183" s="29"/>
      <c r="P183" s="29"/>
      <c r="Q183" s="29"/>
      <c r="R183" s="11"/>
    </row>
    <row r="184" spans="1:18" ht="15.75" customHeight="1">
      <c r="A184" s="28"/>
      <c r="B184" s="25"/>
      <c r="C184" s="26"/>
      <c r="D184" s="26"/>
      <c r="E184" s="26"/>
      <c r="F184" s="26"/>
      <c r="G184" s="26"/>
      <c r="H184" s="26"/>
      <c r="I184" s="26"/>
      <c r="J184" s="26"/>
      <c r="K184" s="26"/>
      <c r="L184" s="26"/>
      <c r="M184" s="29"/>
      <c r="N184" s="29"/>
      <c r="O184" s="29"/>
      <c r="P184" s="29"/>
      <c r="Q184" s="29"/>
      <c r="R184" s="11"/>
    </row>
    <row r="185" spans="1:18" ht="15.75" customHeight="1">
      <c r="A185" s="28"/>
      <c r="B185" s="25"/>
      <c r="C185" s="26"/>
      <c r="D185" s="26"/>
      <c r="E185" s="26"/>
      <c r="F185" s="26"/>
      <c r="G185" s="26"/>
      <c r="H185" s="26"/>
      <c r="I185" s="26"/>
      <c r="J185" s="26"/>
      <c r="K185" s="26"/>
      <c r="L185" s="26"/>
      <c r="M185" s="29"/>
      <c r="N185" s="29"/>
      <c r="O185" s="29"/>
      <c r="P185" s="29"/>
      <c r="Q185" s="29"/>
      <c r="R185" s="11"/>
    </row>
    <row r="186" spans="1:18" ht="15.75" customHeight="1">
      <c r="A186" s="28"/>
      <c r="B186" s="25"/>
      <c r="C186" s="26"/>
      <c r="D186" s="26"/>
      <c r="E186" s="26"/>
      <c r="F186" s="26"/>
      <c r="G186" s="26"/>
      <c r="H186" s="26"/>
      <c r="I186" s="26"/>
      <c r="J186" s="26"/>
      <c r="K186" s="26"/>
      <c r="L186" s="26"/>
      <c r="M186" s="29"/>
      <c r="N186" s="29"/>
      <c r="O186" s="29"/>
      <c r="P186" s="29"/>
      <c r="Q186" s="29"/>
      <c r="R186" s="11"/>
    </row>
    <row r="187" spans="1:18" ht="15.75" customHeight="1">
      <c r="A187" s="28"/>
      <c r="B187" s="25"/>
      <c r="C187" s="26"/>
      <c r="D187" s="26"/>
      <c r="E187" s="26"/>
      <c r="F187" s="26"/>
      <c r="G187" s="26"/>
      <c r="H187" s="26"/>
      <c r="I187" s="26"/>
      <c r="J187" s="26"/>
      <c r="K187" s="26"/>
      <c r="L187" s="26"/>
      <c r="M187" s="29"/>
      <c r="N187" s="29"/>
      <c r="O187" s="29"/>
      <c r="P187" s="29"/>
      <c r="Q187" s="29"/>
      <c r="R187" s="11"/>
    </row>
    <row r="188" spans="1:18" ht="15.75" customHeight="1">
      <c r="A188" s="28"/>
      <c r="B188" s="25"/>
      <c r="C188" s="26"/>
      <c r="D188" s="26"/>
      <c r="E188" s="26"/>
      <c r="F188" s="26"/>
      <c r="G188" s="26"/>
      <c r="H188" s="26"/>
      <c r="I188" s="26"/>
      <c r="J188" s="26"/>
      <c r="K188" s="26"/>
      <c r="L188" s="26"/>
      <c r="M188" s="29"/>
      <c r="N188" s="29"/>
      <c r="O188" s="29"/>
      <c r="P188" s="29"/>
      <c r="Q188" s="29"/>
      <c r="R188" s="11"/>
    </row>
    <row r="189" spans="1:18" ht="15.75" customHeight="1">
      <c r="A189" s="28"/>
      <c r="B189" s="25"/>
      <c r="C189" s="26"/>
      <c r="D189" s="26"/>
      <c r="E189" s="26"/>
      <c r="F189" s="26"/>
      <c r="G189" s="26"/>
      <c r="H189" s="26"/>
      <c r="I189" s="26"/>
      <c r="J189" s="26"/>
      <c r="K189" s="26"/>
      <c r="L189" s="26"/>
      <c r="M189" s="29"/>
      <c r="N189" s="29"/>
      <c r="O189" s="29"/>
      <c r="P189" s="29"/>
      <c r="Q189" s="29"/>
      <c r="R189" s="11"/>
    </row>
    <row r="190" spans="1:18" ht="15.75" customHeight="1">
      <c r="A190" s="28"/>
      <c r="B190" s="25"/>
      <c r="C190" s="26"/>
      <c r="D190" s="26"/>
      <c r="E190" s="26"/>
      <c r="F190" s="26"/>
      <c r="G190" s="26"/>
      <c r="H190" s="26"/>
      <c r="I190" s="26"/>
      <c r="J190" s="26"/>
      <c r="K190" s="26"/>
      <c r="L190" s="26"/>
      <c r="M190" s="29"/>
      <c r="N190" s="29"/>
      <c r="O190" s="29"/>
      <c r="P190" s="29"/>
      <c r="Q190" s="29"/>
      <c r="R190" s="11"/>
    </row>
    <row r="191" spans="1:18" ht="15.75" customHeight="1">
      <c r="A191" s="28"/>
      <c r="B191" s="25"/>
      <c r="C191" s="26"/>
      <c r="D191" s="26"/>
      <c r="E191" s="26"/>
      <c r="F191" s="26"/>
      <c r="G191" s="26"/>
      <c r="H191" s="26"/>
      <c r="I191" s="26"/>
      <c r="J191" s="26"/>
      <c r="K191" s="26"/>
      <c r="L191" s="26"/>
      <c r="M191" s="29"/>
      <c r="N191" s="29"/>
      <c r="O191" s="29"/>
      <c r="P191" s="29"/>
      <c r="Q191" s="29"/>
      <c r="R191" s="11"/>
    </row>
    <row r="192" spans="1:18" ht="15.75" customHeight="1">
      <c r="A192" s="28"/>
      <c r="B192" s="25"/>
      <c r="C192" s="26"/>
      <c r="D192" s="26"/>
      <c r="E192" s="26"/>
      <c r="F192" s="26"/>
      <c r="G192" s="26"/>
      <c r="H192" s="26"/>
      <c r="I192" s="26"/>
      <c r="J192" s="26"/>
      <c r="K192" s="26"/>
      <c r="L192" s="26"/>
      <c r="M192" s="29"/>
      <c r="N192" s="29"/>
      <c r="O192" s="29"/>
      <c r="P192" s="29"/>
      <c r="Q192" s="29"/>
      <c r="R192" s="11"/>
    </row>
    <row r="193" spans="1:18" ht="15.75" customHeight="1">
      <c r="A193" s="28"/>
      <c r="B193" s="25"/>
      <c r="C193" s="26"/>
      <c r="D193" s="26"/>
      <c r="E193" s="26"/>
      <c r="F193" s="26"/>
      <c r="G193" s="26"/>
      <c r="H193" s="26"/>
      <c r="I193" s="26"/>
      <c r="J193" s="26"/>
      <c r="K193" s="26"/>
      <c r="L193" s="26"/>
      <c r="M193" s="29"/>
      <c r="N193" s="29"/>
      <c r="O193" s="29"/>
      <c r="P193" s="29"/>
      <c r="Q193" s="29"/>
      <c r="R193" s="11"/>
    </row>
    <row r="194" spans="1:18" ht="15.75" customHeight="1">
      <c r="A194" s="28"/>
      <c r="B194" s="25"/>
      <c r="C194" s="26"/>
      <c r="D194" s="26"/>
      <c r="E194" s="26"/>
      <c r="F194" s="26"/>
      <c r="G194" s="26"/>
      <c r="H194" s="26"/>
      <c r="I194" s="26"/>
      <c r="J194" s="26"/>
      <c r="K194" s="26"/>
      <c r="L194" s="26"/>
      <c r="M194" s="29"/>
      <c r="N194" s="29"/>
      <c r="O194" s="29"/>
      <c r="P194" s="29"/>
      <c r="Q194" s="29"/>
      <c r="R194" s="11"/>
    </row>
    <row r="195" spans="1:18" ht="15.75" customHeight="1">
      <c r="A195" s="28"/>
      <c r="B195" s="25"/>
      <c r="C195" s="26"/>
      <c r="D195" s="26"/>
      <c r="E195" s="26"/>
      <c r="F195" s="26"/>
      <c r="G195" s="26"/>
      <c r="H195" s="26"/>
      <c r="I195" s="26"/>
      <c r="J195" s="26"/>
      <c r="K195" s="26"/>
      <c r="L195" s="26"/>
      <c r="M195" s="29"/>
      <c r="N195" s="29"/>
      <c r="O195" s="29"/>
      <c r="P195" s="29"/>
      <c r="Q195" s="29"/>
      <c r="R195" s="11"/>
    </row>
    <row r="196" spans="1:18" ht="15.75" customHeight="1">
      <c r="A196" s="28"/>
      <c r="B196" s="25"/>
      <c r="C196" s="26"/>
      <c r="D196" s="26"/>
      <c r="E196" s="26"/>
      <c r="F196" s="26"/>
      <c r="G196" s="26"/>
      <c r="H196" s="26"/>
      <c r="I196" s="26"/>
      <c r="J196" s="26"/>
      <c r="K196" s="26"/>
      <c r="L196" s="26"/>
      <c r="M196" s="29"/>
      <c r="N196" s="29"/>
      <c r="O196" s="29"/>
      <c r="P196" s="29"/>
      <c r="Q196" s="29"/>
      <c r="R196" s="11"/>
    </row>
    <row r="197" spans="1:18" ht="15.75" customHeight="1">
      <c r="A197" s="28"/>
      <c r="B197" s="25"/>
      <c r="C197" s="26"/>
      <c r="D197" s="26"/>
      <c r="E197" s="26"/>
      <c r="F197" s="26"/>
      <c r="G197" s="26"/>
      <c r="H197" s="26"/>
      <c r="I197" s="26"/>
      <c r="J197" s="26"/>
      <c r="K197" s="26"/>
      <c r="L197" s="26"/>
      <c r="M197" s="29"/>
      <c r="N197" s="29"/>
      <c r="O197" s="29"/>
      <c r="P197" s="29"/>
      <c r="Q197" s="29"/>
      <c r="R197" s="11"/>
    </row>
    <row r="198" spans="1:18" ht="15.75" customHeight="1">
      <c r="A198" s="28"/>
      <c r="B198" s="25"/>
      <c r="C198" s="26"/>
      <c r="D198" s="26"/>
      <c r="E198" s="26"/>
      <c r="F198" s="26"/>
      <c r="G198" s="26"/>
      <c r="H198" s="26"/>
      <c r="I198" s="26"/>
      <c r="J198" s="26"/>
      <c r="K198" s="26"/>
      <c r="L198" s="26"/>
      <c r="M198" s="29"/>
      <c r="N198" s="29"/>
      <c r="O198" s="29"/>
      <c r="P198" s="29"/>
      <c r="Q198" s="29"/>
      <c r="R198" s="11"/>
    </row>
    <row r="199" spans="1:18" ht="15.75" customHeight="1">
      <c r="A199" s="28"/>
      <c r="B199" s="25"/>
      <c r="C199" s="26"/>
      <c r="D199" s="26"/>
      <c r="E199" s="26"/>
      <c r="F199" s="26"/>
      <c r="G199" s="26"/>
      <c r="H199" s="26"/>
      <c r="I199" s="26"/>
      <c r="J199" s="26"/>
      <c r="K199" s="26"/>
      <c r="L199" s="26"/>
      <c r="M199" s="29"/>
      <c r="N199" s="29"/>
      <c r="O199" s="29"/>
      <c r="P199" s="29"/>
      <c r="Q199" s="29"/>
      <c r="R199" s="11"/>
    </row>
    <row r="200" spans="1:18" ht="15.75" customHeight="1">
      <c r="A200" s="28"/>
      <c r="B200" s="25"/>
      <c r="C200" s="26"/>
      <c r="D200" s="26"/>
      <c r="E200" s="26"/>
      <c r="F200" s="26"/>
      <c r="G200" s="26"/>
      <c r="H200" s="26"/>
      <c r="I200" s="26"/>
      <c r="J200" s="26"/>
      <c r="K200" s="26"/>
      <c r="L200" s="26"/>
      <c r="M200" s="29"/>
      <c r="N200" s="29"/>
      <c r="O200" s="29"/>
      <c r="P200" s="29"/>
      <c r="Q200" s="29"/>
      <c r="R200" s="11"/>
    </row>
    <row r="201" spans="1:18" ht="15.75" customHeight="1">
      <c r="A201" s="28"/>
      <c r="B201" s="25"/>
      <c r="C201" s="26"/>
      <c r="D201" s="26"/>
      <c r="E201" s="26"/>
      <c r="F201" s="26"/>
      <c r="G201" s="26"/>
      <c r="H201" s="26"/>
      <c r="I201" s="26"/>
      <c r="J201" s="26"/>
      <c r="K201" s="26"/>
      <c r="L201" s="26"/>
      <c r="M201" s="29"/>
      <c r="N201" s="29"/>
      <c r="O201" s="29"/>
      <c r="P201" s="29"/>
      <c r="Q201" s="29"/>
      <c r="R201" s="11"/>
    </row>
    <row r="202" spans="1:18" ht="15.75" customHeight="1">
      <c r="A202" s="28"/>
      <c r="B202" s="25"/>
      <c r="C202" s="26"/>
      <c r="D202" s="26"/>
      <c r="E202" s="26"/>
      <c r="F202" s="26"/>
      <c r="G202" s="26"/>
      <c r="H202" s="26"/>
      <c r="I202" s="26"/>
      <c r="J202" s="26"/>
      <c r="K202" s="26"/>
      <c r="L202" s="26"/>
      <c r="M202" s="29"/>
      <c r="N202" s="29"/>
      <c r="O202" s="29"/>
      <c r="P202" s="29"/>
      <c r="Q202" s="29"/>
      <c r="R202" s="11"/>
    </row>
    <row r="203" spans="1:18" ht="15.75" customHeight="1">
      <c r="A203" s="28"/>
      <c r="B203" s="25"/>
      <c r="C203" s="26"/>
      <c r="D203" s="26"/>
      <c r="E203" s="26"/>
      <c r="F203" s="26"/>
      <c r="G203" s="26"/>
      <c r="H203" s="26"/>
      <c r="I203" s="26"/>
      <c r="J203" s="26"/>
      <c r="K203" s="26"/>
      <c r="L203" s="26"/>
      <c r="M203" s="29"/>
      <c r="N203" s="29"/>
      <c r="O203" s="29"/>
      <c r="P203" s="29"/>
      <c r="Q203" s="29"/>
      <c r="R203" s="11"/>
    </row>
    <row r="204" spans="1:18" ht="15.75" customHeight="1">
      <c r="A204" s="28"/>
      <c r="B204" s="25"/>
      <c r="C204" s="26"/>
      <c r="D204" s="26"/>
      <c r="E204" s="26"/>
      <c r="F204" s="26"/>
      <c r="G204" s="26"/>
      <c r="H204" s="26"/>
      <c r="I204" s="26"/>
      <c r="J204" s="26"/>
      <c r="K204" s="26"/>
      <c r="L204" s="26"/>
      <c r="M204" s="29"/>
      <c r="N204" s="29"/>
      <c r="O204" s="29"/>
      <c r="P204" s="29"/>
      <c r="Q204" s="29"/>
      <c r="R204" s="11"/>
    </row>
    <row r="205" spans="1:18" ht="15.75" customHeight="1">
      <c r="A205" s="28"/>
      <c r="B205" s="25"/>
      <c r="C205" s="26"/>
      <c r="D205" s="26"/>
      <c r="E205" s="26"/>
      <c r="F205" s="26"/>
      <c r="G205" s="26"/>
      <c r="H205" s="26"/>
      <c r="I205" s="26"/>
      <c r="J205" s="26"/>
      <c r="K205" s="26"/>
      <c r="L205" s="26"/>
      <c r="M205" s="29"/>
      <c r="N205" s="29"/>
      <c r="O205" s="29"/>
      <c r="P205" s="29"/>
      <c r="Q205" s="29"/>
      <c r="R205" s="11"/>
    </row>
    <row r="206" spans="1:18" ht="15.75" customHeight="1">
      <c r="A206" s="28"/>
      <c r="B206" s="25"/>
      <c r="C206" s="26"/>
      <c r="D206" s="26"/>
      <c r="E206" s="26"/>
      <c r="F206" s="26"/>
      <c r="G206" s="26"/>
      <c r="H206" s="26"/>
      <c r="I206" s="26"/>
      <c r="J206" s="26"/>
      <c r="K206" s="26"/>
      <c r="L206" s="26"/>
      <c r="M206" s="29"/>
      <c r="N206" s="29"/>
      <c r="O206" s="29"/>
      <c r="P206" s="29"/>
      <c r="Q206" s="29"/>
      <c r="R206" s="11"/>
    </row>
    <row r="207" spans="1:18" ht="15.75" customHeight="1">
      <c r="A207" s="28"/>
      <c r="B207" s="25"/>
      <c r="C207" s="26"/>
      <c r="D207" s="26"/>
      <c r="E207" s="26"/>
      <c r="F207" s="26"/>
      <c r="G207" s="26"/>
      <c r="H207" s="26"/>
      <c r="I207" s="26"/>
      <c r="J207" s="26"/>
      <c r="K207" s="26"/>
      <c r="L207" s="26"/>
      <c r="M207" s="29"/>
      <c r="N207" s="29"/>
      <c r="O207" s="29"/>
      <c r="P207" s="29"/>
      <c r="Q207" s="29"/>
      <c r="R207" s="11"/>
    </row>
    <row r="208" spans="1:18" ht="15.75" customHeight="1">
      <c r="A208" s="28"/>
      <c r="B208" s="25"/>
      <c r="C208" s="26"/>
      <c r="D208" s="26"/>
      <c r="E208" s="26"/>
      <c r="F208" s="26"/>
      <c r="G208" s="26"/>
      <c r="H208" s="26"/>
      <c r="I208" s="26"/>
      <c r="J208" s="26"/>
      <c r="K208" s="26"/>
      <c r="L208" s="26"/>
      <c r="M208" s="29"/>
      <c r="N208" s="29"/>
      <c r="O208" s="29"/>
      <c r="P208" s="29"/>
      <c r="Q208" s="29"/>
      <c r="R208" s="11"/>
    </row>
    <row r="209" spans="1:18" ht="15.75" customHeight="1">
      <c r="A209" s="28"/>
      <c r="B209" s="25"/>
      <c r="C209" s="26"/>
      <c r="D209" s="26"/>
      <c r="E209" s="26"/>
      <c r="F209" s="26"/>
      <c r="G209" s="26"/>
      <c r="H209" s="26"/>
      <c r="I209" s="26"/>
      <c r="J209" s="26"/>
      <c r="K209" s="26"/>
      <c r="L209" s="26"/>
      <c r="M209" s="29"/>
      <c r="N209" s="29"/>
      <c r="O209" s="29"/>
      <c r="P209" s="29"/>
      <c r="Q209" s="29"/>
      <c r="R209" s="11"/>
    </row>
    <row r="210" spans="1:18" ht="15.75" customHeight="1">
      <c r="A210" s="28"/>
      <c r="B210" s="25"/>
      <c r="C210" s="26"/>
      <c r="D210" s="26"/>
      <c r="E210" s="26"/>
      <c r="F210" s="26"/>
      <c r="G210" s="26"/>
      <c r="H210" s="26"/>
      <c r="I210" s="26"/>
      <c r="J210" s="26"/>
      <c r="K210" s="26"/>
      <c r="L210" s="26"/>
      <c r="M210" s="29"/>
      <c r="N210" s="29"/>
      <c r="O210" s="29"/>
      <c r="P210" s="29"/>
      <c r="Q210" s="29"/>
      <c r="R210" s="11"/>
    </row>
    <row r="211" spans="1:18" ht="15.75" customHeight="1">
      <c r="A211" s="28"/>
      <c r="B211" s="25"/>
      <c r="C211" s="26"/>
      <c r="D211" s="26"/>
      <c r="E211" s="26"/>
      <c r="F211" s="26"/>
      <c r="G211" s="26"/>
      <c r="H211" s="26"/>
      <c r="I211" s="26"/>
      <c r="J211" s="26"/>
      <c r="K211" s="26"/>
      <c r="L211" s="26"/>
      <c r="M211" s="29"/>
      <c r="N211" s="29"/>
      <c r="O211" s="29"/>
      <c r="P211" s="29"/>
      <c r="Q211" s="29"/>
      <c r="R211" s="11"/>
    </row>
    <row r="212" spans="1:18" ht="15.75" customHeight="1">
      <c r="A212" s="28"/>
      <c r="B212" s="25"/>
      <c r="C212" s="26"/>
      <c r="D212" s="26"/>
      <c r="E212" s="26"/>
      <c r="F212" s="26"/>
      <c r="G212" s="26"/>
      <c r="H212" s="26"/>
      <c r="I212" s="26"/>
      <c r="J212" s="26"/>
      <c r="K212" s="26"/>
      <c r="L212" s="26"/>
      <c r="M212" s="29"/>
      <c r="N212" s="29"/>
      <c r="O212" s="29"/>
      <c r="P212" s="29"/>
      <c r="Q212" s="29"/>
      <c r="R212" s="11"/>
    </row>
    <row r="213" spans="1:18" ht="15.75" customHeight="1">
      <c r="A213" s="28"/>
      <c r="B213" s="25"/>
      <c r="C213" s="26"/>
      <c r="D213" s="26"/>
      <c r="E213" s="26"/>
      <c r="F213" s="26"/>
      <c r="G213" s="26"/>
      <c r="H213" s="26"/>
      <c r="I213" s="26"/>
      <c r="J213" s="26"/>
      <c r="K213" s="26"/>
      <c r="L213" s="26"/>
      <c r="M213" s="29"/>
      <c r="N213" s="29"/>
      <c r="O213" s="29"/>
      <c r="P213" s="29"/>
      <c r="Q213" s="29"/>
      <c r="R213" s="11"/>
    </row>
    <row r="214" spans="1:18" ht="15.75" customHeight="1">
      <c r="A214" s="28"/>
      <c r="B214" s="25"/>
      <c r="C214" s="26"/>
      <c r="D214" s="26"/>
      <c r="E214" s="26"/>
      <c r="F214" s="26"/>
      <c r="G214" s="26"/>
      <c r="H214" s="26"/>
      <c r="I214" s="26"/>
      <c r="J214" s="26"/>
      <c r="K214" s="26"/>
      <c r="L214" s="26"/>
      <c r="M214" s="29"/>
      <c r="N214" s="29"/>
      <c r="O214" s="29"/>
      <c r="P214" s="29"/>
      <c r="Q214" s="29"/>
      <c r="R214" s="11"/>
    </row>
    <row r="215" spans="1:18" ht="15.75" customHeight="1">
      <c r="A215" s="28"/>
      <c r="B215" s="25"/>
      <c r="C215" s="26"/>
      <c r="D215" s="26"/>
      <c r="E215" s="26"/>
      <c r="F215" s="26"/>
      <c r="G215" s="26"/>
      <c r="H215" s="26"/>
      <c r="I215" s="26"/>
      <c r="J215" s="26"/>
      <c r="K215" s="26"/>
      <c r="L215" s="26"/>
      <c r="M215" s="29"/>
      <c r="N215" s="29"/>
      <c r="O215" s="29"/>
      <c r="P215" s="29"/>
      <c r="Q215" s="29"/>
      <c r="R215" s="11"/>
    </row>
    <row r="216" spans="1:18" ht="15.75" customHeight="1">
      <c r="A216" s="28"/>
      <c r="B216" s="25"/>
      <c r="C216" s="26"/>
      <c r="D216" s="26"/>
      <c r="E216" s="26"/>
      <c r="F216" s="26"/>
      <c r="G216" s="26"/>
      <c r="H216" s="26"/>
      <c r="I216" s="26"/>
      <c r="J216" s="26"/>
      <c r="K216" s="26"/>
      <c r="L216" s="26"/>
      <c r="M216" s="29"/>
      <c r="N216" s="29"/>
      <c r="O216" s="29"/>
      <c r="P216" s="29"/>
      <c r="Q216" s="29"/>
      <c r="R216" s="11"/>
    </row>
    <row r="217" spans="1:18" ht="15.75" customHeight="1">
      <c r="A217" s="28"/>
      <c r="B217" s="25"/>
      <c r="C217" s="26"/>
      <c r="D217" s="26"/>
      <c r="E217" s="26"/>
      <c r="F217" s="26"/>
      <c r="G217" s="26"/>
      <c r="H217" s="26"/>
      <c r="I217" s="26"/>
      <c r="J217" s="26"/>
      <c r="K217" s="26"/>
      <c r="L217" s="26"/>
      <c r="M217" s="29"/>
      <c r="N217" s="29"/>
      <c r="O217" s="29"/>
      <c r="P217" s="29"/>
      <c r="Q217" s="29"/>
      <c r="R217" s="11"/>
    </row>
    <row r="218" spans="1:18" ht="15.75" customHeight="1">
      <c r="A218" s="28"/>
      <c r="B218" s="25"/>
      <c r="C218" s="26"/>
      <c r="D218" s="26"/>
      <c r="E218" s="26"/>
      <c r="F218" s="26"/>
      <c r="G218" s="26"/>
      <c r="H218" s="26"/>
      <c r="I218" s="26"/>
      <c r="J218" s="26"/>
      <c r="K218" s="26"/>
      <c r="L218" s="26"/>
      <c r="M218" s="29"/>
      <c r="N218" s="29"/>
      <c r="O218" s="29"/>
      <c r="P218" s="29"/>
      <c r="Q218" s="29"/>
      <c r="R218" s="11"/>
    </row>
    <row r="219" spans="1:18" ht="15.75" customHeight="1">
      <c r="A219" s="28"/>
      <c r="B219" s="25"/>
      <c r="C219" s="26"/>
      <c r="D219" s="26"/>
      <c r="E219" s="26"/>
      <c r="F219" s="26"/>
      <c r="G219" s="26"/>
      <c r="H219" s="26"/>
      <c r="I219" s="26"/>
      <c r="J219" s="26"/>
      <c r="K219" s="26"/>
      <c r="L219" s="26"/>
      <c r="M219" s="29"/>
      <c r="N219" s="29"/>
      <c r="O219" s="29"/>
      <c r="P219" s="29"/>
      <c r="Q219" s="29"/>
      <c r="R219" s="11"/>
    </row>
    <row r="220" spans="1:18" ht="15.75" customHeight="1">
      <c r="A220" s="28"/>
      <c r="B220" s="25"/>
      <c r="C220" s="26"/>
      <c r="D220" s="26"/>
      <c r="E220" s="26"/>
      <c r="F220" s="26"/>
      <c r="G220" s="26"/>
      <c r="H220" s="26"/>
      <c r="I220" s="26"/>
      <c r="J220" s="26"/>
      <c r="K220" s="26"/>
      <c r="L220" s="26"/>
      <c r="M220" s="29"/>
      <c r="N220" s="29"/>
      <c r="O220" s="29"/>
      <c r="P220" s="29"/>
      <c r="Q220" s="29"/>
      <c r="R220" s="11"/>
    </row>
    <row r="221" spans="1:18" ht="15.75" customHeight="1">
      <c r="A221" s="28"/>
      <c r="B221" s="25"/>
      <c r="C221" s="26"/>
      <c r="D221" s="26"/>
      <c r="E221" s="26"/>
      <c r="F221" s="26"/>
      <c r="G221" s="26"/>
      <c r="H221" s="26"/>
      <c r="I221" s="26"/>
      <c r="J221" s="26"/>
      <c r="K221" s="26"/>
      <c r="L221" s="26"/>
      <c r="M221" s="29"/>
      <c r="N221" s="29"/>
      <c r="O221" s="29"/>
      <c r="P221" s="29"/>
      <c r="Q221" s="29"/>
      <c r="R221" s="11"/>
    </row>
    <row r="222" spans="1:18" ht="15.75" customHeight="1">
      <c r="A222" s="28"/>
      <c r="B222" s="25"/>
      <c r="C222" s="26"/>
      <c r="D222" s="26"/>
      <c r="E222" s="26"/>
      <c r="F222" s="26"/>
      <c r="G222" s="26"/>
      <c r="H222" s="26"/>
      <c r="I222" s="26"/>
      <c r="J222" s="26"/>
      <c r="K222" s="26"/>
      <c r="L222" s="26"/>
      <c r="M222" s="29"/>
      <c r="N222" s="29"/>
      <c r="O222" s="29"/>
      <c r="P222" s="29"/>
      <c r="Q222" s="29"/>
      <c r="R222" s="11"/>
    </row>
    <row r="223" spans="1:18" ht="15.75" customHeight="1">
      <c r="A223" s="28"/>
      <c r="B223" s="25"/>
      <c r="C223" s="26"/>
      <c r="D223" s="26"/>
      <c r="E223" s="26"/>
      <c r="F223" s="26"/>
      <c r="G223" s="26"/>
      <c r="H223" s="26"/>
      <c r="I223" s="26"/>
      <c r="J223" s="26"/>
      <c r="K223" s="26"/>
      <c r="L223" s="26"/>
      <c r="M223" s="29"/>
      <c r="N223" s="29"/>
      <c r="O223" s="29"/>
      <c r="P223" s="29"/>
      <c r="Q223" s="29"/>
      <c r="R223" s="11"/>
    </row>
    <row r="224" spans="1:18" ht="15.75" customHeight="1">
      <c r="A224" s="28"/>
      <c r="B224" s="25"/>
      <c r="C224" s="26"/>
      <c r="D224" s="26"/>
      <c r="E224" s="26"/>
      <c r="F224" s="26"/>
      <c r="G224" s="26"/>
      <c r="H224" s="26"/>
      <c r="I224" s="26"/>
      <c r="J224" s="26"/>
      <c r="K224" s="26"/>
      <c r="L224" s="26"/>
      <c r="M224" s="29"/>
      <c r="N224" s="29"/>
      <c r="O224" s="29"/>
      <c r="P224" s="29"/>
      <c r="Q224" s="29"/>
      <c r="R224" s="11"/>
    </row>
    <row r="225" spans="1:18" ht="15.75" customHeight="1">
      <c r="A225" s="28"/>
      <c r="B225" s="25"/>
      <c r="C225" s="26"/>
      <c r="D225" s="26"/>
      <c r="E225" s="26"/>
      <c r="F225" s="26"/>
      <c r="G225" s="26"/>
      <c r="H225" s="26"/>
      <c r="I225" s="26"/>
      <c r="J225" s="26"/>
      <c r="K225" s="26"/>
      <c r="L225" s="26"/>
      <c r="M225" s="29"/>
      <c r="N225" s="29"/>
      <c r="O225" s="29"/>
      <c r="P225" s="29"/>
      <c r="Q225" s="29"/>
      <c r="R225" s="11"/>
    </row>
    <row r="226" spans="1:18" ht="15.75" customHeight="1">
      <c r="A226" s="28"/>
      <c r="B226" s="25"/>
      <c r="C226" s="26"/>
      <c r="D226" s="26"/>
      <c r="E226" s="26"/>
      <c r="F226" s="26"/>
      <c r="G226" s="26"/>
      <c r="H226" s="26"/>
      <c r="I226" s="26"/>
      <c r="J226" s="26"/>
      <c r="K226" s="26"/>
      <c r="L226" s="26"/>
      <c r="M226" s="29"/>
      <c r="N226" s="29"/>
      <c r="O226" s="29"/>
      <c r="P226" s="29"/>
      <c r="Q226" s="29"/>
      <c r="R226" s="11"/>
    </row>
    <row r="227" spans="1:18" ht="15.75" customHeight="1">
      <c r="A227" s="28"/>
      <c r="B227" s="25"/>
      <c r="C227" s="26"/>
      <c r="D227" s="26"/>
      <c r="E227" s="26"/>
      <c r="F227" s="26"/>
      <c r="G227" s="26"/>
      <c r="H227" s="26"/>
      <c r="I227" s="26"/>
      <c r="J227" s="26"/>
      <c r="K227" s="26"/>
      <c r="L227" s="26"/>
      <c r="M227" s="29"/>
      <c r="N227" s="29"/>
      <c r="O227" s="29"/>
      <c r="P227" s="29"/>
      <c r="Q227" s="29"/>
      <c r="R227" s="11"/>
    </row>
    <row r="228" spans="1:18" ht="15.75" customHeight="1">
      <c r="A228" s="28"/>
      <c r="B228" s="25"/>
      <c r="C228" s="26"/>
      <c r="D228" s="26"/>
      <c r="E228" s="26"/>
      <c r="F228" s="26"/>
      <c r="G228" s="26"/>
      <c r="H228" s="26"/>
      <c r="I228" s="26"/>
      <c r="J228" s="26"/>
      <c r="K228" s="26"/>
      <c r="L228" s="26"/>
      <c r="M228" s="29"/>
      <c r="N228" s="29"/>
      <c r="O228" s="29"/>
      <c r="P228" s="29"/>
      <c r="Q228" s="29"/>
      <c r="R228" s="11"/>
    </row>
    <row r="229" spans="1:18" ht="15.75" customHeight="1">
      <c r="A229" s="28"/>
      <c r="B229" s="25"/>
      <c r="C229" s="26"/>
      <c r="D229" s="26"/>
      <c r="E229" s="26"/>
      <c r="F229" s="26"/>
      <c r="G229" s="26"/>
      <c r="H229" s="26"/>
      <c r="I229" s="26"/>
      <c r="J229" s="26"/>
      <c r="K229" s="26"/>
      <c r="L229" s="26"/>
      <c r="M229" s="29"/>
      <c r="N229" s="29"/>
      <c r="O229" s="29"/>
      <c r="P229" s="29"/>
      <c r="Q229" s="29"/>
      <c r="R229" s="11"/>
    </row>
    <row r="230" spans="1:18" ht="15.75" customHeight="1">
      <c r="A230" s="28"/>
      <c r="B230" s="25"/>
      <c r="C230" s="26"/>
      <c r="D230" s="26"/>
      <c r="E230" s="26"/>
      <c r="F230" s="26"/>
      <c r="G230" s="26"/>
      <c r="H230" s="26"/>
      <c r="I230" s="26"/>
      <c r="J230" s="26"/>
      <c r="K230" s="26"/>
      <c r="L230" s="26"/>
      <c r="M230" s="29"/>
      <c r="N230" s="29"/>
      <c r="O230" s="29"/>
      <c r="P230" s="29"/>
      <c r="Q230" s="29"/>
      <c r="R230" s="11"/>
    </row>
    <row r="231" spans="1:18" ht="15.75" customHeight="1">
      <c r="A231" s="28"/>
      <c r="B231" s="25"/>
      <c r="C231" s="26"/>
      <c r="D231" s="26"/>
      <c r="E231" s="26"/>
      <c r="F231" s="26"/>
      <c r="G231" s="26"/>
      <c r="H231" s="26"/>
      <c r="I231" s="26"/>
      <c r="J231" s="26"/>
      <c r="K231" s="26"/>
      <c r="L231" s="26"/>
      <c r="M231" s="29"/>
      <c r="N231" s="29"/>
      <c r="O231" s="29"/>
      <c r="P231" s="29"/>
      <c r="Q231" s="29"/>
      <c r="R231" s="11"/>
    </row>
    <row r="232" spans="1:18" ht="15.75" customHeight="1">
      <c r="A232" s="28"/>
      <c r="B232" s="25"/>
      <c r="C232" s="26"/>
      <c r="D232" s="26"/>
      <c r="E232" s="26"/>
      <c r="F232" s="26"/>
      <c r="G232" s="26"/>
      <c r="H232" s="26"/>
      <c r="I232" s="26"/>
      <c r="J232" s="26"/>
      <c r="K232" s="26"/>
      <c r="L232" s="26"/>
      <c r="M232" s="29"/>
      <c r="N232" s="29"/>
      <c r="O232" s="29"/>
      <c r="P232" s="29"/>
      <c r="Q232" s="29"/>
      <c r="R232" s="11"/>
    </row>
    <row r="233" spans="1:18" ht="15.75" customHeight="1">
      <c r="A233" s="28"/>
      <c r="B233" s="25"/>
      <c r="C233" s="26"/>
      <c r="D233" s="26"/>
      <c r="E233" s="26"/>
      <c r="F233" s="26"/>
      <c r="G233" s="26"/>
      <c r="H233" s="26"/>
      <c r="I233" s="26"/>
      <c r="J233" s="26"/>
      <c r="K233" s="26"/>
      <c r="L233" s="26"/>
      <c r="M233" s="29"/>
      <c r="N233" s="29"/>
      <c r="O233" s="29"/>
      <c r="P233" s="29"/>
      <c r="Q233" s="29"/>
      <c r="R233" s="11"/>
    </row>
    <row r="234" spans="1:18" ht="15.75" customHeight="1">
      <c r="A234" s="28"/>
      <c r="B234" s="25"/>
      <c r="C234" s="26"/>
      <c r="D234" s="26"/>
      <c r="E234" s="26"/>
      <c r="F234" s="26"/>
      <c r="G234" s="26"/>
      <c r="H234" s="26"/>
      <c r="I234" s="26"/>
      <c r="J234" s="26"/>
      <c r="K234" s="26"/>
      <c r="L234" s="26"/>
      <c r="M234" s="29"/>
      <c r="N234" s="29"/>
      <c r="O234" s="29"/>
      <c r="P234" s="29"/>
      <c r="Q234" s="29"/>
      <c r="R234" s="11"/>
    </row>
    <row r="235" spans="1:18" ht="15.75" customHeight="1">
      <c r="A235" s="28"/>
      <c r="B235" s="25"/>
      <c r="C235" s="26"/>
      <c r="D235" s="26"/>
      <c r="E235" s="26"/>
      <c r="F235" s="26"/>
      <c r="G235" s="26"/>
      <c r="H235" s="26"/>
      <c r="I235" s="26"/>
      <c r="J235" s="26"/>
      <c r="K235" s="26"/>
      <c r="L235" s="26"/>
      <c r="M235" s="29"/>
      <c r="N235" s="29"/>
      <c r="O235" s="29"/>
      <c r="P235" s="29"/>
      <c r="Q235" s="29"/>
      <c r="R235" s="11"/>
    </row>
    <row r="236" spans="1:18" ht="15.75" customHeight="1">
      <c r="A236" s="28"/>
      <c r="B236" s="25"/>
      <c r="C236" s="26"/>
      <c r="D236" s="26"/>
      <c r="E236" s="26"/>
      <c r="F236" s="26"/>
      <c r="G236" s="26"/>
      <c r="H236" s="26"/>
      <c r="I236" s="26"/>
      <c r="J236" s="26"/>
      <c r="K236" s="26"/>
      <c r="L236" s="26"/>
      <c r="M236" s="29"/>
      <c r="N236" s="29"/>
      <c r="O236" s="29"/>
      <c r="P236" s="29"/>
      <c r="Q236" s="29"/>
      <c r="R236" s="11"/>
    </row>
    <row r="237" spans="1:18" ht="15.75" customHeight="1"/>
    <row r="238" spans="1:18" ht="15.75" customHeight="1"/>
    <row r="239" spans="1:18" ht="15.75" customHeight="1"/>
    <row r="240" spans="1: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0:L30"/>
    <mergeCell ref="A31:L31"/>
    <mergeCell ref="A32:L32"/>
    <mergeCell ref="A36:L36"/>
  </mergeCells>
  <phoneticPr fontId="21"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97"/>
  <sheetViews>
    <sheetView workbookViewId="0">
      <pane ySplit="1" topLeftCell="A2" activePane="bottomLeft" state="frozen"/>
      <selection pane="bottomLeft"/>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hidden="1" customWidth="1"/>
    <col min="9" max="9" width="21.7109375" hidden="1" customWidth="1"/>
    <col min="10" max="10" width="18.7109375" hidden="1" customWidth="1"/>
    <col min="11" max="11" width="29" hidden="1" customWidth="1"/>
    <col min="12" max="12" width="42" hidden="1"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27" width="8.7109375" customWidth="1"/>
  </cols>
  <sheetData>
    <row r="1" spans="1:18" ht="15.75" customHeight="1">
      <c r="A1" s="3" t="s">
        <v>146</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10" t="s">
        <v>147</v>
      </c>
      <c r="B2" s="5" t="s">
        <v>148</v>
      </c>
      <c r="C2" s="6" t="s">
        <v>23</v>
      </c>
      <c r="D2" s="6" t="s">
        <v>23</v>
      </c>
      <c r="E2" s="6" t="s">
        <v>23</v>
      </c>
      <c r="F2" s="6" t="s">
        <v>23</v>
      </c>
      <c r="G2" s="6" t="s">
        <v>23</v>
      </c>
      <c r="H2" s="6"/>
      <c r="I2" s="6"/>
      <c r="J2" s="6"/>
      <c r="K2" s="6"/>
      <c r="L2" s="6"/>
      <c r="M2" s="6">
        <f t="shared" ref="M2" si="0">IF(TRIM(SUBSTITUTE(C2, "　", " "))=TRIM(SUBSTITUTE($B2, "　", " ")), 2, 0)</f>
        <v>2</v>
      </c>
      <c r="N2" s="6">
        <f t="shared" ref="N2:N12" si="1">IF(TRIM(SUBSTITUTE(D2, "　", " "))=TRIM(SUBSTITUTE($B2, "　", " ")), 2, 0)</f>
        <v>2</v>
      </c>
      <c r="O2" s="6">
        <f t="shared" ref="O2:O12" si="2">IF(TRIM(SUBSTITUTE(E2, "　", " "))=TRIM(SUBSTITUTE($B2, "　", " ")), 2, 0)</f>
        <v>2</v>
      </c>
      <c r="P2" s="6">
        <f t="shared" ref="P2:P12" si="3">IF(TRIM(SUBSTITUTE(F2, "　", " "))=TRIM(SUBSTITUTE($B2, "　", " ")), 2, 0)</f>
        <v>2</v>
      </c>
      <c r="Q2" s="6">
        <f t="shared" ref="Q2:Q12" si="4">IF(TRIM(SUBSTITUTE(G2, "　", " "))=TRIM(SUBSTITUTE($B2, "　", " ")), 2, 0)</f>
        <v>2</v>
      </c>
      <c r="R2" s="2"/>
    </row>
    <row r="3" spans="1:18" ht="15.75" customHeight="1">
      <c r="A3" s="10" t="s">
        <v>149</v>
      </c>
      <c r="B3" s="5" t="s">
        <v>150</v>
      </c>
      <c r="C3" s="6" t="s">
        <v>18</v>
      </c>
      <c r="D3" s="6" t="s">
        <v>18</v>
      </c>
      <c r="E3" s="6" t="s">
        <v>18</v>
      </c>
      <c r="F3" s="6" t="s">
        <v>18</v>
      </c>
      <c r="G3" s="6" t="s">
        <v>18</v>
      </c>
      <c r="H3" s="6"/>
      <c r="I3" s="6"/>
      <c r="J3" s="6"/>
      <c r="K3" s="6"/>
      <c r="L3" s="6"/>
      <c r="M3" s="6">
        <f t="shared" ref="M3" si="5">IF(TRIM(SUBSTITUTE(C3, "　", " "))=TRIM(SUBSTITUTE($B3, "　", " ")), 2, 0)</f>
        <v>2</v>
      </c>
      <c r="N3" s="6">
        <f t="shared" si="1"/>
        <v>2</v>
      </c>
      <c r="O3" s="6">
        <f t="shared" si="2"/>
        <v>2</v>
      </c>
      <c r="P3" s="6">
        <f t="shared" si="3"/>
        <v>2</v>
      </c>
      <c r="Q3" s="6">
        <f t="shared" si="4"/>
        <v>2</v>
      </c>
      <c r="R3" s="11"/>
    </row>
    <row r="4" spans="1:18" ht="15.75" customHeight="1">
      <c r="A4" s="10" t="s">
        <v>151</v>
      </c>
      <c r="B4" s="5" t="s">
        <v>148</v>
      </c>
      <c r="C4" s="6" t="s">
        <v>23</v>
      </c>
      <c r="D4" s="6" t="s">
        <v>23</v>
      </c>
      <c r="E4" s="6" t="s">
        <v>20</v>
      </c>
      <c r="F4" s="6" t="s">
        <v>20</v>
      </c>
      <c r="G4" s="6" t="s">
        <v>23</v>
      </c>
      <c r="H4" s="6"/>
      <c r="I4" s="6"/>
      <c r="J4" s="6"/>
      <c r="K4" s="6"/>
      <c r="L4" s="6"/>
      <c r="M4" s="6">
        <f t="shared" ref="M4" si="6">IF(TRIM(SUBSTITUTE(C4, "　", " "))=TRIM(SUBSTITUTE($B4, "　", " ")), 2, 0)</f>
        <v>2</v>
      </c>
      <c r="N4" s="6">
        <f t="shared" si="1"/>
        <v>2</v>
      </c>
      <c r="O4" s="6">
        <f t="shared" si="2"/>
        <v>0</v>
      </c>
      <c r="P4" s="6">
        <f t="shared" si="3"/>
        <v>0</v>
      </c>
      <c r="Q4" s="6">
        <f t="shared" si="4"/>
        <v>2</v>
      </c>
      <c r="R4" s="11"/>
    </row>
    <row r="5" spans="1:18" ht="15.75" customHeight="1">
      <c r="A5" s="10" t="s">
        <v>152</v>
      </c>
      <c r="B5" s="5" t="s">
        <v>150</v>
      </c>
      <c r="C5" s="6" t="s">
        <v>17</v>
      </c>
      <c r="D5" s="6" t="s">
        <v>18</v>
      </c>
      <c r="E5" s="6" t="s">
        <v>17</v>
      </c>
      <c r="F5" s="6" t="s">
        <v>18</v>
      </c>
      <c r="G5" s="6" t="s">
        <v>18</v>
      </c>
      <c r="H5" s="6"/>
      <c r="I5" s="6"/>
      <c r="J5" s="6"/>
      <c r="K5" s="6"/>
      <c r="L5" s="6"/>
      <c r="M5" s="6">
        <f t="shared" ref="M5" si="7">IF(TRIM(SUBSTITUTE(C5, "　", " "))=TRIM(SUBSTITUTE($B5, "　", " ")), 2, 0)</f>
        <v>0</v>
      </c>
      <c r="N5" s="6">
        <f t="shared" si="1"/>
        <v>2</v>
      </c>
      <c r="O5" s="6">
        <f t="shared" si="2"/>
        <v>0</v>
      </c>
      <c r="P5" s="6">
        <f t="shared" si="3"/>
        <v>2</v>
      </c>
      <c r="Q5" s="6">
        <f t="shared" si="4"/>
        <v>2</v>
      </c>
      <c r="R5" s="2"/>
    </row>
    <row r="6" spans="1:18" ht="15.75" customHeight="1">
      <c r="A6" s="10" t="s">
        <v>153</v>
      </c>
      <c r="B6" s="5" t="s">
        <v>150</v>
      </c>
      <c r="C6" s="6" t="s">
        <v>23</v>
      </c>
      <c r="D6" s="6" t="s">
        <v>23</v>
      </c>
      <c r="E6" s="6" t="s">
        <v>17</v>
      </c>
      <c r="F6" s="6" t="s">
        <v>23</v>
      </c>
      <c r="G6" s="6" t="s">
        <v>18</v>
      </c>
      <c r="H6" s="6"/>
      <c r="I6" s="6"/>
      <c r="J6" s="6"/>
      <c r="K6" s="6"/>
      <c r="L6" s="6"/>
      <c r="M6" s="6">
        <f t="shared" ref="M6" si="8">IF(TRIM(SUBSTITUTE(C6, "　", " "))=TRIM(SUBSTITUTE($B6, "　", " ")), 2, 0)</f>
        <v>0</v>
      </c>
      <c r="N6" s="6">
        <f t="shared" si="1"/>
        <v>0</v>
      </c>
      <c r="O6" s="6">
        <f t="shared" si="2"/>
        <v>0</v>
      </c>
      <c r="P6" s="6">
        <f t="shared" si="3"/>
        <v>0</v>
      </c>
      <c r="Q6" s="6">
        <f t="shared" si="4"/>
        <v>2</v>
      </c>
      <c r="R6" s="2"/>
    </row>
    <row r="7" spans="1:18" ht="15.75" customHeight="1">
      <c r="A7" s="10" t="s">
        <v>154</v>
      </c>
      <c r="B7" s="5" t="s">
        <v>155</v>
      </c>
      <c r="C7" s="6" t="s">
        <v>20</v>
      </c>
      <c r="D7" s="6" t="s">
        <v>20</v>
      </c>
      <c r="E7" s="6" t="s">
        <v>20</v>
      </c>
      <c r="F7" s="6" t="s">
        <v>20</v>
      </c>
      <c r="G7" s="6" t="s">
        <v>20</v>
      </c>
      <c r="H7" s="6"/>
      <c r="I7" s="6"/>
      <c r="J7" s="6"/>
      <c r="K7" s="6"/>
      <c r="L7" s="6"/>
      <c r="M7" s="6">
        <f t="shared" ref="M7" si="9">IF(TRIM(SUBSTITUTE(C7, "　", " "))=TRIM(SUBSTITUTE($B7, "　", " ")), 2, 0)</f>
        <v>2</v>
      </c>
      <c r="N7" s="6">
        <f t="shared" si="1"/>
        <v>2</v>
      </c>
      <c r="O7" s="6">
        <f t="shared" si="2"/>
        <v>2</v>
      </c>
      <c r="P7" s="6">
        <f t="shared" si="3"/>
        <v>2</v>
      </c>
      <c r="Q7" s="6">
        <f t="shared" si="4"/>
        <v>2</v>
      </c>
      <c r="R7" s="2"/>
    </row>
    <row r="8" spans="1:18" ht="15.75" customHeight="1">
      <c r="A8" s="10" t="s">
        <v>156</v>
      </c>
      <c r="B8" s="5" t="s">
        <v>155</v>
      </c>
      <c r="C8" s="6" t="s">
        <v>20</v>
      </c>
      <c r="D8" s="6" t="s">
        <v>20</v>
      </c>
      <c r="E8" s="6" t="s">
        <v>17</v>
      </c>
      <c r="F8" s="6" t="s">
        <v>20</v>
      </c>
      <c r="G8" s="6" t="s">
        <v>20</v>
      </c>
      <c r="H8" s="6"/>
      <c r="I8" s="6"/>
      <c r="J8" s="6"/>
      <c r="K8" s="6"/>
      <c r="L8" s="6"/>
      <c r="M8" s="6">
        <f t="shared" ref="M8" si="10">IF(TRIM(SUBSTITUTE(C8, "　", " "))=TRIM(SUBSTITUTE($B8, "　", " ")), 2, 0)</f>
        <v>2</v>
      </c>
      <c r="N8" s="6">
        <f t="shared" si="1"/>
        <v>2</v>
      </c>
      <c r="O8" s="6">
        <f t="shared" si="2"/>
        <v>0</v>
      </c>
      <c r="P8" s="6">
        <f t="shared" si="3"/>
        <v>2</v>
      </c>
      <c r="Q8" s="6">
        <f t="shared" si="4"/>
        <v>2</v>
      </c>
      <c r="R8" s="2"/>
    </row>
    <row r="9" spans="1:18" ht="15.75" customHeight="1">
      <c r="A9" s="10" t="s">
        <v>157</v>
      </c>
      <c r="B9" s="5" t="s">
        <v>150</v>
      </c>
      <c r="C9" s="6" t="s">
        <v>18</v>
      </c>
      <c r="D9" s="6" t="s">
        <v>18</v>
      </c>
      <c r="E9" s="6" t="s">
        <v>18</v>
      </c>
      <c r="F9" s="6" t="s">
        <v>18</v>
      </c>
      <c r="G9" s="6" t="s">
        <v>18</v>
      </c>
      <c r="H9" s="6"/>
      <c r="I9" s="6"/>
      <c r="J9" s="6"/>
      <c r="K9" s="6"/>
      <c r="L9" s="6"/>
      <c r="M9" s="6">
        <f t="shared" ref="M9" si="11">IF(TRIM(SUBSTITUTE(C9, "　", " "))=TRIM(SUBSTITUTE($B9, "　", " ")), 2, 0)</f>
        <v>2</v>
      </c>
      <c r="N9" s="6">
        <f t="shared" si="1"/>
        <v>2</v>
      </c>
      <c r="O9" s="6">
        <f t="shared" si="2"/>
        <v>2</v>
      </c>
      <c r="P9" s="6">
        <f t="shared" si="3"/>
        <v>2</v>
      </c>
      <c r="Q9" s="6">
        <f t="shared" si="4"/>
        <v>2</v>
      </c>
      <c r="R9" s="2"/>
    </row>
    <row r="10" spans="1:18" ht="15.75" customHeight="1">
      <c r="A10" s="10" t="s">
        <v>158</v>
      </c>
      <c r="B10" s="5" t="s">
        <v>148</v>
      </c>
      <c r="C10" s="6" t="s">
        <v>23</v>
      </c>
      <c r="D10" s="6" t="s">
        <v>23</v>
      </c>
      <c r="E10" s="5" t="s">
        <v>23</v>
      </c>
      <c r="F10" s="5" t="s">
        <v>23</v>
      </c>
      <c r="G10" s="5" t="s">
        <v>23</v>
      </c>
      <c r="H10" s="5"/>
      <c r="I10" s="5"/>
      <c r="J10" s="5"/>
      <c r="K10" s="5"/>
      <c r="L10" s="5"/>
      <c r="M10" s="6">
        <f t="shared" ref="M10" si="12">IF(TRIM(SUBSTITUTE(C10, "　", " "))=TRIM(SUBSTITUTE($B10, "　", " ")), 2, 0)</f>
        <v>2</v>
      </c>
      <c r="N10" s="6">
        <f t="shared" si="1"/>
        <v>2</v>
      </c>
      <c r="O10" s="6">
        <f t="shared" si="2"/>
        <v>2</v>
      </c>
      <c r="P10" s="6">
        <f t="shared" si="3"/>
        <v>2</v>
      </c>
      <c r="Q10" s="6">
        <f t="shared" si="4"/>
        <v>2</v>
      </c>
      <c r="R10" s="2"/>
    </row>
    <row r="11" spans="1:18" ht="15.75" customHeight="1">
      <c r="A11" s="10" t="s">
        <v>159</v>
      </c>
      <c r="B11" s="5" t="s">
        <v>148</v>
      </c>
      <c r="C11" s="6" t="s">
        <v>18</v>
      </c>
      <c r="D11" s="6" t="s">
        <v>23</v>
      </c>
      <c r="E11" s="5" t="s">
        <v>17</v>
      </c>
      <c r="F11" s="5" t="s">
        <v>23</v>
      </c>
      <c r="G11" s="5" t="s">
        <v>23</v>
      </c>
      <c r="H11" s="5"/>
      <c r="I11" s="5"/>
      <c r="J11" s="5"/>
      <c r="K11" s="5"/>
      <c r="L11" s="5"/>
      <c r="M11" s="6">
        <f t="shared" ref="M11" si="13">IF(TRIM(SUBSTITUTE(C11, "　", " "))=TRIM(SUBSTITUTE($B11, "　", " ")), 2, 0)</f>
        <v>0</v>
      </c>
      <c r="N11" s="6">
        <f t="shared" si="1"/>
        <v>2</v>
      </c>
      <c r="O11" s="6">
        <f t="shared" si="2"/>
        <v>0</v>
      </c>
      <c r="P11" s="6">
        <f t="shared" si="3"/>
        <v>2</v>
      </c>
      <c r="Q11" s="6">
        <f t="shared" si="4"/>
        <v>2</v>
      </c>
      <c r="R11" s="2"/>
    </row>
    <row r="12" spans="1:18" ht="15.75" customHeight="1">
      <c r="A12" s="10" t="s">
        <v>582</v>
      </c>
      <c r="B12" s="5" t="s">
        <v>148</v>
      </c>
      <c r="C12" s="6" t="s">
        <v>23</v>
      </c>
      <c r="D12" s="6" t="s">
        <v>23</v>
      </c>
      <c r="E12" s="5" t="s">
        <v>23</v>
      </c>
      <c r="F12" s="5" t="s">
        <v>23</v>
      </c>
      <c r="G12" s="5" t="s">
        <v>23</v>
      </c>
      <c r="H12" s="5"/>
      <c r="I12" s="5"/>
      <c r="J12" s="5"/>
      <c r="K12" s="5"/>
      <c r="L12" s="5"/>
      <c r="M12" s="6">
        <f t="shared" ref="M12" si="14">IF(TRIM(SUBSTITUTE(C12, "　", " "))=TRIM(SUBSTITUTE($B12, "　", " ")), 2, 0)</f>
        <v>2</v>
      </c>
      <c r="N12" s="6">
        <f t="shared" si="1"/>
        <v>2</v>
      </c>
      <c r="O12" s="6">
        <f t="shared" si="2"/>
        <v>2</v>
      </c>
      <c r="P12" s="6">
        <f t="shared" si="3"/>
        <v>2</v>
      </c>
      <c r="Q12" s="6">
        <f t="shared" si="4"/>
        <v>2</v>
      </c>
      <c r="R12" s="2"/>
    </row>
    <row r="13" spans="1:18" ht="15.75" customHeight="1">
      <c r="A13" s="31" t="s">
        <v>160</v>
      </c>
      <c r="B13" s="5"/>
      <c r="C13" s="6"/>
      <c r="D13" s="6"/>
      <c r="E13" s="6"/>
      <c r="F13" s="6"/>
      <c r="G13" s="6"/>
      <c r="H13" s="6"/>
      <c r="I13" s="6"/>
      <c r="J13" s="6"/>
      <c r="K13" s="6"/>
      <c r="L13" s="6"/>
      <c r="M13" s="6"/>
      <c r="N13" s="6"/>
      <c r="O13" s="6"/>
      <c r="P13" s="6"/>
      <c r="Q13" s="6"/>
      <c r="R13" s="2"/>
    </row>
    <row r="14" spans="1:18" ht="15.75" customHeight="1">
      <c r="A14" s="10" t="s">
        <v>161</v>
      </c>
      <c r="B14" s="5" t="s">
        <v>162</v>
      </c>
      <c r="C14" s="6" t="s">
        <v>17</v>
      </c>
      <c r="D14" s="6" t="s">
        <v>17</v>
      </c>
      <c r="E14" s="6" t="s">
        <v>17</v>
      </c>
      <c r="F14" s="6" t="s">
        <v>17</v>
      </c>
      <c r="G14" s="6" t="s">
        <v>17</v>
      </c>
      <c r="H14" s="6"/>
      <c r="I14" s="6"/>
      <c r="J14" s="6"/>
      <c r="K14" s="6"/>
      <c r="L14" s="6"/>
      <c r="M14" s="6">
        <f t="shared" ref="M14" si="15">IF(TRIM(SUBSTITUTE(C14, "　", " "))=TRIM(SUBSTITUTE($B14, "　", " ")), 2, 0)</f>
        <v>2</v>
      </c>
      <c r="N14" s="6">
        <f t="shared" ref="N14:N16" si="16">IF(TRIM(SUBSTITUTE(D14, "　", " "))=TRIM(SUBSTITUTE($B14, "　", " ")), 2, 0)</f>
        <v>2</v>
      </c>
      <c r="O14" s="6">
        <f t="shared" ref="O14:O16" si="17">IF(TRIM(SUBSTITUTE(E14, "　", " "))=TRIM(SUBSTITUTE($B14, "　", " ")), 2, 0)</f>
        <v>2</v>
      </c>
      <c r="P14" s="6">
        <f t="shared" ref="P14:P16" si="18">IF(TRIM(SUBSTITUTE(F14, "　", " "))=TRIM(SUBSTITUTE($B14, "　", " ")), 2, 0)</f>
        <v>2</v>
      </c>
      <c r="Q14" s="6">
        <f t="shared" ref="Q14:Q16" si="19">IF(TRIM(SUBSTITUTE(G14, "　", " "))=TRIM(SUBSTITUTE($B14, "　", " ")), 2, 0)</f>
        <v>2</v>
      </c>
      <c r="R14" s="2"/>
    </row>
    <row r="15" spans="1:18" ht="15.75" customHeight="1">
      <c r="A15" s="10" t="s">
        <v>163</v>
      </c>
      <c r="B15" s="5" t="s">
        <v>155</v>
      </c>
      <c r="C15" s="6" t="s">
        <v>20</v>
      </c>
      <c r="D15" s="6" t="s">
        <v>20</v>
      </c>
      <c r="E15" s="6" t="s">
        <v>20</v>
      </c>
      <c r="F15" s="6" t="s">
        <v>20</v>
      </c>
      <c r="G15" s="6" t="s">
        <v>20</v>
      </c>
      <c r="H15" s="6"/>
      <c r="I15" s="6"/>
      <c r="J15" s="6"/>
      <c r="K15" s="6"/>
      <c r="L15" s="6"/>
      <c r="M15" s="6">
        <f t="shared" ref="M15" si="20">IF(TRIM(SUBSTITUTE(C15, "　", " "))=TRIM(SUBSTITUTE($B15, "　", " ")), 2, 0)</f>
        <v>2</v>
      </c>
      <c r="N15" s="6">
        <f t="shared" si="16"/>
        <v>2</v>
      </c>
      <c r="O15" s="6">
        <f t="shared" si="17"/>
        <v>2</v>
      </c>
      <c r="P15" s="6">
        <f t="shared" si="18"/>
        <v>2</v>
      </c>
      <c r="Q15" s="6">
        <f t="shared" si="19"/>
        <v>2</v>
      </c>
      <c r="R15" s="2"/>
    </row>
    <row r="16" spans="1:18" ht="15.75" customHeight="1">
      <c r="A16" s="10" t="s">
        <v>164</v>
      </c>
      <c r="B16" s="5" t="s">
        <v>162</v>
      </c>
      <c r="C16" s="6" t="s">
        <v>17</v>
      </c>
      <c r="D16" s="6" t="s">
        <v>17</v>
      </c>
      <c r="E16" s="6" t="s">
        <v>17</v>
      </c>
      <c r="F16" s="6" t="s">
        <v>17</v>
      </c>
      <c r="G16" s="6" t="s">
        <v>17</v>
      </c>
      <c r="H16" s="6"/>
      <c r="I16" s="6"/>
      <c r="J16" s="6"/>
      <c r="K16" s="6"/>
      <c r="L16" s="6"/>
      <c r="M16" s="6">
        <f t="shared" ref="M16" si="21">IF(TRIM(SUBSTITUTE(C16, "　", " "))=TRIM(SUBSTITUTE($B16, "　", " ")), 2, 0)</f>
        <v>2</v>
      </c>
      <c r="N16" s="6">
        <f t="shared" si="16"/>
        <v>2</v>
      </c>
      <c r="O16" s="6">
        <f t="shared" si="17"/>
        <v>2</v>
      </c>
      <c r="P16" s="6">
        <f t="shared" si="18"/>
        <v>2</v>
      </c>
      <c r="Q16" s="6">
        <f t="shared" si="19"/>
        <v>2</v>
      </c>
      <c r="R16" s="2"/>
    </row>
    <row r="17" spans="1:18" ht="15.75" customHeight="1">
      <c r="A17" s="31" t="s">
        <v>165</v>
      </c>
      <c r="B17" s="5"/>
      <c r="C17" s="13"/>
      <c r="D17" s="13"/>
      <c r="E17" s="13"/>
      <c r="F17" s="13"/>
      <c r="G17" s="13"/>
      <c r="H17" s="13"/>
      <c r="I17" s="13"/>
      <c r="J17" s="13"/>
      <c r="K17" s="13"/>
      <c r="L17" s="13"/>
      <c r="M17" s="6"/>
      <c r="N17" s="6"/>
      <c r="O17" s="6"/>
      <c r="P17" s="6"/>
      <c r="Q17" s="6"/>
      <c r="R17" s="2"/>
    </row>
    <row r="18" spans="1:18" ht="15.75" customHeight="1">
      <c r="A18" s="10" t="s">
        <v>166</v>
      </c>
      <c r="B18" s="5" t="s">
        <v>155</v>
      </c>
      <c r="C18" s="13" t="s">
        <v>20</v>
      </c>
      <c r="D18" s="13" t="s">
        <v>20</v>
      </c>
      <c r="E18" s="13" t="s">
        <v>20</v>
      </c>
      <c r="F18" s="13" t="s">
        <v>20</v>
      </c>
      <c r="G18" s="13" t="s">
        <v>20</v>
      </c>
      <c r="H18" s="13"/>
      <c r="I18" s="13"/>
      <c r="J18" s="13"/>
      <c r="K18" s="13"/>
      <c r="L18" s="13"/>
      <c r="M18" s="6">
        <f t="shared" ref="M18" si="22">IF(TRIM(SUBSTITUTE(C18, "　", " "))=TRIM(SUBSTITUTE($B18, "　", " ")), 2, 0)</f>
        <v>2</v>
      </c>
      <c r="N18" s="6">
        <f t="shared" ref="N18:N19" si="23">IF(TRIM(SUBSTITUTE(D18, "　", " "))=TRIM(SUBSTITUTE($B18, "　", " ")), 2, 0)</f>
        <v>2</v>
      </c>
      <c r="O18" s="6">
        <f t="shared" ref="O18:O19" si="24">IF(TRIM(SUBSTITUTE(E18, "　", " "))=TRIM(SUBSTITUTE($B18, "　", " ")), 2, 0)</f>
        <v>2</v>
      </c>
      <c r="P18" s="6">
        <f t="shared" ref="P18:P19" si="25">IF(TRIM(SUBSTITUTE(F18, "　", " "))=TRIM(SUBSTITUTE($B18, "　", " ")), 2, 0)</f>
        <v>2</v>
      </c>
      <c r="Q18" s="6">
        <f t="shared" ref="Q18:Q19" si="26">IF(TRIM(SUBSTITUTE(G18, "　", " "))=TRIM(SUBSTITUTE($B18, "　", " ")), 2, 0)</f>
        <v>2</v>
      </c>
      <c r="R18" s="2"/>
    </row>
    <row r="19" spans="1:18" ht="15.75" customHeight="1">
      <c r="A19" s="10" t="s">
        <v>167</v>
      </c>
      <c r="B19" s="5" t="s">
        <v>162</v>
      </c>
      <c r="C19" s="13" t="s">
        <v>17</v>
      </c>
      <c r="D19" s="13" t="s">
        <v>17</v>
      </c>
      <c r="E19" s="13" t="s">
        <v>17</v>
      </c>
      <c r="F19" s="13" t="s">
        <v>17</v>
      </c>
      <c r="G19" s="13" t="s">
        <v>17</v>
      </c>
      <c r="H19" s="13"/>
      <c r="I19" s="13"/>
      <c r="J19" s="13"/>
      <c r="K19" s="13"/>
      <c r="L19" s="13"/>
      <c r="M19" s="6">
        <f t="shared" ref="M19" si="27">IF(TRIM(SUBSTITUTE(C19, "　", " "))=TRIM(SUBSTITUTE($B19, "　", " ")), 2, 0)</f>
        <v>2</v>
      </c>
      <c r="N19" s="6">
        <f t="shared" si="23"/>
        <v>2</v>
      </c>
      <c r="O19" s="6">
        <f t="shared" si="24"/>
        <v>2</v>
      </c>
      <c r="P19" s="6">
        <f t="shared" si="25"/>
        <v>2</v>
      </c>
      <c r="Q19" s="6">
        <f t="shared" si="26"/>
        <v>2</v>
      </c>
      <c r="R19" s="2"/>
    </row>
    <row r="20" spans="1:18" ht="15.75" customHeight="1">
      <c r="A20" s="12" t="s">
        <v>168</v>
      </c>
      <c r="B20" s="5"/>
      <c r="C20" s="13"/>
      <c r="D20" s="13"/>
      <c r="E20" s="13"/>
      <c r="F20" s="13"/>
      <c r="G20" s="13"/>
      <c r="H20" s="13"/>
      <c r="I20" s="13"/>
      <c r="J20" s="13"/>
      <c r="K20" s="13"/>
      <c r="L20" s="13"/>
      <c r="M20" s="6"/>
      <c r="N20" s="6"/>
      <c r="O20" s="6"/>
      <c r="P20" s="6"/>
      <c r="Q20" s="6"/>
      <c r="R20" s="2"/>
    </row>
    <row r="21" spans="1:18" ht="15.75" customHeight="1">
      <c r="A21" s="10" t="s">
        <v>169</v>
      </c>
      <c r="B21" s="5" t="s">
        <v>162</v>
      </c>
      <c r="C21" s="13" t="s">
        <v>17</v>
      </c>
      <c r="D21" s="13" t="s">
        <v>20</v>
      </c>
      <c r="E21" s="13" t="s">
        <v>18</v>
      </c>
      <c r="F21" s="13" t="s">
        <v>17</v>
      </c>
      <c r="G21" s="13" t="s">
        <v>17</v>
      </c>
      <c r="H21" s="13"/>
      <c r="I21" s="13"/>
      <c r="J21" s="13"/>
      <c r="K21" s="13"/>
      <c r="L21" s="13"/>
      <c r="M21" s="6">
        <f t="shared" ref="M21" si="28">IF(TRIM(SUBSTITUTE(C21, "　", " "))=TRIM(SUBSTITUTE($B21, "　", " ")), 2, 0)</f>
        <v>2</v>
      </c>
      <c r="N21" s="6">
        <f t="shared" ref="N21:N22" si="29">IF(TRIM(SUBSTITUTE(D21, "　", " "))=TRIM(SUBSTITUTE($B21, "　", " ")), 2, 0)</f>
        <v>0</v>
      </c>
      <c r="O21" s="6">
        <f t="shared" ref="O21:O22" si="30">IF(TRIM(SUBSTITUTE(E21, "　", " "))=TRIM(SUBSTITUTE($B21, "　", " ")), 2, 0)</f>
        <v>0</v>
      </c>
      <c r="P21" s="6">
        <f t="shared" ref="P21:P22" si="31">IF(TRIM(SUBSTITUTE(F21, "　", " "))=TRIM(SUBSTITUTE($B21, "　", " ")), 2, 0)</f>
        <v>2</v>
      </c>
      <c r="Q21" s="6">
        <f t="shared" ref="Q21:Q22" si="32">IF(TRIM(SUBSTITUTE(G21, "　", " "))=TRIM(SUBSTITUTE($B21, "　", " ")), 2, 0)</f>
        <v>2</v>
      </c>
      <c r="R21" s="2"/>
    </row>
    <row r="22" spans="1:18" ht="15.75" customHeight="1">
      <c r="A22" s="10" t="s">
        <v>170</v>
      </c>
      <c r="B22" s="5" t="s">
        <v>148</v>
      </c>
      <c r="C22" s="13" t="s">
        <v>20</v>
      </c>
      <c r="D22" s="13" t="s">
        <v>20</v>
      </c>
      <c r="E22" s="13" t="s">
        <v>18</v>
      </c>
      <c r="F22" s="13" t="s">
        <v>23</v>
      </c>
      <c r="G22" s="13" t="s">
        <v>20</v>
      </c>
      <c r="H22" s="13"/>
      <c r="I22" s="13"/>
      <c r="J22" s="13"/>
      <c r="K22" s="13"/>
      <c r="L22" s="13"/>
      <c r="M22" s="6">
        <f t="shared" ref="M22" si="33">IF(TRIM(SUBSTITUTE(C22, "　", " "))=TRIM(SUBSTITUTE($B22, "　", " ")), 2, 0)</f>
        <v>0</v>
      </c>
      <c r="N22" s="6">
        <f t="shared" si="29"/>
        <v>0</v>
      </c>
      <c r="O22" s="6">
        <f t="shared" si="30"/>
        <v>0</v>
      </c>
      <c r="P22" s="6">
        <f t="shared" si="31"/>
        <v>2</v>
      </c>
      <c r="Q22" s="6">
        <f t="shared" si="32"/>
        <v>0</v>
      </c>
      <c r="R22" s="2"/>
    </row>
    <row r="23" spans="1:18" ht="15.75" customHeight="1">
      <c r="A23" s="31" t="s">
        <v>171</v>
      </c>
      <c r="B23" s="5"/>
      <c r="C23" s="13"/>
      <c r="D23" s="13"/>
      <c r="E23" s="13"/>
      <c r="F23" s="13"/>
      <c r="G23" s="13"/>
      <c r="H23" s="13"/>
      <c r="I23" s="13"/>
      <c r="J23" s="13"/>
      <c r="K23" s="13"/>
      <c r="L23" s="13"/>
      <c r="M23" s="6"/>
      <c r="N23" s="6"/>
      <c r="O23" s="6"/>
      <c r="P23" s="6"/>
      <c r="Q23" s="6"/>
      <c r="R23" s="11"/>
    </row>
    <row r="24" spans="1:18" ht="15.75" customHeight="1">
      <c r="A24" s="10" t="s">
        <v>172</v>
      </c>
      <c r="B24" s="5" t="s">
        <v>150</v>
      </c>
      <c r="C24" s="13" t="s">
        <v>18</v>
      </c>
      <c r="D24" s="13" t="s">
        <v>18</v>
      </c>
      <c r="E24" s="13" t="s">
        <v>18</v>
      </c>
      <c r="F24" s="13" t="s">
        <v>18</v>
      </c>
      <c r="G24" s="13" t="s">
        <v>18</v>
      </c>
      <c r="H24" s="13"/>
      <c r="I24" s="13"/>
      <c r="J24" s="13"/>
      <c r="K24" s="13"/>
      <c r="L24" s="13"/>
      <c r="M24" s="6">
        <f t="shared" ref="M24" si="34">IF(TRIM(SUBSTITUTE(C24, "　", " "))=TRIM(SUBSTITUTE($B24, "　", " ")), 2, 0)</f>
        <v>2</v>
      </c>
      <c r="N24" s="6">
        <f t="shared" ref="N24:N25" si="35">IF(TRIM(SUBSTITUTE(D24, "　", " "))=TRIM(SUBSTITUTE($B24, "　", " ")), 2, 0)</f>
        <v>2</v>
      </c>
      <c r="O24" s="6">
        <f t="shared" ref="O24:O25" si="36">IF(TRIM(SUBSTITUTE(E24, "　", " "))=TRIM(SUBSTITUTE($B24, "　", " ")), 2, 0)</f>
        <v>2</v>
      </c>
      <c r="P24" s="6">
        <f t="shared" ref="P24:P25" si="37">IF(TRIM(SUBSTITUTE(F24, "　", " "))=TRIM(SUBSTITUTE($B24, "　", " ")), 2, 0)</f>
        <v>2</v>
      </c>
      <c r="Q24" s="6">
        <f t="shared" ref="Q24:Q25" si="38">IF(TRIM(SUBSTITUTE(G24, "　", " "))=TRIM(SUBSTITUTE($B24, "　", " ")), 2, 0)</f>
        <v>2</v>
      </c>
      <c r="R24" s="11"/>
    </row>
    <row r="25" spans="1:18" ht="15.75" customHeight="1">
      <c r="A25" s="10" t="s">
        <v>173</v>
      </c>
      <c r="B25" s="5" t="s">
        <v>155</v>
      </c>
      <c r="C25" s="13" t="s">
        <v>20</v>
      </c>
      <c r="D25" s="13" t="s">
        <v>20</v>
      </c>
      <c r="E25" s="13" t="s">
        <v>20</v>
      </c>
      <c r="F25" s="13" t="s">
        <v>20</v>
      </c>
      <c r="G25" s="13" t="s">
        <v>20</v>
      </c>
      <c r="H25" s="13"/>
      <c r="I25" s="13"/>
      <c r="J25" s="13"/>
      <c r="K25" s="13"/>
      <c r="L25" s="13"/>
      <c r="M25" s="6">
        <f t="shared" ref="M25" si="39">IF(TRIM(SUBSTITUTE(C25, "　", " "))=TRIM(SUBSTITUTE($B25, "　", " ")), 2, 0)</f>
        <v>2</v>
      </c>
      <c r="N25" s="6">
        <f t="shared" si="35"/>
        <v>2</v>
      </c>
      <c r="O25" s="6">
        <f t="shared" si="36"/>
        <v>2</v>
      </c>
      <c r="P25" s="6">
        <f t="shared" si="37"/>
        <v>2</v>
      </c>
      <c r="Q25" s="6">
        <f t="shared" si="38"/>
        <v>2</v>
      </c>
      <c r="R25" s="11"/>
    </row>
    <row r="26" spans="1:18" ht="15.75" customHeight="1">
      <c r="A26" s="31" t="s">
        <v>174</v>
      </c>
      <c r="B26" s="5"/>
      <c r="C26" s="13"/>
      <c r="D26" s="13"/>
      <c r="E26" s="13"/>
      <c r="F26" s="13"/>
      <c r="G26" s="13"/>
      <c r="H26" s="13"/>
      <c r="I26" s="13"/>
      <c r="J26" s="13"/>
      <c r="K26" s="13"/>
      <c r="L26" s="13"/>
      <c r="M26" s="6"/>
      <c r="N26" s="6"/>
      <c r="O26" s="6"/>
      <c r="P26" s="6"/>
      <c r="Q26" s="6"/>
      <c r="R26" s="11"/>
    </row>
    <row r="27" spans="1:18" ht="15.75" customHeight="1">
      <c r="A27" s="10" t="s">
        <v>175</v>
      </c>
      <c r="B27" s="5" t="s">
        <v>150</v>
      </c>
      <c r="C27" s="13" t="s">
        <v>18</v>
      </c>
      <c r="D27" s="13" t="s">
        <v>18</v>
      </c>
      <c r="E27" s="13" t="s">
        <v>23</v>
      </c>
      <c r="F27" s="13" t="s">
        <v>18</v>
      </c>
      <c r="G27" s="13" t="s">
        <v>18</v>
      </c>
      <c r="H27" s="13"/>
      <c r="I27" s="13"/>
      <c r="J27" s="13"/>
      <c r="K27" s="13"/>
      <c r="L27" s="13"/>
      <c r="M27" s="6">
        <f t="shared" ref="M27" si="40">IF(TRIM(SUBSTITUTE(C27, "　", " "))=TRIM(SUBSTITUTE($B27, "　", " ")), 2, 0)</f>
        <v>2</v>
      </c>
      <c r="N27" s="6">
        <f t="shared" ref="N27:N30" si="41">IF(TRIM(SUBSTITUTE(D27, "　", " "))=TRIM(SUBSTITUTE($B27, "　", " ")), 2, 0)</f>
        <v>2</v>
      </c>
      <c r="O27" s="6">
        <f t="shared" ref="O27:O30" si="42">IF(TRIM(SUBSTITUTE(E27, "　", " "))=TRIM(SUBSTITUTE($B27, "　", " ")), 2, 0)</f>
        <v>0</v>
      </c>
      <c r="P27" s="6">
        <f t="shared" ref="P27:P30" si="43">IF(TRIM(SUBSTITUTE(F27, "　", " "))=TRIM(SUBSTITUTE($B27, "　", " ")), 2, 0)</f>
        <v>2</v>
      </c>
      <c r="Q27" s="6">
        <f t="shared" ref="Q27:Q30" si="44">IF(TRIM(SUBSTITUTE(G27, "　", " "))=TRIM(SUBSTITUTE($B27, "　", " ")), 2, 0)</f>
        <v>2</v>
      </c>
      <c r="R27" s="11"/>
    </row>
    <row r="28" spans="1:18" ht="15.75" customHeight="1">
      <c r="A28" s="10" t="s">
        <v>176</v>
      </c>
      <c r="B28" s="5" t="s">
        <v>150</v>
      </c>
      <c r="C28" s="13" t="s">
        <v>18</v>
      </c>
      <c r="D28" s="13" t="s">
        <v>18</v>
      </c>
      <c r="E28" s="13" t="s">
        <v>18</v>
      </c>
      <c r="F28" s="13" t="s">
        <v>18</v>
      </c>
      <c r="G28" s="13" t="s">
        <v>18</v>
      </c>
      <c r="H28" s="13"/>
      <c r="I28" s="13"/>
      <c r="J28" s="13"/>
      <c r="K28" s="13"/>
      <c r="L28" s="13"/>
      <c r="M28" s="6">
        <f t="shared" ref="M28" si="45">IF(TRIM(SUBSTITUTE(C28, "　", " "))=TRIM(SUBSTITUTE($B28, "　", " ")), 2, 0)</f>
        <v>2</v>
      </c>
      <c r="N28" s="6">
        <f t="shared" si="41"/>
        <v>2</v>
      </c>
      <c r="O28" s="6">
        <f t="shared" si="42"/>
        <v>2</v>
      </c>
      <c r="P28" s="6">
        <f t="shared" si="43"/>
        <v>2</v>
      </c>
      <c r="Q28" s="6">
        <f t="shared" si="44"/>
        <v>2</v>
      </c>
      <c r="R28" s="11"/>
    </row>
    <row r="29" spans="1:18" ht="15.75" customHeight="1">
      <c r="A29" s="10" t="s">
        <v>177</v>
      </c>
      <c r="B29" s="5" t="s">
        <v>155</v>
      </c>
      <c r="C29" s="13" t="s">
        <v>20</v>
      </c>
      <c r="D29" s="13" t="s">
        <v>20</v>
      </c>
      <c r="E29" s="13" t="s">
        <v>20</v>
      </c>
      <c r="F29" s="13" t="s">
        <v>20</v>
      </c>
      <c r="G29" s="13" t="s">
        <v>20</v>
      </c>
      <c r="H29" s="13"/>
      <c r="I29" s="13"/>
      <c r="J29" s="13"/>
      <c r="K29" s="13"/>
      <c r="L29" s="13"/>
      <c r="M29" s="6">
        <f t="shared" ref="M29" si="46">IF(TRIM(SUBSTITUTE(C29, "　", " "))=TRIM(SUBSTITUTE($B29, "　", " ")), 2, 0)</f>
        <v>2</v>
      </c>
      <c r="N29" s="6">
        <f t="shared" si="41"/>
        <v>2</v>
      </c>
      <c r="O29" s="6">
        <f t="shared" si="42"/>
        <v>2</v>
      </c>
      <c r="P29" s="6">
        <f t="shared" si="43"/>
        <v>2</v>
      </c>
      <c r="Q29" s="6">
        <f t="shared" si="44"/>
        <v>2</v>
      </c>
      <c r="R29" s="11"/>
    </row>
    <row r="30" spans="1:18" ht="15.75" customHeight="1">
      <c r="A30" s="10" t="s">
        <v>178</v>
      </c>
      <c r="B30" s="5" t="s">
        <v>148</v>
      </c>
      <c r="C30" s="13" t="s">
        <v>23</v>
      </c>
      <c r="D30" s="13" t="s">
        <v>23</v>
      </c>
      <c r="E30" s="13" t="s">
        <v>23</v>
      </c>
      <c r="F30" s="13" t="s">
        <v>23</v>
      </c>
      <c r="G30" s="13" t="s">
        <v>23</v>
      </c>
      <c r="H30" s="13"/>
      <c r="I30" s="13"/>
      <c r="J30" s="13"/>
      <c r="K30" s="13"/>
      <c r="L30" s="13"/>
      <c r="M30" s="6">
        <f t="shared" ref="M30" si="47">IF(TRIM(SUBSTITUTE(C30, "　", " "))=TRIM(SUBSTITUTE($B30, "　", " ")), 2, 0)</f>
        <v>2</v>
      </c>
      <c r="N30" s="6">
        <f t="shared" si="41"/>
        <v>2</v>
      </c>
      <c r="O30" s="6">
        <f t="shared" si="42"/>
        <v>2</v>
      </c>
      <c r="P30" s="6">
        <f t="shared" si="43"/>
        <v>2</v>
      </c>
      <c r="Q30" s="6">
        <f t="shared" si="44"/>
        <v>2</v>
      </c>
      <c r="R30" s="11"/>
    </row>
    <row r="31" spans="1:18" ht="15.75" customHeight="1">
      <c r="A31" s="31" t="s">
        <v>179</v>
      </c>
      <c r="B31" s="5"/>
      <c r="C31" s="13"/>
      <c r="D31" s="13"/>
      <c r="E31" s="13"/>
      <c r="F31" s="13"/>
      <c r="G31" s="13"/>
      <c r="H31" s="13"/>
      <c r="I31" s="13"/>
      <c r="J31" s="13"/>
      <c r="K31" s="13"/>
      <c r="L31" s="13"/>
      <c r="M31" s="6"/>
      <c r="N31" s="6"/>
      <c r="O31" s="6"/>
      <c r="P31" s="6"/>
      <c r="Q31" s="6"/>
      <c r="R31" s="11"/>
    </row>
    <row r="32" spans="1:18" ht="15.75" customHeight="1">
      <c r="A32" s="10" t="s">
        <v>180</v>
      </c>
      <c r="B32" s="5" t="s">
        <v>155</v>
      </c>
      <c r="C32" s="13" t="s">
        <v>20</v>
      </c>
      <c r="D32" s="13" t="s">
        <v>20</v>
      </c>
      <c r="E32" s="13" t="s">
        <v>23</v>
      </c>
      <c r="F32" s="13" t="s">
        <v>20</v>
      </c>
      <c r="G32" s="13" t="s">
        <v>20</v>
      </c>
      <c r="H32" s="13"/>
      <c r="I32" s="13"/>
      <c r="J32" s="13"/>
      <c r="K32" s="13"/>
      <c r="L32" s="13"/>
      <c r="M32" s="6">
        <f t="shared" ref="M32" si="48">IF(TRIM(SUBSTITUTE(C32, "　", " "))=TRIM(SUBSTITUTE($B32, "　", " ")), 2, 0)</f>
        <v>2</v>
      </c>
      <c r="N32" s="6">
        <f t="shared" ref="N32:N33" si="49">IF(TRIM(SUBSTITUTE(D32, "　", " "))=TRIM(SUBSTITUTE($B32, "　", " ")), 2, 0)</f>
        <v>2</v>
      </c>
      <c r="O32" s="6">
        <f t="shared" ref="O32:O33" si="50">IF(TRIM(SUBSTITUTE(E32, "　", " "))=TRIM(SUBSTITUTE($B32, "　", " ")), 2, 0)</f>
        <v>0</v>
      </c>
      <c r="P32" s="6">
        <f t="shared" ref="P32:P33" si="51">IF(TRIM(SUBSTITUTE(F32, "　", " "))=TRIM(SUBSTITUTE($B32, "　", " ")), 2, 0)</f>
        <v>2</v>
      </c>
      <c r="Q32" s="6">
        <f t="shared" ref="Q32:Q33" si="52">IF(TRIM(SUBSTITUTE(G32, "　", " "))=TRIM(SUBSTITUTE($B32, "　", " ")), 2, 0)</f>
        <v>2</v>
      </c>
      <c r="R32" s="11"/>
    </row>
    <row r="33" spans="1:27" ht="15.75" customHeight="1">
      <c r="A33" s="10" t="s">
        <v>181</v>
      </c>
      <c r="B33" s="5" t="s">
        <v>162</v>
      </c>
      <c r="C33" s="13" t="s">
        <v>20</v>
      </c>
      <c r="D33" s="13" t="s">
        <v>20</v>
      </c>
      <c r="E33" s="13" t="s">
        <v>23</v>
      </c>
      <c r="F33" s="13" t="s">
        <v>23</v>
      </c>
      <c r="G33" s="13" t="s">
        <v>20</v>
      </c>
      <c r="H33" s="13"/>
      <c r="I33" s="13"/>
      <c r="J33" s="13"/>
      <c r="K33" s="13"/>
      <c r="L33" s="13"/>
      <c r="M33" s="6">
        <f t="shared" ref="M33" si="53">IF(TRIM(SUBSTITUTE(C33, "　", " "))=TRIM(SUBSTITUTE($B33, "　", " ")), 2, 0)</f>
        <v>0</v>
      </c>
      <c r="N33" s="6">
        <f t="shared" si="49"/>
        <v>0</v>
      </c>
      <c r="O33" s="6">
        <f t="shared" si="50"/>
        <v>0</v>
      </c>
      <c r="P33" s="6">
        <f t="shared" si="51"/>
        <v>0</v>
      </c>
      <c r="Q33" s="6">
        <f t="shared" si="52"/>
        <v>0</v>
      </c>
      <c r="R33" s="11"/>
    </row>
    <row r="34" spans="1:27" ht="15.75" customHeight="1">
      <c r="A34" s="31" t="s">
        <v>182</v>
      </c>
      <c r="B34" s="5"/>
      <c r="C34" s="13"/>
      <c r="D34" s="13"/>
      <c r="E34" s="13"/>
      <c r="F34" s="13"/>
      <c r="G34" s="13"/>
      <c r="H34" s="13"/>
      <c r="I34" s="13"/>
      <c r="J34" s="13"/>
      <c r="K34" s="13"/>
      <c r="L34" s="13"/>
      <c r="M34" s="6"/>
      <c r="N34" s="6"/>
      <c r="O34" s="6"/>
      <c r="P34" s="6"/>
      <c r="Q34" s="6"/>
      <c r="R34" s="11"/>
    </row>
    <row r="35" spans="1:27" ht="15.75" customHeight="1">
      <c r="A35" s="10" t="s">
        <v>183</v>
      </c>
      <c r="B35" s="5" t="s">
        <v>162</v>
      </c>
      <c r="C35" s="13" t="s">
        <v>17</v>
      </c>
      <c r="D35" s="13" t="s">
        <v>17</v>
      </c>
      <c r="E35" s="13" t="s">
        <v>20</v>
      </c>
      <c r="F35" s="13" t="s">
        <v>17</v>
      </c>
      <c r="G35" s="13" t="s">
        <v>17</v>
      </c>
      <c r="H35" s="13"/>
      <c r="I35" s="13"/>
      <c r="J35" s="13"/>
      <c r="K35" s="13"/>
      <c r="L35" s="13"/>
      <c r="M35" s="6">
        <f t="shared" ref="M35" si="54">IF(TRIM(SUBSTITUTE(C35, "　", " "))=TRIM(SUBSTITUTE($B35, "　", " ")), 2, 0)</f>
        <v>2</v>
      </c>
      <c r="N35" s="6">
        <f t="shared" ref="N35:N38" si="55">IF(TRIM(SUBSTITUTE(D35, "　", " "))=TRIM(SUBSTITUTE($B35, "　", " ")), 2, 0)</f>
        <v>2</v>
      </c>
      <c r="O35" s="6">
        <f t="shared" ref="O35:O38" si="56">IF(TRIM(SUBSTITUTE(E35, "　", " "))=TRIM(SUBSTITUTE($B35, "　", " ")), 2, 0)</f>
        <v>0</v>
      </c>
      <c r="P35" s="6">
        <f t="shared" ref="P35:P38" si="57">IF(TRIM(SUBSTITUTE(F35, "　", " "))=TRIM(SUBSTITUTE($B35, "　", " ")), 2, 0)</f>
        <v>2</v>
      </c>
      <c r="Q35" s="6">
        <f t="shared" ref="Q35:Q38" si="58">IF(TRIM(SUBSTITUTE(G35, "　", " "))=TRIM(SUBSTITUTE($B35, "　", " ")), 2, 0)</f>
        <v>2</v>
      </c>
      <c r="R35" s="11"/>
      <c r="S35" s="11"/>
      <c r="T35" s="11"/>
      <c r="U35" s="11"/>
      <c r="V35" s="11"/>
      <c r="W35" s="11"/>
      <c r="X35" s="11"/>
      <c r="Y35" s="11"/>
      <c r="Z35" s="11"/>
      <c r="AA35" s="11"/>
    </row>
    <row r="36" spans="1:27" ht="15.75" customHeight="1">
      <c r="A36" s="10" t="s">
        <v>184</v>
      </c>
      <c r="B36" s="5" t="s">
        <v>150</v>
      </c>
      <c r="C36" s="13" t="s">
        <v>18</v>
      </c>
      <c r="D36" s="13" t="s">
        <v>18</v>
      </c>
      <c r="E36" s="13" t="s">
        <v>18</v>
      </c>
      <c r="F36" s="13" t="s">
        <v>18</v>
      </c>
      <c r="G36" s="13" t="s">
        <v>18</v>
      </c>
      <c r="H36" s="13"/>
      <c r="I36" s="13"/>
      <c r="J36" s="13"/>
      <c r="K36" s="13"/>
      <c r="L36" s="13"/>
      <c r="M36" s="6">
        <f t="shared" ref="M36" si="59">IF(TRIM(SUBSTITUTE(C36, "　", " "))=TRIM(SUBSTITUTE($B36, "　", " ")), 2, 0)</f>
        <v>2</v>
      </c>
      <c r="N36" s="6">
        <f t="shared" si="55"/>
        <v>2</v>
      </c>
      <c r="O36" s="6">
        <f t="shared" si="56"/>
        <v>2</v>
      </c>
      <c r="P36" s="6">
        <f t="shared" si="57"/>
        <v>2</v>
      </c>
      <c r="Q36" s="6">
        <f t="shared" si="58"/>
        <v>2</v>
      </c>
      <c r="R36" s="11"/>
      <c r="S36" s="11"/>
      <c r="T36" s="11"/>
      <c r="U36" s="11"/>
      <c r="V36" s="11"/>
      <c r="W36" s="11"/>
      <c r="X36" s="11"/>
      <c r="Y36" s="11"/>
      <c r="Z36" s="11"/>
      <c r="AA36" s="11"/>
    </row>
    <row r="37" spans="1:27" ht="15.75" customHeight="1">
      <c r="A37" s="10" t="s">
        <v>185</v>
      </c>
      <c r="B37" s="5" t="s">
        <v>155</v>
      </c>
      <c r="C37" s="13" t="s">
        <v>20</v>
      </c>
      <c r="D37" s="13" t="s">
        <v>20</v>
      </c>
      <c r="E37" s="13" t="s">
        <v>18</v>
      </c>
      <c r="F37" s="13" t="s">
        <v>20</v>
      </c>
      <c r="G37" s="13" t="s">
        <v>20</v>
      </c>
      <c r="H37" s="13"/>
      <c r="I37" s="13"/>
      <c r="J37" s="13"/>
      <c r="K37" s="13"/>
      <c r="L37" s="13"/>
      <c r="M37" s="6">
        <f t="shared" ref="M37" si="60">IF(TRIM(SUBSTITUTE(C37, "　", " "))=TRIM(SUBSTITUTE($B37, "　", " ")), 2, 0)</f>
        <v>2</v>
      </c>
      <c r="N37" s="6">
        <f t="shared" si="55"/>
        <v>2</v>
      </c>
      <c r="O37" s="6">
        <f t="shared" si="56"/>
        <v>0</v>
      </c>
      <c r="P37" s="6">
        <f t="shared" si="57"/>
        <v>2</v>
      </c>
      <c r="Q37" s="6">
        <f t="shared" si="58"/>
        <v>2</v>
      </c>
      <c r="R37" s="11"/>
      <c r="S37" s="11"/>
      <c r="T37" s="11"/>
      <c r="U37" s="11"/>
      <c r="V37" s="11"/>
      <c r="W37" s="11"/>
      <c r="X37" s="11"/>
      <c r="Y37" s="11"/>
      <c r="Z37" s="11"/>
      <c r="AA37" s="11"/>
    </row>
    <row r="38" spans="1:27" ht="15.75" customHeight="1">
      <c r="A38" s="10" t="s">
        <v>186</v>
      </c>
      <c r="B38" s="5" t="s">
        <v>162</v>
      </c>
      <c r="C38" s="13" t="s">
        <v>17</v>
      </c>
      <c r="D38" s="13" t="s">
        <v>17</v>
      </c>
      <c r="E38" s="13" t="s">
        <v>18</v>
      </c>
      <c r="F38" s="13" t="s">
        <v>17</v>
      </c>
      <c r="G38" s="13" t="s">
        <v>17</v>
      </c>
      <c r="H38" s="13"/>
      <c r="I38" s="13"/>
      <c r="J38" s="13"/>
      <c r="K38" s="13"/>
      <c r="L38" s="13"/>
      <c r="M38" s="6">
        <f t="shared" ref="M38" si="61">IF(TRIM(SUBSTITUTE(C38, "　", " "))=TRIM(SUBSTITUTE($B38, "　", " ")), 2, 0)</f>
        <v>2</v>
      </c>
      <c r="N38" s="6">
        <f t="shared" si="55"/>
        <v>2</v>
      </c>
      <c r="O38" s="6">
        <f t="shared" si="56"/>
        <v>0</v>
      </c>
      <c r="P38" s="6">
        <f t="shared" si="57"/>
        <v>2</v>
      </c>
      <c r="Q38" s="6">
        <f t="shared" si="58"/>
        <v>2</v>
      </c>
      <c r="R38" s="11"/>
      <c r="S38" s="11"/>
      <c r="T38" s="11"/>
      <c r="U38" s="11"/>
      <c r="V38" s="11"/>
      <c r="W38" s="11"/>
      <c r="X38" s="11"/>
      <c r="Y38" s="11"/>
      <c r="Z38" s="11"/>
      <c r="AA38" s="11"/>
    </row>
    <row r="39" spans="1:27" ht="15.75" customHeight="1">
      <c r="A39" s="33" t="s">
        <v>187</v>
      </c>
      <c r="B39" s="5"/>
      <c r="C39" s="13"/>
      <c r="D39" s="13"/>
      <c r="E39" s="13"/>
      <c r="F39" s="13"/>
      <c r="G39" s="13"/>
      <c r="H39" s="13"/>
      <c r="I39" s="13"/>
      <c r="J39" s="13"/>
      <c r="K39" s="13"/>
      <c r="L39" s="13"/>
      <c r="M39" s="6"/>
      <c r="N39" s="6"/>
      <c r="O39" s="6"/>
      <c r="P39" s="6"/>
      <c r="Q39" s="6"/>
      <c r="R39" s="11"/>
      <c r="S39" s="11"/>
      <c r="T39" s="11"/>
      <c r="U39" s="11"/>
      <c r="V39" s="11"/>
      <c r="W39" s="11"/>
      <c r="X39" s="11"/>
      <c r="Y39" s="11"/>
      <c r="Z39" s="11"/>
      <c r="AA39" s="11"/>
    </row>
    <row r="40" spans="1:27" ht="15.75" customHeight="1">
      <c r="A40" s="10" t="s">
        <v>188</v>
      </c>
      <c r="B40" s="5" t="s">
        <v>148</v>
      </c>
      <c r="C40" s="13" t="s">
        <v>23</v>
      </c>
      <c r="D40" s="13" t="s">
        <v>23</v>
      </c>
      <c r="E40" s="13" t="s">
        <v>23</v>
      </c>
      <c r="F40" s="13" t="s">
        <v>23</v>
      </c>
      <c r="G40" s="13" t="s">
        <v>23</v>
      </c>
      <c r="H40" s="13"/>
      <c r="I40" s="13"/>
      <c r="J40" s="13"/>
      <c r="K40" s="13"/>
      <c r="L40" s="13"/>
      <c r="M40" s="6">
        <f t="shared" ref="M40" si="62">IF(TRIM(SUBSTITUTE(C40, "　", " "))=TRIM(SUBSTITUTE($B40, "　", " ")), 2, 0)</f>
        <v>2</v>
      </c>
      <c r="N40" s="6">
        <f t="shared" ref="N40:N41" si="63">IF(TRIM(SUBSTITUTE(D40, "　", " "))=TRIM(SUBSTITUTE($B40, "　", " ")), 2, 0)</f>
        <v>2</v>
      </c>
      <c r="O40" s="6">
        <f t="shared" ref="O40:O41" si="64">IF(TRIM(SUBSTITUTE(E40, "　", " "))=TRIM(SUBSTITUTE($B40, "　", " ")), 2, 0)</f>
        <v>2</v>
      </c>
      <c r="P40" s="6">
        <f t="shared" ref="P40:P41" si="65">IF(TRIM(SUBSTITUTE(F40, "　", " "))=TRIM(SUBSTITUTE($B40, "　", " ")), 2, 0)</f>
        <v>2</v>
      </c>
      <c r="Q40" s="6">
        <f t="shared" ref="Q40:Q41" si="66">IF(TRIM(SUBSTITUTE(G40, "　", " "))=TRIM(SUBSTITUTE($B40, "　", " ")), 2, 0)</f>
        <v>2</v>
      </c>
      <c r="R40" s="11"/>
      <c r="S40" s="11"/>
      <c r="T40" s="11"/>
      <c r="U40" s="11"/>
      <c r="V40" s="11"/>
      <c r="W40" s="11"/>
      <c r="X40" s="11"/>
      <c r="Y40" s="11"/>
      <c r="Z40" s="11"/>
      <c r="AA40" s="11"/>
    </row>
    <row r="41" spans="1:27" ht="15.75" customHeight="1">
      <c r="A41" s="10" t="s">
        <v>189</v>
      </c>
      <c r="B41" s="5" t="s">
        <v>155</v>
      </c>
      <c r="C41" s="13" t="s">
        <v>17</v>
      </c>
      <c r="D41" s="13" t="s">
        <v>20</v>
      </c>
      <c r="E41" s="13" t="s">
        <v>17</v>
      </c>
      <c r="F41" s="13" t="s">
        <v>20</v>
      </c>
      <c r="G41" s="13" t="s">
        <v>20</v>
      </c>
      <c r="H41" s="13"/>
      <c r="I41" s="13"/>
      <c r="J41" s="13"/>
      <c r="K41" s="13"/>
      <c r="L41" s="13"/>
      <c r="M41" s="6">
        <f t="shared" ref="M41" si="67">IF(TRIM(SUBSTITUTE(C41, "　", " "))=TRIM(SUBSTITUTE($B41, "　", " ")), 2, 0)</f>
        <v>0</v>
      </c>
      <c r="N41" s="6">
        <f t="shared" si="63"/>
        <v>2</v>
      </c>
      <c r="O41" s="6">
        <f t="shared" si="64"/>
        <v>0</v>
      </c>
      <c r="P41" s="6">
        <f t="shared" si="65"/>
        <v>2</v>
      </c>
      <c r="Q41" s="6">
        <f t="shared" si="66"/>
        <v>2</v>
      </c>
      <c r="R41" s="11"/>
      <c r="S41" s="11"/>
      <c r="T41" s="11"/>
      <c r="U41" s="11"/>
      <c r="V41" s="11"/>
      <c r="W41" s="11"/>
      <c r="X41" s="11"/>
      <c r="Y41" s="11"/>
      <c r="Z41" s="11"/>
      <c r="AA41" s="11"/>
    </row>
    <row r="42" spans="1:27" ht="15.75" customHeight="1">
      <c r="A42" s="33" t="s">
        <v>190</v>
      </c>
      <c r="B42" s="5"/>
      <c r="C42" s="13"/>
      <c r="D42" s="13"/>
      <c r="E42" s="13"/>
      <c r="F42" s="13"/>
      <c r="H42" s="13"/>
      <c r="I42" s="13"/>
      <c r="J42" s="13"/>
      <c r="K42" s="13"/>
      <c r="L42" s="13"/>
      <c r="R42" s="11"/>
      <c r="S42" s="11"/>
      <c r="T42" s="11"/>
      <c r="U42" s="11"/>
      <c r="V42" s="11"/>
      <c r="W42" s="11"/>
      <c r="X42" s="11"/>
      <c r="Y42" s="11"/>
      <c r="Z42" s="11"/>
      <c r="AA42" s="11"/>
    </row>
    <row r="43" spans="1:27" ht="15.75" customHeight="1">
      <c r="A43" s="10" t="s">
        <v>191</v>
      </c>
      <c r="B43" s="83" t="s">
        <v>148</v>
      </c>
      <c r="C43" s="83" t="s">
        <v>148</v>
      </c>
      <c r="D43" s="84" t="s">
        <v>23</v>
      </c>
      <c r="E43" s="84" t="s">
        <v>23</v>
      </c>
      <c r="F43" s="13" t="s">
        <v>23</v>
      </c>
      <c r="G43" s="13" t="s">
        <v>23</v>
      </c>
      <c r="H43" s="13"/>
      <c r="I43" s="13"/>
      <c r="J43" s="13"/>
      <c r="K43" s="13"/>
      <c r="L43" s="13"/>
      <c r="M43" s="6">
        <f>IF(TRIM(SUBSTITUTE(C42, "　", " "))=TRIM(SUBSTITUTE($B42, "　", " ")), 2, 0)</f>
        <v>2</v>
      </c>
      <c r="N43" s="6">
        <f>IF(TRIM(SUBSTITUTE(D42, "　", " "))=TRIM(SUBSTITUTE($B42, "　", " ")), 2, 0)</f>
        <v>2</v>
      </c>
      <c r="O43" s="6">
        <f>IF(TRIM(SUBSTITUTE(E42, "　", " "))=TRIM(SUBSTITUTE($B42, "　", " ")), 2, 0)</f>
        <v>2</v>
      </c>
      <c r="P43" s="6">
        <f>IF(TRIM(SUBSTITUTE(F42, "　", " "))=TRIM(SUBSTITUTE($B42, "　", " ")), 2, 0)</f>
        <v>2</v>
      </c>
      <c r="Q43" s="6">
        <f>IF(TRIM(SUBSTITUTE(G42, "　", " "))=TRIM(SUBSTITUTE($B42, "　", " ")), 2, 0)</f>
        <v>2</v>
      </c>
      <c r="R43" s="11"/>
      <c r="S43" s="11"/>
      <c r="T43" s="11"/>
      <c r="U43" s="11"/>
      <c r="V43" s="11"/>
      <c r="W43" s="11"/>
      <c r="X43" s="11"/>
      <c r="Y43" s="11"/>
      <c r="Z43" s="11"/>
      <c r="AA43" s="11"/>
    </row>
    <row r="44" spans="1:27" ht="15.75" customHeight="1">
      <c r="A44" s="10" t="s">
        <v>192</v>
      </c>
      <c r="B44" s="83" t="s">
        <v>162</v>
      </c>
      <c r="C44" s="83" t="s">
        <v>162</v>
      </c>
      <c r="D44" s="84" t="s">
        <v>17</v>
      </c>
      <c r="E44" s="84" t="s">
        <v>17</v>
      </c>
      <c r="F44" s="13" t="s">
        <v>17</v>
      </c>
      <c r="G44" s="13" t="s">
        <v>17</v>
      </c>
      <c r="H44" s="13"/>
      <c r="I44" s="13"/>
      <c r="J44" s="13"/>
      <c r="K44" s="13"/>
      <c r="L44" s="13"/>
      <c r="M44" s="6">
        <f>IF(TRIM(SUBSTITUTE(C43, "　", " "))=TRIM(SUBSTITUTE($B43, "　", " ")), 2, 0)</f>
        <v>2</v>
      </c>
      <c r="N44" s="6">
        <f t="shared" ref="N44:Q44" si="68">IF(TRIM(SUBSTITUTE(D43, "　", " "))=TRIM(SUBSTITUTE($B43, "　", " ")), 2, 0)</f>
        <v>2</v>
      </c>
      <c r="O44" s="6">
        <f t="shared" si="68"/>
        <v>2</v>
      </c>
      <c r="P44" s="6">
        <f t="shared" si="68"/>
        <v>2</v>
      </c>
      <c r="Q44" s="6">
        <f t="shared" si="68"/>
        <v>2</v>
      </c>
      <c r="R44" s="11"/>
      <c r="S44" s="11"/>
      <c r="T44" s="11"/>
      <c r="U44" s="11"/>
      <c r="V44" s="11"/>
      <c r="W44" s="11"/>
      <c r="X44" s="11"/>
      <c r="Y44" s="11"/>
      <c r="Z44" s="11"/>
      <c r="AA44" s="11"/>
    </row>
    <row r="45" spans="1:27" ht="15.75" customHeight="1">
      <c r="A45" s="33" t="s">
        <v>193</v>
      </c>
      <c r="B45" s="5"/>
      <c r="C45" s="13"/>
      <c r="D45" s="13"/>
      <c r="E45" s="13"/>
      <c r="F45" s="13"/>
      <c r="G45" s="13"/>
      <c r="H45" s="13"/>
      <c r="I45" s="13"/>
      <c r="J45" s="13"/>
      <c r="K45" s="13"/>
      <c r="L45" s="13"/>
      <c r="M45" s="6"/>
      <c r="N45" s="6"/>
      <c r="O45" s="6"/>
      <c r="P45" s="6"/>
      <c r="Q45" s="6"/>
      <c r="R45" s="11"/>
      <c r="S45" s="11"/>
      <c r="T45" s="11"/>
      <c r="U45" s="11"/>
      <c r="V45" s="11"/>
      <c r="W45" s="11"/>
      <c r="X45" s="11"/>
      <c r="Y45" s="11"/>
      <c r="Z45" s="11"/>
      <c r="AA45" s="11"/>
    </row>
    <row r="46" spans="1:27" ht="15.75" customHeight="1">
      <c r="A46" s="10" t="s">
        <v>194</v>
      </c>
      <c r="B46" s="5" t="s">
        <v>195</v>
      </c>
      <c r="C46" s="13" t="s">
        <v>41</v>
      </c>
      <c r="D46" s="13" t="s">
        <v>42</v>
      </c>
      <c r="E46" s="13" t="s">
        <v>95</v>
      </c>
      <c r="F46" s="13" t="s">
        <v>41</v>
      </c>
      <c r="G46" s="13" t="s">
        <v>41</v>
      </c>
      <c r="H46" s="14" cm="1">
        <f t="array" ref="H46">_xlfn.LET(
_xlpm.opts,{"A","B","C","D","E"},
_xlpm.ans,UPPER(SUBSTITUTE(SUBSTITUTE(SUBSTITUTE(SUBSTITUTE(SUBSTITUTE(TRIM($B46),"　","")," ",""),",",""),"，",""),"、","")),
_xlpm.resp,UPPER(SUBSTITUTE(SUBSTITUTE(SUBSTITUTE(SUBSTITUTE(SUBSTITUTE(TRIM(C46),"　","")," ",""),",",""),"，",""),"、","")),
IF(_xlpm.resp="",99,
SUMPRODUCT(--(ISNUMBER(SEARCH(_xlpm.opts,_xlpm.ans))&lt;&gt;ISNUMBER(SEARCH(_xlpm.opts,_xlpm.resp)))))
)</f>
        <v>1</v>
      </c>
      <c r="I46" s="14" cm="1">
        <f t="array" ref="I46">_xlfn.LET(
_xlpm.opts,{"A","B","C","D","E"},
_xlpm.ans,UPPER(SUBSTITUTE(SUBSTITUTE(SUBSTITUTE(SUBSTITUTE(SUBSTITUTE(TRIM($B46),"　","")," ",""),",",""),"，",""),"、","")),
_xlpm.resp,UPPER(SUBSTITUTE(SUBSTITUTE(SUBSTITUTE(SUBSTITUTE(SUBSTITUTE(TRIM(D46),"　","")," ",""),",",""),"，",""),"、","")),
IF(_xlpm.resp="",99,
SUMPRODUCT(--(ISNUMBER(SEARCH(_xlpm.opts,_xlpm.ans))&lt;&gt;ISNUMBER(SEARCH(_xlpm.opts,_xlpm.resp)))))
)</f>
        <v>2</v>
      </c>
      <c r="J46" s="14" cm="1">
        <f t="array" ref="J46">_xlfn.LET(
_xlpm.opts,{"A","B","C","D","E"},
_xlpm.ans,UPPER(SUBSTITUTE(SUBSTITUTE(SUBSTITUTE(SUBSTITUTE(SUBSTITUTE(TRIM($B46),"　","")," ",""),",",""),"，",""),"、","")),
_xlpm.resp,UPPER(SUBSTITUTE(SUBSTITUTE(SUBSTITUTE(SUBSTITUTE(SUBSTITUTE(TRIM(E46),"　","")," ",""),",",""),"，",""),"、","")),
IF(_xlpm.resp="",99,
SUMPRODUCT(--(ISNUMBER(SEARCH(_xlpm.opts,_xlpm.ans))&lt;&gt;ISNUMBER(SEARCH(_xlpm.opts,_xlpm.resp)))))
)</f>
        <v>3</v>
      </c>
      <c r="K46" s="14" cm="1">
        <f t="array" ref="K46">_xlfn.LET(
_xlpm.opts,{"A","B","C","D","E"},
_xlpm.ans,UPPER(SUBSTITUTE(SUBSTITUTE(SUBSTITUTE(SUBSTITUTE(SUBSTITUTE(TRIM($B46),"　","")," ",""),",",""),"，",""),"、","")),
_xlpm.resp,UPPER(SUBSTITUTE(SUBSTITUTE(SUBSTITUTE(SUBSTITUTE(SUBSTITUTE(TRIM(F46),"　","")," ",""),",",""),"，",""),"、","")),
IF(_xlpm.resp="",99,
SUMPRODUCT(--(ISNUMBER(SEARCH(_xlpm.opts,_xlpm.ans))&lt;&gt;ISNUMBER(SEARCH(_xlpm.opts,_xlpm.resp)))))
)</f>
        <v>1</v>
      </c>
      <c r="L46" s="14" cm="1">
        <f t="array" ref="L46">_xlfn.LET(
_xlpm.opts,{"A","B","C","D","E"},
_xlpm.ans,UPPER(SUBSTITUTE(SUBSTITUTE(SUBSTITUTE(SUBSTITUTE(SUBSTITUTE(TRIM($B46),"　","")," ",""),",",""),"，",""),"、","")),
_xlpm.resp,UPPER(SUBSTITUTE(SUBSTITUTE(SUBSTITUTE(SUBSTITUTE(SUBSTITUTE(TRIM(G46),"　","")," ",""),",",""),"，",""),"、","")),
IF(_xlpm.resp="",99,
SUMPRODUCT(--(ISNUMBER(SEARCH(_xlpm.opts,_xlpm.ans))&lt;&gt;ISNUMBER(SEARCH(_xlpm.opts,_xlpm.resp)))))
)</f>
        <v>1</v>
      </c>
      <c r="M46" s="7">
        <f>IF(H46=0,3,IF(H46=1,1.8,IF(H46=2,0.6,0)))</f>
        <v>1.8</v>
      </c>
      <c r="N46" s="7">
        <f t="shared" ref="N46:Q53" si="69">IF(I46=0,3,IF(I46=1,1.8,IF(I46=2,0.6,0)))</f>
        <v>0.6</v>
      </c>
      <c r="O46" s="7">
        <f t="shared" si="69"/>
        <v>0</v>
      </c>
      <c r="P46" s="7">
        <f t="shared" si="69"/>
        <v>1.8</v>
      </c>
      <c r="Q46" s="7">
        <f t="shared" si="69"/>
        <v>1.8</v>
      </c>
      <c r="R46" s="11"/>
      <c r="S46" s="11"/>
      <c r="T46" s="11"/>
      <c r="U46" s="11"/>
      <c r="V46" s="11"/>
      <c r="W46" s="11"/>
      <c r="X46" s="11"/>
      <c r="Y46" s="11"/>
      <c r="Z46" s="11"/>
      <c r="AA46" s="11"/>
    </row>
    <row r="47" spans="1:27" ht="15.75" customHeight="1">
      <c r="A47" s="10" t="s">
        <v>196</v>
      </c>
      <c r="B47" s="5" t="s">
        <v>197</v>
      </c>
      <c r="C47" s="13" t="s">
        <v>44</v>
      </c>
      <c r="D47" s="13" t="s">
        <v>198</v>
      </c>
      <c r="E47" s="13" t="s">
        <v>45</v>
      </c>
      <c r="F47" s="13" t="s">
        <v>44</v>
      </c>
      <c r="G47" s="13" t="s">
        <v>198</v>
      </c>
      <c r="H47" s="14" cm="1">
        <f t="array" ref="H47">_xlfn.LET(
_xlpm.opts,{"A","B","C","D","E"},
_xlpm.ans,UPPER(SUBSTITUTE(SUBSTITUTE(SUBSTITUTE(SUBSTITUTE(SUBSTITUTE(TRIM($B47),"　","")," ",""),",",""),"，",""),"、","")),
_xlpm.resp,UPPER(SUBSTITUTE(SUBSTITUTE(SUBSTITUTE(SUBSTITUTE(SUBSTITUTE(TRIM(C47),"　","")," ",""),",",""),"，",""),"、","")),
IF(_xlpm.resp="",99,
SUMPRODUCT(--(ISNUMBER(SEARCH(_xlpm.opts,_xlpm.ans))&lt;&gt;ISNUMBER(SEARCH(_xlpm.opts,_xlpm.resp)))))
)</f>
        <v>1</v>
      </c>
      <c r="I47" s="14" cm="1">
        <f t="array" ref="I47">_xlfn.LET(
_xlpm.opts,{"A","B","C","D","E"},
_xlpm.ans,UPPER(SUBSTITUTE(SUBSTITUTE(SUBSTITUTE(SUBSTITUTE(SUBSTITUTE(TRIM($B47),"　","")," ",""),",",""),"，",""),"、","")),
_xlpm.resp,UPPER(SUBSTITUTE(SUBSTITUTE(SUBSTITUTE(SUBSTITUTE(SUBSTITUTE(TRIM(D47),"　","")," ",""),",",""),"，",""),"、","")),
IF(_xlpm.resp="",99,
SUMPRODUCT(--(ISNUMBER(SEARCH(_xlpm.opts,_xlpm.ans))&lt;&gt;ISNUMBER(SEARCH(_xlpm.opts,_xlpm.resp)))))
)</f>
        <v>0</v>
      </c>
      <c r="J47" s="14" cm="1">
        <f t="array" ref="J47">_xlfn.LET(
_xlpm.opts,{"A","B","C","D","E"},
_xlpm.ans,UPPER(SUBSTITUTE(SUBSTITUTE(SUBSTITUTE(SUBSTITUTE(SUBSTITUTE(TRIM($B47),"　","")," ",""),",",""),"，",""),"、","")),
_xlpm.resp,UPPER(SUBSTITUTE(SUBSTITUTE(SUBSTITUTE(SUBSTITUTE(SUBSTITUTE(TRIM(E47),"　","")," ",""),",",""),"，",""),"、","")),
IF(_xlpm.resp="",99,
SUMPRODUCT(--(ISNUMBER(SEARCH(_xlpm.opts,_xlpm.ans))&lt;&gt;ISNUMBER(SEARCH(_xlpm.opts,_xlpm.resp)))))
)</f>
        <v>1</v>
      </c>
      <c r="K47" s="14" cm="1">
        <f t="array" ref="K47">_xlfn.LET(
_xlpm.opts,{"A","B","C","D","E"},
_xlpm.ans,UPPER(SUBSTITUTE(SUBSTITUTE(SUBSTITUTE(SUBSTITUTE(SUBSTITUTE(TRIM($B47),"　","")," ",""),",",""),"，",""),"、","")),
_xlpm.resp,UPPER(SUBSTITUTE(SUBSTITUTE(SUBSTITUTE(SUBSTITUTE(SUBSTITUTE(TRIM(F47),"　","")," ",""),",",""),"，",""),"、","")),
IF(_xlpm.resp="",99,
SUMPRODUCT(--(ISNUMBER(SEARCH(_xlpm.opts,_xlpm.ans))&lt;&gt;ISNUMBER(SEARCH(_xlpm.opts,_xlpm.resp)))))
)</f>
        <v>1</v>
      </c>
      <c r="L47" s="14" cm="1">
        <f t="array" ref="L47">_xlfn.LET(
_xlpm.opts,{"A","B","C","D","E"},
_xlpm.ans,UPPER(SUBSTITUTE(SUBSTITUTE(SUBSTITUTE(SUBSTITUTE(SUBSTITUTE(TRIM($B47),"　","")," ",""),",",""),"，",""),"、","")),
_xlpm.resp,UPPER(SUBSTITUTE(SUBSTITUTE(SUBSTITUTE(SUBSTITUTE(SUBSTITUTE(TRIM(G47),"　","")," ",""),",",""),"，",""),"、","")),
IF(_xlpm.resp="",99,
SUMPRODUCT(--(ISNUMBER(SEARCH(_xlpm.opts,_xlpm.ans))&lt;&gt;ISNUMBER(SEARCH(_xlpm.opts,_xlpm.resp)))))
)</f>
        <v>0</v>
      </c>
      <c r="M47" s="7">
        <f t="shared" ref="M47:M53" si="70">IF(H47=0,3,IF(H47=1,1.8,IF(H47=2,0.6,0)))</f>
        <v>1.8</v>
      </c>
      <c r="N47" s="7">
        <f t="shared" si="69"/>
        <v>3</v>
      </c>
      <c r="O47" s="7">
        <f t="shared" si="69"/>
        <v>1.8</v>
      </c>
      <c r="P47" s="7">
        <f t="shared" si="69"/>
        <v>1.8</v>
      </c>
      <c r="Q47" s="7">
        <f t="shared" si="69"/>
        <v>3</v>
      </c>
      <c r="R47" s="11"/>
      <c r="S47" s="11"/>
      <c r="T47" s="11"/>
      <c r="U47" s="11"/>
      <c r="V47" s="11"/>
      <c r="W47" s="11"/>
      <c r="X47" s="11"/>
      <c r="Y47" s="11"/>
      <c r="Z47" s="11"/>
      <c r="AA47" s="11"/>
    </row>
    <row r="48" spans="1:27" ht="15.75" customHeight="1">
      <c r="A48" s="10" t="s">
        <v>199</v>
      </c>
      <c r="B48" s="5" t="s">
        <v>200</v>
      </c>
      <c r="C48" s="13" t="s">
        <v>40</v>
      </c>
      <c r="D48" s="13" t="s">
        <v>40</v>
      </c>
      <c r="E48" s="13" t="s">
        <v>40</v>
      </c>
      <c r="F48" s="13" t="s">
        <v>40</v>
      </c>
      <c r="G48" s="13" t="s">
        <v>40</v>
      </c>
      <c r="H48" s="14" cm="1">
        <f t="array" ref="H48">_xlfn.LET(
_xlpm.opts,{"A","B","C","D","E"},
_xlpm.ans,UPPER(SUBSTITUTE(SUBSTITUTE(SUBSTITUTE(SUBSTITUTE(SUBSTITUTE(TRIM($B48),"　","")," ",""),",",""),"，",""),"、","")),
_xlpm.resp,UPPER(SUBSTITUTE(SUBSTITUTE(SUBSTITUTE(SUBSTITUTE(SUBSTITUTE(TRIM(C48),"　","")," ",""),",",""),"，",""),"、","")),
IF(_xlpm.resp="",99,
SUMPRODUCT(--(ISNUMBER(SEARCH(_xlpm.opts,_xlpm.ans))&lt;&gt;ISNUMBER(SEARCH(_xlpm.opts,_xlpm.resp)))))
)</f>
        <v>0</v>
      </c>
      <c r="I48" s="14" cm="1">
        <f t="array" ref="I48">_xlfn.LET(
_xlpm.opts,{"A","B","C","D","E"},
_xlpm.ans,UPPER(SUBSTITUTE(SUBSTITUTE(SUBSTITUTE(SUBSTITUTE(SUBSTITUTE(TRIM($B48),"　","")," ",""),",",""),"，",""),"、","")),
_xlpm.resp,UPPER(SUBSTITUTE(SUBSTITUTE(SUBSTITUTE(SUBSTITUTE(SUBSTITUTE(TRIM(D48),"　","")," ",""),",",""),"，",""),"、","")),
IF(_xlpm.resp="",99,
SUMPRODUCT(--(ISNUMBER(SEARCH(_xlpm.opts,_xlpm.ans))&lt;&gt;ISNUMBER(SEARCH(_xlpm.opts,_xlpm.resp)))))
)</f>
        <v>0</v>
      </c>
      <c r="J48" s="14" cm="1">
        <f t="array" ref="J48">_xlfn.LET(
_xlpm.opts,{"A","B","C","D","E"},
_xlpm.ans,UPPER(SUBSTITUTE(SUBSTITUTE(SUBSTITUTE(SUBSTITUTE(SUBSTITUTE(TRIM($B48),"　","")," ",""),",",""),"，",""),"、","")),
_xlpm.resp,UPPER(SUBSTITUTE(SUBSTITUTE(SUBSTITUTE(SUBSTITUTE(SUBSTITUTE(TRIM(E48),"　","")," ",""),",",""),"，",""),"、","")),
IF(_xlpm.resp="",99,
SUMPRODUCT(--(ISNUMBER(SEARCH(_xlpm.opts,_xlpm.ans))&lt;&gt;ISNUMBER(SEARCH(_xlpm.opts,_xlpm.resp)))))
)</f>
        <v>0</v>
      </c>
      <c r="K48" s="14" cm="1">
        <f t="array" ref="K48">_xlfn.LET(
_xlpm.opts,{"A","B","C","D","E"},
_xlpm.ans,UPPER(SUBSTITUTE(SUBSTITUTE(SUBSTITUTE(SUBSTITUTE(SUBSTITUTE(TRIM($B48),"　","")," ",""),",",""),"，",""),"、","")),
_xlpm.resp,UPPER(SUBSTITUTE(SUBSTITUTE(SUBSTITUTE(SUBSTITUTE(SUBSTITUTE(TRIM(F48),"　","")," ",""),",",""),"，",""),"、","")),
IF(_xlpm.resp="",99,
SUMPRODUCT(--(ISNUMBER(SEARCH(_xlpm.opts,_xlpm.ans))&lt;&gt;ISNUMBER(SEARCH(_xlpm.opts,_xlpm.resp)))))
)</f>
        <v>0</v>
      </c>
      <c r="L48" s="14" cm="1">
        <f t="array" ref="L48">_xlfn.LET(
_xlpm.opts,{"A","B","C","D","E"},
_xlpm.ans,UPPER(SUBSTITUTE(SUBSTITUTE(SUBSTITUTE(SUBSTITUTE(SUBSTITUTE(TRIM($B48),"　","")," ",""),",",""),"，",""),"、","")),
_xlpm.resp,UPPER(SUBSTITUTE(SUBSTITUTE(SUBSTITUTE(SUBSTITUTE(SUBSTITUTE(TRIM(G48),"　","")," ",""),",",""),"，",""),"、","")),
IF(_xlpm.resp="",99,
SUMPRODUCT(--(ISNUMBER(SEARCH(_xlpm.opts,_xlpm.ans))&lt;&gt;ISNUMBER(SEARCH(_xlpm.opts,_xlpm.resp)))))
)</f>
        <v>0</v>
      </c>
      <c r="M48" s="7">
        <f t="shared" si="70"/>
        <v>3</v>
      </c>
      <c r="N48" s="7">
        <f t="shared" si="69"/>
        <v>3</v>
      </c>
      <c r="O48" s="7">
        <f t="shared" si="69"/>
        <v>3</v>
      </c>
      <c r="P48" s="7">
        <f t="shared" si="69"/>
        <v>3</v>
      </c>
      <c r="Q48" s="7">
        <f t="shared" si="69"/>
        <v>3</v>
      </c>
      <c r="R48" s="11"/>
      <c r="S48" s="11"/>
      <c r="T48" s="11"/>
      <c r="U48" s="11"/>
      <c r="V48" s="11"/>
      <c r="W48" s="11"/>
      <c r="X48" s="11"/>
      <c r="Y48" s="11"/>
      <c r="Z48" s="11"/>
      <c r="AA48" s="11"/>
    </row>
    <row r="49" spans="1:27" ht="15.75" customHeight="1">
      <c r="A49" s="10" t="s">
        <v>201</v>
      </c>
      <c r="B49" s="5" t="s">
        <v>202</v>
      </c>
      <c r="C49" s="13" t="s">
        <v>40</v>
      </c>
      <c r="D49" s="13" t="s">
        <v>136</v>
      </c>
      <c r="E49" s="13" t="s">
        <v>47</v>
      </c>
      <c r="F49" s="13" t="s">
        <v>53</v>
      </c>
      <c r="G49" s="13" t="s">
        <v>39</v>
      </c>
      <c r="H49" s="14" cm="1">
        <f t="array" ref="H49">_xlfn.LET(
_xlpm.opts,{"A","B","C","D","E"},
_xlpm.ans,UPPER(SUBSTITUTE(SUBSTITUTE(SUBSTITUTE(SUBSTITUTE(SUBSTITUTE(TRIM($B49),"　","")," ",""),",",""),"，",""),"、","")),
_xlpm.resp,UPPER(SUBSTITUTE(SUBSTITUTE(SUBSTITUTE(SUBSTITUTE(SUBSTITUTE(TRIM(C49),"　","")," ",""),",",""),"，",""),"、","")),
IF(_xlpm.resp="",99,
SUMPRODUCT(--(ISNUMBER(SEARCH(_xlpm.opts,_xlpm.ans))&lt;&gt;ISNUMBER(SEARCH(_xlpm.opts,_xlpm.resp)))))
)</f>
        <v>3</v>
      </c>
      <c r="I49" s="14" cm="1">
        <f t="array" ref="I49">_xlfn.LET(
_xlpm.opts,{"A","B","C","D","E"},
_xlpm.ans,UPPER(SUBSTITUTE(SUBSTITUTE(SUBSTITUTE(SUBSTITUTE(SUBSTITUTE(TRIM($B49),"　","")," ",""),",",""),"，",""),"、","")),
_xlpm.resp,UPPER(SUBSTITUTE(SUBSTITUTE(SUBSTITUTE(SUBSTITUTE(SUBSTITUTE(TRIM(D49),"　","")," ",""),",",""),"，",""),"、","")),
IF(_xlpm.resp="",99,
SUMPRODUCT(--(ISNUMBER(SEARCH(_xlpm.opts,_xlpm.ans))&lt;&gt;ISNUMBER(SEARCH(_xlpm.opts,_xlpm.resp)))))
)</f>
        <v>0</v>
      </c>
      <c r="J49" s="14" cm="1">
        <f t="array" ref="J49">_xlfn.LET(
_xlpm.opts,{"A","B","C","D","E"},
_xlpm.ans,UPPER(SUBSTITUTE(SUBSTITUTE(SUBSTITUTE(SUBSTITUTE(SUBSTITUTE(TRIM($B49),"　","")," ",""),",",""),"，",""),"、","")),
_xlpm.resp,UPPER(SUBSTITUTE(SUBSTITUTE(SUBSTITUTE(SUBSTITUTE(SUBSTITUTE(TRIM(E49),"　","")," ",""),",",""),"，",""),"、","")),
IF(_xlpm.resp="",99,
SUMPRODUCT(--(ISNUMBER(SEARCH(_xlpm.opts,_xlpm.ans))&lt;&gt;ISNUMBER(SEARCH(_xlpm.opts,_xlpm.resp)))))
)</f>
        <v>2</v>
      </c>
      <c r="K49" s="14" cm="1">
        <f t="array" ref="K49">_xlfn.LET(
_xlpm.opts,{"A","B","C","D","E"},
_xlpm.ans,UPPER(SUBSTITUTE(SUBSTITUTE(SUBSTITUTE(SUBSTITUTE(SUBSTITUTE(TRIM($B49),"　","")," ",""),",",""),"，",""),"、","")),
_xlpm.resp,UPPER(SUBSTITUTE(SUBSTITUTE(SUBSTITUTE(SUBSTITUTE(SUBSTITUTE(TRIM(F49),"　","")," ",""),",",""),"，",""),"、","")),
IF(_xlpm.resp="",99,
SUMPRODUCT(--(ISNUMBER(SEARCH(_xlpm.opts,_xlpm.ans))&lt;&gt;ISNUMBER(SEARCH(_xlpm.opts,_xlpm.resp)))))
)</f>
        <v>1</v>
      </c>
      <c r="L49" s="14" cm="1">
        <f t="array" ref="L49">_xlfn.LET(
_xlpm.opts,{"A","B","C","D","E"},
_xlpm.ans,UPPER(SUBSTITUTE(SUBSTITUTE(SUBSTITUTE(SUBSTITUTE(SUBSTITUTE(TRIM($B49),"　","")," ",""),",",""),"，",""),"、","")),
_xlpm.resp,UPPER(SUBSTITUTE(SUBSTITUTE(SUBSTITUTE(SUBSTITUTE(SUBSTITUTE(TRIM(G49),"　","")," ",""),",",""),"，",""),"、","")),
IF(_xlpm.resp="",99,
SUMPRODUCT(--(ISNUMBER(SEARCH(_xlpm.opts,_xlpm.ans))&lt;&gt;ISNUMBER(SEARCH(_xlpm.opts,_xlpm.resp)))))
)</f>
        <v>1</v>
      </c>
      <c r="M49" s="7">
        <f t="shared" si="70"/>
        <v>0</v>
      </c>
      <c r="N49" s="7">
        <f t="shared" si="69"/>
        <v>3</v>
      </c>
      <c r="O49" s="7">
        <f t="shared" si="69"/>
        <v>0.6</v>
      </c>
      <c r="P49" s="7">
        <f t="shared" si="69"/>
        <v>1.8</v>
      </c>
      <c r="Q49" s="7">
        <f t="shared" si="69"/>
        <v>1.8</v>
      </c>
      <c r="R49" s="11"/>
      <c r="S49" s="11"/>
      <c r="T49" s="11"/>
      <c r="U49" s="11"/>
      <c r="V49" s="11"/>
      <c r="W49" s="11"/>
      <c r="X49" s="11"/>
      <c r="Y49" s="11"/>
      <c r="Z49" s="11"/>
      <c r="AA49" s="11"/>
    </row>
    <row r="50" spans="1:27" ht="15.75" customHeight="1">
      <c r="A50" s="10" t="s">
        <v>203</v>
      </c>
      <c r="B50" s="5" t="s">
        <v>204</v>
      </c>
      <c r="C50" s="13" t="s">
        <v>41</v>
      </c>
      <c r="D50" s="13" t="s">
        <v>41</v>
      </c>
      <c r="E50" s="13" t="s">
        <v>95</v>
      </c>
      <c r="F50" s="13" t="s">
        <v>41</v>
      </c>
      <c r="G50" s="13" t="s">
        <v>41</v>
      </c>
      <c r="H50" s="14" cm="1">
        <f t="array" ref="H50">_xlfn.LET(
_xlpm.opts,{"A","B","C","D","E"},
_xlpm.ans,UPPER(SUBSTITUTE(SUBSTITUTE(SUBSTITUTE(SUBSTITUTE(SUBSTITUTE(TRIM($B50),"　","")," ",""),",",""),"，",""),"、","")),
_xlpm.resp,UPPER(SUBSTITUTE(SUBSTITUTE(SUBSTITUTE(SUBSTITUTE(SUBSTITUTE(TRIM(C50),"　","")," ",""),",",""),"，",""),"、","")),
IF(_xlpm.resp="",99,
SUMPRODUCT(--(ISNUMBER(SEARCH(_xlpm.opts,_xlpm.ans))&lt;&gt;ISNUMBER(SEARCH(_xlpm.opts,_xlpm.resp)))))
)</f>
        <v>0</v>
      </c>
      <c r="I50" s="14" cm="1">
        <f t="array" ref="I50">_xlfn.LET(
_xlpm.opts,{"A","B","C","D","E"},
_xlpm.ans,UPPER(SUBSTITUTE(SUBSTITUTE(SUBSTITUTE(SUBSTITUTE(SUBSTITUTE(TRIM($B50),"　","")," ",""),",",""),"，",""),"、","")),
_xlpm.resp,UPPER(SUBSTITUTE(SUBSTITUTE(SUBSTITUTE(SUBSTITUTE(SUBSTITUTE(TRIM(D50),"　","")," ",""),",",""),"，",""),"、","")),
IF(_xlpm.resp="",99,
SUMPRODUCT(--(ISNUMBER(SEARCH(_xlpm.opts,_xlpm.ans))&lt;&gt;ISNUMBER(SEARCH(_xlpm.opts,_xlpm.resp)))))
)</f>
        <v>0</v>
      </c>
      <c r="J50" s="14" cm="1">
        <f t="array" ref="J50">_xlfn.LET(
_xlpm.opts,{"A","B","C","D","E"},
_xlpm.ans,UPPER(SUBSTITUTE(SUBSTITUTE(SUBSTITUTE(SUBSTITUTE(SUBSTITUTE(TRIM($B50),"　","")," ",""),",",""),"，",""),"、","")),
_xlpm.resp,UPPER(SUBSTITUTE(SUBSTITUTE(SUBSTITUTE(SUBSTITUTE(SUBSTITUTE(TRIM(E50),"　","")," ",""),",",""),"，",""),"、","")),
IF(_xlpm.resp="",99,
SUMPRODUCT(--(ISNUMBER(SEARCH(_xlpm.opts,_xlpm.ans))&lt;&gt;ISNUMBER(SEARCH(_xlpm.opts,_xlpm.resp)))))
)</f>
        <v>2</v>
      </c>
      <c r="K50" s="14" cm="1">
        <f t="array" ref="K50">_xlfn.LET(
_xlpm.opts,{"A","B","C","D","E"},
_xlpm.ans,UPPER(SUBSTITUTE(SUBSTITUTE(SUBSTITUTE(SUBSTITUTE(SUBSTITUTE(TRIM($B50),"　","")," ",""),",",""),"，",""),"、","")),
_xlpm.resp,UPPER(SUBSTITUTE(SUBSTITUTE(SUBSTITUTE(SUBSTITUTE(SUBSTITUTE(TRIM(F50),"　","")," ",""),",",""),"，",""),"、","")),
IF(_xlpm.resp="",99,
SUMPRODUCT(--(ISNUMBER(SEARCH(_xlpm.opts,_xlpm.ans))&lt;&gt;ISNUMBER(SEARCH(_xlpm.opts,_xlpm.resp)))))
)</f>
        <v>0</v>
      </c>
      <c r="L50" s="14" cm="1">
        <f t="array" ref="L50">_xlfn.LET(
_xlpm.opts,{"A","B","C","D","E"},
_xlpm.ans,UPPER(SUBSTITUTE(SUBSTITUTE(SUBSTITUTE(SUBSTITUTE(SUBSTITUTE(TRIM($B50),"　","")," ",""),",",""),"，",""),"、","")),
_xlpm.resp,UPPER(SUBSTITUTE(SUBSTITUTE(SUBSTITUTE(SUBSTITUTE(SUBSTITUTE(TRIM(G50),"　","")," ",""),",",""),"，",""),"、","")),
IF(_xlpm.resp="",99,
SUMPRODUCT(--(ISNUMBER(SEARCH(_xlpm.opts,_xlpm.ans))&lt;&gt;ISNUMBER(SEARCH(_xlpm.opts,_xlpm.resp)))))
)</f>
        <v>0</v>
      </c>
      <c r="M50" s="7">
        <f t="shared" si="70"/>
        <v>3</v>
      </c>
      <c r="N50" s="7">
        <f t="shared" si="69"/>
        <v>3</v>
      </c>
      <c r="O50" s="7">
        <f t="shared" si="69"/>
        <v>0.6</v>
      </c>
      <c r="P50" s="7">
        <f t="shared" si="69"/>
        <v>3</v>
      </c>
      <c r="Q50" s="7">
        <f t="shared" si="69"/>
        <v>3</v>
      </c>
      <c r="R50" s="11"/>
      <c r="S50" s="11"/>
      <c r="T50" s="11"/>
      <c r="U50" s="11"/>
      <c r="V50" s="11"/>
      <c r="W50" s="11"/>
      <c r="X50" s="11"/>
      <c r="Y50" s="11"/>
      <c r="Z50" s="11"/>
      <c r="AA50" s="11"/>
    </row>
    <row r="51" spans="1:27" ht="15.75" customHeight="1">
      <c r="A51" s="10" t="s">
        <v>205</v>
      </c>
      <c r="B51" s="5" t="s">
        <v>206</v>
      </c>
      <c r="C51" s="13" t="s">
        <v>90</v>
      </c>
      <c r="D51" s="13" t="s">
        <v>94</v>
      </c>
      <c r="E51" s="13" t="s">
        <v>39</v>
      </c>
      <c r="F51" s="13" t="s">
        <v>134</v>
      </c>
      <c r="G51" s="13" t="s">
        <v>134</v>
      </c>
      <c r="H51" s="14" cm="1">
        <f t="array" ref="H51">_xlfn.LET(
_xlpm.opts,{"A","B","C","D","E"},
_xlpm.ans,UPPER(SUBSTITUTE(SUBSTITUTE(SUBSTITUTE(SUBSTITUTE(SUBSTITUTE(TRIM($B51),"　","")," ",""),",",""),"，",""),"、","")),
_xlpm.resp,UPPER(SUBSTITUTE(SUBSTITUTE(SUBSTITUTE(SUBSTITUTE(SUBSTITUTE(TRIM(C51),"　","")," ",""),",",""),"，",""),"、","")),
IF(_xlpm.resp="",99,
SUMPRODUCT(--(ISNUMBER(SEARCH(_xlpm.opts,_xlpm.ans))&lt;&gt;ISNUMBER(SEARCH(_xlpm.opts,_xlpm.resp)))))
)</f>
        <v>1</v>
      </c>
      <c r="I51" s="14" cm="1">
        <f t="array" ref="I51">_xlfn.LET(
_xlpm.opts,{"A","B","C","D","E"},
_xlpm.ans,UPPER(SUBSTITUTE(SUBSTITUTE(SUBSTITUTE(SUBSTITUTE(SUBSTITUTE(TRIM($B51),"　","")," ",""),",",""),"，",""),"、","")),
_xlpm.resp,UPPER(SUBSTITUTE(SUBSTITUTE(SUBSTITUTE(SUBSTITUTE(SUBSTITUTE(TRIM(D51),"　","")," ",""),",",""),"，",""),"、","")),
IF(_xlpm.resp="",99,
SUMPRODUCT(--(ISNUMBER(SEARCH(_xlpm.opts,_xlpm.ans))&lt;&gt;ISNUMBER(SEARCH(_xlpm.opts,_xlpm.resp)))))
)</f>
        <v>1</v>
      </c>
      <c r="J51" s="14" cm="1">
        <f t="array" ref="J51">_xlfn.LET(
_xlpm.opts,{"A","B","C","D","E"},
_xlpm.ans,UPPER(SUBSTITUTE(SUBSTITUTE(SUBSTITUTE(SUBSTITUTE(SUBSTITUTE(TRIM($B51),"　","")," ",""),",",""),"，",""),"、","")),
_xlpm.resp,UPPER(SUBSTITUTE(SUBSTITUTE(SUBSTITUTE(SUBSTITUTE(SUBSTITUTE(TRIM(E51),"　","")," ",""),",",""),"，",""),"、","")),
IF(_xlpm.resp="",99,
SUMPRODUCT(--(ISNUMBER(SEARCH(_xlpm.opts,_xlpm.ans))&lt;&gt;ISNUMBER(SEARCH(_xlpm.opts,_xlpm.resp)))))
)</f>
        <v>3</v>
      </c>
      <c r="K51" s="14" cm="1">
        <f t="array" ref="K51">_xlfn.LET(
_xlpm.opts,{"A","B","C","D","E"},
_xlpm.ans,UPPER(SUBSTITUTE(SUBSTITUTE(SUBSTITUTE(SUBSTITUTE(SUBSTITUTE(TRIM($B51),"　","")," ",""),",",""),"，",""),"、","")),
_xlpm.resp,UPPER(SUBSTITUTE(SUBSTITUTE(SUBSTITUTE(SUBSTITUTE(SUBSTITUTE(TRIM(F51),"　","")," ",""),",",""),"，",""),"、","")),
IF(_xlpm.resp="",99,
SUMPRODUCT(--(ISNUMBER(SEARCH(_xlpm.opts,_xlpm.ans))&lt;&gt;ISNUMBER(SEARCH(_xlpm.opts,_xlpm.resp)))))
)</f>
        <v>0</v>
      </c>
      <c r="L51" s="14" cm="1">
        <f t="array" ref="L51">_xlfn.LET(
_xlpm.opts,{"A","B","C","D","E"},
_xlpm.ans,UPPER(SUBSTITUTE(SUBSTITUTE(SUBSTITUTE(SUBSTITUTE(SUBSTITUTE(TRIM($B51),"　","")," ",""),",",""),"，",""),"、","")),
_xlpm.resp,UPPER(SUBSTITUTE(SUBSTITUTE(SUBSTITUTE(SUBSTITUTE(SUBSTITUTE(TRIM(G51),"　","")," ",""),",",""),"，",""),"、","")),
IF(_xlpm.resp="",99,
SUMPRODUCT(--(ISNUMBER(SEARCH(_xlpm.opts,_xlpm.ans))&lt;&gt;ISNUMBER(SEARCH(_xlpm.opts,_xlpm.resp)))))
)</f>
        <v>0</v>
      </c>
      <c r="M51" s="7">
        <f t="shared" si="70"/>
        <v>1.8</v>
      </c>
      <c r="N51" s="7">
        <f t="shared" si="69"/>
        <v>1.8</v>
      </c>
      <c r="O51" s="7">
        <f t="shared" si="69"/>
        <v>0</v>
      </c>
      <c r="P51" s="7">
        <f t="shared" si="69"/>
        <v>3</v>
      </c>
      <c r="Q51" s="7">
        <f t="shared" si="69"/>
        <v>3</v>
      </c>
      <c r="R51" s="11"/>
      <c r="S51" s="11"/>
      <c r="T51" s="11"/>
      <c r="U51" s="11"/>
      <c r="V51" s="11"/>
      <c r="W51" s="11"/>
      <c r="X51" s="11"/>
      <c r="Y51" s="11"/>
      <c r="Z51" s="11"/>
      <c r="AA51" s="11"/>
    </row>
    <row r="52" spans="1:27" ht="15.75" customHeight="1">
      <c r="A52" s="10" t="s">
        <v>207</v>
      </c>
      <c r="B52" s="5" t="s">
        <v>204</v>
      </c>
      <c r="C52" s="13" t="s">
        <v>42</v>
      </c>
      <c r="D52" s="13" t="s">
        <v>41</v>
      </c>
      <c r="E52" s="13" t="s">
        <v>95</v>
      </c>
      <c r="F52" s="13" t="s">
        <v>45</v>
      </c>
      <c r="G52" s="13" t="s">
        <v>41</v>
      </c>
      <c r="H52" s="14" cm="1">
        <f t="array" ref="H52">_xlfn.LET(
_xlpm.opts,{"A","B","C","D","E"},
_xlpm.ans,UPPER(SUBSTITUTE(SUBSTITUTE(SUBSTITUTE(SUBSTITUTE(SUBSTITUTE(TRIM($B52),"　","")," ",""),",",""),"，",""),"、","")),
_xlpm.resp,UPPER(SUBSTITUTE(SUBSTITUTE(SUBSTITUTE(SUBSTITUTE(SUBSTITUTE(TRIM(C52),"　","")," ",""),",",""),"，",""),"、","")),
IF(_xlpm.resp="",99,
SUMPRODUCT(--(ISNUMBER(SEARCH(_xlpm.opts,_xlpm.ans))&lt;&gt;ISNUMBER(SEARCH(_xlpm.opts,_xlpm.resp)))))
)</f>
        <v>1</v>
      </c>
      <c r="I52" s="14" cm="1">
        <f t="array" ref="I52">_xlfn.LET(
_xlpm.opts,{"A","B","C","D","E"},
_xlpm.ans,UPPER(SUBSTITUTE(SUBSTITUTE(SUBSTITUTE(SUBSTITUTE(SUBSTITUTE(TRIM($B52),"　","")," ",""),",",""),"，",""),"、","")),
_xlpm.resp,UPPER(SUBSTITUTE(SUBSTITUTE(SUBSTITUTE(SUBSTITUTE(SUBSTITUTE(TRIM(D52),"　","")," ",""),",",""),"，",""),"、","")),
IF(_xlpm.resp="",99,
SUMPRODUCT(--(ISNUMBER(SEARCH(_xlpm.opts,_xlpm.ans))&lt;&gt;ISNUMBER(SEARCH(_xlpm.opts,_xlpm.resp)))))
)</f>
        <v>0</v>
      </c>
      <c r="J52" s="14" cm="1">
        <f t="array" ref="J52">_xlfn.LET(
_xlpm.opts,{"A","B","C","D","E"},
_xlpm.ans,UPPER(SUBSTITUTE(SUBSTITUTE(SUBSTITUTE(SUBSTITUTE(SUBSTITUTE(TRIM($B52),"　","")," ",""),",",""),"，",""),"、","")),
_xlpm.resp,UPPER(SUBSTITUTE(SUBSTITUTE(SUBSTITUTE(SUBSTITUTE(SUBSTITUTE(TRIM(E52),"　","")," ",""),",",""),"，",""),"、","")),
IF(_xlpm.resp="",99,
SUMPRODUCT(--(ISNUMBER(SEARCH(_xlpm.opts,_xlpm.ans))&lt;&gt;ISNUMBER(SEARCH(_xlpm.opts,_xlpm.resp)))))
)</f>
        <v>2</v>
      </c>
      <c r="K52" s="14" cm="1">
        <f t="array" ref="K52">_xlfn.LET(
_xlpm.opts,{"A","B","C","D","E"},
_xlpm.ans,UPPER(SUBSTITUTE(SUBSTITUTE(SUBSTITUTE(SUBSTITUTE(SUBSTITUTE(TRIM($B52),"　","")," ",""),",",""),"，",""),"、","")),
_xlpm.resp,UPPER(SUBSTITUTE(SUBSTITUTE(SUBSTITUTE(SUBSTITUTE(SUBSTITUTE(TRIM(F52),"　","")," ",""),",",""),"，",""),"、","")),
IF(_xlpm.resp="",99,
SUMPRODUCT(--(ISNUMBER(SEARCH(_xlpm.opts,_xlpm.ans))&lt;&gt;ISNUMBER(SEARCH(_xlpm.opts,_xlpm.resp)))))
)</f>
        <v>1</v>
      </c>
      <c r="L52" s="14" cm="1">
        <f t="array" ref="L52">_xlfn.LET(
_xlpm.opts,{"A","B","C","D","E"},
_xlpm.ans,UPPER(SUBSTITUTE(SUBSTITUTE(SUBSTITUTE(SUBSTITUTE(SUBSTITUTE(TRIM($B52),"　","")," ",""),",",""),"，",""),"、","")),
_xlpm.resp,UPPER(SUBSTITUTE(SUBSTITUTE(SUBSTITUTE(SUBSTITUTE(SUBSTITUTE(TRIM(G52),"　","")," ",""),",",""),"，",""),"、","")),
IF(_xlpm.resp="",99,
SUMPRODUCT(--(ISNUMBER(SEARCH(_xlpm.opts,_xlpm.ans))&lt;&gt;ISNUMBER(SEARCH(_xlpm.opts,_xlpm.resp)))))
)</f>
        <v>0</v>
      </c>
      <c r="M52" s="7">
        <f t="shared" si="70"/>
        <v>1.8</v>
      </c>
      <c r="N52" s="7">
        <f t="shared" si="69"/>
        <v>3</v>
      </c>
      <c r="O52" s="7">
        <f t="shared" si="69"/>
        <v>0.6</v>
      </c>
      <c r="P52" s="7">
        <f t="shared" si="69"/>
        <v>1.8</v>
      </c>
      <c r="Q52" s="7">
        <f t="shared" si="69"/>
        <v>3</v>
      </c>
      <c r="R52" s="11"/>
      <c r="S52" s="11"/>
      <c r="T52" s="11"/>
      <c r="U52" s="11"/>
      <c r="V52" s="11"/>
      <c r="W52" s="11"/>
      <c r="X52" s="11"/>
      <c r="Y52" s="11"/>
      <c r="Z52" s="11"/>
      <c r="AA52" s="11"/>
    </row>
    <row r="53" spans="1:27" ht="15.75" customHeight="1">
      <c r="A53" s="10" t="s">
        <v>208</v>
      </c>
      <c r="B53" s="5" t="s">
        <v>209</v>
      </c>
      <c r="C53" s="13" t="s">
        <v>132</v>
      </c>
      <c r="D53" s="13" t="s">
        <v>101</v>
      </c>
      <c r="E53" s="13" t="s">
        <v>94</v>
      </c>
      <c r="F53" s="13" t="s">
        <v>101</v>
      </c>
      <c r="G53" s="13" t="s">
        <v>101</v>
      </c>
      <c r="H53" s="14" cm="1">
        <f t="array" ref="H53">_xlfn.LET(
_xlpm.opts,{"A","B","C","D","E"},
_xlpm.ans,UPPER(SUBSTITUTE(SUBSTITUTE(SUBSTITUTE(SUBSTITUTE(SUBSTITUTE(TRIM($B53),"　","")," ",""),",",""),"，",""),"、","")),
_xlpm.resp,UPPER(SUBSTITUTE(SUBSTITUTE(SUBSTITUTE(SUBSTITUTE(SUBSTITUTE(TRIM(C53),"　","")," ",""),",",""),"，",""),"、","")),
IF(_xlpm.resp="",99,
SUMPRODUCT(--(ISNUMBER(SEARCH(_xlpm.opts,_xlpm.ans))&lt;&gt;ISNUMBER(SEARCH(_xlpm.opts,_xlpm.resp)))))
)</f>
        <v>1</v>
      </c>
      <c r="I53" s="14" cm="1">
        <f t="array" ref="I53">_xlfn.LET(
_xlpm.opts,{"A","B","C","D","E"},
_xlpm.ans,UPPER(SUBSTITUTE(SUBSTITUTE(SUBSTITUTE(SUBSTITUTE(SUBSTITUTE(TRIM($B53),"　","")," ",""),",",""),"，",""),"、","")),
_xlpm.resp,UPPER(SUBSTITUTE(SUBSTITUTE(SUBSTITUTE(SUBSTITUTE(SUBSTITUTE(TRIM(D53),"　","")," ",""),",",""),"，",""),"、","")),
IF(_xlpm.resp="",99,
SUMPRODUCT(--(ISNUMBER(SEARCH(_xlpm.opts,_xlpm.ans))&lt;&gt;ISNUMBER(SEARCH(_xlpm.opts,_xlpm.resp)))))
)</f>
        <v>0</v>
      </c>
      <c r="J53" s="14" cm="1">
        <f t="array" ref="J53">_xlfn.LET(
_xlpm.opts,{"A","B","C","D","E"},
_xlpm.ans,UPPER(SUBSTITUTE(SUBSTITUTE(SUBSTITUTE(SUBSTITUTE(SUBSTITUTE(TRIM($B53),"　","")," ",""),",",""),"，",""),"、","")),
_xlpm.resp,UPPER(SUBSTITUTE(SUBSTITUTE(SUBSTITUTE(SUBSTITUTE(SUBSTITUTE(TRIM(E53),"　","")," ",""),",",""),"，",""),"、","")),
IF(_xlpm.resp="",99,
SUMPRODUCT(--(ISNUMBER(SEARCH(_xlpm.opts,_xlpm.ans))&lt;&gt;ISNUMBER(SEARCH(_xlpm.opts,_xlpm.resp)))))
)</f>
        <v>2</v>
      </c>
      <c r="K53" s="14" cm="1">
        <f t="array" ref="K53">_xlfn.LET(
_xlpm.opts,{"A","B","C","D","E"},
_xlpm.ans,UPPER(SUBSTITUTE(SUBSTITUTE(SUBSTITUTE(SUBSTITUTE(SUBSTITUTE(TRIM($B53),"　","")," ",""),",",""),"，",""),"、","")),
_xlpm.resp,UPPER(SUBSTITUTE(SUBSTITUTE(SUBSTITUTE(SUBSTITUTE(SUBSTITUTE(TRIM(F53),"　","")," ",""),",",""),"，",""),"、","")),
IF(_xlpm.resp="",99,
SUMPRODUCT(--(ISNUMBER(SEARCH(_xlpm.opts,_xlpm.ans))&lt;&gt;ISNUMBER(SEARCH(_xlpm.opts,_xlpm.resp)))))
)</f>
        <v>0</v>
      </c>
      <c r="L53" s="14" cm="1">
        <f t="array" ref="L53">_xlfn.LET(
_xlpm.opts,{"A","B","C","D","E"},
_xlpm.ans,UPPER(SUBSTITUTE(SUBSTITUTE(SUBSTITUTE(SUBSTITUTE(SUBSTITUTE(TRIM($B53),"　","")," ",""),",",""),"，",""),"、","")),
_xlpm.resp,UPPER(SUBSTITUTE(SUBSTITUTE(SUBSTITUTE(SUBSTITUTE(SUBSTITUTE(TRIM(G53),"　","")," ",""),",",""),"，",""),"、","")),
IF(_xlpm.resp="",99,
SUMPRODUCT(--(ISNUMBER(SEARCH(_xlpm.opts,_xlpm.ans))&lt;&gt;ISNUMBER(SEARCH(_xlpm.opts,_xlpm.resp)))))
)</f>
        <v>0</v>
      </c>
      <c r="M53" s="7">
        <f t="shared" si="70"/>
        <v>1.8</v>
      </c>
      <c r="N53" s="7">
        <f t="shared" si="69"/>
        <v>3</v>
      </c>
      <c r="O53" s="7">
        <f t="shared" si="69"/>
        <v>0.6</v>
      </c>
      <c r="P53" s="7">
        <f t="shared" si="69"/>
        <v>3</v>
      </c>
      <c r="Q53" s="7">
        <f t="shared" si="69"/>
        <v>3</v>
      </c>
      <c r="R53" s="11"/>
      <c r="S53" s="11"/>
      <c r="T53" s="11"/>
      <c r="U53" s="11"/>
      <c r="V53" s="11"/>
      <c r="W53" s="11"/>
      <c r="X53" s="11"/>
      <c r="Y53" s="11"/>
      <c r="Z53" s="11"/>
      <c r="AA53" s="11"/>
    </row>
    <row r="54" spans="1:27" ht="15.75" customHeight="1">
      <c r="A54" s="24"/>
      <c r="B54" s="25"/>
      <c r="C54" s="26"/>
      <c r="D54" s="26"/>
      <c r="E54" s="26"/>
      <c r="F54" s="26"/>
      <c r="G54" s="26"/>
      <c r="H54" s="26"/>
      <c r="I54" s="26"/>
      <c r="J54" s="26"/>
      <c r="K54" s="26"/>
      <c r="L54" s="26"/>
      <c r="M54" s="27"/>
      <c r="N54" s="27"/>
      <c r="O54" s="27"/>
      <c r="P54" s="27"/>
      <c r="Q54" s="27"/>
      <c r="R54" s="11"/>
      <c r="S54" s="11"/>
      <c r="T54" s="11"/>
      <c r="U54" s="11"/>
      <c r="V54" s="11"/>
      <c r="W54" s="11"/>
      <c r="X54" s="11"/>
      <c r="Y54" s="11"/>
      <c r="Z54" s="11"/>
      <c r="AA54" s="11"/>
    </row>
    <row r="55" spans="1:27" ht="15.75" customHeight="1">
      <c r="A55" s="24"/>
      <c r="B55" s="25"/>
      <c r="C55" s="26"/>
      <c r="D55" s="26"/>
      <c r="E55" s="26"/>
      <c r="F55" s="26"/>
      <c r="G55" s="26"/>
      <c r="H55" s="26"/>
      <c r="I55" s="26"/>
      <c r="J55" s="26"/>
      <c r="K55" s="26"/>
      <c r="L55" s="26"/>
      <c r="M55" s="27"/>
      <c r="N55" s="27"/>
      <c r="O55" s="27"/>
      <c r="P55" s="27"/>
      <c r="Q55" s="27"/>
      <c r="R55" s="11"/>
      <c r="S55" s="11"/>
      <c r="T55" s="11"/>
      <c r="U55" s="11"/>
      <c r="V55" s="11"/>
      <c r="W55" s="11"/>
      <c r="X55" s="11"/>
      <c r="Y55" s="11"/>
      <c r="Z55" s="11"/>
      <c r="AA55" s="11"/>
    </row>
    <row r="56" spans="1:27" ht="15.75" customHeight="1">
      <c r="A56" s="24"/>
      <c r="B56" s="25"/>
      <c r="C56" s="26"/>
      <c r="D56" s="26"/>
      <c r="E56" s="26"/>
      <c r="F56" s="26"/>
      <c r="G56" s="26"/>
      <c r="H56" s="26"/>
      <c r="I56" s="26"/>
      <c r="J56" s="26"/>
      <c r="K56" s="26"/>
      <c r="L56" s="26"/>
      <c r="M56" s="27"/>
      <c r="N56" s="27"/>
      <c r="O56" s="27"/>
      <c r="P56" s="27"/>
      <c r="Q56" s="27"/>
      <c r="R56" s="11"/>
      <c r="S56" s="11"/>
      <c r="T56" s="11"/>
      <c r="U56" s="11"/>
      <c r="V56" s="11"/>
      <c r="W56" s="11"/>
      <c r="X56" s="11"/>
      <c r="Y56" s="11"/>
      <c r="Z56" s="11"/>
      <c r="AA56" s="11"/>
    </row>
    <row r="57" spans="1:27" ht="15.75" customHeight="1">
      <c r="A57" s="24"/>
      <c r="B57" s="25"/>
      <c r="C57" s="26"/>
      <c r="D57" s="26"/>
      <c r="E57" s="26"/>
      <c r="F57" s="26"/>
      <c r="G57" s="26"/>
      <c r="H57" s="26"/>
      <c r="I57" s="26"/>
      <c r="J57" s="26"/>
      <c r="K57" s="26"/>
      <c r="L57" s="26"/>
      <c r="M57" s="27"/>
      <c r="N57" s="27"/>
      <c r="O57" s="27"/>
      <c r="P57" s="27"/>
      <c r="Q57" s="27"/>
      <c r="R57" s="11"/>
      <c r="S57" s="11"/>
      <c r="T57" s="11"/>
      <c r="U57" s="11"/>
      <c r="V57" s="11"/>
      <c r="W57" s="11"/>
      <c r="X57" s="11"/>
      <c r="Y57" s="11"/>
      <c r="Z57" s="11"/>
      <c r="AA57" s="11"/>
    </row>
    <row r="58" spans="1:27" ht="15.75" customHeight="1">
      <c r="A58" s="24"/>
      <c r="B58" s="25"/>
      <c r="C58" s="26"/>
      <c r="D58" s="26"/>
      <c r="E58" s="26"/>
      <c r="F58" s="26"/>
      <c r="G58" s="26"/>
      <c r="H58" s="26"/>
      <c r="I58" s="26"/>
      <c r="J58" s="26"/>
      <c r="K58" s="26"/>
      <c r="L58" s="26"/>
      <c r="M58" s="27"/>
      <c r="N58" s="27"/>
      <c r="O58" s="27"/>
      <c r="P58" s="27"/>
      <c r="Q58" s="27"/>
      <c r="R58" s="11"/>
      <c r="S58" s="11"/>
      <c r="T58" s="11"/>
      <c r="U58" s="11"/>
      <c r="V58" s="11"/>
      <c r="W58" s="11"/>
      <c r="X58" s="11"/>
      <c r="Y58" s="11"/>
      <c r="Z58" s="11"/>
      <c r="AA58" s="11"/>
    </row>
    <row r="59" spans="1:27" ht="15.75" customHeight="1">
      <c r="A59" s="24"/>
      <c r="B59" s="25"/>
      <c r="C59" s="26"/>
      <c r="D59" s="26"/>
      <c r="E59" s="26"/>
      <c r="F59" s="26"/>
      <c r="G59" s="26"/>
      <c r="H59" s="26"/>
      <c r="I59" s="26"/>
      <c r="J59" s="26"/>
      <c r="K59" s="26"/>
      <c r="L59" s="26"/>
      <c r="M59" s="27"/>
      <c r="N59" s="27"/>
      <c r="O59" s="27"/>
      <c r="P59" s="27"/>
      <c r="Q59" s="27"/>
      <c r="R59" s="11"/>
      <c r="S59" s="11"/>
      <c r="T59" s="11"/>
      <c r="U59" s="11"/>
      <c r="V59" s="11"/>
      <c r="W59" s="11"/>
      <c r="X59" s="11"/>
      <c r="Y59" s="11"/>
      <c r="Z59" s="11"/>
      <c r="AA59" s="11"/>
    </row>
    <row r="60" spans="1:27" ht="15.75" customHeight="1">
      <c r="A60" s="24"/>
      <c r="B60" s="25"/>
      <c r="C60" s="26"/>
      <c r="D60" s="26"/>
      <c r="E60" s="26"/>
      <c r="F60" s="26"/>
      <c r="G60" s="26"/>
      <c r="H60" s="26"/>
      <c r="I60" s="26"/>
      <c r="J60" s="26"/>
      <c r="K60" s="26"/>
      <c r="L60" s="26"/>
      <c r="M60" s="27"/>
      <c r="N60" s="27"/>
      <c r="O60" s="27"/>
      <c r="P60" s="27"/>
      <c r="Q60" s="27"/>
      <c r="R60" s="11"/>
      <c r="S60" s="11"/>
      <c r="T60" s="11"/>
      <c r="U60" s="11"/>
      <c r="V60" s="11"/>
      <c r="W60" s="11"/>
      <c r="X60" s="11"/>
      <c r="Y60" s="11"/>
      <c r="Z60" s="11"/>
      <c r="AA60" s="11"/>
    </row>
    <row r="61" spans="1:27" ht="15.75" customHeight="1">
      <c r="A61" s="24"/>
      <c r="B61" s="25"/>
      <c r="C61" s="26"/>
      <c r="D61" s="26"/>
      <c r="E61" s="26"/>
      <c r="F61" s="26"/>
      <c r="G61" s="26"/>
      <c r="H61" s="26"/>
      <c r="I61" s="26"/>
      <c r="J61" s="26"/>
      <c r="K61" s="26"/>
      <c r="L61" s="26"/>
      <c r="M61" s="27"/>
      <c r="N61" s="27"/>
      <c r="O61" s="27"/>
      <c r="P61" s="27"/>
      <c r="Q61" s="27"/>
      <c r="R61" s="11"/>
      <c r="S61" s="11"/>
      <c r="T61" s="11"/>
      <c r="U61" s="11"/>
      <c r="V61" s="11"/>
      <c r="W61" s="11"/>
      <c r="X61" s="11"/>
      <c r="Y61" s="11"/>
      <c r="Z61" s="11"/>
      <c r="AA61" s="11"/>
    </row>
    <row r="62" spans="1:27" ht="15.75" customHeight="1">
      <c r="A62" s="24"/>
      <c r="B62" s="25"/>
      <c r="C62" s="26"/>
      <c r="D62" s="26"/>
      <c r="E62" s="26"/>
      <c r="F62" s="26"/>
      <c r="G62" s="26"/>
      <c r="H62" s="26"/>
      <c r="I62" s="26"/>
      <c r="J62" s="26"/>
      <c r="K62" s="26"/>
      <c r="L62" s="26"/>
      <c r="M62" s="27"/>
      <c r="N62" s="27"/>
      <c r="O62" s="27"/>
      <c r="P62" s="27"/>
      <c r="Q62" s="27"/>
      <c r="R62" s="11"/>
      <c r="S62" s="11"/>
      <c r="T62" s="11"/>
      <c r="U62" s="11"/>
      <c r="V62" s="11"/>
      <c r="W62" s="11"/>
      <c r="X62" s="11"/>
      <c r="Y62" s="11"/>
      <c r="Z62" s="11"/>
      <c r="AA62" s="11"/>
    </row>
    <row r="63" spans="1:27" ht="15.75" customHeight="1">
      <c r="A63" s="24"/>
      <c r="B63" s="25"/>
      <c r="C63" s="26"/>
      <c r="D63" s="26"/>
      <c r="E63" s="26"/>
      <c r="F63" s="26"/>
      <c r="G63" s="26"/>
      <c r="H63" s="26"/>
      <c r="I63" s="26"/>
      <c r="J63" s="26"/>
      <c r="K63" s="26"/>
      <c r="L63" s="26"/>
      <c r="M63" s="27"/>
      <c r="N63" s="27"/>
      <c r="O63" s="27"/>
      <c r="P63" s="27"/>
      <c r="Q63" s="27"/>
      <c r="R63" s="11"/>
      <c r="S63" s="11"/>
      <c r="T63" s="11"/>
      <c r="U63" s="11"/>
      <c r="V63" s="11"/>
      <c r="W63" s="11"/>
      <c r="X63" s="11"/>
      <c r="Y63" s="11"/>
      <c r="Z63" s="11"/>
      <c r="AA63" s="11"/>
    </row>
    <row r="64" spans="1:27" ht="15.75" customHeight="1">
      <c r="A64" s="24"/>
      <c r="B64" s="25"/>
      <c r="C64" s="25"/>
      <c r="D64" s="25"/>
      <c r="E64" s="25"/>
      <c r="F64" s="25"/>
      <c r="G64" s="25"/>
      <c r="H64" s="26"/>
      <c r="I64" s="26"/>
      <c r="J64" s="26"/>
      <c r="K64" s="26"/>
      <c r="L64" s="26"/>
      <c r="M64" s="27"/>
      <c r="N64" s="27"/>
      <c r="O64" s="27"/>
      <c r="P64" s="27"/>
      <c r="Q64" s="27"/>
      <c r="R64" s="11"/>
      <c r="S64" s="11"/>
      <c r="T64" s="11"/>
      <c r="U64" s="11"/>
      <c r="V64" s="11"/>
      <c r="W64" s="11"/>
      <c r="X64" s="11"/>
      <c r="Y64" s="11"/>
      <c r="Z64" s="11"/>
      <c r="AA64" s="11"/>
    </row>
    <row r="65" spans="1:27" ht="15.75" customHeight="1">
      <c r="A65" s="24"/>
      <c r="B65" s="25"/>
      <c r="C65" s="26"/>
      <c r="D65" s="26"/>
      <c r="E65" s="26"/>
      <c r="F65" s="26"/>
      <c r="G65" s="26"/>
      <c r="H65" s="25"/>
      <c r="I65" s="25"/>
      <c r="J65" s="25"/>
      <c r="K65" s="25"/>
      <c r="L65" s="25"/>
      <c r="M65" s="27"/>
      <c r="N65" s="27"/>
      <c r="O65" s="27"/>
      <c r="P65" s="27"/>
      <c r="Q65" s="27"/>
      <c r="R65" s="11"/>
      <c r="S65" s="11"/>
      <c r="T65" s="11"/>
      <c r="U65" s="11"/>
      <c r="V65" s="11"/>
      <c r="W65" s="11"/>
      <c r="X65" s="11"/>
      <c r="Y65" s="11"/>
      <c r="Z65" s="11"/>
      <c r="AA65" s="11"/>
    </row>
    <row r="66" spans="1:27" ht="15.75" customHeight="1">
      <c r="A66" s="24"/>
      <c r="B66" s="25"/>
      <c r="C66" s="26"/>
      <c r="D66" s="26"/>
      <c r="E66" s="26"/>
      <c r="F66" s="26"/>
      <c r="G66" s="26"/>
      <c r="H66" s="26"/>
      <c r="I66" s="26"/>
      <c r="J66" s="26"/>
      <c r="K66" s="26"/>
      <c r="L66" s="26"/>
      <c r="M66" s="27"/>
      <c r="N66" s="27"/>
      <c r="O66" s="27"/>
      <c r="P66" s="27"/>
      <c r="Q66" s="27"/>
      <c r="R66" s="11"/>
      <c r="S66" s="11"/>
      <c r="T66" s="11"/>
      <c r="U66" s="11"/>
      <c r="V66" s="11"/>
      <c r="W66" s="11"/>
      <c r="X66" s="11"/>
      <c r="Y66" s="11"/>
      <c r="Z66" s="11"/>
      <c r="AA66" s="11"/>
    </row>
    <row r="67" spans="1:27" ht="15.75" customHeight="1">
      <c r="A67" s="24"/>
      <c r="B67" s="25"/>
      <c r="C67" s="26"/>
      <c r="D67" s="26"/>
      <c r="E67" s="26"/>
      <c r="F67" s="26"/>
      <c r="G67" s="26"/>
      <c r="H67" s="26"/>
      <c r="I67" s="26"/>
      <c r="J67" s="26"/>
      <c r="K67" s="26"/>
      <c r="L67" s="26"/>
      <c r="M67" s="27"/>
      <c r="N67" s="27"/>
      <c r="O67" s="27"/>
      <c r="P67" s="27"/>
      <c r="Q67" s="27"/>
      <c r="R67" s="11"/>
      <c r="S67" s="11"/>
      <c r="T67" s="11"/>
      <c r="U67" s="11"/>
      <c r="V67" s="11"/>
      <c r="W67" s="11"/>
      <c r="X67" s="11"/>
      <c r="Y67" s="11"/>
      <c r="Z67" s="11"/>
      <c r="AA67" s="11"/>
    </row>
    <row r="68" spans="1:27" ht="15.75" customHeight="1">
      <c r="A68" s="24"/>
      <c r="B68" s="25"/>
      <c r="C68" s="26"/>
      <c r="D68" s="26"/>
      <c r="E68" s="26"/>
      <c r="F68" s="26"/>
      <c r="G68" s="26"/>
      <c r="H68" s="26"/>
      <c r="I68" s="26"/>
      <c r="J68" s="26"/>
      <c r="K68" s="26"/>
      <c r="L68" s="26"/>
      <c r="M68" s="13"/>
      <c r="N68" s="13"/>
      <c r="O68" s="13"/>
      <c r="P68" s="26"/>
      <c r="Q68" s="26"/>
      <c r="R68" s="11"/>
      <c r="S68" s="11"/>
      <c r="T68" s="11"/>
      <c r="U68" s="11"/>
      <c r="V68" s="11"/>
      <c r="W68" s="11"/>
      <c r="X68" s="11"/>
      <c r="Y68" s="11"/>
      <c r="Z68" s="11"/>
      <c r="AA68" s="11"/>
    </row>
    <row r="69" spans="1:27" ht="15.75" customHeight="1">
      <c r="A69" s="24"/>
      <c r="B69" s="25"/>
      <c r="C69" s="26"/>
      <c r="D69" s="26"/>
      <c r="E69" s="26"/>
      <c r="F69" s="26"/>
      <c r="G69" s="26"/>
      <c r="H69" s="26"/>
      <c r="I69" s="26"/>
      <c r="J69" s="26"/>
      <c r="K69" s="26"/>
      <c r="L69" s="26"/>
      <c r="M69" s="29"/>
      <c r="N69" s="29"/>
      <c r="O69" s="29"/>
      <c r="P69" s="29"/>
      <c r="Q69" s="29"/>
      <c r="R69" s="11"/>
      <c r="S69" s="11"/>
      <c r="T69" s="11"/>
      <c r="U69" s="11"/>
      <c r="V69" s="11"/>
      <c r="W69" s="11"/>
      <c r="X69" s="11"/>
      <c r="Y69" s="11"/>
      <c r="Z69" s="11"/>
      <c r="AA69" s="11"/>
    </row>
    <row r="70" spans="1:27" ht="15.75" customHeight="1">
      <c r="A70" s="24"/>
      <c r="B70" s="25"/>
      <c r="C70" s="26"/>
      <c r="D70" s="26"/>
      <c r="E70" s="26"/>
      <c r="F70" s="26"/>
      <c r="G70" s="26"/>
      <c r="H70" s="26"/>
      <c r="I70" s="26"/>
      <c r="J70" s="26"/>
      <c r="K70" s="26"/>
      <c r="L70" s="26"/>
      <c r="M70" s="29"/>
      <c r="N70" s="29"/>
      <c r="O70" s="29"/>
      <c r="P70" s="29"/>
      <c r="Q70" s="29"/>
      <c r="R70" s="11"/>
      <c r="S70" s="11"/>
      <c r="T70" s="11"/>
      <c r="U70" s="11"/>
      <c r="V70" s="11"/>
      <c r="W70" s="11"/>
      <c r="X70" s="11"/>
      <c r="Y70" s="11"/>
      <c r="Z70" s="11"/>
      <c r="AA70" s="11"/>
    </row>
    <row r="71" spans="1:27" ht="15.75" customHeight="1">
      <c r="A71" s="24"/>
      <c r="B71" s="25"/>
      <c r="C71" s="26"/>
      <c r="D71" s="26"/>
      <c r="E71" s="26"/>
      <c r="F71" s="26"/>
      <c r="G71" s="26"/>
      <c r="H71" s="26"/>
      <c r="I71" s="26"/>
      <c r="J71" s="26"/>
      <c r="K71" s="26"/>
      <c r="L71" s="26"/>
      <c r="M71" s="29"/>
      <c r="N71" s="29"/>
      <c r="O71" s="29"/>
      <c r="P71" s="29"/>
      <c r="Q71" s="29"/>
      <c r="R71" s="11"/>
      <c r="S71" s="11"/>
      <c r="T71" s="11"/>
      <c r="U71" s="11"/>
      <c r="V71" s="11"/>
      <c r="W71" s="11"/>
      <c r="X71" s="11"/>
      <c r="Y71" s="11"/>
      <c r="Z71" s="11"/>
      <c r="AA71" s="11"/>
    </row>
    <row r="72" spans="1:27" ht="15.75" customHeight="1">
      <c r="A72" s="24"/>
      <c r="B72" s="25"/>
      <c r="C72" s="26"/>
      <c r="D72" s="26"/>
      <c r="E72" s="26"/>
      <c r="F72" s="26"/>
      <c r="G72" s="26"/>
      <c r="H72" s="26"/>
      <c r="I72" s="26"/>
      <c r="J72" s="26"/>
      <c r="K72" s="26"/>
      <c r="L72" s="26"/>
      <c r="M72" s="29"/>
      <c r="N72" s="29"/>
      <c r="O72" s="29"/>
      <c r="P72" s="29"/>
      <c r="Q72" s="29"/>
      <c r="R72" s="11"/>
      <c r="S72" s="11"/>
      <c r="T72" s="11"/>
      <c r="U72" s="11"/>
      <c r="V72" s="11"/>
      <c r="W72" s="11"/>
      <c r="X72" s="11"/>
      <c r="Y72" s="11"/>
      <c r="Z72" s="11"/>
      <c r="AA72" s="11"/>
    </row>
    <row r="73" spans="1:27" ht="15.75" customHeight="1">
      <c r="A73" s="42"/>
      <c r="B73" s="25"/>
      <c r="C73" s="26"/>
      <c r="D73" s="26"/>
      <c r="E73" s="26"/>
      <c r="F73" s="26"/>
      <c r="G73" s="26"/>
      <c r="H73" s="26"/>
      <c r="I73" s="26"/>
      <c r="J73" s="26"/>
      <c r="K73" s="26"/>
      <c r="L73" s="26"/>
      <c r="M73" s="29"/>
      <c r="N73" s="29"/>
      <c r="O73" s="29"/>
      <c r="P73" s="29"/>
      <c r="Q73" s="29"/>
      <c r="R73" s="11"/>
      <c r="S73" s="11"/>
      <c r="T73" s="11"/>
      <c r="U73" s="11"/>
      <c r="V73" s="11"/>
      <c r="W73" s="11"/>
      <c r="X73" s="11"/>
      <c r="Y73" s="11"/>
      <c r="Z73" s="11"/>
      <c r="AA73" s="11"/>
    </row>
    <row r="74" spans="1:27" ht="15.75" customHeight="1">
      <c r="A74" s="24"/>
      <c r="B74" s="25"/>
      <c r="C74" s="26"/>
      <c r="D74" s="26"/>
      <c r="E74" s="26"/>
      <c r="F74" s="26"/>
      <c r="G74" s="26"/>
      <c r="H74" s="26"/>
      <c r="I74" s="26"/>
      <c r="J74" s="26"/>
      <c r="K74" s="26"/>
      <c r="L74" s="26"/>
      <c r="M74" s="29"/>
      <c r="N74" s="29"/>
      <c r="O74" s="29"/>
      <c r="P74" s="29"/>
      <c r="Q74" s="29"/>
      <c r="R74" s="11"/>
      <c r="S74" s="11"/>
      <c r="T74" s="11"/>
      <c r="U74" s="11"/>
      <c r="V74" s="11"/>
      <c r="W74" s="11"/>
      <c r="X74" s="11"/>
      <c r="Y74" s="11"/>
      <c r="Z74" s="11"/>
      <c r="AA74" s="11"/>
    </row>
    <row r="75" spans="1:27" ht="15.75" customHeight="1">
      <c r="A75" s="24"/>
      <c r="B75" s="25"/>
      <c r="C75" s="26"/>
      <c r="D75" s="26"/>
      <c r="E75" s="26"/>
      <c r="F75" s="26"/>
      <c r="G75" s="26"/>
      <c r="H75" s="26"/>
      <c r="I75" s="26"/>
      <c r="J75" s="26"/>
      <c r="K75" s="26"/>
      <c r="L75" s="26"/>
      <c r="M75" s="29"/>
      <c r="N75" s="29"/>
      <c r="O75" s="29"/>
      <c r="P75" s="29"/>
      <c r="Q75" s="29"/>
      <c r="R75" s="11"/>
      <c r="S75" s="11"/>
      <c r="T75" s="11"/>
      <c r="U75" s="11"/>
      <c r="V75" s="11"/>
      <c r="W75" s="11"/>
      <c r="X75" s="11"/>
      <c r="Y75" s="11"/>
      <c r="Z75" s="11"/>
      <c r="AA75" s="11"/>
    </row>
    <row r="76" spans="1:27" ht="15.75" customHeight="1">
      <c r="A76" s="24"/>
      <c r="B76" s="25"/>
      <c r="C76" s="26"/>
      <c r="D76" s="26"/>
      <c r="E76" s="26"/>
      <c r="F76" s="26"/>
      <c r="G76" s="26"/>
      <c r="H76" s="26"/>
      <c r="I76" s="26"/>
      <c r="J76" s="26"/>
      <c r="K76" s="26"/>
      <c r="L76" s="26"/>
      <c r="M76" s="29"/>
      <c r="N76" s="29"/>
      <c r="O76" s="29"/>
      <c r="P76" s="29"/>
      <c r="Q76" s="29"/>
      <c r="R76" s="11"/>
      <c r="S76" s="11"/>
      <c r="T76" s="11"/>
      <c r="U76" s="11"/>
      <c r="V76" s="11"/>
      <c r="W76" s="11"/>
      <c r="X76" s="11"/>
      <c r="Y76" s="11"/>
      <c r="Z76" s="11"/>
      <c r="AA76" s="11"/>
    </row>
    <row r="77" spans="1:27" ht="15.75" customHeight="1">
      <c r="A77" s="41"/>
      <c r="B77" s="25"/>
      <c r="C77" s="26"/>
      <c r="D77" s="26"/>
      <c r="E77" s="26"/>
      <c r="F77" s="26"/>
      <c r="G77" s="26"/>
      <c r="H77" s="26"/>
      <c r="I77" s="26"/>
      <c r="J77" s="26"/>
      <c r="K77" s="26"/>
      <c r="L77" s="26"/>
      <c r="M77" s="29"/>
      <c r="N77" s="29"/>
      <c r="O77" s="29"/>
      <c r="P77" s="29"/>
      <c r="Q77" s="29"/>
      <c r="R77" s="11"/>
      <c r="S77" s="11"/>
      <c r="T77" s="11"/>
      <c r="U77" s="11"/>
      <c r="V77" s="11"/>
      <c r="W77" s="11"/>
      <c r="X77" s="11"/>
      <c r="Y77" s="11"/>
      <c r="Z77" s="11"/>
      <c r="AA77" s="11"/>
    </row>
    <row r="78" spans="1:27" ht="15.75" customHeight="1">
      <c r="A78" s="41"/>
      <c r="B78" s="25"/>
      <c r="C78" s="26"/>
      <c r="D78" s="26"/>
      <c r="E78" s="26"/>
      <c r="F78" s="26"/>
      <c r="G78" s="26"/>
      <c r="H78" s="26"/>
      <c r="I78" s="26"/>
      <c r="J78" s="26"/>
      <c r="K78" s="26"/>
      <c r="L78" s="26"/>
      <c r="M78" s="29"/>
      <c r="N78" s="29"/>
      <c r="O78" s="29"/>
      <c r="P78" s="29"/>
      <c r="Q78" s="29"/>
      <c r="R78" s="11"/>
      <c r="S78" s="11"/>
      <c r="T78" s="11"/>
      <c r="U78" s="11"/>
      <c r="V78" s="11"/>
      <c r="W78" s="11"/>
      <c r="X78" s="11"/>
      <c r="Y78" s="11"/>
      <c r="Z78" s="11"/>
      <c r="AA78" s="11"/>
    </row>
    <row r="79" spans="1:27" ht="15.75" customHeight="1">
      <c r="A79" s="41"/>
      <c r="B79" s="25"/>
      <c r="C79" s="26"/>
      <c r="D79" s="26"/>
      <c r="E79" s="26"/>
      <c r="F79" s="26"/>
      <c r="G79" s="26"/>
      <c r="H79" s="26"/>
      <c r="I79" s="26"/>
      <c r="J79" s="26"/>
      <c r="K79" s="26"/>
      <c r="L79" s="26"/>
      <c r="M79" s="29"/>
      <c r="N79" s="29"/>
      <c r="O79" s="29"/>
      <c r="P79" s="29"/>
      <c r="Q79" s="29"/>
      <c r="R79" s="11"/>
      <c r="S79" s="11"/>
      <c r="T79" s="11"/>
      <c r="U79" s="11"/>
      <c r="V79" s="11"/>
      <c r="W79" s="11"/>
      <c r="X79" s="11"/>
      <c r="Y79" s="11"/>
      <c r="Z79" s="11"/>
      <c r="AA79" s="11"/>
    </row>
    <row r="80" spans="1:27" ht="15.75" customHeight="1">
      <c r="A80" s="41"/>
      <c r="B80" s="25"/>
      <c r="C80" s="26"/>
      <c r="D80" s="26"/>
      <c r="E80" s="26"/>
      <c r="F80" s="26"/>
      <c r="G80" s="26"/>
      <c r="H80" s="26"/>
      <c r="I80" s="26"/>
      <c r="J80" s="26"/>
      <c r="K80" s="26"/>
      <c r="L80" s="26"/>
      <c r="M80" s="29"/>
      <c r="N80" s="29"/>
      <c r="O80" s="29"/>
      <c r="P80" s="29"/>
      <c r="Q80" s="29"/>
      <c r="R80" s="11"/>
      <c r="S80" s="11"/>
      <c r="T80" s="11"/>
      <c r="U80" s="11"/>
      <c r="V80" s="11"/>
      <c r="W80" s="11"/>
      <c r="X80" s="11"/>
      <c r="Y80" s="11"/>
      <c r="Z80" s="11"/>
      <c r="AA80" s="11"/>
    </row>
    <row r="81" spans="1:27" ht="15.75" customHeight="1">
      <c r="A81" s="41"/>
      <c r="B81" s="25"/>
      <c r="C81" s="26"/>
      <c r="D81" s="26"/>
      <c r="E81" s="26"/>
      <c r="F81" s="26"/>
      <c r="G81" s="26"/>
      <c r="H81" s="26"/>
      <c r="I81" s="26"/>
      <c r="J81" s="26"/>
      <c r="K81" s="26"/>
      <c r="L81" s="26"/>
      <c r="M81" s="29"/>
      <c r="N81" s="29"/>
      <c r="O81" s="29"/>
      <c r="P81" s="29"/>
      <c r="Q81" s="29"/>
      <c r="R81" s="11"/>
      <c r="S81" s="11"/>
      <c r="T81" s="11"/>
      <c r="U81" s="11"/>
      <c r="V81" s="11"/>
      <c r="W81" s="11"/>
      <c r="X81" s="11"/>
      <c r="Y81" s="11"/>
      <c r="Z81" s="11"/>
      <c r="AA81" s="11"/>
    </row>
    <row r="82" spans="1:27" ht="15.75" customHeight="1">
      <c r="A82" s="41"/>
      <c r="B82" s="25"/>
      <c r="C82" s="26"/>
      <c r="D82" s="26"/>
      <c r="E82" s="26"/>
      <c r="F82" s="26"/>
      <c r="G82" s="26"/>
      <c r="H82" s="26"/>
      <c r="I82" s="26"/>
      <c r="J82" s="26"/>
      <c r="K82" s="26"/>
      <c r="L82" s="26"/>
      <c r="M82" s="29"/>
      <c r="N82" s="29"/>
      <c r="O82" s="29"/>
      <c r="P82" s="29"/>
      <c r="Q82" s="29"/>
      <c r="R82" s="11"/>
      <c r="S82" s="11"/>
      <c r="T82" s="11"/>
      <c r="U82" s="11"/>
      <c r="V82" s="11"/>
      <c r="W82" s="11"/>
      <c r="X82" s="11"/>
      <c r="Y82" s="11"/>
      <c r="Z82" s="11"/>
      <c r="AA82" s="11"/>
    </row>
    <row r="83" spans="1:27" ht="15.75" customHeight="1">
      <c r="A83" s="41"/>
      <c r="B83" s="25"/>
      <c r="C83" s="26"/>
      <c r="D83" s="26"/>
      <c r="E83" s="26"/>
      <c r="F83" s="26"/>
      <c r="G83" s="26"/>
      <c r="H83" s="26"/>
      <c r="I83" s="26"/>
      <c r="J83" s="26"/>
      <c r="K83" s="26"/>
      <c r="L83" s="26"/>
      <c r="M83" s="29"/>
      <c r="N83" s="29"/>
      <c r="O83" s="29"/>
      <c r="P83" s="29"/>
      <c r="Q83" s="29"/>
      <c r="R83" s="11"/>
      <c r="S83" s="11"/>
      <c r="T83" s="11"/>
      <c r="U83" s="11"/>
      <c r="V83" s="11"/>
      <c r="W83" s="11"/>
      <c r="X83" s="11"/>
      <c r="Y83" s="11"/>
      <c r="Z83" s="11"/>
      <c r="AA83" s="11"/>
    </row>
    <row r="84" spans="1:27" ht="15.75" customHeight="1">
      <c r="A84" s="41"/>
      <c r="B84" s="25"/>
      <c r="C84" s="26"/>
      <c r="D84" s="26"/>
      <c r="E84" s="26"/>
      <c r="F84" s="26"/>
      <c r="G84" s="26"/>
      <c r="H84" s="26"/>
      <c r="I84" s="26"/>
      <c r="J84" s="26"/>
      <c r="K84" s="26"/>
      <c r="L84" s="26"/>
      <c r="M84" s="29"/>
      <c r="N84" s="29"/>
      <c r="O84" s="29"/>
      <c r="P84" s="29"/>
      <c r="Q84" s="29"/>
      <c r="R84" s="11"/>
      <c r="S84" s="11"/>
      <c r="T84" s="11"/>
      <c r="U84" s="11"/>
      <c r="V84" s="11"/>
      <c r="W84" s="11"/>
      <c r="X84" s="11"/>
      <c r="Y84" s="11"/>
      <c r="Z84" s="11"/>
      <c r="AA84" s="11"/>
    </row>
    <row r="85" spans="1:27" ht="15.75" customHeight="1">
      <c r="A85" s="41"/>
      <c r="B85" s="25"/>
      <c r="C85" s="26"/>
      <c r="D85" s="26"/>
      <c r="E85" s="26"/>
      <c r="F85" s="26"/>
      <c r="G85" s="26"/>
      <c r="H85" s="26"/>
      <c r="I85" s="26"/>
      <c r="J85" s="26"/>
      <c r="K85" s="26"/>
      <c r="L85" s="26"/>
      <c r="M85" s="29"/>
      <c r="N85" s="29"/>
      <c r="O85" s="29"/>
      <c r="P85" s="29"/>
      <c r="Q85" s="29"/>
      <c r="R85" s="11"/>
      <c r="S85" s="11"/>
      <c r="T85" s="11"/>
      <c r="U85" s="11"/>
      <c r="V85" s="11"/>
      <c r="W85" s="11"/>
      <c r="X85" s="11"/>
      <c r="Y85" s="11"/>
      <c r="Z85" s="11"/>
      <c r="AA85" s="11"/>
    </row>
    <row r="86" spans="1:27" ht="15.75" customHeight="1">
      <c r="A86" s="41"/>
      <c r="B86" s="25"/>
      <c r="C86" s="26"/>
      <c r="D86" s="26"/>
      <c r="E86" s="26"/>
      <c r="F86" s="26"/>
      <c r="G86" s="26"/>
      <c r="H86" s="26"/>
      <c r="I86" s="26"/>
      <c r="J86" s="26"/>
      <c r="K86" s="26"/>
      <c r="L86" s="26"/>
      <c r="M86" s="29"/>
      <c r="N86" s="29"/>
      <c r="O86" s="29"/>
      <c r="P86" s="29"/>
      <c r="Q86" s="29"/>
      <c r="R86" s="11"/>
      <c r="S86" s="11"/>
      <c r="T86" s="11"/>
      <c r="U86" s="11"/>
      <c r="V86" s="11"/>
      <c r="W86" s="11"/>
      <c r="X86" s="11"/>
      <c r="Y86" s="11"/>
      <c r="Z86" s="11"/>
      <c r="AA86" s="11"/>
    </row>
    <row r="87" spans="1:27" ht="15.75" customHeight="1">
      <c r="A87" s="41"/>
      <c r="B87" s="25"/>
      <c r="C87" s="26"/>
      <c r="D87" s="26"/>
      <c r="E87" s="26"/>
      <c r="F87" s="26"/>
      <c r="G87" s="26"/>
      <c r="H87" s="26"/>
      <c r="I87" s="26"/>
      <c r="J87" s="26"/>
      <c r="K87" s="26"/>
      <c r="L87" s="26"/>
      <c r="M87" s="29"/>
      <c r="N87" s="29"/>
      <c r="O87" s="29"/>
      <c r="P87" s="29"/>
      <c r="Q87" s="29"/>
      <c r="R87" s="11"/>
      <c r="S87" s="11"/>
      <c r="T87" s="11"/>
      <c r="U87" s="11"/>
      <c r="V87" s="11"/>
      <c r="W87" s="11"/>
      <c r="X87" s="11"/>
      <c r="Y87" s="11"/>
      <c r="Z87" s="11"/>
      <c r="AA87" s="11"/>
    </row>
    <row r="88" spans="1:27" ht="15.75" customHeight="1">
      <c r="A88" s="42"/>
      <c r="B88" s="25"/>
      <c r="C88" s="26"/>
      <c r="D88" s="26"/>
      <c r="E88" s="26"/>
      <c r="F88" s="26"/>
      <c r="G88" s="26"/>
      <c r="H88" s="26"/>
      <c r="I88" s="26"/>
      <c r="J88" s="26"/>
      <c r="K88" s="26"/>
      <c r="L88" s="26"/>
      <c r="M88" s="29"/>
      <c r="N88" s="29"/>
      <c r="O88" s="29"/>
      <c r="P88" s="29"/>
      <c r="Q88" s="29"/>
      <c r="R88" s="11"/>
      <c r="S88" s="11"/>
      <c r="T88" s="11"/>
      <c r="U88" s="11"/>
      <c r="V88" s="11"/>
      <c r="W88" s="11"/>
      <c r="X88" s="11"/>
      <c r="Y88" s="11"/>
      <c r="Z88" s="11"/>
      <c r="AA88" s="11"/>
    </row>
    <row r="89" spans="1:27" ht="15.75" customHeight="1">
      <c r="A89" s="28"/>
      <c r="B89" s="25"/>
      <c r="C89" s="26"/>
      <c r="D89" s="26"/>
      <c r="E89" s="26"/>
      <c r="F89" s="26"/>
      <c r="G89" s="26"/>
      <c r="H89" s="26"/>
      <c r="I89" s="26"/>
      <c r="J89" s="26"/>
      <c r="K89" s="26"/>
      <c r="L89" s="26"/>
      <c r="M89" s="29"/>
      <c r="N89" s="29"/>
      <c r="O89" s="29"/>
      <c r="P89" s="29"/>
      <c r="Q89" s="29"/>
      <c r="R89" s="11"/>
      <c r="S89" s="11"/>
      <c r="T89" s="11"/>
      <c r="U89" s="11"/>
      <c r="V89" s="11"/>
      <c r="W89" s="11"/>
      <c r="X89" s="11"/>
      <c r="Y89" s="11"/>
      <c r="Z89" s="11"/>
      <c r="AA89" s="11"/>
    </row>
    <row r="90" spans="1:27" ht="15.75" customHeight="1">
      <c r="A90" s="28"/>
      <c r="B90" s="25"/>
      <c r="C90" s="26"/>
      <c r="D90" s="26"/>
      <c r="E90" s="26"/>
      <c r="F90" s="26"/>
      <c r="G90" s="26"/>
      <c r="H90" s="26"/>
      <c r="I90" s="26"/>
      <c r="J90" s="26"/>
      <c r="K90" s="26"/>
      <c r="L90" s="26"/>
      <c r="M90" s="29"/>
      <c r="N90" s="29"/>
      <c r="O90" s="29"/>
      <c r="P90" s="29"/>
      <c r="Q90" s="29"/>
      <c r="R90" s="11"/>
      <c r="S90" s="11"/>
      <c r="T90" s="11"/>
      <c r="U90" s="11"/>
      <c r="V90" s="11"/>
      <c r="W90" s="11"/>
      <c r="X90" s="11"/>
      <c r="Y90" s="11"/>
      <c r="Z90" s="11"/>
      <c r="AA90" s="11"/>
    </row>
    <row r="91" spans="1:27" ht="15.75" customHeight="1">
      <c r="A91" s="28"/>
      <c r="B91" s="25"/>
      <c r="C91" s="26"/>
      <c r="D91" s="26"/>
      <c r="E91" s="26"/>
      <c r="F91" s="26"/>
      <c r="G91" s="26"/>
      <c r="H91" s="26"/>
      <c r="I91" s="26"/>
      <c r="J91" s="26"/>
      <c r="K91" s="26"/>
      <c r="L91" s="26"/>
      <c r="M91" s="29"/>
      <c r="N91" s="29"/>
      <c r="O91" s="29"/>
      <c r="P91" s="29"/>
      <c r="Q91" s="29"/>
      <c r="R91" s="11"/>
      <c r="S91" s="11"/>
      <c r="T91" s="11"/>
      <c r="U91" s="11"/>
      <c r="V91" s="11"/>
      <c r="W91" s="11"/>
      <c r="X91" s="11"/>
      <c r="Y91" s="11"/>
      <c r="Z91" s="11"/>
      <c r="AA91" s="11"/>
    </row>
    <row r="92" spans="1:27" ht="15.75" customHeight="1">
      <c r="A92" s="28"/>
      <c r="B92" s="25"/>
      <c r="C92" s="26"/>
      <c r="D92" s="26"/>
      <c r="E92" s="26"/>
      <c r="F92" s="26"/>
      <c r="G92" s="26"/>
      <c r="H92" s="26"/>
      <c r="I92" s="26"/>
      <c r="J92" s="26"/>
      <c r="K92" s="26"/>
      <c r="L92" s="26"/>
      <c r="M92" s="29"/>
      <c r="N92" s="29"/>
      <c r="O92" s="29"/>
      <c r="P92" s="29"/>
      <c r="Q92" s="29"/>
      <c r="R92" s="11"/>
    </row>
    <row r="93" spans="1:27" ht="15.75" customHeight="1">
      <c r="A93" s="28"/>
      <c r="B93" s="25"/>
      <c r="C93" s="26"/>
      <c r="D93" s="26"/>
      <c r="E93" s="26"/>
      <c r="F93" s="26"/>
      <c r="G93" s="26"/>
      <c r="H93" s="26"/>
      <c r="I93" s="26"/>
      <c r="J93" s="26"/>
      <c r="K93" s="26"/>
      <c r="L93" s="26"/>
      <c r="M93" s="29"/>
      <c r="N93" s="29"/>
      <c r="O93" s="29"/>
      <c r="P93" s="29"/>
      <c r="Q93" s="29"/>
      <c r="R93" s="11"/>
    </row>
    <row r="94" spans="1:27" ht="15.75" customHeight="1">
      <c r="A94" s="28"/>
      <c r="B94" s="25"/>
      <c r="C94" s="26"/>
      <c r="D94" s="26"/>
      <c r="E94" s="26"/>
      <c r="F94" s="26"/>
      <c r="G94" s="26"/>
      <c r="H94" s="26"/>
      <c r="I94" s="26"/>
      <c r="J94" s="26"/>
      <c r="K94" s="26"/>
      <c r="L94" s="26"/>
      <c r="M94" s="29"/>
      <c r="N94" s="29"/>
      <c r="O94" s="29"/>
      <c r="P94" s="29"/>
      <c r="Q94" s="29"/>
      <c r="R94" s="11"/>
    </row>
    <row r="95" spans="1:27" ht="15.75" customHeight="1">
      <c r="A95" s="28"/>
      <c r="B95" s="25"/>
      <c r="C95" s="26"/>
      <c r="D95" s="26"/>
      <c r="E95" s="26"/>
      <c r="F95" s="26"/>
      <c r="G95" s="26"/>
      <c r="H95" s="26"/>
      <c r="I95" s="26"/>
      <c r="J95" s="26"/>
      <c r="K95" s="26"/>
      <c r="L95" s="26"/>
      <c r="M95" s="29"/>
      <c r="N95" s="29"/>
      <c r="O95" s="29"/>
      <c r="P95" s="29"/>
      <c r="Q95" s="29"/>
      <c r="R95" s="11"/>
    </row>
    <row r="96" spans="1:27" ht="15.75" customHeight="1">
      <c r="A96" s="28"/>
      <c r="B96" s="25"/>
      <c r="C96" s="26"/>
      <c r="D96" s="26"/>
      <c r="E96" s="26"/>
      <c r="F96" s="26"/>
      <c r="G96" s="26"/>
      <c r="H96" s="26"/>
      <c r="I96" s="26"/>
      <c r="J96" s="26"/>
      <c r="K96" s="26"/>
      <c r="L96" s="26"/>
      <c r="M96" s="29"/>
      <c r="N96" s="29"/>
      <c r="O96" s="29"/>
      <c r="P96" s="29"/>
      <c r="Q96" s="29"/>
      <c r="R96" s="11"/>
    </row>
    <row r="97" spans="1:18" ht="15.75" customHeight="1">
      <c r="A97" s="28"/>
      <c r="B97" s="25"/>
      <c r="C97" s="26"/>
      <c r="D97" s="26"/>
      <c r="E97" s="26"/>
      <c r="F97" s="26"/>
      <c r="G97" s="26"/>
      <c r="H97" s="26"/>
      <c r="I97" s="26"/>
      <c r="J97" s="26"/>
      <c r="K97" s="26"/>
      <c r="L97" s="26"/>
      <c r="M97" s="29"/>
      <c r="N97" s="29"/>
      <c r="O97" s="29"/>
      <c r="P97" s="29"/>
      <c r="Q97" s="29"/>
      <c r="R97" s="11"/>
    </row>
    <row r="98" spans="1:18" ht="15.75" customHeight="1">
      <c r="A98" s="28"/>
      <c r="B98" s="25"/>
      <c r="C98" s="26"/>
      <c r="D98" s="26"/>
      <c r="E98" s="26"/>
      <c r="F98" s="26"/>
      <c r="G98" s="26"/>
      <c r="H98" s="26"/>
      <c r="I98" s="26"/>
      <c r="J98" s="26"/>
      <c r="K98" s="26"/>
      <c r="L98" s="26"/>
      <c r="M98" s="29"/>
      <c r="N98" s="29"/>
      <c r="O98" s="29"/>
      <c r="P98" s="29"/>
      <c r="Q98" s="29"/>
      <c r="R98" s="11"/>
    </row>
    <row r="99" spans="1:18" ht="15.75" customHeight="1">
      <c r="A99" s="28"/>
      <c r="B99" s="25"/>
      <c r="C99" s="26"/>
      <c r="D99" s="26"/>
      <c r="E99" s="26"/>
      <c r="F99" s="26"/>
      <c r="G99" s="26"/>
      <c r="H99" s="26"/>
      <c r="I99" s="26"/>
      <c r="J99" s="26"/>
      <c r="K99" s="26"/>
      <c r="L99" s="26"/>
      <c r="M99" s="29"/>
      <c r="N99" s="29"/>
      <c r="O99" s="29"/>
      <c r="P99" s="29"/>
      <c r="Q99" s="29"/>
      <c r="R99" s="11"/>
    </row>
    <row r="100" spans="1:18" ht="15.75" customHeight="1">
      <c r="A100" s="28"/>
      <c r="B100" s="25"/>
      <c r="C100" s="26"/>
      <c r="D100" s="26"/>
      <c r="E100" s="26"/>
      <c r="F100" s="26"/>
      <c r="G100" s="26"/>
      <c r="H100" s="26"/>
      <c r="I100" s="26"/>
      <c r="J100" s="26"/>
      <c r="K100" s="26"/>
      <c r="L100" s="26"/>
      <c r="M100" s="29"/>
      <c r="N100" s="29"/>
      <c r="O100" s="29"/>
      <c r="P100" s="29"/>
      <c r="Q100" s="29"/>
      <c r="R100" s="11"/>
    </row>
    <row r="101" spans="1:18" ht="15.75" customHeight="1">
      <c r="A101" s="28"/>
      <c r="B101" s="25"/>
      <c r="C101" s="26"/>
      <c r="D101" s="26"/>
      <c r="E101" s="26"/>
      <c r="F101" s="26"/>
      <c r="G101" s="26"/>
      <c r="H101" s="26"/>
      <c r="I101" s="26"/>
      <c r="J101" s="26"/>
      <c r="K101" s="26"/>
      <c r="L101" s="26"/>
      <c r="M101" s="29"/>
      <c r="N101" s="29"/>
      <c r="O101" s="29"/>
      <c r="P101" s="29"/>
      <c r="Q101" s="29"/>
      <c r="R101" s="11"/>
    </row>
    <row r="102" spans="1:18" ht="15.75" customHeight="1">
      <c r="A102" s="28"/>
      <c r="B102" s="25"/>
      <c r="C102" s="26"/>
      <c r="D102" s="26"/>
      <c r="E102" s="26"/>
      <c r="F102" s="26"/>
      <c r="G102" s="26"/>
      <c r="H102" s="26"/>
      <c r="I102" s="26"/>
      <c r="J102" s="26"/>
      <c r="K102" s="26"/>
      <c r="L102" s="26"/>
      <c r="M102" s="29"/>
      <c r="N102" s="29"/>
      <c r="O102" s="29"/>
      <c r="P102" s="29"/>
      <c r="Q102" s="29"/>
      <c r="R102" s="11"/>
    </row>
    <row r="103" spans="1:18" ht="15.75" customHeight="1">
      <c r="A103" s="28"/>
      <c r="B103" s="25"/>
      <c r="C103" s="26"/>
      <c r="D103" s="26"/>
      <c r="E103" s="26"/>
      <c r="F103" s="26"/>
      <c r="G103" s="26"/>
      <c r="H103" s="26"/>
      <c r="I103" s="26"/>
      <c r="J103" s="26"/>
      <c r="K103" s="26"/>
      <c r="L103" s="26"/>
      <c r="M103" s="29"/>
      <c r="N103" s="29"/>
      <c r="O103" s="29"/>
      <c r="P103" s="29"/>
      <c r="Q103" s="29"/>
      <c r="R103" s="11"/>
    </row>
    <row r="104" spans="1:18" ht="15.75" customHeight="1">
      <c r="A104" s="28"/>
      <c r="B104" s="25"/>
      <c r="C104" s="26"/>
      <c r="D104" s="26"/>
      <c r="E104" s="26"/>
      <c r="F104" s="26"/>
      <c r="G104" s="26"/>
      <c r="H104" s="26"/>
      <c r="I104" s="26"/>
      <c r="J104" s="26"/>
      <c r="K104" s="26"/>
      <c r="L104" s="26"/>
      <c r="M104" s="29"/>
      <c r="N104" s="29"/>
      <c r="O104" s="29"/>
      <c r="P104" s="29"/>
      <c r="Q104" s="29"/>
      <c r="R104" s="11"/>
    </row>
    <row r="105" spans="1:18" ht="15.75" customHeight="1">
      <c r="A105" s="28"/>
      <c r="B105" s="25"/>
      <c r="C105" s="26"/>
      <c r="D105" s="26"/>
      <c r="E105" s="26"/>
      <c r="F105" s="26"/>
      <c r="G105" s="26"/>
      <c r="H105" s="26"/>
      <c r="I105" s="26"/>
      <c r="J105" s="26"/>
      <c r="K105" s="26"/>
      <c r="L105" s="26"/>
      <c r="M105" s="29"/>
      <c r="N105" s="29"/>
      <c r="O105" s="29"/>
      <c r="P105" s="29"/>
      <c r="Q105" s="29"/>
      <c r="R105" s="11"/>
    </row>
    <row r="106" spans="1:18" ht="15.75" customHeight="1">
      <c r="A106" s="28"/>
      <c r="B106" s="25"/>
      <c r="C106" s="26"/>
      <c r="D106" s="26"/>
      <c r="E106" s="26"/>
      <c r="F106" s="26"/>
      <c r="G106" s="26"/>
      <c r="H106" s="26"/>
      <c r="I106" s="26"/>
      <c r="J106" s="26"/>
      <c r="K106" s="26"/>
      <c r="L106" s="26"/>
      <c r="M106" s="29"/>
      <c r="N106" s="29"/>
      <c r="O106" s="29"/>
      <c r="P106" s="29"/>
      <c r="Q106" s="29"/>
      <c r="R106" s="11"/>
    </row>
    <row r="107" spans="1:18" ht="15.75" customHeight="1">
      <c r="A107" s="28"/>
      <c r="B107" s="25"/>
      <c r="C107" s="26"/>
      <c r="D107" s="26"/>
      <c r="E107" s="26"/>
      <c r="F107" s="26"/>
      <c r="G107" s="26"/>
      <c r="H107" s="26"/>
      <c r="I107" s="26"/>
      <c r="J107" s="26"/>
      <c r="K107" s="26"/>
      <c r="L107" s="26"/>
      <c r="M107" s="29"/>
      <c r="N107" s="29"/>
      <c r="O107" s="29"/>
      <c r="P107" s="29"/>
      <c r="Q107" s="29"/>
      <c r="R107" s="11"/>
    </row>
    <row r="108" spans="1:18" ht="15.75" customHeight="1">
      <c r="A108" s="28"/>
      <c r="B108" s="25"/>
      <c r="C108" s="26"/>
      <c r="D108" s="26"/>
      <c r="E108" s="26"/>
      <c r="F108" s="26"/>
      <c r="G108" s="26"/>
      <c r="H108" s="26"/>
      <c r="I108" s="26"/>
      <c r="J108" s="26"/>
      <c r="K108" s="26"/>
      <c r="L108" s="26"/>
      <c r="M108" s="29"/>
      <c r="N108" s="29"/>
      <c r="O108" s="29"/>
      <c r="P108" s="29"/>
      <c r="Q108" s="29"/>
      <c r="R108" s="11"/>
    </row>
    <row r="109" spans="1:18" ht="15.75" customHeight="1">
      <c r="A109" s="28"/>
      <c r="B109" s="25"/>
      <c r="C109" s="26"/>
      <c r="D109" s="26"/>
      <c r="E109" s="26"/>
      <c r="F109" s="26"/>
      <c r="G109" s="26"/>
      <c r="H109" s="26"/>
      <c r="I109" s="26"/>
      <c r="J109" s="26"/>
      <c r="K109" s="26"/>
      <c r="L109" s="26"/>
      <c r="M109" s="29"/>
      <c r="N109" s="29"/>
      <c r="O109" s="29"/>
      <c r="P109" s="29"/>
      <c r="Q109" s="29"/>
      <c r="R109" s="11"/>
    </row>
    <row r="110" spans="1:18" ht="15.75" customHeight="1">
      <c r="A110" s="28"/>
      <c r="B110" s="25"/>
      <c r="C110" s="26"/>
      <c r="D110" s="26"/>
      <c r="E110" s="26"/>
      <c r="F110" s="26"/>
      <c r="G110" s="26"/>
      <c r="H110" s="26"/>
      <c r="I110" s="26"/>
      <c r="J110" s="26"/>
      <c r="K110" s="26"/>
      <c r="L110" s="26"/>
      <c r="M110" s="29"/>
      <c r="N110" s="29"/>
      <c r="O110" s="29"/>
      <c r="P110" s="29"/>
      <c r="Q110" s="29"/>
      <c r="R110" s="11"/>
    </row>
    <row r="111" spans="1:18" ht="15.75" customHeight="1">
      <c r="A111" s="28"/>
      <c r="B111" s="25"/>
      <c r="C111" s="26"/>
      <c r="D111" s="26"/>
      <c r="E111" s="26"/>
      <c r="F111" s="26"/>
      <c r="G111" s="26"/>
      <c r="H111" s="26"/>
      <c r="I111" s="26"/>
      <c r="J111" s="26"/>
      <c r="K111" s="26"/>
      <c r="L111" s="26"/>
      <c r="M111" s="29"/>
      <c r="N111" s="29"/>
      <c r="O111" s="29"/>
      <c r="P111" s="29"/>
      <c r="Q111" s="29"/>
      <c r="R111" s="11"/>
    </row>
    <row r="112" spans="1:18" ht="15.75" customHeight="1">
      <c r="A112" s="28"/>
      <c r="B112" s="25"/>
      <c r="C112" s="26"/>
      <c r="D112" s="26"/>
      <c r="E112" s="26"/>
      <c r="F112" s="26"/>
      <c r="G112" s="26"/>
      <c r="H112" s="26"/>
      <c r="I112" s="26"/>
      <c r="J112" s="26"/>
      <c r="K112" s="26"/>
      <c r="L112" s="26"/>
      <c r="M112" s="29"/>
      <c r="N112" s="29"/>
      <c r="O112" s="29"/>
      <c r="P112" s="29"/>
      <c r="Q112" s="29"/>
      <c r="R112" s="11"/>
    </row>
    <row r="113" spans="1:18" ht="15.75" customHeight="1">
      <c r="A113" s="28"/>
      <c r="B113" s="25"/>
      <c r="C113" s="26"/>
      <c r="D113" s="26"/>
      <c r="E113" s="26"/>
      <c r="F113" s="26"/>
      <c r="G113" s="26"/>
      <c r="H113" s="26"/>
      <c r="I113" s="26"/>
      <c r="J113" s="26"/>
      <c r="K113" s="26"/>
      <c r="L113" s="26"/>
      <c r="M113" s="29"/>
      <c r="N113" s="29"/>
      <c r="O113" s="29"/>
      <c r="P113" s="29"/>
      <c r="Q113" s="29"/>
      <c r="R113" s="11"/>
    </row>
    <row r="114" spans="1:18" ht="15.75" customHeight="1">
      <c r="A114" s="28"/>
      <c r="B114" s="25"/>
      <c r="C114" s="26"/>
      <c r="D114" s="26"/>
      <c r="E114" s="26"/>
      <c r="F114" s="26"/>
      <c r="G114" s="26"/>
      <c r="H114" s="26"/>
      <c r="I114" s="26"/>
      <c r="J114" s="26"/>
      <c r="K114" s="26"/>
      <c r="L114" s="26"/>
      <c r="M114" s="29"/>
      <c r="N114" s="29"/>
      <c r="O114" s="29"/>
      <c r="P114" s="29"/>
      <c r="Q114" s="29"/>
      <c r="R114" s="11"/>
    </row>
    <row r="115" spans="1:18" ht="15.75" customHeight="1">
      <c r="A115" s="28"/>
      <c r="B115" s="25"/>
      <c r="C115" s="26"/>
      <c r="D115" s="26"/>
      <c r="E115" s="26"/>
      <c r="F115" s="26"/>
      <c r="G115" s="26"/>
      <c r="H115" s="26"/>
      <c r="I115" s="26"/>
      <c r="J115" s="26"/>
      <c r="K115" s="26"/>
      <c r="L115" s="26"/>
      <c r="M115" s="29"/>
      <c r="N115" s="29"/>
      <c r="O115" s="29"/>
      <c r="P115" s="29"/>
      <c r="Q115" s="29"/>
      <c r="R115" s="11"/>
    </row>
    <row r="116" spans="1:18" ht="15.75" customHeight="1">
      <c r="A116" s="28"/>
      <c r="B116" s="25"/>
      <c r="C116" s="26"/>
      <c r="D116" s="26"/>
      <c r="E116" s="26"/>
      <c r="F116" s="26"/>
      <c r="G116" s="26"/>
      <c r="H116" s="26"/>
      <c r="I116" s="26"/>
      <c r="J116" s="26"/>
      <c r="K116" s="26"/>
      <c r="L116" s="26"/>
      <c r="M116" s="29"/>
      <c r="N116" s="29"/>
      <c r="O116" s="29"/>
      <c r="P116" s="29"/>
      <c r="Q116" s="29"/>
      <c r="R116" s="11"/>
    </row>
    <row r="117" spans="1:18" ht="15.75" customHeight="1">
      <c r="A117" s="28"/>
      <c r="B117" s="25"/>
      <c r="C117" s="26"/>
      <c r="D117" s="26"/>
      <c r="E117" s="26"/>
      <c r="F117" s="26"/>
      <c r="G117" s="26"/>
      <c r="H117" s="26"/>
      <c r="I117" s="26"/>
      <c r="J117" s="26"/>
      <c r="K117" s="26"/>
      <c r="L117" s="26"/>
      <c r="M117" s="29"/>
      <c r="N117" s="29"/>
      <c r="O117" s="29"/>
      <c r="P117" s="29"/>
      <c r="Q117" s="29"/>
      <c r="R117" s="11"/>
    </row>
    <row r="118" spans="1:18" ht="15.75" customHeight="1">
      <c r="A118" s="28"/>
      <c r="B118" s="25"/>
      <c r="C118" s="26"/>
      <c r="D118" s="26"/>
      <c r="E118" s="26"/>
      <c r="F118" s="26"/>
      <c r="G118" s="26"/>
      <c r="H118" s="26"/>
      <c r="I118" s="26"/>
      <c r="J118" s="26"/>
      <c r="K118" s="26"/>
      <c r="L118" s="26"/>
      <c r="M118" s="29"/>
      <c r="N118" s="29"/>
      <c r="O118" s="29"/>
      <c r="P118" s="29"/>
      <c r="Q118" s="29"/>
      <c r="R118" s="11"/>
    </row>
    <row r="119" spans="1:18" ht="15.75" customHeight="1">
      <c r="A119" s="28"/>
      <c r="B119" s="25"/>
      <c r="C119" s="26"/>
      <c r="D119" s="26"/>
      <c r="E119" s="26"/>
      <c r="F119" s="26"/>
      <c r="G119" s="26"/>
      <c r="H119" s="26"/>
      <c r="I119" s="26"/>
      <c r="J119" s="26"/>
      <c r="K119" s="26"/>
      <c r="L119" s="26"/>
      <c r="M119" s="29"/>
      <c r="N119" s="29"/>
      <c r="O119" s="29"/>
      <c r="P119" s="29"/>
      <c r="Q119" s="29"/>
      <c r="R119" s="11"/>
    </row>
    <row r="120" spans="1:18" ht="15.75" customHeight="1">
      <c r="A120" s="28"/>
      <c r="B120" s="25"/>
      <c r="C120" s="26"/>
      <c r="D120" s="26"/>
      <c r="E120" s="26"/>
      <c r="F120" s="26"/>
      <c r="G120" s="26"/>
      <c r="H120" s="26"/>
      <c r="I120" s="26"/>
      <c r="J120" s="26"/>
      <c r="K120" s="26"/>
      <c r="L120" s="26"/>
      <c r="M120" s="29"/>
      <c r="N120" s="29"/>
      <c r="O120" s="29"/>
      <c r="P120" s="29"/>
      <c r="Q120" s="29"/>
      <c r="R120" s="11"/>
    </row>
    <row r="121" spans="1:18" ht="15.75" customHeight="1">
      <c r="A121" s="28"/>
      <c r="B121" s="25"/>
      <c r="C121" s="26"/>
      <c r="D121" s="26"/>
      <c r="E121" s="26"/>
      <c r="F121" s="26"/>
      <c r="G121" s="26"/>
      <c r="H121" s="26"/>
      <c r="I121" s="26"/>
      <c r="J121" s="26"/>
      <c r="K121" s="26"/>
      <c r="L121" s="26"/>
      <c r="M121" s="29"/>
      <c r="N121" s="29"/>
      <c r="O121" s="29"/>
      <c r="P121" s="29"/>
      <c r="Q121" s="29"/>
      <c r="R121" s="11"/>
    </row>
    <row r="122" spans="1:18" ht="15.75" customHeight="1">
      <c r="A122" s="28"/>
      <c r="B122" s="25"/>
      <c r="C122" s="26"/>
      <c r="D122" s="26"/>
      <c r="E122" s="26"/>
      <c r="F122" s="26"/>
      <c r="G122" s="26"/>
      <c r="H122" s="26"/>
      <c r="I122" s="26"/>
      <c r="J122" s="26"/>
      <c r="K122" s="26"/>
      <c r="L122" s="26"/>
      <c r="M122" s="29"/>
      <c r="N122" s="29"/>
      <c r="O122" s="29"/>
      <c r="P122" s="29"/>
      <c r="Q122" s="29"/>
      <c r="R122" s="11"/>
    </row>
    <row r="123" spans="1:18" ht="15.75" customHeight="1">
      <c r="A123" s="28"/>
      <c r="B123" s="25"/>
      <c r="C123" s="26"/>
      <c r="D123" s="26"/>
      <c r="E123" s="26"/>
      <c r="F123" s="26"/>
      <c r="G123" s="26"/>
      <c r="H123" s="26"/>
      <c r="I123" s="26"/>
      <c r="J123" s="26"/>
      <c r="K123" s="26"/>
      <c r="L123" s="26"/>
      <c r="M123" s="29"/>
      <c r="N123" s="29"/>
      <c r="O123" s="29"/>
      <c r="P123" s="29"/>
      <c r="Q123" s="29"/>
      <c r="R123" s="11"/>
    </row>
    <row r="124" spans="1:18" ht="15.75" customHeight="1">
      <c r="A124" s="28"/>
      <c r="B124" s="25"/>
      <c r="C124" s="26"/>
      <c r="D124" s="26"/>
      <c r="E124" s="26"/>
      <c r="F124" s="26"/>
      <c r="G124" s="26"/>
      <c r="H124" s="26"/>
      <c r="I124" s="26"/>
      <c r="J124" s="26"/>
      <c r="K124" s="26"/>
      <c r="L124" s="26"/>
      <c r="M124" s="29"/>
      <c r="N124" s="29"/>
      <c r="O124" s="29"/>
      <c r="P124" s="29"/>
      <c r="Q124" s="29"/>
      <c r="R124" s="11"/>
    </row>
    <row r="125" spans="1:18" ht="15.75" customHeight="1">
      <c r="A125" s="28"/>
      <c r="B125" s="25"/>
      <c r="C125" s="26"/>
      <c r="D125" s="26"/>
      <c r="E125" s="26"/>
      <c r="F125" s="26"/>
      <c r="G125" s="26"/>
      <c r="H125" s="26"/>
      <c r="I125" s="26"/>
      <c r="J125" s="26"/>
      <c r="K125" s="26"/>
      <c r="L125" s="26"/>
      <c r="M125" s="29"/>
      <c r="N125" s="29"/>
      <c r="O125" s="29"/>
      <c r="P125" s="29"/>
      <c r="Q125" s="29"/>
      <c r="R125" s="11"/>
    </row>
    <row r="126" spans="1:18" ht="15.75" customHeight="1">
      <c r="A126" s="28"/>
      <c r="B126" s="25"/>
      <c r="C126" s="26"/>
      <c r="D126" s="26"/>
      <c r="E126" s="26"/>
      <c r="F126" s="26"/>
      <c r="G126" s="26"/>
      <c r="H126" s="26"/>
      <c r="I126" s="26"/>
      <c r="J126" s="26"/>
      <c r="K126" s="26"/>
      <c r="L126" s="26"/>
      <c r="M126" s="29"/>
      <c r="N126" s="29"/>
      <c r="O126" s="29"/>
      <c r="P126" s="29"/>
      <c r="Q126" s="29"/>
      <c r="R126" s="11"/>
    </row>
    <row r="127" spans="1:18" ht="15.75" customHeight="1">
      <c r="A127" s="28"/>
      <c r="B127" s="25"/>
      <c r="C127" s="26"/>
      <c r="D127" s="26"/>
      <c r="E127" s="26"/>
      <c r="F127" s="26"/>
      <c r="G127" s="26"/>
      <c r="H127" s="26"/>
      <c r="I127" s="26"/>
      <c r="J127" s="26"/>
      <c r="K127" s="26"/>
      <c r="L127" s="26"/>
      <c r="M127" s="29"/>
      <c r="N127" s="29"/>
      <c r="O127" s="29"/>
      <c r="P127" s="29"/>
      <c r="Q127" s="29"/>
      <c r="R127" s="11"/>
    </row>
    <row r="128" spans="1:18" ht="15.75" customHeight="1">
      <c r="A128" s="28"/>
      <c r="B128" s="25"/>
      <c r="C128" s="26"/>
      <c r="D128" s="26"/>
      <c r="E128" s="26"/>
      <c r="F128" s="26"/>
      <c r="G128" s="26"/>
      <c r="H128" s="26"/>
      <c r="I128" s="26"/>
      <c r="J128" s="26"/>
      <c r="K128" s="26"/>
      <c r="L128" s="26"/>
      <c r="M128" s="29"/>
      <c r="N128" s="29"/>
      <c r="O128" s="29"/>
      <c r="P128" s="29"/>
      <c r="Q128" s="29"/>
      <c r="R128" s="11"/>
    </row>
    <row r="129" spans="1:18" ht="15.75" customHeight="1">
      <c r="A129" s="28"/>
      <c r="B129" s="25"/>
      <c r="C129" s="26"/>
      <c r="D129" s="26"/>
      <c r="E129" s="26"/>
      <c r="F129" s="26"/>
      <c r="G129" s="26"/>
      <c r="H129" s="26"/>
      <c r="I129" s="26"/>
      <c r="J129" s="26"/>
      <c r="K129" s="26"/>
      <c r="L129" s="26"/>
      <c r="M129" s="29"/>
      <c r="N129" s="29"/>
      <c r="O129" s="29"/>
      <c r="P129" s="29"/>
      <c r="Q129" s="29"/>
      <c r="R129" s="11"/>
    </row>
    <row r="130" spans="1:18" ht="15.75" customHeight="1">
      <c r="A130" s="28"/>
      <c r="B130" s="25"/>
      <c r="C130" s="26"/>
      <c r="D130" s="26"/>
      <c r="E130" s="26"/>
      <c r="F130" s="26"/>
      <c r="G130" s="26"/>
      <c r="H130" s="26"/>
      <c r="I130" s="26"/>
      <c r="J130" s="26"/>
      <c r="K130" s="26"/>
      <c r="L130" s="26"/>
      <c r="M130" s="29"/>
      <c r="N130" s="29"/>
      <c r="O130" s="29"/>
      <c r="P130" s="29"/>
      <c r="Q130" s="29"/>
      <c r="R130" s="11"/>
    </row>
    <row r="131" spans="1:18" ht="15.75" customHeight="1">
      <c r="A131" s="28"/>
      <c r="B131" s="25"/>
      <c r="C131" s="26"/>
      <c r="D131" s="26"/>
      <c r="E131" s="26"/>
      <c r="F131" s="26"/>
      <c r="G131" s="26"/>
      <c r="H131" s="26"/>
      <c r="I131" s="26"/>
      <c r="J131" s="26"/>
      <c r="K131" s="26"/>
      <c r="L131" s="26"/>
      <c r="M131" s="29"/>
      <c r="N131" s="29"/>
      <c r="O131" s="29"/>
      <c r="P131" s="29"/>
      <c r="Q131" s="29"/>
      <c r="R131" s="11"/>
    </row>
    <row r="132" spans="1:18" ht="15.75" customHeight="1">
      <c r="A132" s="28"/>
      <c r="B132" s="25"/>
      <c r="C132" s="26"/>
      <c r="D132" s="26"/>
      <c r="E132" s="26"/>
      <c r="F132" s="26"/>
      <c r="G132" s="26"/>
      <c r="H132" s="26"/>
      <c r="I132" s="26"/>
      <c r="J132" s="26"/>
      <c r="K132" s="26"/>
      <c r="L132" s="26"/>
      <c r="M132" s="29"/>
      <c r="N132" s="29"/>
      <c r="O132" s="29"/>
      <c r="P132" s="29"/>
      <c r="Q132" s="29"/>
      <c r="R132" s="11"/>
    </row>
    <row r="133" spans="1:18" ht="15.75" customHeight="1">
      <c r="A133" s="28"/>
      <c r="B133" s="25"/>
      <c r="C133" s="26"/>
      <c r="D133" s="26"/>
      <c r="E133" s="26"/>
      <c r="F133" s="26"/>
      <c r="G133" s="26"/>
      <c r="H133" s="26"/>
      <c r="I133" s="26"/>
      <c r="J133" s="26"/>
      <c r="K133" s="26"/>
      <c r="L133" s="26"/>
      <c r="M133" s="29"/>
      <c r="N133" s="29"/>
      <c r="O133" s="29"/>
      <c r="P133" s="29"/>
      <c r="Q133" s="29"/>
      <c r="R133" s="11"/>
    </row>
    <row r="134" spans="1:18" ht="15.75" customHeight="1">
      <c r="A134" s="28"/>
      <c r="B134" s="25"/>
      <c r="C134" s="26"/>
      <c r="D134" s="26"/>
      <c r="E134" s="26"/>
      <c r="F134" s="26"/>
      <c r="G134" s="26"/>
      <c r="H134" s="26"/>
      <c r="I134" s="26"/>
      <c r="J134" s="26"/>
      <c r="K134" s="26"/>
      <c r="L134" s="26"/>
      <c r="M134" s="29"/>
      <c r="N134" s="29"/>
      <c r="O134" s="29"/>
      <c r="P134" s="29"/>
      <c r="Q134" s="29"/>
      <c r="R134" s="11"/>
    </row>
    <row r="135" spans="1:18" ht="15.75" customHeight="1">
      <c r="A135" s="28"/>
      <c r="B135" s="25"/>
      <c r="C135" s="26"/>
      <c r="D135" s="26"/>
      <c r="E135" s="26"/>
      <c r="F135" s="26"/>
      <c r="G135" s="26"/>
      <c r="H135" s="26"/>
      <c r="I135" s="26"/>
      <c r="J135" s="26"/>
      <c r="K135" s="26"/>
      <c r="L135" s="26"/>
      <c r="M135" s="29"/>
      <c r="N135" s="29"/>
      <c r="O135" s="29"/>
      <c r="P135" s="29"/>
      <c r="Q135" s="29"/>
      <c r="R135" s="11"/>
    </row>
    <row r="136" spans="1:18" ht="15.75" customHeight="1">
      <c r="A136" s="28"/>
      <c r="B136" s="25"/>
      <c r="C136" s="26"/>
      <c r="D136" s="26"/>
      <c r="E136" s="26"/>
      <c r="F136" s="26"/>
      <c r="G136" s="26"/>
      <c r="H136" s="26"/>
      <c r="I136" s="26"/>
      <c r="J136" s="26"/>
      <c r="K136" s="26"/>
      <c r="L136" s="26"/>
      <c r="M136" s="29"/>
      <c r="N136" s="29"/>
      <c r="O136" s="29"/>
      <c r="P136" s="29"/>
      <c r="Q136" s="29"/>
      <c r="R136" s="11"/>
    </row>
    <row r="137" spans="1:18" ht="15.75" customHeight="1">
      <c r="A137" s="28"/>
      <c r="B137" s="25"/>
      <c r="C137" s="26"/>
      <c r="D137" s="26"/>
      <c r="E137" s="26"/>
      <c r="F137" s="26"/>
      <c r="G137" s="26"/>
      <c r="H137" s="26"/>
      <c r="I137" s="26"/>
      <c r="J137" s="26"/>
      <c r="K137" s="26"/>
      <c r="L137" s="26"/>
      <c r="M137" s="29"/>
      <c r="N137" s="29"/>
      <c r="O137" s="29"/>
      <c r="P137" s="29"/>
      <c r="Q137" s="29"/>
      <c r="R137" s="11"/>
    </row>
    <row r="138" spans="1:18" ht="15.75" customHeight="1">
      <c r="A138" s="28"/>
      <c r="B138" s="25"/>
      <c r="C138" s="26"/>
      <c r="D138" s="26"/>
      <c r="E138" s="26"/>
      <c r="F138" s="26"/>
      <c r="G138" s="26"/>
      <c r="H138" s="26"/>
      <c r="I138" s="26"/>
      <c r="J138" s="26"/>
      <c r="K138" s="26"/>
      <c r="L138" s="26"/>
      <c r="M138" s="29"/>
      <c r="N138" s="29"/>
      <c r="O138" s="29"/>
      <c r="P138" s="29"/>
      <c r="Q138" s="29"/>
      <c r="R138" s="11"/>
    </row>
    <row r="139" spans="1:18" ht="15.75" customHeight="1">
      <c r="A139" s="28"/>
      <c r="B139" s="25"/>
      <c r="C139" s="26"/>
      <c r="D139" s="26"/>
      <c r="E139" s="26"/>
      <c r="F139" s="26"/>
      <c r="G139" s="26"/>
      <c r="H139" s="26"/>
      <c r="I139" s="26"/>
      <c r="J139" s="26"/>
      <c r="K139" s="26"/>
      <c r="L139" s="26"/>
      <c r="M139" s="29"/>
      <c r="N139" s="29"/>
      <c r="O139" s="29"/>
      <c r="P139" s="29"/>
      <c r="Q139" s="29"/>
      <c r="R139" s="11"/>
    </row>
    <row r="140" spans="1:18" ht="15.75" customHeight="1">
      <c r="A140" s="28"/>
      <c r="B140" s="25"/>
      <c r="C140" s="26"/>
      <c r="D140" s="26"/>
      <c r="E140" s="26"/>
      <c r="F140" s="26"/>
      <c r="G140" s="26"/>
      <c r="H140" s="26"/>
      <c r="I140" s="26"/>
      <c r="J140" s="26"/>
      <c r="K140" s="26"/>
      <c r="L140" s="26"/>
      <c r="M140" s="29"/>
      <c r="N140" s="29"/>
      <c r="O140" s="29"/>
      <c r="P140" s="29"/>
      <c r="Q140" s="29"/>
      <c r="R140" s="11"/>
    </row>
    <row r="141" spans="1:18" ht="15.75" customHeight="1">
      <c r="A141" s="28"/>
      <c r="B141" s="25"/>
      <c r="C141" s="26"/>
      <c r="D141" s="26"/>
      <c r="E141" s="26"/>
      <c r="F141" s="26"/>
      <c r="G141" s="26"/>
      <c r="H141" s="26"/>
      <c r="I141" s="26"/>
      <c r="J141" s="26"/>
      <c r="K141" s="26"/>
      <c r="L141" s="26"/>
      <c r="M141" s="29"/>
      <c r="N141" s="29"/>
      <c r="O141" s="29"/>
      <c r="P141" s="29"/>
      <c r="Q141" s="29"/>
      <c r="R141" s="11"/>
    </row>
    <row r="142" spans="1:18" ht="15.75" customHeight="1">
      <c r="A142" s="28"/>
      <c r="B142" s="25"/>
      <c r="C142" s="26"/>
      <c r="D142" s="26"/>
      <c r="E142" s="26"/>
      <c r="F142" s="26"/>
      <c r="G142" s="26"/>
      <c r="H142" s="26"/>
      <c r="I142" s="26"/>
      <c r="J142" s="26"/>
      <c r="K142" s="26"/>
      <c r="L142" s="26"/>
      <c r="M142" s="29"/>
      <c r="N142" s="29"/>
      <c r="O142" s="29"/>
      <c r="P142" s="29"/>
      <c r="Q142" s="29"/>
      <c r="R142" s="11"/>
    </row>
    <row r="143" spans="1:18" ht="15.75" customHeight="1">
      <c r="A143" s="28"/>
      <c r="B143" s="25"/>
      <c r="C143" s="26"/>
      <c r="D143" s="26"/>
      <c r="E143" s="26"/>
      <c r="F143" s="26"/>
      <c r="G143" s="26"/>
      <c r="H143" s="26"/>
      <c r="I143" s="26"/>
      <c r="J143" s="26"/>
      <c r="K143" s="26"/>
      <c r="L143" s="26"/>
      <c r="M143" s="29"/>
      <c r="N143" s="29"/>
      <c r="O143" s="29"/>
      <c r="P143" s="29"/>
      <c r="Q143" s="29"/>
      <c r="R143" s="11"/>
    </row>
    <row r="144" spans="1:18" ht="15.75" customHeight="1">
      <c r="A144" s="28"/>
      <c r="B144" s="25"/>
      <c r="C144" s="26"/>
      <c r="D144" s="26"/>
      <c r="E144" s="26"/>
      <c r="F144" s="26"/>
      <c r="G144" s="26"/>
      <c r="H144" s="26"/>
      <c r="I144" s="26"/>
      <c r="J144" s="26"/>
      <c r="K144" s="26"/>
      <c r="L144" s="26"/>
      <c r="M144" s="29"/>
      <c r="N144" s="29"/>
      <c r="O144" s="29"/>
      <c r="P144" s="29"/>
      <c r="Q144" s="29"/>
      <c r="R144" s="11"/>
    </row>
    <row r="145" spans="1:18" ht="15.75" customHeight="1">
      <c r="A145" s="28"/>
      <c r="B145" s="25"/>
      <c r="C145" s="26"/>
      <c r="D145" s="26"/>
      <c r="E145" s="26"/>
      <c r="F145" s="26"/>
      <c r="G145" s="26"/>
      <c r="H145" s="26"/>
      <c r="I145" s="26"/>
      <c r="J145" s="26"/>
      <c r="K145" s="26"/>
      <c r="L145" s="26"/>
      <c r="M145" s="29"/>
      <c r="N145" s="29"/>
      <c r="O145" s="29"/>
      <c r="P145" s="29"/>
      <c r="Q145" s="29"/>
      <c r="R145" s="11"/>
    </row>
    <row r="146" spans="1:18" ht="15.75" customHeight="1">
      <c r="A146" s="28"/>
      <c r="B146" s="25"/>
      <c r="C146" s="26"/>
      <c r="D146" s="26"/>
      <c r="E146" s="26"/>
      <c r="F146" s="26"/>
      <c r="G146" s="26"/>
      <c r="H146" s="26"/>
      <c r="I146" s="26"/>
      <c r="J146" s="26"/>
      <c r="K146" s="26"/>
      <c r="L146" s="26"/>
      <c r="M146" s="29"/>
      <c r="N146" s="29"/>
      <c r="O146" s="29"/>
      <c r="P146" s="29"/>
      <c r="Q146" s="29"/>
      <c r="R146" s="11"/>
    </row>
    <row r="147" spans="1:18" ht="15.75" customHeight="1">
      <c r="A147" s="28"/>
      <c r="B147" s="25"/>
      <c r="C147" s="26"/>
      <c r="D147" s="26"/>
      <c r="E147" s="26"/>
      <c r="F147" s="26"/>
      <c r="G147" s="26"/>
      <c r="H147" s="26"/>
      <c r="I147" s="26"/>
      <c r="J147" s="26"/>
      <c r="K147" s="26"/>
      <c r="L147" s="26"/>
      <c r="M147" s="29"/>
      <c r="N147" s="29"/>
      <c r="O147" s="29"/>
      <c r="P147" s="29"/>
      <c r="Q147" s="29"/>
      <c r="R147" s="11"/>
    </row>
    <row r="148" spans="1:18" ht="15.75" customHeight="1">
      <c r="A148" s="28"/>
      <c r="B148" s="25"/>
      <c r="C148" s="26"/>
      <c r="D148" s="26"/>
      <c r="E148" s="26"/>
      <c r="F148" s="26"/>
      <c r="G148" s="26"/>
      <c r="H148" s="26"/>
      <c r="I148" s="26"/>
      <c r="J148" s="26"/>
      <c r="K148" s="26"/>
      <c r="L148" s="26"/>
      <c r="M148" s="29"/>
      <c r="N148" s="29"/>
      <c r="O148" s="29"/>
      <c r="P148" s="29"/>
      <c r="Q148" s="29"/>
      <c r="R148" s="11"/>
    </row>
    <row r="149" spans="1:18" ht="15.75" customHeight="1">
      <c r="A149" s="28"/>
      <c r="B149" s="25"/>
      <c r="C149" s="26"/>
      <c r="D149" s="26"/>
      <c r="E149" s="26"/>
      <c r="F149" s="26"/>
      <c r="G149" s="26"/>
      <c r="H149" s="26"/>
      <c r="I149" s="26"/>
      <c r="J149" s="26"/>
      <c r="K149" s="26"/>
      <c r="L149" s="26"/>
      <c r="M149" s="29"/>
      <c r="N149" s="29"/>
      <c r="O149" s="29"/>
      <c r="P149" s="29"/>
      <c r="Q149" s="29"/>
      <c r="R149" s="11"/>
    </row>
    <row r="150" spans="1:18" ht="15.75" customHeight="1">
      <c r="A150" s="28"/>
      <c r="B150" s="25"/>
      <c r="C150" s="26"/>
      <c r="D150" s="26"/>
      <c r="E150" s="26"/>
      <c r="F150" s="26"/>
      <c r="G150" s="26"/>
      <c r="H150" s="26"/>
      <c r="I150" s="26"/>
      <c r="J150" s="26"/>
      <c r="K150" s="26"/>
      <c r="L150" s="26"/>
      <c r="M150" s="29"/>
      <c r="N150" s="29"/>
      <c r="O150" s="29"/>
      <c r="P150" s="29"/>
      <c r="Q150" s="29"/>
      <c r="R150" s="11"/>
    </row>
    <row r="151" spans="1:18" ht="15.75" customHeight="1">
      <c r="A151" s="28"/>
      <c r="B151" s="25"/>
      <c r="C151" s="26"/>
      <c r="D151" s="26"/>
      <c r="E151" s="26"/>
      <c r="F151" s="26"/>
      <c r="G151" s="26"/>
      <c r="H151" s="26"/>
      <c r="I151" s="26"/>
      <c r="J151" s="26"/>
      <c r="K151" s="26"/>
      <c r="L151" s="26"/>
      <c r="M151" s="29"/>
      <c r="N151" s="29"/>
      <c r="O151" s="29"/>
      <c r="P151" s="29"/>
      <c r="Q151" s="29"/>
      <c r="R151" s="11"/>
    </row>
    <row r="152" spans="1:18" ht="15.75" customHeight="1">
      <c r="A152" s="28"/>
      <c r="B152" s="25"/>
      <c r="C152" s="26"/>
      <c r="D152" s="26"/>
      <c r="E152" s="26"/>
      <c r="F152" s="26"/>
      <c r="G152" s="26"/>
      <c r="H152" s="26"/>
      <c r="I152" s="26"/>
      <c r="J152" s="26"/>
      <c r="K152" s="26"/>
      <c r="L152" s="26"/>
      <c r="M152" s="29"/>
      <c r="N152" s="29"/>
      <c r="O152" s="29"/>
      <c r="P152" s="29"/>
      <c r="Q152" s="29"/>
      <c r="R152" s="11"/>
    </row>
    <row r="153" spans="1:18" ht="15.75" customHeight="1">
      <c r="A153" s="28"/>
      <c r="B153" s="25"/>
      <c r="C153" s="26"/>
      <c r="D153" s="26"/>
      <c r="E153" s="26"/>
      <c r="F153" s="26"/>
      <c r="G153" s="26"/>
      <c r="H153" s="26"/>
      <c r="I153" s="26"/>
      <c r="J153" s="26"/>
      <c r="K153" s="26"/>
      <c r="L153" s="26"/>
      <c r="M153" s="29"/>
      <c r="N153" s="29"/>
      <c r="O153" s="29"/>
      <c r="P153" s="29"/>
      <c r="Q153" s="29"/>
      <c r="R153" s="11"/>
    </row>
    <row r="154" spans="1:18" ht="15.75" customHeight="1">
      <c r="A154" s="28"/>
      <c r="B154" s="25"/>
      <c r="C154" s="26"/>
      <c r="D154" s="26"/>
      <c r="E154" s="26"/>
      <c r="F154" s="26"/>
      <c r="G154" s="26"/>
      <c r="H154" s="26"/>
      <c r="I154" s="26"/>
      <c r="J154" s="26"/>
      <c r="K154" s="26"/>
      <c r="L154" s="26"/>
      <c r="M154" s="29"/>
      <c r="N154" s="29"/>
      <c r="O154" s="29"/>
      <c r="P154" s="29"/>
      <c r="Q154" s="29"/>
      <c r="R154" s="11"/>
    </row>
    <row r="155" spans="1:18" ht="15.75" customHeight="1">
      <c r="A155" s="28"/>
      <c r="B155" s="25"/>
      <c r="C155" s="26"/>
      <c r="D155" s="26"/>
      <c r="E155" s="26"/>
      <c r="F155" s="26"/>
      <c r="G155" s="26"/>
      <c r="H155" s="26"/>
      <c r="I155" s="26"/>
      <c r="J155" s="26"/>
      <c r="K155" s="26"/>
      <c r="L155" s="26"/>
      <c r="M155" s="29"/>
      <c r="N155" s="29"/>
      <c r="O155" s="29"/>
      <c r="P155" s="29"/>
      <c r="Q155" s="29"/>
      <c r="R155" s="11"/>
    </row>
    <row r="156" spans="1:18" ht="15.75" customHeight="1">
      <c r="A156" s="28"/>
      <c r="B156" s="25"/>
      <c r="C156" s="26"/>
      <c r="D156" s="26"/>
      <c r="E156" s="26"/>
      <c r="F156" s="26"/>
      <c r="G156" s="26"/>
      <c r="H156" s="26"/>
      <c r="I156" s="26"/>
      <c r="J156" s="26"/>
      <c r="K156" s="26"/>
      <c r="L156" s="26"/>
      <c r="M156" s="29"/>
      <c r="N156" s="29"/>
      <c r="O156" s="29"/>
      <c r="P156" s="29"/>
      <c r="Q156" s="29"/>
      <c r="R156" s="11"/>
    </row>
    <row r="157" spans="1:18" ht="15.75" customHeight="1">
      <c r="A157" s="28"/>
      <c r="B157" s="25"/>
      <c r="C157" s="26"/>
      <c r="D157" s="26"/>
      <c r="E157" s="26"/>
      <c r="F157" s="26"/>
      <c r="G157" s="26"/>
      <c r="H157" s="26"/>
      <c r="I157" s="26"/>
      <c r="J157" s="26"/>
      <c r="K157" s="26"/>
      <c r="L157" s="26"/>
      <c r="M157" s="29"/>
      <c r="N157" s="29"/>
      <c r="O157" s="29"/>
      <c r="P157" s="29"/>
      <c r="Q157" s="29"/>
      <c r="R157" s="11"/>
    </row>
    <row r="158" spans="1:18" ht="15.75" customHeight="1">
      <c r="A158" s="28"/>
      <c r="B158" s="25"/>
      <c r="C158" s="26"/>
      <c r="D158" s="26"/>
      <c r="E158" s="26"/>
      <c r="F158" s="26"/>
      <c r="G158" s="26"/>
      <c r="H158" s="26"/>
      <c r="I158" s="26"/>
      <c r="J158" s="26"/>
      <c r="K158" s="26"/>
      <c r="L158" s="26"/>
      <c r="M158" s="29"/>
      <c r="N158" s="29"/>
      <c r="O158" s="29"/>
      <c r="P158" s="29"/>
      <c r="Q158" s="29"/>
      <c r="R158" s="11"/>
    </row>
    <row r="159" spans="1:18" ht="15.75" customHeight="1">
      <c r="A159" s="28"/>
      <c r="B159" s="25"/>
      <c r="C159" s="26"/>
      <c r="D159" s="26"/>
      <c r="E159" s="26"/>
      <c r="F159" s="26"/>
      <c r="G159" s="26"/>
      <c r="H159" s="26"/>
      <c r="I159" s="26"/>
      <c r="J159" s="26"/>
      <c r="K159" s="26"/>
      <c r="L159" s="26"/>
      <c r="M159" s="29"/>
      <c r="N159" s="29"/>
      <c r="O159" s="29"/>
      <c r="P159" s="29"/>
      <c r="Q159" s="29"/>
      <c r="R159" s="11"/>
    </row>
    <row r="160" spans="1:18" ht="15.75" customHeight="1">
      <c r="A160" s="28"/>
      <c r="B160" s="25"/>
      <c r="C160" s="26"/>
      <c r="D160" s="26"/>
      <c r="E160" s="26"/>
      <c r="F160" s="26"/>
      <c r="G160" s="26"/>
      <c r="H160" s="26"/>
      <c r="I160" s="26"/>
      <c r="J160" s="26"/>
      <c r="K160" s="26"/>
      <c r="L160" s="26"/>
      <c r="M160" s="29"/>
      <c r="N160" s="29"/>
      <c r="O160" s="29"/>
      <c r="P160" s="29"/>
      <c r="Q160" s="29"/>
      <c r="R160" s="11"/>
    </row>
    <row r="161" spans="1:18" ht="15.75" customHeight="1">
      <c r="A161" s="28"/>
      <c r="B161" s="25"/>
      <c r="C161" s="26"/>
      <c r="D161" s="26"/>
      <c r="E161" s="26"/>
      <c r="F161" s="26"/>
      <c r="G161" s="26"/>
      <c r="H161" s="26"/>
      <c r="I161" s="26"/>
      <c r="J161" s="26"/>
      <c r="K161" s="26"/>
      <c r="L161" s="26"/>
      <c r="M161" s="29"/>
      <c r="N161" s="29"/>
      <c r="O161" s="29"/>
      <c r="P161" s="29"/>
      <c r="Q161" s="29"/>
      <c r="R161" s="11"/>
    </row>
    <row r="162" spans="1:18" ht="15.75" customHeight="1">
      <c r="A162" s="28"/>
      <c r="B162" s="25"/>
      <c r="C162" s="26"/>
      <c r="D162" s="26"/>
      <c r="E162" s="26"/>
      <c r="F162" s="26"/>
      <c r="G162" s="26"/>
      <c r="H162" s="26"/>
      <c r="I162" s="26"/>
      <c r="J162" s="26"/>
      <c r="K162" s="26"/>
      <c r="L162" s="26"/>
      <c r="M162" s="29"/>
      <c r="N162" s="29"/>
      <c r="O162" s="29"/>
      <c r="P162" s="29"/>
      <c r="Q162" s="29"/>
      <c r="R162" s="11"/>
    </row>
    <row r="163" spans="1:18" ht="15.75" customHeight="1">
      <c r="A163" s="28"/>
      <c r="B163" s="25"/>
      <c r="C163" s="26"/>
      <c r="D163" s="26"/>
      <c r="E163" s="26"/>
      <c r="F163" s="26"/>
      <c r="G163" s="26"/>
      <c r="H163" s="26"/>
      <c r="I163" s="26"/>
      <c r="J163" s="26"/>
      <c r="K163" s="26"/>
      <c r="L163" s="26"/>
      <c r="M163" s="29"/>
      <c r="N163" s="29"/>
      <c r="O163" s="29"/>
      <c r="P163" s="29"/>
      <c r="Q163" s="29"/>
      <c r="R163" s="11"/>
    </row>
    <row r="164" spans="1:18" ht="15.75" customHeight="1">
      <c r="A164" s="28"/>
      <c r="B164" s="25"/>
      <c r="C164" s="26"/>
      <c r="D164" s="26"/>
      <c r="E164" s="26"/>
      <c r="F164" s="26"/>
      <c r="G164" s="26"/>
      <c r="H164" s="26"/>
      <c r="I164" s="26"/>
      <c r="J164" s="26"/>
      <c r="K164" s="26"/>
      <c r="L164" s="26"/>
      <c r="M164" s="29"/>
      <c r="N164" s="29"/>
      <c r="O164" s="29"/>
      <c r="P164" s="29"/>
      <c r="Q164" s="29"/>
      <c r="R164" s="11"/>
    </row>
    <row r="165" spans="1:18" ht="15.75" customHeight="1">
      <c r="A165" s="28"/>
      <c r="B165" s="25"/>
      <c r="C165" s="26"/>
      <c r="D165" s="26"/>
      <c r="E165" s="26"/>
      <c r="F165" s="26"/>
      <c r="G165" s="26"/>
      <c r="H165" s="26"/>
      <c r="I165" s="26"/>
      <c r="J165" s="26"/>
      <c r="K165" s="26"/>
      <c r="L165" s="26"/>
      <c r="M165" s="29"/>
      <c r="N165" s="29"/>
      <c r="O165" s="29"/>
      <c r="P165" s="29"/>
      <c r="Q165" s="29"/>
      <c r="R165" s="11"/>
    </row>
    <row r="166" spans="1:18" ht="15.75" customHeight="1">
      <c r="A166" s="28"/>
      <c r="B166" s="25"/>
      <c r="C166" s="26"/>
      <c r="D166" s="26"/>
      <c r="E166" s="26"/>
      <c r="F166" s="26"/>
      <c r="G166" s="26"/>
      <c r="H166" s="26"/>
      <c r="I166" s="26"/>
      <c r="J166" s="26"/>
      <c r="K166" s="26"/>
      <c r="L166" s="26"/>
      <c r="M166" s="29"/>
      <c r="N166" s="29"/>
      <c r="O166" s="29"/>
      <c r="P166" s="29"/>
      <c r="Q166" s="29"/>
      <c r="R166" s="11"/>
    </row>
    <row r="167" spans="1:18" ht="15.75" customHeight="1">
      <c r="A167" s="28"/>
      <c r="B167" s="25"/>
      <c r="C167" s="26"/>
      <c r="D167" s="26"/>
      <c r="E167" s="26"/>
      <c r="F167" s="26"/>
      <c r="G167" s="26"/>
      <c r="H167" s="26"/>
      <c r="I167" s="26"/>
      <c r="J167" s="26"/>
      <c r="K167" s="26"/>
      <c r="L167" s="26"/>
      <c r="M167" s="29"/>
      <c r="N167" s="29"/>
      <c r="O167" s="29"/>
      <c r="P167" s="29"/>
      <c r="Q167" s="29"/>
      <c r="R167" s="11"/>
    </row>
    <row r="168" spans="1:18" ht="15.75" customHeight="1">
      <c r="A168" s="28"/>
      <c r="B168" s="25"/>
      <c r="C168" s="26"/>
      <c r="D168" s="26"/>
      <c r="E168" s="26"/>
      <c r="F168" s="26"/>
      <c r="G168" s="26"/>
      <c r="H168" s="26"/>
      <c r="I168" s="26"/>
      <c r="J168" s="26"/>
      <c r="K168" s="26"/>
      <c r="L168" s="26"/>
      <c r="M168" s="29"/>
      <c r="N168" s="29"/>
      <c r="O168" s="29"/>
      <c r="P168" s="29"/>
      <c r="Q168" s="29"/>
      <c r="R168" s="11"/>
    </row>
    <row r="169" spans="1:18" ht="15.75" customHeight="1">
      <c r="A169" s="28"/>
      <c r="B169" s="25"/>
      <c r="C169" s="26"/>
      <c r="D169" s="26"/>
      <c r="E169" s="26"/>
      <c r="F169" s="26"/>
      <c r="G169" s="26"/>
      <c r="H169" s="26"/>
      <c r="I169" s="26"/>
      <c r="J169" s="26"/>
      <c r="K169" s="26"/>
      <c r="L169" s="26"/>
      <c r="M169" s="29"/>
      <c r="N169" s="29"/>
      <c r="O169" s="29"/>
      <c r="P169" s="29"/>
      <c r="Q169" s="29"/>
      <c r="R169" s="11"/>
    </row>
    <row r="170" spans="1:18" ht="15.75" customHeight="1">
      <c r="A170" s="28"/>
      <c r="B170" s="25"/>
      <c r="C170" s="26"/>
      <c r="D170" s="26"/>
      <c r="E170" s="26"/>
      <c r="F170" s="26"/>
      <c r="G170" s="26"/>
      <c r="H170" s="26"/>
      <c r="I170" s="26"/>
      <c r="J170" s="26"/>
      <c r="K170" s="26"/>
      <c r="L170" s="26"/>
      <c r="M170" s="29"/>
      <c r="N170" s="29"/>
      <c r="O170" s="29"/>
      <c r="P170" s="29"/>
      <c r="Q170" s="29"/>
      <c r="R170" s="11"/>
    </row>
    <row r="171" spans="1:18" ht="15.75" customHeight="1">
      <c r="A171" s="28"/>
      <c r="B171" s="25"/>
      <c r="C171" s="26"/>
      <c r="D171" s="26"/>
      <c r="E171" s="26"/>
      <c r="F171" s="26"/>
      <c r="G171" s="26"/>
      <c r="H171" s="26"/>
      <c r="I171" s="26"/>
      <c r="J171" s="26"/>
      <c r="K171" s="26"/>
      <c r="L171" s="26"/>
      <c r="M171" s="29"/>
      <c r="N171" s="29"/>
      <c r="O171" s="29"/>
      <c r="P171" s="29"/>
      <c r="Q171" s="29"/>
      <c r="R171" s="11"/>
    </row>
    <row r="172" spans="1:18" ht="15.75" customHeight="1">
      <c r="A172" s="28"/>
      <c r="B172" s="25"/>
      <c r="C172" s="26"/>
      <c r="D172" s="26"/>
      <c r="E172" s="26"/>
      <c r="F172" s="26"/>
      <c r="G172" s="26"/>
      <c r="H172" s="26"/>
      <c r="I172" s="26"/>
      <c r="J172" s="26"/>
      <c r="K172" s="26"/>
      <c r="L172" s="26"/>
      <c r="M172" s="29"/>
      <c r="N172" s="29"/>
      <c r="O172" s="29"/>
      <c r="P172" s="29"/>
      <c r="Q172" s="29"/>
      <c r="R172" s="11"/>
    </row>
    <row r="173" spans="1:18" ht="15.75" customHeight="1">
      <c r="A173" s="28"/>
      <c r="B173" s="25"/>
      <c r="C173" s="26"/>
      <c r="D173" s="26"/>
      <c r="E173" s="26"/>
      <c r="F173" s="26"/>
      <c r="G173" s="26"/>
      <c r="H173" s="26"/>
      <c r="I173" s="26"/>
      <c r="J173" s="26"/>
      <c r="K173" s="26"/>
      <c r="L173" s="26"/>
      <c r="M173" s="29"/>
      <c r="N173" s="29"/>
      <c r="O173" s="29"/>
      <c r="P173" s="29"/>
      <c r="Q173" s="29"/>
      <c r="R173" s="11"/>
    </row>
    <row r="174" spans="1:18" ht="15.75" customHeight="1">
      <c r="A174" s="28"/>
      <c r="B174" s="25"/>
      <c r="C174" s="26"/>
      <c r="D174" s="26"/>
      <c r="E174" s="26"/>
      <c r="F174" s="26"/>
      <c r="G174" s="26"/>
      <c r="H174" s="26"/>
      <c r="I174" s="26"/>
      <c r="J174" s="26"/>
      <c r="K174" s="26"/>
      <c r="L174" s="26"/>
      <c r="M174" s="29"/>
      <c r="N174" s="29"/>
      <c r="O174" s="29"/>
      <c r="P174" s="29"/>
      <c r="Q174" s="29"/>
      <c r="R174" s="11"/>
    </row>
    <row r="175" spans="1:18" ht="15.75" customHeight="1">
      <c r="A175" s="28"/>
      <c r="B175" s="25"/>
      <c r="C175" s="26"/>
      <c r="D175" s="26"/>
      <c r="E175" s="26"/>
      <c r="F175" s="26"/>
      <c r="G175" s="26"/>
      <c r="H175" s="26"/>
      <c r="I175" s="26"/>
      <c r="J175" s="26"/>
      <c r="K175" s="26"/>
      <c r="L175" s="26"/>
      <c r="M175" s="29"/>
      <c r="N175" s="29"/>
      <c r="O175" s="29"/>
      <c r="P175" s="29"/>
      <c r="Q175" s="29"/>
      <c r="R175" s="11"/>
    </row>
    <row r="176" spans="1:18" ht="15.75" customHeight="1">
      <c r="A176" s="28"/>
      <c r="B176" s="25"/>
      <c r="C176" s="26"/>
      <c r="D176" s="26"/>
      <c r="E176" s="26"/>
      <c r="F176" s="26"/>
      <c r="G176" s="26"/>
      <c r="H176" s="26"/>
      <c r="I176" s="26"/>
      <c r="J176" s="26"/>
      <c r="K176" s="26"/>
      <c r="L176" s="26"/>
      <c r="M176" s="29"/>
      <c r="N176" s="29"/>
      <c r="O176" s="29"/>
      <c r="P176" s="29"/>
      <c r="Q176" s="29"/>
      <c r="R176" s="11"/>
    </row>
    <row r="177" spans="1:18" ht="15.75" customHeight="1">
      <c r="A177" s="28"/>
      <c r="B177" s="25"/>
      <c r="C177" s="26"/>
      <c r="D177" s="26"/>
      <c r="E177" s="26"/>
      <c r="F177" s="26"/>
      <c r="G177" s="26"/>
      <c r="H177" s="26"/>
      <c r="I177" s="26"/>
      <c r="J177" s="26"/>
      <c r="K177" s="26"/>
      <c r="L177" s="26"/>
      <c r="M177" s="29"/>
      <c r="N177" s="29"/>
      <c r="O177" s="29"/>
      <c r="P177" s="29"/>
      <c r="Q177" s="29"/>
      <c r="R177" s="11"/>
    </row>
    <row r="178" spans="1:18" ht="15.75" customHeight="1">
      <c r="A178" s="28"/>
      <c r="B178" s="25"/>
      <c r="C178" s="26"/>
      <c r="D178" s="26"/>
      <c r="E178" s="26"/>
      <c r="F178" s="26"/>
      <c r="G178" s="26"/>
      <c r="H178" s="26"/>
      <c r="I178" s="26"/>
      <c r="J178" s="26"/>
      <c r="K178" s="26"/>
      <c r="L178" s="26"/>
      <c r="M178" s="29"/>
      <c r="N178" s="29"/>
      <c r="O178" s="29"/>
      <c r="P178" s="29"/>
      <c r="Q178" s="29"/>
      <c r="R178" s="11"/>
    </row>
    <row r="179" spans="1:18" ht="15.75" customHeight="1">
      <c r="A179" s="28"/>
      <c r="B179" s="25"/>
      <c r="C179" s="26"/>
      <c r="D179" s="26"/>
      <c r="E179" s="26"/>
      <c r="F179" s="26"/>
      <c r="G179" s="26"/>
      <c r="H179" s="26"/>
      <c r="I179" s="26"/>
      <c r="J179" s="26"/>
      <c r="K179" s="26"/>
      <c r="L179" s="26"/>
      <c r="M179" s="29"/>
      <c r="N179" s="29"/>
      <c r="O179" s="29"/>
      <c r="P179" s="29"/>
      <c r="Q179" s="29"/>
      <c r="R179" s="11"/>
    </row>
    <row r="180" spans="1:18" ht="15.75" customHeight="1">
      <c r="A180" s="28"/>
      <c r="B180" s="25"/>
      <c r="C180" s="26"/>
      <c r="D180" s="26"/>
      <c r="E180" s="26"/>
      <c r="F180" s="26"/>
      <c r="G180" s="26"/>
      <c r="H180" s="26"/>
      <c r="I180" s="26"/>
      <c r="J180" s="26"/>
      <c r="K180" s="26"/>
      <c r="L180" s="26"/>
      <c r="M180" s="29"/>
      <c r="N180" s="29"/>
      <c r="O180" s="29"/>
      <c r="P180" s="29"/>
      <c r="Q180" s="29"/>
      <c r="R180" s="11"/>
    </row>
    <row r="181" spans="1:18" ht="15.75" customHeight="1">
      <c r="A181" s="28"/>
      <c r="B181" s="25"/>
      <c r="C181" s="26"/>
      <c r="D181" s="26"/>
      <c r="E181" s="26"/>
      <c r="F181" s="26"/>
      <c r="G181" s="26"/>
      <c r="H181" s="26"/>
      <c r="I181" s="26"/>
      <c r="J181" s="26"/>
      <c r="K181" s="26"/>
      <c r="L181" s="26"/>
      <c r="M181" s="29"/>
      <c r="N181" s="29"/>
      <c r="O181" s="29"/>
      <c r="P181" s="29"/>
      <c r="Q181" s="29"/>
      <c r="R181" s="11"/>
    </row>
    <row r="182" spans="1:18" ht="15.75" customHeight="1">
      <c r="A182" s="28"/>
      <c r="B182" s="25"/>
      <c r="C182" s="26"/>
      <c r="D182" s="26"/>
      <c r="E182" s="26"/>
      <c r="F182" s="26"/>
      <c r="G182" s="26"/>
      <c r="H182" s="26"/>
      <c r="I182" s="26"/>
      <c r="J182" s="26"/>
      <c r="K182" s="26"/>
      <c r="L182" s="26"/>
      <c r="M182" s="29"/>
      <c r="N182" s="29"/>
      <c r="O182" s="29"/>
      <c r="P182" s="29"/>
      <c r="Q182" s="29"/>
      <c r="R182" s="11"/>
    </row>
    <row r="183" spans="1:18" ht="15.75" customHeight="1">
      <c r="A183" s="28"/>
      <c r="B183" s="25"/>
      <c r="C183" s="26"/>
      <c r="D183" s="26"/>
      <c r="E183" s="26"/>
      <c r="F183" s="26"/>
      <c r="G183" s="26"/>
      <c r="H183" s="26"/>
      <c r="I183" s="26"/>
      <c r="J183" s="26"/>
      <c r="K183" s="26"/>
      <c r="L183" s="26"/>
      <c r="M183" s="29"/>
      <c r="N183" s="29"/>
      <c r="O183" s="29"/>
      <c r="P183" s="29"/>
      <c r="Q183" s="29"/>
      <c r="R183" s="11"/>
    </row>
    <row r="184" spans="1:18" ht="15.75" customHeight="1">
      <c r="A184" s="28"/>
      <c r="B184" s="25"/>
      <c r="C184" s="26"/>
      <c r="D184" s="26"/>
      <c r="E184" s="26"/>
      <c r="F184" s="26"/>
      <c r="G184" s="26"/>
      <c r="H184" s="26"/>
      <c r="I184" s="26"/>
      <c r="J184" s="26"/>
      <c r="K184" s="26"/>
      <c r="L184" s="26"/>
      <c r="M184" s="29"/>
      <c r="N184" s="29"/>
      <c r="O184" s="29"/>
      <c r="P184" s="29"/>
      <c r="Q184" s="29"/>
      <c r="R184" s="11"/>
    </row>
    <row r="185" spans="1:18" ht="15.75" customHeight="1">
      <c r="A185" s="28"/>
      <c r="B185" s="25"/>
      <c r="C185" s="26"/>
      <c r="D185" s="26"/>
      <c r="E185" s="26"/>
      <c r="F185" s="26"/>
      <c r="G185" s="26"/>
      <c r="H185" s="26"/>
      <c r="I185" s="26"/>
      <c r="J185" s="26"/>
      <c r="K185" s="26"/>
      <c r="L185" s="26"/>
      <c r="M185" s="29"/>
      <c r="N185" s="29"/>
      <c r="O185" s="29"/>
      <c r="P185" s="29"/>
      <c r="Q185" s="29"/>
      <c r="R185" s="11"/>
    </row>
    <row r="186" spans="1:18" ht="15.75" customHeight="1">
      <c r="A186" s="28"/>
      <c r="B186" s="25"/>
      <c r="C186" s="26"/>
      <c r="D186" s="26"/>
      <c r="E186" s="26"/>
      <c r="F186" s="26"/>
      <c r="G186" s="26"/>
      <c r="H186" s="26"/>
      <c r="I186" s="26"/>
      <c r="J186" s="26"/>
      <c r="K186" s="26"/>
      <c r="L186" s="26"/>
      <c r="M186" s="29"/>
      <c r="N186" s="29"/>
      <c r="O186" s="29"/>
      <c r="P186" s="29"/>
      <c r="Q186" s="29"/>
      <c r="R186" s="11"/>
    </row>
    <row r="187" spans="1:18" ht="15.75" customHeight="1">
      <c r="A187" s="28"/>
      <c r="B187" s="25"/>
      <c r="C187" s="26"/>
      <c r="D187" s="26"/>
      <c r="E187" s="26"/>
      <c r="F187" s="26"/>
      <c r="G187" s="26"/>
      <c r="H187" s="26"/>
      <c r="I187" s="26"/>
      <c r="J187" s="26"/>
      <c r="K187" s="26"/>
      <c r="L187" s="26"/>
      <c r="M187" s="29"/>
      <c r="N187" s="29"/>
      <c r="O187" s="29"/>
      <c r="P187" s="29"/>
      <c r="Q187" s="29"/>
      <c r="R187" s="11"/>
    </row>
    <row r="188" spans="1:18" ht="15.75" customHeight="1">
      <c r="A188" s="28"/>
      <c r="B188" s="25"/>
      <c r="C188" s="26"/>
      <c r="D188" s="26"/>
      <c r="E188" s="26"/>
      <c r="F188" s="26"/>
      <c r="G188" s="26"/>
      <c r="H188" s="26"/>
      <c r="I188" s="26"/>
      <c r="J188" s="26"/>
      <c r="K188" s="26"/>
      <c r="L188" s="26"/>
      <c r="M188" s="29"/>
      <c r="N188" s="29"/>
      <c r="O188" s="29"/>
      <c r="P188" s="29"/>
      <c r="Q188" s="29"/>
      <c r="R188" s="11"/>
    </row>
    <row r="189" spans="1:18" ht="15.75" customHeight="1">
      <c r="A189" s="28"/>
      <c r="B189" s="25"/>
      <c r="C189" s="26"/>
      <c r="D189" s="26"/>
      <c r="E189" s="26"/>
      <c r="F189" s="26"/>
      <c r="G189" s="26"/>
      <c r="H189" s="26"/>
      <c r="I189" s="26"/>
      <c r="J189" s="26"/>
      <c r="K189" s="26"/>
      <c r="L189" s="26"/>
      <c r="M189" s="29"/>
      <c r="N189" s="29"/>
      <c r="O189" s="29"/>
      <c r="P189" s="29"/>
      <c r="Q189" s="29"/>
      <c r="R189" s="11"/>
    </row>
    <row r="190" spans="1:18" ht="15.75" customHeight="1">
      <c r="A190" s="28"/>
      <c r="B190" s="25"/>
      <c r="C190" s="26"/>
      <c r="D190" s="26"/>
      <c r="E190" s="26"/>
      <c r="F190" s="26"/>
      <c r="G190" s="26"/>
      <c r="H190" s="26"/>
      <c r="I190" s="26"/>
      <c r="J190" s="26"/>
      <c r="K190" s="26"/>
      <c r="L190" s="26"/>
      <c r="M190" s="29"/>
      <c r="N190" s="29"/>
      <c r="O190" s="29"/>
      <c r="P190" s="29"/>
      <c r="Q190" s="29"/>
      <c r="R190" s="11"/>
    </row>
    <row r="191" spans="1:18" ht="15.75" customHeight="1">
      <c r="A191" s="28"/>
      <c r="B191" s="25"/>
      <c r="C191" s="26"/>
      <c r="D191" s="26"/>
      <c r="E191" s="26"/>
      <c r="F191" s="26"/>
      <c r="G191" s="26"/>
      <c r="H191" s="26"/>
      <c r="I191" s="26"/>
      <c r="J191" s="26"/>
      <c r="K191" s="26"/>
      <c r="L191" s="26"/>
      <c r="M191" s="29"/>
      <c r="N191" s="29"/>
      <c r="O191" s="29"/>
      <c r="P191" s="29"/>
      <c r="Q191" s="29"/>
      <c r="R191" s="11"/>
    </row>
    <row r="192" spans="1:18" ht="15.75" customHeight="1">
      <c r="A192" s="28"/>
      <c r="B192" s="25"/>
      <c r="C192" s="26"/>
      <c r="D192" s="26"/>
      <c r="E192" s="26"/>
      <c r="F192" s="26"/>
      <c r="G192" s="26"/>
      <c r="H192" s="26"/>
      <c r="I192" s="26"/>
      <c r="J192" s="26"/>
      <c r="K192" s="26"/>
      <c r="L192" s="26"/>
      <c r="M192" s="29"/>
      <c r="N192" s="29"/>
      <c r="O192" s="29"/>
      <c r="P192" s="29"/>
      <c r="Q192" s="29"/>
      <c r="R192" s="11"/>
    </row>
    <row r="193" spans="1:18" ht="15.75" customHeight="1">
      <c r="A193" s="28"/>
      <c r="B193" s="25"/>
      <c r="C193" s="26"/>
      <c r="D193" s="26"/>
      <c r="E193" s="26"/>
      <c r="F193" s="26"/>
      <c r="G193" s="26"/>
      <c r="H193" s="26"/>
      <c r="I193" s="26"/>
      <c r="J193" s="26"/>
      <c r="K193" s="26"/>
      <c r="L193" s="26"/>
      <c r="M193" s="29"/>
      <c r="N193" s="29"/>
      <c r="O193" s="29"/>
      <c r="P193" s="29"/>
      <c r="Q193" s="29"/>
      <c r="R193" s="11"/>
    </row>
    <row r="194" spans="1:18" ht="15.75" customHeight="1">
      <c r="A194" s="28"/>
      <c r="B194" s="25"/>
      <c r="C194" s="26"/>
      <c r="D194" s="26"/>
      <c r="E194" s="26"/>
      <c r="F194" s="26"/>
      <c r="G194" s="26"/>
      <c r="H194" s="26"/>
      <c r="I194" s="26"/>
      <c r="J194" s="26"/>
      <c r="K194" s="26"/>
      <c r="L194" s="26"/>
      <c r="M194" s="29"/>
      <c r="N194" s="29"/>
      <c r="O194" s="29"/>
      <c r="P194" s="29"/>
      <c r="Q194" s="29"/>
      <c r="R194" s="11"/>
    </row>
    <row r="195" spans="1:18" ht="15.75" customHeight="1">
      <c r="A195" s="28"/>
      <c r="B195" s="25"/>
      <c r="C195" s="26"/>
      <c r="D195" s="26"/>
      <c r="E195" s="26"/>
      <c r="F195" s="26"/>
      <c r="G195" s="26"/>
      <c r="H195" s="26"/>
      <c r="I195" s="26"/>
      <c r="J195" s="26"/>
      <c r="K195" s="26"/>
      <c r="L195" s="26"/>
      <c r="M195" s="29"/>
      <c r="N195" s="29"/>
      <c r="O195" s="29"/>
      <c r="P195" s="29"/>
      <c r="Q195" s="29"/>
      <c r="R195" s="11"/>
    </row>
    <row r="196" spans="1:18" ht="15.75" customHeight="1">
      <c r="A196" s="28"/>
      <c r="B196" s="25"/>
      <c r="C196" s="26"/>
      <c r="D196" s="26"/>
      <c r="E196" s="26"/>
      <c r="F196" s="26"/>
      <c r="G196" s="26"/>
      <c r="H196" s="26"/>
      <c r="I196" s="26"/>
      <c r="J196" s="26"/>
      <c r="K196" s="26"/>
      <c r="L196" s="26"/>
      <c r="M196" s="29"/>
      <c r="N196" s="29"/>
      <c r="O196" s="29"/>
      <c r="P196" s="29"/>
      <c r="Q196" s="29"/>
      <c r="R196" s="11"/>
    </row>
    <row r="197" spans="1:18" ht="15.75" customHeight="1">
      <c r="A197" s="28"/>
      <c r="B197" s="25"/>
      <c r="C197" s="26"/>
      <c r="D197" s="26"/>
      <c r="E197" s="26"/>
      <c r="F197" s="26"/>
      <c r="G197" s="26"/>
      <c r="H197" s="26"/>
      <c r="I197" s="26"/>
      <c r="J197" s="26"/>
      <c r="K197" s="26"/>
      <c r="L197" s="26"/>
      <c r="M197" s="29"/>
      <c r="N197" s="29"/>
      <c r="O197" s="29"/>
      <c r="P197" s="29"/>
      <c r="Q197" s="29"/>
      <c r="R197" s="11"/>
    </row>
    <row r="198" spans="1:18" ht="15.75" customHeight="1">
      <c r="A198" s="28"/>
      <c r="B198" s="25"/>
      <c r="C198" s="26"/>
      <c r="D198" s="26"/>
      <c r="E198" s="26"/>
      <c r="F198" s="26"/>
      <c r="G198" s="26"/>
      <c r="H198" s="26"/>
      <c r="I198" s="26"/>
      <c r="J198" s="26"/>
      <c r="K198" s="26"/>
      <c r="L198" s="26"/>
      <c r="M198" s="29"/>
      <c r="N198" s="29"/>
      <c r="O198" s="29"/>
      <c r="P198" s="29"/>
      <c r="Q198" s="29"/>
      <c r="R198" s="11"/>
    </row>
    <row r="199" spans="1:18" ht="15.75" customHeight="1">
      <c r="A199" s="28"/>
      <c r="B199" s="25"/>
      <c r="C199" s="26"/>
      <c r="D199" s="26"/>
      <c r="E199" s="26"/>
      <c r="F199" s="26"/>
      <c r="G199" s="26"/>
      <c r="H199" s="26"/>
      <c r="I199" s="26"/>
      <c r="J199" s="26"/>
      <c r="K199" s="26"/>
      <c r="L199" s="26"/>
      <c r="M199" s="29"/>
      <c r="N199" s="29"/>
      <c r="O199" s="29"/>
      <c r="P199" s="29"/>
      <c r="Q199" s="29"/>
      <c r="R199" s="11"/>
    </row>
    <row r="200" spans="1:18" ht="15.75" customHeight="1">
      <c r="A200" s="28"/>
      <c r="B200" s="25"/>
      <c r="C200" s="26"/>
      <c r="D200" s="26"/>
      <c r="E200" s="26"/>
      <c r="F200" s="26"/>
      <c r="G200" s="26"/>
      <c r="H200" s="26"/>
      <c r="I200" s="26"/>
      <c r="J200" s="26"/>
      <c r="K200" s="26"/>
      <c r="L200" s="26"/>
      <c r="M200" s="29"/>
      <c r="N200" s="29"/>
      <c r="O200" s="29"/>
      <c r="P200" s="29"/>
      <c r="Q200" s="29"/>
      <c r="R200" s="11"/>
    </row>
    <row r="201" spans="1:18" ht="15.75" customHeight="1">
      <c r="A201" s="28"/>
      <c r="B201" s="25"/>
      <c r="C201" s="26"/>
      <c r="D201" s="26"/>
      <c r="E201" s="26"/>
      <c r="F201" s="26"/>
      <c r="G201" s="26"/>
      <c r="H201" s="26"/>
      <c r="I201" s="26"/>
      <c r="J201" s="26"/>
      <c r="K201" s="26"/>
      <c r="L201" s="26"/>
      <c r="M201" s="29"/>
      <c r="N201" s="29"/>
      <c r="O201" s="29"/>
      <c r="P201" s="29"/>
      <c r="Q201" s="29"/>
      <c r="R201" s="11"/>
    </row>
    <row r="202" spans="1:18" ht="15.75" customHeight="1">
      <c r="A202" s="28"/>
      <c r="B202" s="25"/>
      <c r="C202" s="26"/>
      <c r="D202" s="26"/>
      <c r="E202" s="26"/>
      <c r="F202" s="26"/>
      <c r="G202" s="26"/>
      <c r="H202" s="26"/>
      <c r="I202" s="26"/>
      <c r="J202" s="26"/>
      <c r="K202" s="26"/>
      <c r="L202" s="26"/>
      <c r="M202" s="29"/>
      <c r="N202" s="29"/>
      <c r="O202" s="29"/>
      <c r="P202" s="29"/>
      <c r="Q202" s="29"/>
      <c r="R202" s="11"/>
    </row>
    <row r="203" spans="1:18" ht="15.75" customHeight="1">
      <c r="A203" s="28"/>
      <c r="B203" s="25"/>
      <c r="C203" s="26"/>
      <c r="D203" s="26"/>
      <c r="E203" s="26"/>
      <c r="F203" s="26"/>
      <c r="G203" s="26"/>
      <c r="H203" s="26"/>
      <c r="I203" s="26"/>
      <c r="J203" s="26"/>
      <c r="K203" s="26"/>
      <c r="L203" s="26"/>
      <c r="M203" s="29"/>
      <c r="N203" s="29"/>
      <c r="O203" s="29"/>
      <c r="P203" s="29"/>
      <c r="Q203" s="29"/>
      <c r="R203" s="11"/>
    </row>
    <row r="204" spans="1:18" ht="15.75" customHeight="1">
      <c r="A204" s="28"/>
      <c r="B204" s="25"/>
      <c r="C204" s="26"/>
      <c r="D204" s="26"/>
      <c r="E204" s="26"/>
      <c r="F204" s="26"/>
      <c r="G204" s="26"/>
      <c r="H204" s="26"/>
      <c r="I204" s="26"/>
      <c r="J204" s="26"/>
      <c r="K204" s="26"/>
      <c r="L204" s="26"/>
      <c r="M204" s="29"/>
      <c r="N204" s="29"/>
      <c r="O204" s="29"/>
      <c r="P204" s="29"/>
      <c r="Q204" s="29"/>
      <c r="R204" s="11"/>
    </row>
    <row r="205" spans="1:18" ht="15.75" customHeight="1">
      <c r="A205" s="28"/>
      <c r="B205" s="25"/>
      <c r="C205" s="26"/>
      <c r="D205" s="26"/>
      <c r="E205" s="26"/>
      <c r="F205" s="26"/>
      <c r="G205" s="26"/>
      <c r="H205" s="26"/>
      <c r="I205" s="26"/>
      <c r="J205" s="26"/>
      <c r="K205" s="26"/>
      <c r="L205" s="26"/>
      <c r="M205" s="29"/>
      <c r="N205" s="29"/>
      <c r="O205" s="29"/>
      <c r="P205" s="29"/>
      <c r="Q205" s="29"/>
      <c r="R205" s="11"/>
    </row>
    <row r="206" spans="1:18" ht="15.75" customHeight="1">
      <c r="A206" s="28"/>
      <c r="B206" s="25"/>
      <c r="C206" s="26"/>
      <c r="D206" s="26"/>
      <c r="E206" s="26"/>
      <c r="F206" s="26"/>
      <c r="G206" s="26"/>
      <c r="H206" s="26"/>
      <c r="I206" s="26"/>
      <c r="J206" s="26"/>
      <c r="K206" s="26"/>
      <c r="L206" s="26"/>
      <c r="M206" s="29"/>
      <c r="N206" s="29"/>
      <c r="O206" s="29"/>
      <c r="P206" s="29"/>
      <c r="Q206" s="29"/>
      <c r="R206" s="11"/>
    </row>
    <row r="207" spans="1:18" ht="15.75" customHeight="1">
      <c r="A207" s="28"/>
      <c r="B207" s="25"/>
      <c r="C207" s="26"/>
      <c r="D207" s="26"/>
      <c r="E207" s="26"/>
      <c r="F207" s="26"/>
      <c r="G207" s="26"/>
      <c r="H207" s="26"/>
      <c r="I207" s="26"/>
      <c r="J207" s="26"/>
      <c r="K207" s="26"/>
      <c r="L207" s="26"/>
      <c r="M207" s="29"/>
      <c r="N207" s="29"/>
      <c r="O207" s="29"/>
      <c r="P207" s="29"/>
      <c r="Q207" s="29"/>
      <c r="R207" s="11"/>
    </row>
    <row r="208" spans="1:18" ht="15.75" customHeight="1">
      <c r="A208" s="28"/>
      <c r="B208" s="25"/>
      <c r="C208" s="26"/>
      <c r="D208" s="26"/>
      <c r="E208" s="26"/>
      <c r="F208" s="26"/>
      <c r="G208" s="26"/>
      <c r="H208" s="26"/>
      <c r="I208" s="26"/>
      <c r="J208" s="26"/>
      <c r="K208" s="26"/>
      <c r="L208" s="26"/>
      <c r="M208" s="29"/>
      <c r="N208" s="29"/>
      <c r="O208" s="29"/>
      <c r="P208" s="29"/>
      <c r="Q208" s="29"/>
      <c r="R208" s="11"/>
    </row>
    <row r="209" spans="1:18" ht="15.75" customHeight="1">
      <c r="A209" s="28"/>
      <c r="B209" s="25"/>
      <c r="C209" s="26"/>
      <c r="D209" s="26"/>
      <c r="E209" s="26"/>
      <c r="F209" s="26"/>
      <c r="G209" s="26"/>
      <c r="H209" s="26"/>
      <c r="I209" s="26"/>
      <c r="J209" s="26"/>
      <c r="K209" s="26"/>
      <c r="L209" s="26"/>
      <c r="M209" s="29"/>
      <c r="N209" s="29"/>
      <c r="O209" s="29"/>
      <c r="P209" s="29"/>
      <c r="Q209" s="29"/>
      <c r="R209" s="11"/>
    </row>
    <row r="210" spans="1:18" ht="15.75" customHeight="1">
      <c r="A210" s="28"/>
      <c r="B210" s="25"/>
      <c r="C210" s="26"/>
      <c r="D210" s="26"/>
      <c r="E210" s="26"/>
      <c r="F210" s="26"/>
      <c r="G210" s="26"/>
      <c r="H210" s="26"/>
      <c r="I210" s="26"/>
      <c r="J210" s="26"/>
      <c r="K210" s="26"/>
      <c r="L210" s="26"/>
      <c r="M210" s="29"/>
      <c r="N210" s="29"/>
      <c r="O210" s="29"/>
      <c r="P210" s="29"/>
      <c r="Q210" s="29"/>
      <c r="R210" s="11"/>
    </row>
    <row r="211" spans="1:18" ht="15.75" customHeight="1">
      <c r="A211" s="28"/>
      <c r="B211" s="25"/>
      <c r="C211" s="26"/>
      <c r="D211" s="26"/>
      <c r="E211" s="26"/>
      <c r="F211" s="26"/>
      <c r="G211" s="26"/>
      <c r="H211" s="26"/>
      <c r="I211" s="26"/>
      <c r="J211" s="26"/>
      <c r="K211" s="26"/>
      <c r="L211" s="26"/>
      <c r="M211" s="29"/>
      <c r="N211" s="29"/>
      <c r="O211" s="29"/>
      <c r="P211" s="29"/>
      <c r="Q211" s="29"/>
      <c r="R211" s="11"/>
    </row>
    <row r="212" spans="1:18" ht="15.75" customHeight="1">
      <c r="A212" s="28"/>
      <c r="B212" s="25"/>
      <c r="C212" s="26"/>
      <c r="D212" s="26"/>
      <c r="E212" s="26"/>
      <c r="F212" s="26"/>
      <c r="G212" s="26"/>
      <c r="H212" s="26"/>
      <c r="I212" s="26"/>
      <c r="J212" s="26"/>
      <c r="K212" s="26"/>
      <c r="L212" s="26"/>
      <c r="M212" s="29"/>
      <c r="N212" s="29"/>
      <c r="O212" s="29"/>
      <c r="P212" s="29"/>
      <c r="Q212" s="29"/>
      <c r="R212" s="11"/>
    </row>
    <row r="213" spans="1:18" ht="15.75" customHeight="1">
      <c r="A213" s="28"/>
      <c r="B213" s="25"/>
      <c r="C213" s="26"/>
      <c r="D213" s="26"/>
      <c r="E213" s="26"/>
      <c r="F213" s="26"/>
      <c r="G213" s="26"/>
      <c r="H213" s="26"/>
      <c r="I213" s="26"/>
      <c r="J213" s="26"/>
      <c r="K213" s="26"/>
      <c r="L213" s="26"/>
      <c r="M213" s="29"/>
      <c r="N213" s="29"/>
      <c r="O213" s="29"/>
      <c r="P213" s="29"/>
      <c r="Q213" s="29"/>
      <c r="R213" s="11"/>
    </row>
    <row r="214" spans="1:18" ht="15.75" customHeight="1">
      <c r="A214" s="28"/>
      <c r="B214" s="25"/>
      <c r="C214" s="26"/>
      <c r="D214" s="26"/>
      <c r="E214" s="26"/>
      <c r="F214" s="26"/>
      <c r="G214" s="26"/>
      <c r="H214" s="26"/>
      <c r="I214" s="26"/>
      <c r="J214" s="26"/>
      <c r="K214" s="26"/>
      <c r="L214" s="26"/>
      <c r="M214" s="29"/>
      <c r="N214" s="29"/>
      <c r="O214" s="29"/>
      <c r="P214" s="29"/>
      <c r="Q214" s="29"/>
      <c r="R214" s="11"/>
    </row>
    <row r="215" spans="1:18" ht="15.75" customHeight="1">
      <c r="A215" s="28"/>
      <c r="B215" s="25"/>
      <c r="C215" s="26"/>
      <c r="D215" s="26"/>
      <c r="E215" s="26"/>
      <c r="F215" s="26"/>
      <c r="G215" s="26"/>
      <c r="H215" s="26"/>
      <c r="I215" s="26"/>
      <c r="J215" s="26"/>
      <c r="K215" s="26"/>
      <c r="L215" s="26"/>
      <c r="M215" s="29"/>
      <c r="N215" s="29"/>
      <c r="O215" s="29"/>
      <c r="P215" s="29"/>
      <c r="Q215" s="29"/>
      <c r="R215" s="11"/>
    </row>
    <row r="216" spans="1:18" ht="15.75" customHeight="1">
      <c r="A216" s="28"/>
      <c r="B216" s="25"/>
      <c r="C216" s="26"/>
      <c r="D216" s="26"/>
      <c r="E216" s="26"/>
      <c r="F216" s="26"/>
      <c r="G216" s="26"/>
      <c r="H216" s="26"/>
      <c r="I216" s="26"/>
      <c r="J216" s="26"/>
      <c r="K216" s="26"/>
      <c r="L216" s="26"/>
      <c r="M216" s="29"/>
      <c r="N216" s="29"/>
      <c r="O216" s="29"/>
      <c r="P216" s="29"/>
      <c r="Q216" s="29"/>
      <c r="R216" s="11"/>
    </row>
    <row r="217" spans="1:18" ht="15.75" customHeight="1">
      <c r="A217" s="28"/>
      <c r="B217" s="25"/>
      <c r="C217" s="26"/>
      <c r="D217" s="26"/>
      <c r="E217" s="26"/>
      <c r="F217" s="26"/>
      <c r="G217" s="26"/>
      <c r="H217" s="26"/>
      <c r="I217" s="26"/>
      <c r="J217" s="26"/>
      <c r="K217" s="26"/>
      <c r="L217" s="26"/>
      <c r="M217" s="29"/>
      <c r="N217" s="29"/>
      <c r="O217" s="29"/>
      <c r="P217" s="29"/>
      <c r="Q217" s="29"/>
      <c r="R217" s="11"/>
    </row>
    <row r="218" spans="1:18" ht="15.75" customHeight="1">
      <c r="A218" s="28"/>
      <c r="B218" s="25"/>
      <c r="C218" s="26"/>
      <c r="D218" s="26"/>
      <c r="E218" s="26"/>
      <c r="F218" s="26"/>
      <c r="G218" s="26"/>
      <c r="H218" s="26"/>
      <c r="I218" s="26"/>
      <c r="J218" s="26"/>
      <c r="K218" s="26"/>
      <c r="L218" s="26"/>
      <c r="M218" s="29"/>
      <c r="N218" s="29"/>
      <c r="O218" s="29"/>
      <c r="P218" s="29"/>
      <c r="Q218" s="29"/>
      <c r="R218" s="11"/>
    </row>
    <row r="219" spans="1:18" ht="15.75" customHeight="1">
      <c r="A219" s="28"/>
      <c r="B219" s="25"/>
      <c r="C219" s="26"/>
      <c r="D219" s="26"/>
      <c r="E219" s="26"/>
      <c r="F219" s="26"/>
      <c r="G219" s="26"/>
      <c r="H219" s="26"/>
      <c r="I219" s="26"/>
      <c r="J219" s="26"/>
      <c r="K219" s="26"/>
      <c r="L219" s="26"/>
      <c r="M219" s="29"/>
      <c r="N219" s="29"/>
      <c r="O219" s="29"/>
      <c r="P219" s="29"/>
      <c r="Q219" s="29"/>
      <c r="R219" s="11"/>
    </row>
    <row r="220" spans="1:18" ht="15.75" customHeight="1">
      <c r="A220" s="28"/>
      <c r="B220" s="25"/>
      <c r="C220" s="26"/>
      <c r="D220" s="26"/>
      <c r="E220" s="26"/>
      <c r="F220" s="26"/>
      <c r="G220" s="26"/>
      <c r="H220" s="26"/>
      <c r="I220" s="26"/>
      <c r="J220" s="26"/>
      <c r="K220" s="26"/>
      <c r="L220" s="26"/>
      <c r="M220" s="29"/>
      <c r="N220" s="29"/>
      <c r="O220" s="29"/>
      <c r="P220" s="29"/>
      <c r="Q220" s="29"/>
      <c r="R220" s="11"/>
    </row>
    <row r="221" spans="1:18" ht="15.75" customHeight="1">
      <c r="A221" s="28"/>
      <c r="B221" s="25"/>
      <c r="C221" s="26"/>
      <c r="D221" s="26"/>
      <c r="E221" s="26"/>
      <c r="F221" s="26"/>
      <c r="G221" s="26"/>
      <c r="H221" s="26"/>
      <c r="I221" s="26"/>
      <c r="J221" s="26"/>
      <c r="K221" s="26"/>
      <c r="L221" s="26"/>
      <c r="M221" s="29"/>
      <c r="N221" s="29"/>
      <c r="O221" s="29"/>
      <c r="P221" s="29"/>
      <c r="Q221" s="29"/>
      <c r="R221" s="11"/>
    </row>
    <row r="222" spans="1:18" ht="15.75" customHeight="1">
      <c r="A222" s="28"/>
      <c r="B222" s="25"/>
      <c r="C222" s="26"/>
      <c r="D222" s="26"/>
      <c r="E222" s="26"/>
      <c r="F222" s="26"/>
      <c r="G222" s="26"/>
      <c r="H222" s="26"/>
      <c r="I222" s="26"/>
      <c r="J222" s="26"/>
      <c r="K222" s="26"/>
      <c r="L222" s="26"/>
      <c r="M222" s="29"/>
      <c r="N222" s="29"/>
      <c r="O222" s="29"/>
      <c r="P222" s="29"/>
      <c r="Q222" s="29"/>
      <c r="R222" s="11"/>
    </row>
    <row r="223" spans="1:18" ht="15.75" customHeight="1">
      <c r="A223" s="28"/>
      <c r="B223" s="25"/>
      <c r="C223" s="26"/>
      <c r="D223" s="26"/>
      <c r="E223" s="26"/>
      <c r="F223" s="26"/>
      <c r="G223" s="26"/>
      <c r="H223" s="26"/>
      <c r="I223" s="26"/>
      <c r="J223" s="26"/>
      <c r="K223" s="26"/>
      <c r="L223" s="26"/>
      <c r="M223" s="29"/>
      <c r="N223" s="29"/>
      <c r="O223" s="29"/>
      <c r="P223" s="29"/>
      <c r="Q223" s="29"/>
      <c r="R223" s="11"/>
    </row>
    <row r="224" spans="1:18" ht="15.75" customHeight="1">
      <c r="A224" s="28"/>
      <c r="B224" s="25"/>
      <c r="C224" s="26"/>
      <c r="D224" s="26"/>
      <c r="E224" s="26"/>
      <c r="F224" s="26"/>
      <c r="G224" s="26"/>
      <c r="H224" s="26"/>
      <c r="I224" s="26"/>
      <c r="J224" s="26"/>
      <c r="K224" s="26"/>
      <c r="L224" s="26"/>
      <c r="M224" s="29"/>
      <c r="N224" s="29"/>
      <c r="O224" s="29"/>
      <c r="P224" s="29"/>
      <c r="Q224" s="29"/>
      <c r="R224" s="11"/>
    </row>
    <row r="225" spans="1:18" ht="15.75" customHeight="1">
      <c r="A225" s="28"/>
      <c r="B225" s="25"/>
      <c r="C225" s="26"/>
      <c r="D225" s="26"/>
      <c r="E225" s="26"/>
      <c r="F225" s="26"/>
      <c r="G225" s="26"/>
      <c r="H225" s="26"/>
      <c r="I225" s="26"/>
      <c r="J225" s="26"/>
      <c r="K225" s="26"/>
      <c r="L225" s="26"/>
      <c r="M225" s="29"/>
      <c r="N225" s="29"/>
      <c r="O225" s="29"/>
      <c r="P225" s="29"/>
      <c r="Q225" s="29"/>
      <c r="R225" s="11"/>
    </row>
    <row r="226" spans="1:18" ht="15.75" customHeight="1">
      <c r="A226" s="28"/>
      <c r="B226" s="25"/>
      <c r="C226" s="26"/>
      <c r="D226" s="26"/>
      <c r="E226" s="26"/>
      <c r="F226" s="26"/>
      <c r="G226" s="26"/>
      <c r="H226" s="26"/>
      <c r="I226" s="26"/>
      <c r="J226" s="26"/>
      <c r="K226" s="26"/>
      <c r="L226" s="26"/>
      <c r="M226" s="29"/>
      <c r="N226" s="29"/>
      <c r="O226" s="29"/>
      <c r="P226" s="29"/>
      <c r="Q226" s="29"/>
      <c r="R226" s="11"/>
    </row>
    <row r="227" spans="1:18" ht="15.75" customHeight="1">
      <c r="A227" s="28"/>
      <c r="B227" s="25"/>
      <c r="C227" s="26"/>
      <c r="D227" s="26"/>
      <c r="E227" s="26"/>
      <c r="F227" s="26"/>
      <c r="G227" s="26"/>
      <c r="H227" s="26"/>
      <c r="I227" s="26"/>
      <c r="J227" s="26"/>
      <c r="K227" s="26"/>
      <c r="L227" s="26"/>
      <c r="M227" s="29"/>
      <c r="N227" s="29"/>
      <c r="O227" s="29"/>
      <c r="P227" s="29"/>
      <c r="Q227" s="29"/>
      <c r="R227" s="11"/>
    </row>
    <row r="228" spans="1:18" ht="15.75" customHeight="1">
      <c r="A228" s="28"/>
      <c r="B228" s="25"/>
      <c r="C228" s="26"/>
      <c r="D228" s="26"/>
      <c r="E228" s="26"/>
      <c r="F228" s="26"/>
      <c r="G228" s="26"/>
      <c r="H228" s="26"/>
      <c r="I228" s="26"/>
      <c r="J228" s="26"/>
      <c r="K228" s="26"/>
      <c r="L228" s="26"/>
      <c r="M228" s="29"/>
      <c r="N228" s="29"/>
      <c r="O228" s="29"/>
      <c r="P228" s="29"/>
      <c r="Q228" s="29"/>
      <c r="R228" s="11"/>
    </row>
    <row r="229" spans="1:18" ht="15.75" customHeight="1">
      <c r="A229" s="28"/>
      <c r="B229" s="25"/>
      <c r="C229" s="26"/>
      <c r="D229" s="26"/>
      <c r="E229" s="26"/>
      <c r="F229" s="26"/>
      <c r="G229" s="26"/>
      <c r="H229" s="26"/>
      <c r="I229" s="26"/>
      <c r="J229" s="26"/>
      <c r="K229" s="26"/>
      <c r="L229" s="26"/>
      <c r="M229" s="29"/>
      <c r="N229" s="29"/>
      <c r="O229" s="29"/>
      <c r="P229" s="29"/>
      <c r="Q229" s="29"/>
      <c r="R229" s="11"/>
    </row>
    <row r="230" spans="1:18" ht="15.75" customHeight="1">
      <c r="A230" s="28"/>
      <c r="B230" s="25"/>
      <c r="C230" s="26"/>
      <c r="D230" s="26"/>
      <c r="E230" s="26"/>
      <c r="F230" s="26"/>
      <c r="G230" s="26"/>
      <c r="H230" s="26"/>
      <c r="I230" s="26"/>
      <c r="J230" s="26"/>
      <c r="K230" s="26"/>
      <c r="L230" s="26"/>
      <c r="M230" s="29"/>
      <c r="N230" s="29"/>
      <c r="O230" s="29"/>
      <c r="P230" s="29"/>
      <c r="Q230" s="29"/>
      <c r="R230" s="11"/>
    </row>
    <row r="231" spans="1:18" ht="15.75" customHeight="1">
      <c r="A231" s="28"/>
      <c r="B231" s="25"/>
      <c r="C231" s="26"/>
      <c r="D231" s="26"/>
      <c r="E231" s="26"/>
      <c r="F231" s="26"/>
      <c r="G231" s="26"/>
      <c r="H231" s="26"/>
      <c r="I231" s="26"/>
      <c r="J231" s="26"/>
      <c r="K231" s="26"/>
      <c r="L231" s="26"/>
      <c r="M231" s="29"/>
      <c r="N231" s="29"/>
      <c r="O231" s="29"/>
      <c r="P231" s="29"/>
      <c r="Q231" s="29"/>
      <c r="R231" s="11"/>
    </row>
    <row r="232" spans="1:18" ht="15.75" customHeight="1">
      <c r="A232" s="28"/>
      <c r="B232" s="25"/>
      <c r="C232" s="26"/>
      <c r="D232" s="26"/>
      <c r="E232" s="26"/>
      <c r="F232" s="26"/>
      <c r="G232" s="26"/>
      <c r="H232" s="26"/>
      <c r="I232" s="26"/>
      <c r="J232" s="26"/>
      <c r="K232" s="26"/>
      <c r="L232" s="26"/>
      <c r="M232" s="29"/>
      <c r="N232" s="29"/>
      <c r="O232" s="29"/>
      <c r="P232" s="29"/>
      <c r="Q232" s="29"/>
      <c r="R232" s="11"/>
    </row>
    <row r="233" spans="1:18" ht="15.75" customHeight="1">
      <c r="A233" s="28"/>
      <c r="B233" s="25"/>
      <c r="C233" s="26"/>
      <c r="D233" s="26"/>
      <c r="E233" s="26"/>
      <c r="F233" s="26"/>
      <c r="G233" s="26"/>
      <c r="H233" s="26"/>
      <c r="I233" s="26"/>
      <c r="J233" s="26"/>
      <c r="K233" s="26"/>
      <c r="L233" s="26"/>
      <c r="M233" s="29"/>
      <c r="N233" s="29"/>
      <c r="O233" s="29"/>
      <c r="P233" s="29"/>
      <c r="Q233" s="29"/>
      <c r="R233" s="11"/>
    </row>
    <row r="234" spans="1:18" ht="15.75" customHeight="1">
      <c r="A234" s="28"/>
      <c r="B234" s="25"/>
      <c r="C234" s="26"/>
      <c r="D234" s="26"/>
      <c r="E234" s="26"/>
      <c r="F234" s="26"/>
      <c r="G234" s="26"/>
      <c r="H234" s="26"/>
      <c r="I234" s="26"/>
      <c r="J234" s="26"/>
      <c r="K234" s="26"/>
      <c r="L234" s="26"/>
      <c r="M234" s="29"/>
      <c r="N234" s="29"/>
      <c r="O234" s="29"/>
      <c r="P234" s="29"/>
      <c r="Q234" s="29"/>
      <c r="R234" s="11"/>
    </row>
    <row r="235" spans="1:18" ht="15.75" customHeight="1">
      <c r="A235" s="28"/>
      <c r="B235" s="25"/>
      <c r="C235" s="26"/>
      <c r="D235" s="26"/>
      <c r="E235" s="26"/>
      <c r="F235" s="26"/>
      <c r="G235" s="26"/>
      <c r="H235" s="26"/>
      <c r="I235" s="26"/>
      <c r="J235" s="26"/>
      <c r="K235" s="26"/>
      <c r="L235" s="26"/>
      <c r="M235" s="29"/>
      <c r="N235" s="29"/>
      <c r="O235" s="29"/>
      <c r="P235" s="29"/>
      <c r="Q235" s="29"/>
      <c r="R235" s="11"/>
    </row>
    <row r="236" spans="1:18" ht="15.75" customHeight="1">
      <c r="A236" s="28"/>
      <c r="B236" s="25"/>
      <c r="C236" s="26"/>
      <c r="D236" s="26"/>
      <c r="E236" s="26"/>
      <c r="F236" s="26"/>
      <c r="G236" s="26"/>
      <c r="H236" s="26"/>
      <c r="I236" s="26"/>
      <c r="J236" s="26"/>
      <c r="K236" s="26"/>
      <c r="L236" s="26"/>
      <c r="M236" s="29"/>
      <c r="N236" s="29"/>
      <c r="O236" s="29"/>
      <c r="P236" s="29"/>
      <c r="Q236" s="29"/>
      <c r="R236" s="11"/>
    </row>
    <row r="237" spans="1:18" ht="15.75" customHeight="1">
      <c r="A237" s="28"/>
      <c r="B237" s="25"/>
      <c r="C237" s="26"/>
      <c r="D237" s="26"/>
      <c r="E237" s="26"/>
      <c r="F237" s="26"/>
      <c r="G237" s="26"/>
      <c r="H237" s="26"/>
      <c r="I237" s="26"/>
      <c r="J237" s="26"/>
      <c r="K237" s="26"/>
      <c r="L237" s="26"/>
      <c r="M237" s="29"/>
      <c r="N237" s="29"/>
      <c r="O237" s="29"/>
      <c r="P237" s="29"/>
      <c r="Q237" s="29"/>
      <c r="R237" s="11"/>
    </row>
    <row r="238" spans="1:18" ht="15.75" customHeight="1">
      <c r="A238" s="28"/>
      <c r="B238" s="25"/>
      <c r="C238" s="26"/>
      <c r="D238" s="26"/>
      <c r="E238" s="26"/>
      <c r="F238" s="26"/>
      <c r="G238" s="26"/>
      <c r="H238" s="26"/>
      <c r="I238" s="26"/>
      <c r="J238" s="26"/>
      <c r="K238" s="26"/>
      <c r="L238" s="26"/>
      <c r="M238" s="29"/>
      <c r="N238" s="29"/>
      <c r="O238" s="29"/>
      <c r="P238" s="29"/>
      <c r="Q238" s="29"/>
      <c r="R238" s="11"/>
    </row>
    <row r="239" spans="1:18" ht="15.75" customHeight="1">
      <c r="A239" s="28"/>
      <c r="B239" s="25"/>
      <c r="C239" s="26"/>
      <c r="D239" s="26"/>
      <c r="E239" s="26"/>
      <c r="F239" s="26"/>
      <c r="G239" s="26"/>
      <c r="H239" s="26"/>
      <c r="I239" s="26"/>
      <c r="J239" s="26"/>
      <c r="K239" s="26"/>
      <c r="L239" s="26"/>
      <c r="M239" s="29"/>
      <c r="N239" s="29"/>
      <c r="O239" s="29"/>
      <c r="P239" s="29"/>
      <c r="Q239" s="29"/>
      <c r="R239" s="11"/>
    </row>
    <row r="240" spans="1:18" ht="15.75" customHeight="1">
      <c r="A240" s="28"/>
      <c r="B240" s="25"/>
      <c r="C240" s="26"/>
      <c r="D240" s="26"/>
      <c r="E240" s="26"/>
      <c r="F240" s="26"/>
      <c r="G240" s="26"/>
      <c r="H240" s="26"/>
      <c r="I240" s="26"/>
      <c r="J240" s="26"/>
      <c r="K240" s="26"/>
      <c r="L240" s="26"/>
      <c r="M240" s="29"/>
      <c r="N240" s="29"/>
      <c r="O240" s="29"/>
      <c r="P240" s="29"/>
      <c r="Q240" s="29"/>
      <c r="R240" s="11"/>
    </row>
    <row r="241" spans="1:18" ht="15.75" customHeight="1">
      <c r="A241" s="28"/>
      <c r="B241" s="25"/>
      <c r="C241" s="26"/>
      <c r="D241" s="26"/>
      <c r="E241" s="26"/>
      <c r="F241" s="26"/>
      <c r="G241" s="26"/>
      <c r="H241" s="26"/>
      <c r="I241" s="26"/>
      <c r="J241" s="26"/>
      <c r="K241" s="26"/>
      <c r="L241" s="26"/>
      <c r="M241" s="29"/>
      <c r="N241" s="29"/>
      <c r="O241" s="29"/>
      <c r="P241" s="29"/>
      <c r="Q241" s="29"/>
      <c r="R241" s="11"/>
    </row>
    <row r="242" spans="1:18" ht="15.75" customHeight="1">
      <c r="A242" s="28"/>
      <c r="B242" s="25"/>
      <c r="C242" s="26"/>
      <c r="D242" s="26"/>
      <c r="E242" s="26"/>
      <c r="F242" s="26"/>
      <c r="G242" s="26"/>
      <c r="H242" s="26"/>
      <c r="I242" s="26"/>
      <c r="J242" s="26"/>
      <c r="K242" s="26"/>
      <c r="L242" s="26"/>
      <c r="M242" s="29"/>
      <c r="N242" s="29"/>
      <c r="O242" s="29"/>
      <c r="P242" s="29"/>
      <c r="Q242" s="29"/>
      <c r="R242" s="11"/>
    </row>
    <row r="243" spans="1:18" ht="15.75" customHeight="1">
      <c r="A243" s="28"/>
      <c r="B243" s="25"/>
      <c r="C243" s="26"/>
      <c r="D243" s="26"/>
      <c r="E243" s="26"/>
      <c r="F243" s="26"/>
      <c r="G243" s="26"/>
      <c r="H243" s="26"/>
      <c r="I243" s="26"/>
      <c r="J243" s="26"/>
      <c r="K243" s="26"/>
      <c r="L243" s="26"/>
      <c r="M243" s="29"/>
      <c r="N243" s="29"/>
      <c r="O243" s="29"/>
      <c r="P243" s="29"/>
      <c r="Q243" s="29"/>
      <c r="R243" s="11"/>
    </row>
    <row r="244" spans="1:18" ht="15.75" customHeight="1">
      <c r="A244" s="28"/>
      <c r="B244" s="25"/>
      <c r="C244" s="26"/>
      <c r="D244" s="26"/>
      <c r="E244" s="26"/>
      <c r="F244" s="26"/>
      <c r="G244" s="26"/>
      <c r="H244" s="26"/>
      <c r="I244" s="26"/>
      <c r="J244" s="26"/>
      <c r="K244" s="26"/>
      <c r="L244" s="26"/>
      <c r="M244" s="29"/>
      <c r="N244" s="29"/>
      <c r="O244" s="29"/>
      <c r="P244" s="29"/>
      <c r="Q244" s="29"/>
      <c r="R244" s="11"/>
    </row>
    <row r="245" spans="1:18" ht="15.75" customHeight="1">
      <c r="A245" s="28"/>
      <c r="B245" s="25"/>
      <c r="C245" s="26"/>
      <c r="D245" s="26"/>
      <c r="E245" s="26"/>
      <c r="F245" s="26"/>
      <c r="G245" s="26"/>
      <c r="H245" s="26"/>
      <c r="I245" s="26"/>
      <c r="J245" s="26"/>
      <c r="K245" s="26"/>
      <c r="L245" s="26"/>
      <c r="M245" s="29"/>
      <c r="N245" s="29"/>
      <c r="O245" s="29"/>
      <c r="P245" s="29"/>
      <c r="Q245" s="29"/>
      <c r="R245" s="11"/>
    </row>
    <row r="246" spans="1:18" ht="15.75" customHeight="1">
      <c r="A246" s="28"/>
      <c r="B246" s="25"/>
      <c r="C246" s="26"/>
      <c r="D246" s="26"/>
      <c r="E246" s="26"/>
      <c r="F246" s="26"/>
      <c r="G246" s="26"/>
      <c r="H246" s="26"/>
      <c r="I246" s="26"/>
      <c r="J246" s="26"/>
      <c r="K246" s="26"/>
      <c r="L246" s="26"/>
      <c r="M246" s="29"/>
      <c r="N246" s="29"/>
      <c r="O246" s="29"/>
      <c r="P246" s="29"/>
      <c r="Q246" s="29"/>
      <c r="R246" s="11"/>
    </row>
    <row r="247" spans="1:18" ht="15.75" customHeight="1">
      <c r="A247" s="28"/>
      <c r="B247" s="25"/>
      <c r="C247" s="26"/>
      <c r="D247" s="26"/>
      <c r="E247" s="26"/>
      <c r="F247" s="26"/>
      <c r="G247" s="26"/>
      <c r="H247" s="26"/>
      <c r="I247" s="26"/>
      <c r="J247" s="26"/>
      <c r="K247" s="26"/>
      <c r="L247" s="26"/>
      <c r="M247" s="29"/>
      <c r="N247" s="29"/>
      <c r="O247" s="29"/>
      <c r="P247" s="29"/>
      <c r="Q247" s="29"/>
      <c r="R247" s="11"/>
    </row>
    <row r="248" spans="1:18" ht="15.75" customHeight="1">
      <c r="A248" s="28"/>
      <c r="B248" s="25"/>
      <c r="C248" s="26"/>
      <c r="D248" s="26"/>
      <c r="E248" s="26"/>
      <c r="F248" s="26"/>
      <c r="G248" s="26"/>
      <c r="H248" s="26"/>
      <c r="I248" s="26"/>
      <c r="J248" s="26"/>
      <c r="K248" s="26"/>
      <c r="L248" s="26"/>
      <c r="M248" s="29"/>
      <c r="N248" s="29"/>
      <c r="O248" s="29"/>
      <c r="P248" s="29"/>
      <c r="Q248" s="29"/>
      <c r="R248" s="11"/>
    </row>
    <row r="249" spans="1:18" ht="15.75" customHeight="1">
      <c r="A249" s="28"/>
      <c r="B249" s="25"/>
      <c r="C249" s="26"/>
      <c r="D249" s="26"/>
      <c r="E249" s="26"/>
      <c r="F249" s="26"/>
      <c r="G249" s="26"/>
      <c r="H249" s="26"/>
      <c r="I249" s="26"/>
      <c r="J249" s="26"/>
      <c r="K249" s="26"/>
      <c r="L249" s="26"/>
      <c r="M249" s="29"/>
      <c r="N249" s="29"/>
      <c r="O249" s="29"/>
      <c r="P249" s="29"/>
      <c r="Q249" s="29"/>
      <c r="R249" s="11"/>
    </row>
    <row r="250" spans="1:18" ht="15.75" customHeight="1">
      <c r="A250" s="28"/>
      <c r="B250" s="25"/>
      <c r="C250" s="26"/>
      <c r="D250" s="26"/>
      <c r="E250" s="26"/>
      <c r="F250" s="26"/>
      <c r="G250" s="26"/>
      <c r="H250" s="26"/>
      <c r="I250" s="26"/>
      <c r="J250" s="26"/>
      <c r="K250" s="26"/>
      <c r="L250" s="26"/>
      <c r="M250" s="29"/>
      <c r="N250" s="29"/>
      <c r="O250" s="29"/>
      <c r="P250" s="29"/>
      <c r="Q250" s="29"/>
      <c r="R250" s="11"/>
    </row>
    <row r="251" spans="1:18" ht="15.75" customHeight="1">
      <c r="A251" s="28"/>
      <c r="B251" s="25"/>
      <c r="C251" s="26"/>
      <c r="D251" s="26"/>
      <c r="E251" s="26"/>
      <c r="F251" s="26"/>
      <c r="G251" s="26"/>
      <c r="H251" s="26"/>
      <c r="I251" s="26"/>
      <c r="J251" s="26"/>
      <c r="K251" s="26"/>
      <c r="L251" s="26"/>
      <c r="M251" s="29"/>
      <c r="N251" s="29"/>
      <c r="O251" s="29"/>
      <c r="P251" s="29"/>
      <c r="Q251" s="29"/>
      <c r="R251" s="11"/>
    </row>
    <row r="252" spans="1:18" ht="15.75" customHeight="1"/>
    <row r="253" spans="1:18" ht="15.75" customHeight="1"/>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honeticPr fontId="21"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9"/>
  <sheetViews>
    <sheetView workbookViewId="0">
      <pane ySplit="1" topLeftCell="A29" activePane="bottomLeft" state="frozen"/>
      <selection pane="bottomLeft" activeCell="A55" sqref="A55:XFD55"/>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26" width="8.7109375" customWidth="1"/>
  </cols>
  <sheetData>
    <row r="1" spans="1:17" ht="15.75" customHeight="1">
      <c r="A1" s="45" t="s">
        <v>210</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row>
    <row r="2" spans="1:17" ht="15.75" customHeight="1">
      <c r="A2" s="46" t="s">
        <v>211</v>
      </c>
      <c r="B2" s="47" t="s">
        <v>155</v>
      </c>
      <c r="C2" s="48" t="s">
        <v>20</v>
      </c>
      <c r="D2" s="48" t="s">
        <v>20</v>
      </c>
      <c r="E2" s="48" t="s">
        <v>18</v>
      </c>
      <c r="F2" s="48" t="s">
        <v>20</v>
      </c>
      <c r="G2" s="48" t="s">
        <v>20</v>
      </c>
      <c r="H2" s="48"/>
      <c r="I2" s="48"/>
      <c r="J2" s="48"/>
      <c r="K2" s="48"/>
      <c r="L2" s="48"/>
      <c r="M2" s="48">
        <f t="shared" ref="M2:Q2" si="0">IF(TRIM(SUBSTITUTE(C2, "　", " "))=TRIM(SUBSTITUTE($B2, "　", " ")), 2, 0)</f>
        <v>2</v>
      </c>
      <c r="N2" s="48">
        <f t="shared" si="0"/>
        <v>2</v>
      </c>
      <c r="O2" s="48">
        <f t="shared" si="0"/>
        <v>0</v>
      </c>
      <c r="P2" s="48">
        <f t="shared" si="0"/>
        <v>2</v>
      </c>
      <c r="Q2" s="48">
        <f t="shared" si="0"/>
        <v>2</v>
      </c>
    </row>
    <row r="3" spans="1:17" ht="15.75" customHeight="1">
      <c r="A3" s="46" t="s">
        <v>212</v>
      </c>
      <c r="B3" s="47" t="s">
        <v>162</v>
      </c>
      <c r="C3" s="48" t="s">
        <v>23</v>
      </c>
      <c r="D3" s="48" t="s">
        <v>17</v>
      </c>
      <c r="E3" s="48" t="s">
        <v>17</v>
      </c>
      <c r="F3" s="48" t="s">
        <v>17</v>
      </c>
      <c r="G3" s="48" t="s">
        <v>17</v>
      </c>
      <c r="H3" s="48"/>
      <c r="I3" s="48"/>
      <c r="J3" s="48"/>
      <c r="K3" s="48"/>
      <c r="L3" s="48"/>
      <c r="M3" s="48">
        <f t="shared" ref="M3:Q3" si="1">IF(TRIM(SUBSTITUTE(C3, "　", " "))=TRIM(SUBSTITUTE($B3, "　", " ")), 2, 0)</f>
        <v>0</v>
      </c>
      <c r="N3" s="48">
        <f t="shared" si="1"/>
        <v>2</v>
      </c>
      <c r="O3" s="48">
        <f t="shared" si="1"/>
        <v>2</v>
      </c>
      <c r="P3" s="48">
        <f t="shared" si="1"/>
        <v>2</v>
      </c>
      <c r="Q3" s="48">
        <f t="shared" si="1"/>
        <v>2</v>
      </c>
    </row>
    <row r="4" spans="1:17" ht="15.75" customHeight="1">
      <c r="A4" s="46" t="s">
        <v>213</v>
      </c>
      <c r="B4" s="47" t="s">
        <v>148</v>
      </c>
      <c r="C4" s="48" t="s">
        <v>17</v>
      </c>
      <c r="D4" s="48" t="s">
        <v>23</v>
      </c>
      <c r="E4" s="48" t="s">
        <v>17</v>
      </c>
      <c r="F4" s="48" t="s">
        <v>23</v>
      </c>
      <c r="G4" s="48" t="s">
        <v>23</v>
      </c>
      <c r="H4" s="48"/>
      <c r="I4" s="48"/>
      <c r="J4" s="48"/>
      <c r="K4" s="48"/>
      <c r="L4" s="48"/>
      <c r="M4" s="48">
        <f t="shared" ref="M4:Q4" si="2">IF(TRIM(SUBSTITUTE(C4, "　", " "))=TRIM(SUBSTITUTE($B4, "　", " ")), 2, 0)</f>
        <v>0</v>
      </c>
      <c r="N4" s="48">
        <f t="shared" si="2"/>
        <v>2</v>
      </c>
      <c r="O4" s="48">
        <f t="shared" si="2"/>
        <v>0</v>
      </c>
      <c r="P4" s="48">
        <f t="shared" si="2"/>
        <v>2</v>
      </c>
      <c r="Q4" s="48">
        <f t="shared" si="2"/>
        <v>2</v>
      </c>
    </row>
    <row r="5" spans="1:17" ht="15.75" customHeight="1">
      <c r="A5" s="46" t="s">
        <v>214</v>
      </c>
      <c r="B5" s="47" t="s">
        <v>148</v>
      </c>
      <c r="C5" s="48" t="s">
        <v>17</v>
      </c>
      <c r="D5" s="48" t="s">
        <v>23</v>
      </c>
      <c r="E5" s="48" t="s">
        <v>17</v>
      </c>
      <c r="F5" s="48" t="s">
        <v>17</v>
      </c>
      <c r="G5" s="48" t="s">
        <v>23</v>
      </c>
      <c r="H5" s="48"/>
      <c r="I5" s="48"/>
      <c r="J5" s="48"/>
      <c r="K5" s="48"/>
      <c r="L5" s="48"/>
      <c r="M5" s="48">
        <f t="shared" ref="M5:Q5" si="3">IF(TRIM(SUBSTITUTE(C5, "　", " "))=TRIM(SUBSTITUTE($B5, "　", " ")), 2, 0)</f>
        <v>0</v>
      </c>
      <c r="N5" s="48">
        <f t="shared" si="3"/>
        <v>2</v>
      </c>
      <c r="O5" s="48">
        <f t="shared" si="3"/>
        <v>0</v>
      </c>
      <c r="P5" s="48">
        <f t="shared" si="3"/>
        <v>0</v>
      </c>
      <c r="Q5" s="48">
        <f t="shared" si="3"/>
        <v>2</v>
      </c>
    </row>
    <row r="6" spans="1:17" ht="15.75" customHeight="1">
      <c r="A6" s="46" t="s">
        <v>215</v>
      </c>
      <c r="B6" s="47" t="s">
        <v>162</v>
      </c>
      <c r="C6" s="48" t="s">
        <v>17</v>
      </c>
      <c r="D6" s="48" t="s">
        <v>17</v>
      </c>
      <c r="E6" s="48" t="s">
        <v>18</v>
      </c>
      <c r="F6" s="48" t="s">
        <v>17</v>
      </c>
      <c r="G6" s="48" t="s">
        <v>17</v>
      </c>
      <c r="H6" s="48"/>
      <c r="I6" s="48"/>
      <c r="J6" s="48"/>
      <c r="K6" s="48"/>
      <c r="L6" s="48"/>
      <c r="M6" s="48">
        <f t="shared" ref="M6:Q6" si="4">IF(TRIM(SUBSTITUTE(C6, "　", " "))=TRIM(SUBSTITUTE($B6, "　", " ")), 2, 0)</f>
        <v>2</v>
      </c>
      <c r="N6" s="48">
        <f t="shared" si="4"/>
        <v>2</v>
      </c>
      <c r="O6" s="48">
        <f t="shared" si="4"/>
        <v>0</v>
      </c>
      <c r="P6" s="48">
        <f t="shared" si="4"/>
        <v>2</v>
      </c>
      <c r="Q6" s="48">
        <f t="shared" si="4"/>
        <v>2</v>
      </c>
    </row>
    <row r="7" spans="1:17" ht="15.75" customHeight="1">
      <c r="A7" s="46" t="s">
        <v>216</v>
      </c>
      <c r="B7" s="47" t="s">
        <v>150</v>
      </c>
      <c r="C7" s="48" t="s">
        <v>18</v>
      </c>
      <c r="D7" s="48" t="s">
        <v>18</v>
      </c>
      <c r="E7" s="48" t="s">
        <v>20</v>
      </c>
      <c r="F7" s="48" t="s">
        <v>18</v>
      </c>
      <c r="G7" s="48" t="s">
        <v>18</v>
      </c>
      <c r="H7" s="48"/>
      <c r="I7" s="48"/>
      <c r="J7" s="48"/>
      <c r="K7" s="48"/>
      <c r="L7" s="48"/>
      <c r="M7" s="48">
        <f t="shared" ref="M7:Q7" si="5">IF(TRIM(SUBSTITUTE(C7, "　", " "))=TRIM(SUBSTITUTE($B7, "　", " ")), 2, 0)</f>
        <v>2</v>
      </c>
      <c r="N7" s="48">
        <f t="shared" si="5"/>
        <v>2</v>
      </c>
      <c r="O7" s="48">
        <f t="shared" si="5"/>
        <v>0</v>
      </c>
      <c r="P7" s="48">
        <f t="shared" si="5"/>
        <v>2</v>
      </c>
      <c r="Q7" s="48">
        <f t="shared" si="5"/>
        <v>2</v>
      </c>
    </row>
    <row r="8" spans="1:17" ht="15.75" customHeight="1">
      <c r="A8" s="46" t="s">
        <v>217</v>
      </c>
      <c r="B8" s="47" t="s">
        <v>155</v>
      </c>
      <c r="C8" s="48" t="s">
        <v>20</v>
      </c>
      <c r="D8" s="48" t="s">
        <v>20</v>
      </c>
      <c r="E8" s="48" t="s">
        <v>20</v>
      </c>
      <c r="F8" s="48" t="s">
        <v>20</v>
      </c>
      <c r="G8" s="48" t="s">
        <v>20</v>
      </c>
      <c r="H8" s="48"/>
      <c r="I8" s="48"/>
      <c r="J8" s="48"/>
      <c r="K8" s="48"/>
      <c r="L8" s="48"/>
      <c r="M8" s="48">
        <f t="shared" ref="M8:Q8" si="6">IF(TRIM(SUBSTITUTE(C8, "　", " "))=TRIM(SUBSTITUTE($B8, "　", " ")), 2, 0)</f>
        <v>2</v>
      </c>
      <c r="N8" s="48">
        <f t="shared" si="6"/>
        <v>2</v>
      </c>
      <c r="O8" s="48">
        <f t="shared" si="6"/>
        <v>2</v>
      </c>
      <c r="P8" s="48">
        <f t="shared" si="6"/>
        <v>2</v>
      </c>
      <c r="Q8" s="48">
        <f t="shared" si="6"/>
        <v>2</v>
      </c>
    </row>
    <row r="9" spans="1:17" ht="15.75" customHeight="1">
      <c r="A9" s="46" t="s">
        <v>218</v>
      </c>
      <c r="B9" s="47" t="s">
        <v>162</v>
      </c>
      <c r="C9" s="48" t="s">
        <v>17</v>
      </c>
      <c r="D9" s="48" t="s">
        <v>17</v>
      </c>
      <c r="E9" s="48" t="s">
        <v>23</v>
      </c>
      <c r="F9" s="48" t="s">
        <v>17</v>
      </c>
      <c r="G9" s="48" t="s">
        <v>17</v>
      </c>
      <c r="H9" s="48"/>
      <c r="I9" s="48"/>
      <c r="J9" s="48"/>
      <c r="K9" s="48"/>
      <c r="L9" s="48"/>
      <c r="M9" s="48">
        <f t="shared" ref="M9:Q9" si="7">IF(TRIM(SUBSTITUTE(C9, "　", " "))=TRIM(SUBSTITUTE($B9, "　", " ")), 2, 0)</f>
        <v>2</v>
      </c>
      <c r="N9" s="48">
        <f t="shared" si="7"/>
        <v>2</v>
      </c>
      <c r="O9" s="48">
        <f t="shared" si="7"/>
        <v>0</v>
      </c>
      <c r="P9" s="48">
        <f t="shared" si="7"/>
        <v>2</v>
      </c>
      <c r="Q9" s="48">
        <f t="shared" si="7"/>
        <v>2</v>
      </c>
    </row>
    <row r="10" spans="1:17" ht="15.75" customHeight="1">
      <c r="A10" s="49" t="s">
        <v>219</v>
      </c>
      <c r="B10" s="47"/>
      <c r="C10" s="48"/>
      <c r="D10" s="48"/>
      <c r="E10" s="47"/>
      <c r="F10" s="47"/>
      <c r="G10" s="47"/>
      <c r="H10" s="47"/>
      <c r="I10" s="47"/>
      <c r="J10" s="47"/>
      <c r="K10" s="47"/>
      <c r="L10" s="47"/>
      <c r="M10" s="48"/>
      <c r="N10" s="48"/>
      <c r="O10" s="48"/>
      <c r="P10" s="48"/>
      <c r="Q10" s="48"/>
    </row>
    <row r="11" spans="1:17" ht="15.75" customHeight="1">
      <c r="A11" s="46" t="s">
        <v>220</v>
      </c>
      <c r="B11" s="47" t="s">
        <v>155</v>
      </c>
      <c r="C11" s="48" t="s">
        <v>20</v>
      </c>
      <c r="D11" s="48" t="s">
        <v>20</v>
      </c>
      <c r="E11" s="47" t="s">
        <v>20</v>
      </c>
      <c r="F11" s="47" t="s">
        <v>20</v>
      </c>
      <c r="G11" s="47" t="s">
        <v>20</v>
      </c>
      <c r="H11" s="47"/>
      <c r="I11" s="47"/>
      <c r="J11" s="47"/>
      <c r="K11" s="47"/>
      <c r="L11" s="47"/>
      <c r="M11" s="48">
        <f t="shared" ref="M11:Q11" si="8">IF(TRIM(SUBSTITUTE(C11, "　", " "))=TRIM(SUBSTITUTE($B11, "　", " ")), 2, 0)</f>
        <v>2</v>
      </c>
      <c r="N11" s="48">
        <f t="shared" si="8"/>
        <v>2</v>
      </c>
      <c r="O11" s="48">
        <f t="shared" si="8"/>
        <v>2</v>
      </c>
      <c r="P11" s="48">
        <f t="shared" si="8"/>
        <v>2</v>
      </c>
      <c r="Q11" s="48">
        <f t="shared" si="8"/>
        <v>2</v>
      </c>
    </row>
    <row r="12" spans="1:17" ht="15.75" customHeight="1">
      <c r="A12" s="46" t="s">
        <v>221</v>
      </c>
      <c r="B12" s="47" t="s">
        <v>150</v>
      </c>
      <c r="C12" s="48" t="s">
        <v>18</v>
      </c>
      <c r="D12" s="48" t="s">
        <v>18</v>
      </c>
      <c r="E12" s="47" t="s">
        <v>18</v>
      </c>
      <c r="F12" s="47" t="s">
        <v>18</v>
      </c>
      <c r="G12" s="47" t="s">
        <v>18</v>
      </c>
      <c r="H12" s="47"/>
      <c r="I12" s="47"/>
      <c r="J12" s="47"/>
      <c r="K12" s="47"/>
      <c r="L12" s="47"/>
      <c r="M12" s="48">
        <f t="shared" ref="M12:Q12" si="9">IF(TRIM(SUBSTITUTE(C12, "　", " "))=TRIM(SUBSTITUTE($B12, "　", " ")), 2, 0)</f>
        <v>2</v>
      </c>
      <c r="N12" s="48">
        <f t="shared" si="9"/>
        <v>2</v>
      </c>
      <c r="O12" s="48">
        <f t="shared" si="9"/>
        <v>2</v>
      </c>
      <c r="P12" s="48">
        <f t="shared" si="9"/>
        <v>2</v>
      </c>
      <c r="Q12" s="48">
        <f t="shared" si="9"/>
        <v>2</v>
      </c>
    </row>
    <row r="13" spans="1:17" ht="15.75" customHeight="1">
      <c r="A13" s="49" t="s">
        <v>222</v>
      </c>
      <c r="B13" s="47"/>
      <c r="C13" s="48"/>
      <c r="D13" s="48"/>
      <c r="E13" s="48"/>
      <c r="F13" s="48"/>
      <c r="G13" s="48"/>
      <c r="H13" s="48"/>
      <c r="I13" s="48"/>
      <c r="J13" s="48"/>
      <c r="K13" s="48"/>
      <c r="L13" s="48"/>
      <c r="M13" s="48"/>
      <c r="N13" s="48"/>
      <c r="O13" s="48"/>
      <c r="P13" s="48"/>
      <c r="Q13" s="48"/>
    </row>
    <row r="14" spans="1:17" ht="15.75" customHeight="1">
      <c r="A14" s="46" t="s">
        <v>223</v>
      </c>
      <c r="B14" s="47" t="s">
        <v>155</v>
      </c>
      <c r="C14" s="48" t="s">
        <v>20</v>
      </c>
      <c r="D14" s="48" t="s">
        <v>20</v>
      </c>
      <c r="E14" s="48" t="s">
        <v>18</v>
      </c>
      <c r="F14" s="48" t="s">
        <v>20</v>
      </c>
      <c r="G14" s="48" t="s">
        <v>20</v>
      </c>
      <c r="H14" s="48"/>
      <c r="I14" s="48"/>
      <c r="J14" s="48"/>
      <c r="K14" s="48"/>
      <c r="L14" s="48"/>
      <c r="M14" s="48">
        <f t="shared" ref="M14:Q14" si="10">IF(TRIM(SUBSTITUTE(C14, "　", " "))=TRIM(SUBSTITUTE($B14, "　", " ")), 2, 0)</f>
        <v>2</v>
      </c>
      <c r="N14" s="48">
        <f t="shared" si="10"/>
        <v>2</v>
      </c>
      <c r="O14" s="48">
        <f t="shared" si="10"/>
        <v>0</v>
      </c>
      <c r="P14" s="48">
        <f t="shared" si="10"/>
        <v>2</v>
      </c>
      <c r="Q14" s="48">
        <f t="shared" si="10"/>
        <v>2</v>
      </c>
    </row>
    <row r="15" spans="1:17" ht="15.75" customHeight="1">
      <c r="A15" s="46" t="s">
        <v>224</v>
      </c>
      <c r="B15" s="47" t="s">
        <v>155</v>
      </c>
      <c r="C15" s="48" t="s">
        <v>20</v>
      </c>
      <c r="D15" s="48" t="s">
        <v>20</v>
      </c>
      <c r="E15" s="48" t="s">
        <v>20</v>
      </c>
      <c r="F15" s="48" t="s">
        <v>20</v>
      </c>
      <c r="G15" s="48" t="s">
        <v>20</v>
      </c>
      <c r="H15" s="48"/>
      <c r="I15" s="48"/>
      <c r="J15" s="48"/>
      <c r="K15" s="48"/>
      <c r="L15" s="48"/>
      <c r="M15" s="48">
        <f t="shared" ref="M15:Q15" si="11">IF(TRIM(SUBSTITUTE(C15, "　", " "))=TRIM(SUBSTITUTE($B15, "　", " ")), 2, 0)</f>
        <v>2</v>
      </c>
      <c r="N15" s="48">
        <f t="shared" si="11"/>
        <v>2</v>
      </c>
      <c r="O15" s="48">
        <f t="shared" si="11"/>
        <v>2</v>
      </c>
      <c r="P15" s="48">
        <f t="shared" si="11"/>
        <v>2</v>
      </c>
      <c r="Q15" s="48">
        <f t="shared" si="11"/>
        <v>2</v>
      </c>
    </row>
    <row r="16" spans="1:17" ht="15.75" customHeight="1">
      <c r="A16" s="49" t="s">
        <v>225</v>
      </c>
      <c r="B16" s="47"/>
      <c r="C16" s="48"/>
      <c r="D16" s="48"/>
      <c r="E16" s="48"/>
      <c r="F16" s="48"/>
      <c r="G16" s="48"/>
      <c r="H16" s="48"/>
      <c r="I16" s="48"/>
      <c r="J16" s="48"/>
      <c r="K16" s="48"/>
      <c r="L16" s="48"/>
      <c r="M16" s="48"/>
      <c r="N16" s="48"/>
      <c r="O16" s="48"/>
      <c r="P16" s="48"/>
      <c r="Q16" s="48"/>
    </row>
    <row r="17" spans="1:17" ht="15.75" customHeight="1">
      <c r="A17" s="46" t="s">
        <v>226</v>
      </c>
      <c r="B17" s="47" t="s">
        <v>148</v>
      </c>
      <c r="C17" s="50" t="s">
        <v>23</v>
      </c>
      <c r="D17" s="50" t="s">
        <v>20</v>
      </c>
      <c r="E17" s="50" t="s">
        <v>23</v>
      </c>
      <c r="F17" s="50" t="s">
        <v>23</v>
      </c>
      <c r="G17" s="50" t="s">
        <v>18</v>
      </c>
      <c r="H17" s="50"/>
      <c r="I17" s="50"/>
      <c r="J17" s="50"/>
      <c r="K17" s="50"/>
      <c r="L17" s="50"/>
      <c r="M17" s="48">
        <f t="shared" ref="M17:Q17" si="12">IF(TRIM(SUBSTITUTE(C17, "　", " "))=TRIM(SUBSTITUTE($B17, "　", " ")), 2, 0)</f>
        <v>2</v>
      </c>
      <c r="N17" s="48">
        <f t="shared" si="12"/>
        <v>0</v>
      </c>
      <c r="O17" s="48">
        <f t="shared" si="12"/>
        <v>2</v>
      </c>
      <c r="P17" s="48">
        <f t="shared" si="12"/>
        <v>2</v>
      </c>
      <c r="Q17" s="48">
        <f t="shared" si="12"/>
        <v>0</v>
      </c>
    </row>
    <row r="18" spans="1:17" ht="15.75" customHeight="1">
      <c r="A18" s="46" t="s">
        <v>227</v>
      </c>
      <c r="B18" s="47" t="s">
        <v>150</v>
      </c>
      <c r="C18" s="50" t="s">
        <v>18</v>
      </c>
      <c r="D18" s="50" t="s">
        <v>18</v>
      </c>
      <c r="E18" s="50" t="s">
        <v>18</v>
      </c>
      <c r="F18" s="50" t="s">
        <v>18</v>
      </c>
      <c r="G18" s="50" t="s">
        <v>18</v>
      </c>
      <c r="H18" s="50"/>
      <c r="I18" s="50"/>
      <c r="J18" s="50"/>
      <c r="K18" s="50"/>
      <c r="L18" s="50"/>
      <c r="M18" s="48">
        <f t="shared" ref="M18:Q18" si="13">IF(TRIM(SUBSTITUTE(C18, "　", " "))=TRIM(SUBSTITUTE($B18, "　", " ")), 2, 0)</f>
        <v>2</v>
      </c>
      <c r="N18" s="48">
        <f t="shared" si="13"/>
        <v>2</v>
      </c>
      <c r="O18" s="48">
        <f t="shared" si="13"/>
        <v>2</v>
      </c>
      <c r="P18" s="48">
        <f t="shared" si="13"/>
        <v>2</v>
      </c>
      <c r="Q18" s="48">
        <f t="shared" si="13"/>
        <v>2</v>
      </c>
    </row>
    <row r="19" spans="1:17" ht="15.75" customHeight="1">
      <c r="A19" s="49" t="s">
        <v>228</v>
      </c>
      <c r="B19" s="47"/>
      <c r="C19" s="50"/>
      <c r="D19" s="50"/>
      <c r="E19" s="50"/>
      <c r="F19" s="50"/>
      <c r="G19" s="50"/>
      <c r="H19" s="50"/>
      <c r="I19" s="50"/>
      <c r="J19" s="50"/>
      <c r="K19" s="50"/>
      <c r="L19" s="50"/>
      <c r="M19" s="48"/>
      <c r="N19" s="48"/>
      <c r="O19" s="48"/>
      <c r="P19" s="48"/>
      <c r="Q19" s="48"/>
    </row>
    <row r="20" spans="1:17" ht="15.75" customHeight="1">
      <c r="A20" s="46" t="s">
        <v>229</v>
      </c>
      <c r="B20" s="47" t="s">
        <v>155</v>
      </c>
      <c r="C20" s="50" t="s">
        <v>20</v>
      </c>
      <c r="D20" s="50" t="s">
        <v>20</v>
      </c>
      <c r="E20" s="50" t="s">
        <v>20</v>
      </c>
      <c r="F20" s="50" t="s">
        <v>20</v>
      </c>
      <c r="G20" s="50" t="s">
        <v>20</v>
      </c>
      <c r="H20" s="50"/>
      <c r="I20" s="50"/>
      <c r="J20" s="50"/>
      <c r="K20" s="50"/>
      <c r="L20" s="50"/>
      <c r="M20" s="48">
        <f t="shared" ref="M20:Q20" si="14">IF(TRIM(SUBSTITUTE(C20, "　", " "))=TRIM(SUBSTITUTE($B20, "　", " ")), 2, 0)</f>
        <v>2</v>
      </c>
      <c r="N20" s="48">
        <f t="shared" si="14"/>
        <v>2</v>
      </c>
      <c r="O20" s="48">
        <f t="shared" si="14"/>
        <v>2</v>
      </c>
      <c r="P20" s="48">
        <f t="shared" si="14"/>
        <v>2</v>
      </c>
      <c r="Q20" s="48">
        <f t="shared" si="14"/>
        <v>2</v>
      </c>
    </row>
    <row r="21" spans="1:17" ht="15.75" customHeight="1">
      <c r="A21" s="46" t="s">
        <v>230</v>
      </c>
      <c r="B21" s="47" t="s">
        <v>148</v>
      </c>
      <c r="C21" s="50" t="s">
        <v>23</v>
      </c>
      <c r="D21" s="50" t="s">
        <v>23</v>
      </c>
      <c r="E21" s="50" t="s">
        <v>23</v>
      </c>
      <c r="F21" s="50" t="s">
        <v>23</v>
      </c>
      <c r="G21" s="50" t="s">
        <v>23</v>
      </c>
      <c r="H21" s="50"/>
      <c r="I21" s="50"/>
      <c r="J21" s="50"/>
      <c r="K21" s="50"/>
      <c r="L21" s="50"/>
      <c r="M21" s="48">
        <f t="shared" ref="M21:Q21" si="15">IF(TRIM(SUBSTITUTE(C21, "　", " "))=TRIM(SUBSTITUTE($B21, "　", " ")), 2, 0)</f>
        <v>2</v>
      </c>
      <c r="N21" s="48">
        <f t="shared" si="15"/>
        <v>2</v>
      </c>
      <c r="O21" s="48">
        <f t="shared" si="15"/>
        <v>2</v>
      </c>
      <c r="P21" s="48">
        <f t="shared" si="15"/>
        <v>2</v>
      </c>
      <c r="Q21" s="48">
        <f t="shared" si="15"/>
        <v>2</v>
      </c>
    </row>
    <row r="22" spans="1:17" ht="15.75" customHeight="1">
      <c r="A22" s="46" t="s">
        <v>231</v>
      </c>
      <c r="B22" s="47" t="s">
        <v>155</v>
      </c>
      <c r="C22" s="50" t="s">
        <v>20</v>
      </c>
      <c r="D22" s="50" t="s">
        <v>20</v>
      </c>
      <c r="E22" s="50" t="s">
        <v>20</v>
      </c>
      <c r="F22" s="50" t="s">
        <v>20</v>
      </c>
      <c r="G22" s="50" t="s">
        <v>20</v>
      </c>
      <c r="H22" s="50"/>
      <c r="I22" s="50"/>
      <c r="J22" s="50"/>
      <c r="K22" s="50"/>
      <c r="L22" s="50"/>
      <c r="M22" s="48">
        <f t="shared" ref="M22:Q22" si="16">IF(TRIM(SUBSTITUTE(C22, "　", " "))=TRIM(SUBSTITUTE($B22, "　", " ")), 2, 0)</f>
        <v>2</v>
      </c>
      <c r="N22" s="48">
        <f t="shared" si="16"/>
        <v>2</v>
      </c>
      <c r="O22" s="48">
        <f t="shared" si="16"/>
        <v>2</v>
      </c>
      <c r="P22" s="48">
        <f t="shared" si="16"/>
        <v>2</v>
      </c>
      <c r="Q22" s="48">
        <f t="shared" si="16"/>
        <v>2</v>
      </c>
    </row>
    <row r="23" spans="1:17" ht="15.75" customHeight="1">
      <c r="A23" s="49" t="s">
        <v>232</v>
      </c>
      <c r="B23" s="47"/>
      <c r="C23" s="50"/>
      <c r="D23" s="50"/>
      <c r="E23" s="50"/>
      <c r="F23" s="50"/>
      <c r="G23" s="50"/>
      <c r="H23" s="50"/>
      <c r="I23" s="50"/>
      <c r="J23" s="50"/>
      <c r="K23" s="50"/>
      <c r="L23" s="50"/>
      <c r="M23" s="48"/>
      <c r="N23" s="48"/>
      <c r="O23" s="48"/>
      <c r="P23" s="48"/>
      <c r="Q23" s="48"/>
    </row>
    <row r="24" spans="1:17" ht="15.75" customHeight="1">
      <c r="A24" s="46" t="s">
        <v>233</v>
      </c>
      <c r="B24" s="47" t="s">
        <v>150</v>
      </c>
      <c r="C24" s="50" t="s">
        <v>18</v>
      </c>
      <c r="D24" s="50" t="s">
        <v>18</v>
      </c>
      <c r="E24" s="50" t="s">
        <v>18</v>
      </c>
      <c r="F24" s="50" t="s">
        <v>18</v>
      </c>
      <c r="G24" s="50" t="s">
        <v>18</v>
      </c>
      <c r="H24" s="50"/>
      <c r="I24" s="50"/>
      <c r="J24" s="50"/>
      <c r="K24" s="50"/>
      <c r="L24" s="50"/>
      <c r="M24" s="48">
        <f t="shared" ref="M24:Q24" si="17">IF(TRIM(SUBSTITUTE(C24, "　", " "))=TRIM(SUBSTITUTE($B24, "　", " ")), 2, 0)</f>
        <v>2</v>
      </c>
      <c r="N24" s="48">
        <f t="shared" si="17"/>
        <v>2</v>
      </c>
      <c r="O24" s="48">
        <f t="shared" si="17"/>
        <v>2</v>
      </c>
      <c r="P24" s="48">
        <f t="shared" si="17"/>
        <v>2</v>
      </c>
      <c r="Q24" s="48">
        <f t="shared" si="17"/>
        <v>2</v>
      </c>
    </row>
    <row r="25" spans="1:17" ht="15.75" customHeight="1">
      <c r="A25" s="46" t="s">
        <v>234</v>
      </c>
      <c r="B25" s="47" t="s">
        <v>162</v>
      </c>
      <c r="C25" s="50" t="s">
        <v>17</v>
      </c>
      <c r="D25" s="50" t="s">
        <v>17</v>
      </c>
      <c r="E25" s="50" t="s">
        <v>17</v>
      </c>
      <c r="F25" s="50" t="s">
        <v>17</v>
      </c>
      <c r="G25" s="50" t="s">
        <v>17</v>
      </c>
      <c r="H25" s="50"/>
      <c r="I25" s="50"/>
      <c r="J25" s="50"/>
      <c r="K25" s="50"/>
      <c r="L25" s="50"/>
      <c r="M25" s="48">
        <f t="shared" ref="M25:Q25" si="18">IF(TRIM(SUBSTITUTE(C25, "　", " "))=TRIM(SUBSTITUTE($B25, "　", " ")), 2, 0)</f>
        <v>2</v>
      </c>
      <c r="N25" s="48">
        <f t="shared" si="18"/>
        <v>2</v>
      </c>
      <c r="O25" s="48">
        <f t="shared" si="18"/>
        <v>2</v>
      </c>
      <c r="P25" s="48">
        <f t="shared" si="18"/>
        <v>2</v>
      </c>
      <c r="Q25" s="48">
        <f t="shared" si="18"/>
        <v>2</v>
      </c>
    </row>
    <row r="26" spans="1:17" ht="15.75" customHeight="1">
      <c r="A26" s="46" t="s">
        <v>235</v>
      </c>
      <c r="B26" s="47" t="s">
        <v>150</v>
      </c>
      <c r="C26" s="50" t="s">
        <v>18</v>
      </c>
      <c r="D26" s="50" t="s">
        <v>18</v>
      </c>
      <c r="E26" s="50" t="s">
        <v>17</v>
      </c>
      <c r="F26" s="50" t="s">
        <v>18</v>
      </c>
      <c r="G26" s="50" t="s">
        <v>18</v>
      </c>
      <c r="H26" s="50"/>
      <c r="I26" s="50"/>
      <c r="J26" s="50"/>
      <c r="K26" s="50"/>
      <c r="L26" s="50"/>
      <c r="M26" s="48">
        <f t="shared" ref="M26:Q26" si="19">IF(TRIM(SUBSTITUTE(C26, "　", " "))=TRIM(SUBSTITUTE($B26, "　", " ")), 2, 0)</f>
        <v>2</v>
      </c>
      <c r="N26" s="48">
        <f t="shared" si="19"/>
        <v>2</v>
      </c>
      <c r="O26" s="48">
        <f t="shared" si="19"/>
        <v>0</v>
      </c>
      <c r="P26" s="48">
        <f t="shared" si="19"/>
        <v>2</v>
      </c>
      <c r="Q26" s="48">
        <f t="shared" si="19"/>
        <v>2</v>
      </c>
    </row>
    <row r="27" spans="1:17" ht="15.75" customHeight="1">
      <c r="A27" s="46" t="s">
        <v>236</v>
      </c>
      <c r="B27" s="47" t="s">
        <v>150</v>
      </c>
      <c r="C27" s="50" t="s">
        <v>18</v>
      </c>
      <c r="D27" s="50" t="s">
        <v>18</v>
      </c>
      <c r="E27" s="50" t="s">
        <v>18</v>
      </c>
      <c r="F27" s="50" t="s">
        <v>18</v>
      </c>
      <c r="G27" s="50" t="s">
        <v>18</v>
      </c>
      <c r="H27" s="50"/>
      <c r="I27" s="50"/>
      <c r="J27" s="50"/>
      <c r="K27" s="50"/>
      <c r="L27" s="50"/>
      <c r="M27" s="48">
        <f t="shared" ref="M27:Q27" si="20">IF(TRIM(SUBSTITUTE(C27, "　", " "))=TRIM(SUBSTITUTE($B27, "　", " ")), 2, 0)</f>
        <v>2</v>
      </c>
      <c r="N27" s="48">
        <f t="shared" si="20"/>
        <v>2</v>
      </c>
      <c r="O27" s="48">
        <f t="shared" si="20"/>
        <v>2</v>
      </c>
      <c r="P27" s="48">
        <f t="shared" si="20"/>
        <v>2</v>
      </c>
      <c r="Q27" s="48">
        <f t="shared" si="20"/>
        <v>2</v>
      </c>
    </row>
    <row r="28" spans="1:17" ht="15.75" customHeight="1">
      <c r="A28" s="49" t="s">
        <v>237</v>
      </c>
      <c r="B28" s="47"/>
      <c r="C28" s="50"/>
      <c r="D28" s="50"/>
      <c r="E28" s="50"/>
      <c r="F28" s="50"/>
      <c r="G28" s="50"/>
      <c r="H28" s="50"/>
      <c r="I28" s="50"/>
      <c r="J28" s="50"/>
      <c r="K28" s="50"/>
      <c r="L28" s="50"/>
      <c r="M28" s="48"/>
      <c r="N28" s="48"/>
      <c r="O28" s="48"/>
      <c r="P28" s="48"/>
      <c r="Q28" s="48"/>
    </row>
    <row r="29" spans="1:17" ht="15.75" customHeight="1">
      <c r="A29" s="46" t="s">
        <v>238</v>
      </c>
      <c r="B29" s="47" t="s">
        <v>148</v>
      </c>
      <c r="C29" s="50" t="s">
        <v>23</v>
      </c>
      <c r="D29" s="50" t="s">
        <v>23</v>
      </c>
      <c r="E29" s="50" t="s">
        <v>23</v>
      </c>
      <c r="F29" s="50" t="s">
        <v>23</v>
      </c>
      <c r="G29" s="50" t="s">
        <v>23</v>
      </c>
      <c r="H29" s="50"/>
      <c r="I29" s="50"/>
      <c r="J29" s="50"/>
      <c r="K29" s="50"/>
      <c r="L29" s="50"/>
      <c r="M29" s="48">
        <f t="shared" ref="M29:Q29" si="21">IF(TRIM(SUBSTITUTE(C29, "　", " "))=TRIM(SUBSTITUTE($B29, "　", " ")), 2, 0)</f>
        <v>2</v>
      </c>
      <c r="N29" s="48">
        <f t="shared" si="21"/>
        <v>2</v>
      </c>
      <c r="O29" s="48">
        <f t="shared" si="21"/>
        <v>2</v>
      </c>
      <c r="P29" s="48">
        <f t="shared" si="21"/>
        <v>2</v>
      </c>
      <c r="Q29" s="48">
        <f t="shared" si="21"/>
        <v>2</v>
      </c>
    </row>
    <row r="30" spans="1:17" ht="15.75" customHeight="1">
      <c r="A30" s="46" t="s">
        <v>239</v>
      </c>
      <c r="B30" s="47" t="s">
        <v>155</v>
      </c>
      <c r="C30" s="50" t="s">
        <v>20</v>
      </c>
      <c r="D30" s="50" t="s">
        <v>20</v>
      </c>
      <c r="E30" s="50" t="s">
        <v>20</v>
      </c>
      <c r="F30" s="50" t="s">
        <v>20</v>
      </c>
      <c r="G30" s="50" t="s">
        <v>20</v>
      </c>
      <c r="H30" s="50"/>
      <c r="I30" s="50"/>
      <c r="J30" s="50"/>
      <c r="K30" s="50"/>
      <c r="L30" s="50"/>
      <c r="M30" s="48">
        <f t="shared" ref="M30:Q30" si="22">IF(TRIM(SUBSTITUTE(C30, "　", " "))=TRIM(SUBSTITUTE($B30, "　", " ")), 2, 0)</f>
        <v>2</v>
      </c>
      <c r="N30" s="48">
        <f t="shared" si="22"/>
        <v>2</v>
      </c>
      <c r="O30" s="48">
        <f t="shared" si="22"/>
        <v>2</v>
      </c>
      <c r="P30" s="48">
        <f t="shared" si="22"/>
        <v>2</v>
      </c>
      <c r="Q30" s="48">
        <f t="shared" si="22"/>
        <v>2</v>
      </c>
    </row>
    <row r="31" spans="1:17" ht="15.75" customHeight="1">
      <c r="A31" s="46" t="s">
        <v>240</v>
      </c>
      <c r="B31" s="47" t="s">
        <v>150</v>
      </c>
      <c r="C31" s="50" t="s">
        <v>18</v>
      </c>
      <c r="D31" s="50" t="s">
        <v>20</v>
      </c>
      <c r="E31" s="50" t="s">
        <v>20</v>
      </c>
      <c r="F31" s="50" t="s">
        <v>18</v>
      </c>
      <c r="G31" s="50" t="s">
        <v>18</v>
      </c>
      <c r="H31" s="50"/>
      <c r="I31" s="50"/>
      <c r="J31" s="50"/>
      <c r="K31" s="50"/>
      <c r="L31" s="50"/>
      <c r="M31" s="48">
        <f t="shared" ref="M31:Q31" si="23">IF(TRIM(SUBSTITUTE(C31, "　", " "))=TRIM(SUBSTITUTE($B31, "　", " ")), 2, 0)</f>
        <v>2</v>
      </c>
      <c r="N31" s="48">
        <f t="shared" si="23"/>
        <v>0</v>
      </c>
      <c r="O31" s="48">
        <f t="shared" si="23"/>
        <v>0</v>
      </c>
      <c r="P31" s="48">
        <f t="shared" si="23"/>
        <v>2</v>
      </c>
      <c r="Q31" s="48">
        <f t="shared" si="23"/>
        <v>2</v>
      </c>
    </row>
    <row r="32" spans="1:17" ht="15.75" customHeight="1">
      <c r="A32" s="49" t="s">
        <v>241</v>
      </c>
      <c r="B32" s="47"/>
      <c r="C32" s="50"/>
      <c r="D32" s="50"/>
      <c r="E32" s="50"/>
      <c r="F32" s="50"/>
      <c r="G32" s="50"/>
      <c r="H32" s="50"/>
      <c r="I32" s="50"/>
      <c r="J32" s="50"/>
      <c r="K32" s="50"/>
      <c r="L32" s="50"/>
      <c r="M32" s="48"/>
      <c r="N32" s="48"/>
      <c r="O32" s="48"/>
      <c r="P32" s="48"/>
      <c r="Q32" s="48"/>
    </row>
    <row r="33" spans="1:26" ht="15.75" customHeight="1">
      <c r="A33" s="46" t="s">
        <v>242</v>
      </c>
      <c r="B33" s="47" t="s">
        <v>148</v>
      </c>
      <c r="C33" s="50" t="s">
        <v>23</v>
      </c>
      <c r="D33" s="50" t="s">
        <v>23</v>
      </c>
      <c r="E33" s="50" t="s">
        <v>23</v>
      </c>
      <c r="F33" s="50" t="s">
        <v>23</v>
      </c>
      <c r="G33" s="50" t="s">
        <v>23</v>
      </c>
      <c r="H33" s="50"/>
      <c r="I33" s="50"/>
      <c r="J33" s="50"/>
      <c r="K33" s="50"/>
      <c r="L33" s="50"/>
      <c r="M33" s="48">
        <f t="shared" ref="M33:Q33" si="24">IF(TRIM(SUBSTITUTE(C33, "　", " "))=TRIM(SUBSTITUTE($B33, "　", " ")), 2, 0)</f>
        <v>2</v>
      </c>
      <c r="N33" s="48">
        <f t="shared" si="24"/>
        <v>2</v>
      </c>
      <c r="O33" s="48">
        <f t="shared" si="24"/>
        <v>2</v>
      </c>
      <c r="P33" s="48">
        <f t="shared" si="24"/>
        <v>2</v>
      </c>
      <c r="Q33" s="48">
        <f t="shared" si="24"/>
        <v>2</v>
      </c>
    </row>
    <row r="34" spans="1:26" ht="15.75" customHeight="1">
      <c r="A34" s="46" t="s">
        <v>243</v>
      </c>
      <c r="B34" s="47" t="s">
        <v>162</v>
      </c>
      <c r="C34" s="50" t="s">
        <v>17</v>
      </c>
      <c r="D34" s="50" t="s">
        <v>17</v>
      </c>
      <c r="E34" s="50" t="s">
        <v>20</v>
      </c>
      <c r="F34" s="50" t="s">
        <v>17</v>
      </c>
      <c r="G34" s="50" t="s">
        <v>17</v>
      </c>
      <c r="H34" s="50"/>
      <c r="I34" s="50"/>
      <c r="J34" s="50"/>
      <c r="K34" s="50"/>
      <c r="L34" s="50"/>
      <c r="M34" s="48">
        <f t="shared" ref="M34:Q34" si="25">IF(TRIM(SUBSTITUTE(C34, "　", " "))=TRIM(SUBSTITUTE($B34, "　", " ")), 2, 0)</f>
        <v>2</v>
      </c>
      <c r="N34" s="48">
        <f t="shared" si="25"/>
        <v>2</v>
      </c>
      <c r="O34" s="48">
        <f t="shared" si="25"/>
        <v>0</v>
      </c>
      <c r="P34" s="48">
        <f t="shared" si="25"/>
        <v>2</v>
      </c>
      <c r="Q34" s="48">
        <f t="shared" si="25"/>
        <v>2</v>
      </c>
    </row>
    <row r="35" spans="1:26" ht="15.75" customHeight="1">
      <c r="A35" s="46" t="s">
        <v>244</v>
      </c>
      <c r="B35" s="47" t="s">
        <v>162</v>
      </c>
      <c r="C35" s="50" t="s">
        <v>17</v>
      </c>
      <c r="D35" s="50" t="s">
        <v>17</v>
      </c>
      <c r="E35" s="50" t="s">
        <v>17</v>
      </c>
      <c r="F35" s="50" t="s">
        <v>17</v>
      </c>
      <c r="G35" s="50" t="s">
        <v>17</v>
      </c>
      <c r="H35" s="50"/>
      <c r="I35" s="50"/>
      <c r="J35" s="50"/>
      <c r="K35" s="50"/>
      <c r="L35" s="50"/>
      <c r="M35" s="48">
        <f t="shared" ref="M35:Q35" si="26">IF(TRIM(SUBSTITUTE(C35, "　", " "))=TRIM(SUBSTITUTE($B35, "　", " ")), 2, 0)</f>
        <v>2</v>
      </c>
      <c r="N35" s="48">
        <f t="shared" si="26"/>
        <v>2</v>
      </c>
      <c r="O35" s="48">
        <f t="shared" si="26"/>
        <v>2</v>
      </c>
      <c r="P35" s="48">
        <f t="shared" si="26"/>
        <v>2</v>
      </c>
      <c r="Q35" s="48">
        <f t="shared" si="26"/>
        <v>2</v>
      </c>
      <c r="R35" s="11"/>
      <c r="S35" s="11"/>
      <c r="T35" s="11"/>
      <c r="U35" s="11"/>
      <c r="V35" s="11"/>
      <c r="W35" s="11"/>
      <c r="X35" s="11"/>
      <c r="Y35" s="11"/>
      <c r="Z35" s="11"/>
    </row>
    <row r="36" spans="1:26" ht="15.75" customHeight="1">
      <c r="A36" s="51" t="s">
        <v>245</v>
      </c>
      <c r="B36" s="47"/>
      <c r="C36" s="50"/>
      <c r="D36" s="50"/>
      <c r="E36" s="50"/>
      <c r="F36" s="50"/>
      <c r="G36" s="50"/>
      <c r="H36" s="50"/>
      <c r="I36" s="50"/>
      <c r="J36" s="50"/>
      <c r="K36" s="50"/>
      <c r="L36" s="50"/>
      <c r="M36" s="48"/>
      <c r="N36" s="48"/>
      <c r="O36" s="48"/>
      <c r="P36" s="48"/>
      <c r="Q36" s="48"/>
      <c r="R36" s="11"/>
      <c r="S36" s="11"/>
      <c r="T36" s="11"/>
      <c r="U36" s="11"/>
      <c r="V36" s="11"/>
      <c r="W36" s="11"/>
      <c r="X36" s="11"/>
      <c r="Y36" s="11"/>
      <c r="Z36" s="11"/>
    </row>
    <row r="37" spans="1:26" ht="15.75" customHeight="1">
      <c r="A37" s="46" t="s">
        <v>246</v>
      </c>
      <c r="B37" s="47" t="s">
        <v>148</v>
      </c>
      <c r="C37" s="50" t="s">
        <v>23</v>
      </c>
      <c r="D37" s="50" t="s">
        <v>23</v>
      </c>
      <c r="E37" s="50" t="s">
        <v>18</v>
      </c>
      <c r="F37" s="50" t="s">
        <v>23</v>
      </c>
      <c r="G37" s="50" t="s">
        <v>23</v>
      </c>
      <c r="H37" s="50"/>
      <c r="I37" s="50"/>
      <c r="J37" s="50"/>
      <c r="K37" s="50"/>
      <c r="L37" s="50"/>
      <c r="M37" s="48">
        <f t="shared" ref="M37:Q37" si="27">IF(TRIM(SUBSTITUTE(C37, "　", " "))=TRIM(SUBSTITUTE($B37, "　", " ")), 2, 0)</f>
        <v>2</v>
      </c>
      <c r="N37" s="48">
        <f t="shared" si="27"/>
        <v>2</v>
      </c>
      <c r="O37" s="48">
        <f t="shared" si="27"/>
        <v>0</v>
      </c>
      <c r="P37" s="48">
        <f t="shared" si="27"/>
        <v>2</v>
      </c>
      <c r="Q37" s="48">
        <f t="shared" si="27"/>
        <v>2</v>
      </c>
      <c r="R37" s="11"/>
      <c r="S37" s="11"/>
      <c r="T37" s="11"/>
      <c r="U37" s="11"/>
      <c r="V37" s="11"/>
      <c r="W37" s="11"/>
      <c r="X37" s="11"/>
      <c r="Y37" s="11"/>
      <c r="Z37" s="11"/>
    </row>
    <row r="38" spans="1:26" ht="15.75" customHeight="1">
      <c r="A38" s="46" t="s">
        <v>247</v>
      </c>
      <c r="B38" s="47" t="s">
        <v>150</v>
      </c>
      <c r="C38" s="50" t="s">
        <v>18</v>
      </c>
      <c r="D38" s="50" t="s">
        <v>20</v>
      </c>
      <c r="E38" s="50" t="s">
        <v>18</v>
      </c>
      <c r="F38" s="50" t="s">
        <v>18</v>
      </c>
      <c r="G38" s="50" t="s">
        <v>18</v>
      </c>
      <c r="H38" s="50"/>
      <c r="I38" s="50"/>
      <c r="J38" s="50"/>
      <c r="K38" s="50"/>
      <c r="L38" s="50"/>
      <c r="M38" s="48">
        <f t="shared" ref="M38:Q38" si="28">IF(TRIM(SUBSTITUTE(C38, "　", " "))=TRIM(SUBSTITUTE($B38, "　", " ")), 2, 0)</f>
        <v>2</v>
      </c>
      <c r="N38" s="48">
        <f t="shared" si="28"/>
        <v>0</v>
      </c>
      <c r="O38" s="48">
        <f t="shared" si="28"/>
        <v>2</v>
      </c>
      <c r="P38" s="48">
        <f t="shared" si="28"/>
        <v>2</v>
      </c>
      <c r="Q38" s="48">
        <f t="shared" si="28"/>
        <v>2</v>
      </c>
      <c r="R38" s="11"/>
      <c r="S38" s="11"/>
      <c r="T38" s="11"/>
      <c r="U38" s="11"/>
      <c r="V38" s="11"/>
      <c r="W38" s="11"/>
      <c r="X38" s="11"/>
      <c r="Y38" s="11"/>
      <c r="Z38" s="11"/>
    </row>
    <row r="39" spans="1:26" ht="15.75" customHeight="1">
      <c r="A39" s="46" t="s">
        <v>248</v>
      </c>
      <c r="B39" s="47" t="s">
        <v>162</v>
      </c>
      <c r="C39" s="50" t="s">
        <v>17</v>
      </c>
      <c r="D39" s="50" t="s">
        <v>17</v>
      </c>
      <c r="E39" s="50" t="s">
        <v>17</v>
      </c>
      <c r="F39" s="50" t="s">
        <v>17</v>
      </c>
      <c r="G39" s="50" t="s">
        <v>17</v>
      </c>
      <c r="H39" s="50"/>
      <c r="I39" s="50"/>
      <c r="J39" s="50"/>
      <c r="K39" s="50"/>
      <c r="L39" s="50"/>
      <c r="M39" s="48">
        <f t="shared" ref="M39:Q39" si="29">IF(TRIM(SUBSTITUTE(C39, "　", " "))=TRIM(SUBSTITUTE($B39, "　", " ")), 2, 0)</f>
        <v>2</v>
      </c>
      <c r="N39" s="48">
        <f t="shared" si="29"/>
        <v>2</v>
      </c>
      <c r="O39" s="48">
        <f t="shared" si="29"/>
        <v>2</v>
      </c>
      <c r="P39" s="48">
        <f t="shared" si="29"/>
        <v>2</v>
      </c>
      <c r="Q39" s="48">
        <f t="shared" si="29"/>
        <v>2</v>
      </c>
      <c r="R39" s="11"/>
      <c r="S39" s="11"/>
      <c r="T39" s="11"/>
      <c r="U39" s="11"/>
      <c r="V39" s="11"/>
      <c r="W39" s="11"/>
      <c r="X39" s="11"/>
      <c r="Y39" s="11"/>
      <c r="Z39" s="11"/>
    </row>
    <row r="40" spans="1:26" ht="15.75" customHeight="1">
      <c r="A40" s="51" t="s">
        <v>249</v>
      </c>
      <c r="B40" s="47"/>
      <c r="C40" s="50"/>
      <c r="D40" s="50"/>
      <c r="E40" s="50"/>
      <c r="F40" s="50"/>
      <c r="G40" s="50"/>
      <c r="H40" s="50"/>
      <c r="I40" s="50"/>
      <c r="J40" s="50"/>
      <c r="K40" s="50"/>
      <c r="L40" s="50"/>
      <c r="M40" s="48"/>
      <c r="N40" s="48"/>
      <c r="O40" s="48"/>
      <c r="P40" s="48"/>
      <c r="Q40" s="48"/>
      <c r="R40" s="11"/>
      <c r="S40" s="11"/>
      <c r="T40" s="11"/>
      <c r="U40" s="11"/>
      <c r="V40" s="11"/>
      <c r="W40" s="11"/>
      <c r="X40" s="11"/>
      <c r="Y40" s="11"/>
      <c r="Z40" s="11"/>
    </row>
    <row r="41" spans="1:26" ht="15.75" customHeight="1">
      <c r="A41" s="46" t="s">
        <v>250</v>
      </c>
      <c r="B41" s="47" t="s">
        <v>155</v>
      </c>
      <c r="C41" s="47" t="s">
        <v>155</v>
      </c>
      <c r="D41" s="50" t="s">
        <v>20</v>
      </c>
      <c r="E41" s="50" t="s">
        <v>20</v>
      </c>
      <c r="F41" s="50" t="s">
        <v>20</v>
      </c>
      <c r="G41" s="50" t="s">
        <v>20</v>
      </c>
      <c r="H41" s="50"/>
      <c r="I41" s="50"/>
      <c r="J41" s="50"/>
      <c r="K41" s="50"/>
      <c r="L41" s="50"/>
      <c r="M41" s="48">
        <f t="shared" ref="M41:Q41" si="30">IF(TRIM(SUBSTITUTE(C41, "　", " "))=TRIM(SUBSTITUTE($B41, "　", " ")), 2, 0)</f>
        <v>2</v>
      </c>
      <c r="N41" s="48">
        <f t="shared" si="30"/>
        <v>2</v>
      </c>
      <c r="O41" s="48">
        <f t="shared" si="30"/>
        <v>2</v>
      </c>
      <c r="P41" s="48">
        <f t="shared" si="30"/>
        <v>2</v>
      </c>
      <c r="Q41" s="48">
        <f t="shared" si="30"/>
        <v>2</v>
      </c>
      <c r="R41" s="11"/>
      <c r="S41" s="11"/>
      <c r="T41" s="11"/>
      <c r="U41" s="11"/>
      <c r="V41" s="11"/>
      <c r="W41" s="11"/>
      <c r="X41" s="11"/>
      <c r="Y41" s="11"/>
      <c r="Z41" s="11"/>
    </row>
    <row r="42" spans="1:26" ht="15.75" customHeight="1">
      <c r="A42" s="46" t="s">
        <v>251</v>
      </c>
      <c r="B42" s="47" t="s">
        <v>148</v>
      </c>
      <c r="C42" s="47" t="s">
        <v>148</v>
      </c>
      <c r="D42" s="50" t="s">
        <v>23</v>
      </c>
      <c r="E42" s="50" t="s">
        <v>23</v>
      </c>
      <c r="F42" s="50" t="s">
        <v>23</v>
      </c>
      <c r="G42" s="50" t="s">
        <v>23</v>
      </c>
      <c r="H42" s="50"/>
      <c r="I42" s="50"/>
      <c r="J42" s="50"/>
      <c r="K42" s="50"/>
      <c r="L42" s="50"/>
      <c r="M42" s="48">
        <f t="shared" ref="M42:Q42" si="31">IF(TRIM(SUBSTITUTE(C42, "　", " "))=TRIM(SUBSTITUTE($B42, "　", " ")), 2, 0)</f>
        <v>2</v>
      </c>
      <c r="N42" s="48">
        <f t="shared" si="31"/>
        <v>2</v>
      </c>
      <c r="O42" s="48">
        <f t="shared" si="31"/>
        <v>2</v>
      </c>
      <c r="P42" s="48">
        <f t="shared" si="31"/>
        <v>2</v>
      </c>
      <c r="Q42" s="48">
        <f t="shared" si="31"/>
        <v>2</v>
      </c>
      <c r="R42" s="11"/>
      <c r="S42" s="11"/>
      <c r="T42" s="11"/>
      <c r="U42" s="11"/>
      <c r="V42" s="11"/>
      <c r="W42" s="11"/>
      <c r="X42" s="11"/>
      <c r="Y42" s="11"/>
      <c r="Z42" s="11"/>
    </row>
    <row r="43" spans="1:26" ht="15.75" customHeight="1">
      <c r="A43" s="51" t="s">
        <v>252</v>
      </c>
      <c r="B43" s="52"/>
      <c r="C43" s="52"/>
      <c r="D43" s="50"/>
      <c r="E43" s="50"/>
      <c r="F43" s="50"/>
      <c r="G43" s="50"/>
      <c r="H43" s="50"/>
      <c r="I43" s="50"/>
      <c r="J43" s="50"/>
      <c r="K43" s="50"/>
      <c r="L43" s="50"/>
      <c r="M43" s="48"/>
      <c r="N43" s="48"/>
      <c r="O43" s="48"/>
      <c r="P43" s="48"/>
      <c r="Q43" s="48"/>
      <c r="R43" s="11"/>
      <c r="S43" s="11"/>
      <c r="T43" s="11"/>
      <c r="U43" s="11"/>
      <c r="V43" s="11"/>
      <c r="W43" s="11"/>
      <c r="X43" s="11"/>
      <c r="Y43" s="11"/>
      <c r="Z43" s="11"/>
    </row>
    <row r="44" spans="1:26" ht="15.75" customHeight="1">
      <c r="A44" s="46" t="s">
        <v>253</v>
      </c>
      <c r="B44" s="47" t="s">
        <v>148</v>
      </c>
      <c r="C44" s="47" t="s">
        <v>148</v>
      </c>
      <c r="D44" s="50" t="s">
        <v>23</v>
      </c>
      <c r="E44" s="50" t="s">
        <v>23</v>
      </c>
      <c r="F44" s="50" t="s">
        <v>23</v>
      </c>
      <c r="G44" s="50" t="s">
        <v>23</v>
      </c>
      <c r="H44" s="50"/>
      <c r="I44" s="50"/>
      <c r="J44" s="50"/>
      <c r="K44" s="50"/>
      <c r="L44" s="50"/>
      <c r="M44" s="48">
        <f t="shared" ref="M44:Q44" si="32">IF(TRIM(SUBSTITUTE(C44, "　", " "))=TRIM(SUBSTITUTE($B44, "　", " ")), 2, 0)</f>
        <v>2</v>
      </c>
      <c r="N44" s="48">
        <f t="shared" si="32"/>
        <v>2</v>
      </c>
      <c r="O44" s="48">
        <f t="shared" si="32"/>
        <v>2</v>
      </c>
      <c r="P44" s="48">
        <f t="shared" si="32"/>
        <v>2</v>
      </c>
      <c r="Q44" s="48">
        <f t="shared" si="32"/>
        <v>2</v>
      </c>
      <c r="R44" s="11"/>
      <c r="S44" s="11"/>
      <c r="T44" s="11"/>
      <c r="U44" s="11"/>
      <c r="V44" s="11"/>
      <c r="W44" s="11"/>
      <c r="X44" s="11"/>
      <c r="Y44" s="11"/>
      <c r="Z44" s="11"/>
    </row>
    <row r="45" spans="1:26" ht="15.75" customHeight="1">
      <c r="A45" s="46" t="s">
        <v>254</v>
      </c>
      <c r="B45" s="47" t="s">
        <v>162</v>
      </c>
      <c r="C45" s="47" t="s">
        <v>162</v>
      </c>
      <c r="D45" s="50" t="s">
        <v>17</v>
      </c>
      <c r="E45" s="50" t="s">
        <v>17</v>
      </c>
      <c r="F45" s="50" t="s">
        <v>17</v>
      </c>
      <c r="G45" s="50" t="s">
        <v>17</v>
      </c>
      <c r="H45" s="50"/>
      <c r="I45" s="50"/>
      <c r="J45" s="50"/>
      <c r="K45" s="50"/>
      <c r="L45" s="50"/>
      <c r="M45" s="48">
        <f t="shared" ref="M45:Q45" si="33">IF(TRIM(SUBSTITUTE(C45, "　", " "))=TRIM(SUBSTITUTE($B45, "　", " ")), 2, 0)</f>
        <v>2</v>
      </c>
      <c r="N45" s="48">
        <f t="shared" si="33"/>
        <v>2</v>
      </c>
      <c r="O45" s="48">
        <f t="shared" si="33"/>
        <v>2</v>
      </c>
      <c r="P45" s="48">
        <f t="shared" si="33"/>
        <v>2</v>
      </c>
      <c r="Q45" s="48">
        <f t="shared" si="33"/>
        <v>2</v>
      </c>
      <c r="R45" s="11"/>
      <c r="S45" s="11"/>
      <c r="T45" s="11"/>
      <c r="U45" s="11"/>
      <c r="V45" s="11"/>
      <c r="W45" s="11"/>
      <c r="X45" s="11"/>
      <c r="Y45" s="11"/>
      <c r="Z45" s="11"/>
    </row>
    <row r="46" spans="1:26" ht="15.75" customHeight="1">
      <c r="A46" s="51" t="s">
        <v>193</v>
      </c>
      <c r="B46" s="47"/>
      <c r="C46" s="50"/>
      <c r="D46" s="50"/>
      <c r="E46" s="50"/>
      <c r="F46" s="50"/>
      <c r="G46" s="50"/>
      <c r="H46" s="50"/>
      <c r="I46" s="50"/>
      <c r="J46" s="50"/>
      <c r="K46" s="50"/>
      <c r="L46" s="50"/>
      <c r="M46" s="48"/>
      <c r="N46" s="48"/>
      <c r="O46" s="48"/>
      <c r="P46" s="48"/>
      <c r="Q46" s="48"/>
      <c r="R46" s="11"/>
      <c r="S46" s="11"/>
      <c r="T46" s="11"/>
      <c r="U46" s="11"/>
      <c r="V46" s="11"/>
      <c r="W46" s="11"/>
      <c r="X46" s="11"/>
      <c r="Y46" s="11"/>
      <c r="Z46" s="11"/>
    </row>
    <row r="47" spans="1:26" ht="15.75" customHeight="1">
      <c r="A47" s="46" t="s">
        <v>255</v>
      </c>
      <c r="B47" s="47" t="s">
        <v>256</v>
      </c>
      <c r="C47" s="50" t="s">
        <v>102</v>
      </c>
      <c r="D47" s="50" t="s">
        <v>53</v>
      </c>
      <c r="E47" s="50" t="s">
        <v>53</v>
      </c>
      <c r="F47" s="50" t="s">
        <v>89</v>
      </c>
      <c r="G47" s="50" t="s">
        <v>89</v>
      </c>
      <c r="H47" s="53" cm="1">
        <f t="array" ref="H47">_xlfn.LET(
_xlpm.opts,{"A","B","C","D","E"},
_xlpm.ans,UPPER(SUBSTITUTE(SUBSTITUTE(SUBSTITUTE(SUBSTITUTE(SUBSTITUTE(TRIM($B47),"　","")," ",""),",",""),"，",""),"、","")),
_xlpm.resp,UPPER(SUBSTITUTE(SUBSTITUTE(SUBSTITUTE(SUBSTITUTE(SUBSTITUTE(TRIM(C47),"　","")," ",""),",",""),"，",""),"、","")),
IF(_xlpm.resp="",99,
SUMPRODUCT(--(ISNUMBER(SEARCH(_xlpm.opts,_xlpm.ans))&lt;&gt;ISNUMBER(SEARCH(_xlpm.opts,_xlpm.resp)))))
)</f>
        <v>2</v>
      </c>
      <c r="I47" s="53" cm="1">
        <f t="array" ref="I47">_xlfn.LET(
_xlpm.opts,{"A","B","C","D","E"},
_xlpm.ans,UPPER(SUBSTITUTE(SUBSTITUTE(SUBSTITUTE(SUBSTITUTE(SUBSTITUTE(TRIM($B47),"　","")," ",""),",",""),"，",""),"、","")),
_xlpm.resp,UPPER(SUBSTITUTE(SUBSTITUTE(SUBSTITUTE(SUBSTITUTE(SUBSTITUTE(TRIM(D47),"　","")," ",""),",",""),"，",""),"、","")),
IF(_xlpm.resp="",99,
SUMPRODUCT(--(ISNUMBER(SEARCH(_xlpm.opts,_xlpm.ans))&lt;&gt;ISNUMBER(SEARCH(_xlpm.opts,_xlpm.resp)))))
)</f>
        <v>0</v>
      </c>
      <c r="J47" s="53" cm="1">
        <f t="array" ref="J47">_xlfn.LET(
_xlpm.opts,{"A","B","C","D","E"},
_xlpm.ans,UPPER(SUBSTITUTE(SUBSTITUTE(SUBSTITUTE(SUBSTITUTE(SUBSTITUTE(TRIM($B47),"　","")," ",""),",",""),"，",""),"、","")),
_xlpm.resp,UPPER(SUBSTITUTE(SUBSTITUTE(SUBSTITUTE(SUBSTITUTE(SUBSTITUTE(TRIM(E47),"　","")," ",""),",",""),"，",""),"、","")),
IF(_xlpm.resp="",99,
SUMPRODUCT(--(ISNUMBER(SEARCH(_xlpm.opts,_xlpm.ans))&lt;&gt;ISNUMBER(SEARCH(_xlpm.opts,_xlpm.resp)))))
)</f>
        <v>0</v>
      </c>
      <c r="K47" s="53" cm="1">
        <f t="array" ref="K47">_xlfn.LET(
_xlpm.opts,{"A","B","C","D","E"},
_xlpm.ans,UPPER(SUBSTITUTE(SUBSTITUTE(SUBSTITUTE(SUBSTITUTE(SUBSTITUTE(TRIM($B47),"　","")," ",""),",",""),"，",""),"、","")),
_xlpm.resp,UPPER(SUBSTITUTE(SUBSTITUTE(SUBSTITUTE(SUBSTITUTE(SUBSTITUTE(TRIM(F47),"　","")," ",""),",",""),"，",""),"、","")),
IF(_xlpm.resp="",99,
SUMPRODUCT(--(ISNUMBER(SEARCH(_xlpm.opts,_xlpm.ans))&lt;&gt;ISNUMBER(SEARCH(_xlpm.opts,_xlpm.resp)))))
)</f>
        <v>1</v>
      </c>
      <c r="L47" s="53" cm="1">
        <f t="array" ref="L47">_xlfn.LET(
_xlpm.opts,{"A","B","C","D","E"},
_xlpm.ans,UPPER(SUBSTITUTE(SUBSTITUTE(SUBSTITUTE(SUBSTITUTE(SUBSTITUTE(TRIM($B47),"　","")," ",""),",",""),"，",""),"、","")),
_xlpm.resp,UPPER(SUBSTITUTE(SUBSTITUTE(SUBSTITUTE(SUBSTITUTE(SUBSTITUTE(TRIM(G47),"　","")," ",""),",",""),"，",""),"、","")),
IF(_xlpm.resp="",99,
SUMPRODUCT(--(ISNUMBER(SEARCH(_xlpm.opts,_xlpm.ans))&lt;&gt;ISNUMBER(SEARCH(_xlpm.opts,_xlpm.resp)))))
)</f>
        <v>1</v>
      </c>
      <c r="M47" s="7">
        <f>IF(H47=0,3,IF(H47=1,1.8,IF(H47=2,0.6,0)))</f>
        <v>0.6</v>
      </c>
      <c r="N47" s="7">
        <f t="shared" ref="N47:Q54" si="34">IF(I47=0,3,IF(I47=1,1.8,IF(I47=2,0.6,0)))</f>
        <v>3</v>
      </c>
      <c r="O47" s="7">
        <f t="shared" si="34"/>
        <v>3</v>
      </c>
      <c r="P47" s="7">
        <f t="shared" si="34"/>
        <v>1.8</v>
      </c>
      <c r="Q47" s="7">
        <f t="shared" si="34"/>
        <v>1.8</v>
      </c>
      <c r="R47" s="11"/>
      <c r="S47" s="11"/>
      <c r="T47" s="11"/>
      <c r="U47" s="11"/>
      <c r="V47" s="11"/>
      <c r="W47" s="11"/>
      <c r="X47" s="11"/>
      <c r="Y47" s="11"/>
      <c r="Z47" s="11"/>
    </row>
    <row r="48" spans="1:26" ht="15.75" customHeight="1">
      <c r="A48" s="46" t="s">
        <v>257</v>
      </c>
      <c r="B48" s="47" t="s">
        <v>206</v>
      </c>
      <c r="C48" s="50" t="s">
        <v>101</v>
      </c>
      <c r="D48" s="50" t="s">
        <v>44</v>
      </c>
      <c r="E48" s="50" t="s">
        <v>135</v>
      </c>
      <c r="F48" s="50" t="s">
        <v>101</v>
      </c>
      <c r="G48" s="50" t="s">
        <v>134</v>
      </c>
      <c r="H48" s="53" cm="1">
        <f t="array" ref="H48">_xlfn.LET(
_xlpm.opts,{"A","B","C","D","E"},
_xlpm.ans,UPPER(SUBSTITUTE(SUBSTITUTE(SUBSTITUTE(SUBSTITUTE(SUBSTITUTE(TRIM($B48),"　","")," ",""),",",""),"，",""),"、","")),
_xlpm.resp,UPPER(SUBSTITUTE(SUBSTITUTE(SUBSTITUTE(SUBSTITUTE(SUBSTITUTE(TRIM(C48),"　","")," ",""),",",""),"，",""),"、","")),
IF(_xlpm.resp="",99,
SUMPRODUCT(--(ISNUMBER(SEARCH(_xlpm.opts,_xlpm.ans))&lt;&gt;ISNUMBER(SEARCH(_xlpm.opts,_xlpm.resp)))))
)</f>
        <v>1</v>
      </c>
      <c r="I48" s="53" cm="1">
        <f t="array" ref="I48">_xlfn.LET(
_xlpm.opts,{"A","B","C","D","E"},
_xlpm.ans,UPPER(SUBSTITUTE(SUBSTITUTE(SUBSTITUTE(SUBSTITUTE(SUBSTITUTE(TRIM($B48),"　","")," ",""),",",""),"，",""),"、","")),
_xlpm.resp,UPPER(SUBSTITUTE(SUBSTITUTE(SUBSTITUTE(SUBSTITUTE(SUBSTITUTE(TRIM(D48),"　","")," ",""),",",""),"，",""),"、","")),
IF(_xlpm.resp="",99,
SUMPRODUCT(--(ISNUMBER(SEARCH(_xlpm.opts,_xlpm.ans))&lt;&gt;ISNUMBER(SEARCH(_xlpm.opts,_xlpm.resp)))))
)</f>
        <v>1</v>
      </c>
      <c r="J48" s="53" cm="1">
        <f t="array" ref="J48">_xlfn.LET(
_xlpm.opts,{"A","B","C","D","E"},
_xlpm.ans,UPPER(SUBSTITUTE(SUBSTITUTE(SUBSTITUTE(SUBSTITUTE(SUBSTITUTE(TRIM($B48),"　","")," ",""),",",""),"，",""),"、","")),
_xlpm.resp,UPPER(SUBSTITUTE(SUBSTITUTE(SUBSTITUTE(SUBSTITUTE(SUBSTITUTE(TRIM(E48),"　","")," ",""),",",""),"，",""),"、","")),
IF(_xlpm.resp="",99,
SUMPRODUCT(--(ISNUMBER(SEARCH(_xlpm.opts,_xlpm.ans))&lt;&gt;ISNUMBER(SEARCH(_xlpm.opts,_xlpm.resp)))))
)</f>
        <v>1</v>
      </c>
      <c r="K48" s="53" cm="1">
        <f t="array" ref="K48">_xlfn.LET(
_xlpm.opts,{"A","B","C","D","E"},
_xlpm.ans,UPPER(SUBSTITUTE(SUBSTITUTE(SUBSTITUTE(SUBSTITUTE(SUBSTITUTE(TRIM($B48),"　","")," ",""),",",""),"，",""),"、","")),
_xlpm.resp,UPPER(SUBSTITUTE(SUBSTITUTE(SUBSTITUTE(SUBSTITUTE(SUBSTITUTE(TRIM(F48),"　","")," ",""),",",""),"，",""),"、","")),
IF(_xlpm.resp="",99,
SUMPRODUCT(--(ISNUMBER(SEARCH(_xlpm.opts,_xlpm.ans))&lt;&gt;ISNUMBER(SEARCH(_xlpm.opts,_xlpm.resp)))))
)</f>
        <v>1</v>
      </c>
      <c r="L48" s="53" cm="1">
        <f t="array" ref="L48">_xlfn.LET(
_xlpm.opts,{"A","B","C","D","E"},
_xlpm.ans,UPPER(SUBSTITUTE(SUBSTITUTE(SUBSTITUTE(SUBSTITUTE(SUBSTITUTE(TRIM($B48),"　","")," ",""),",",""),"，",""),"、","")),
_xlpm.resp,UPPER(SUBSTITUTE(SUBSTITUTE(SUBSTITUTE(SUBSTITUTE(SUBSTITUTE(TRIM(G48),"　","")," ",""),",",""),"，",""),"、","")),
IF(_xlpm.resp="",99,
SUMPRODUCT(--(ISNUMBER(SEARCH(_xlpm.opts,_xlpm.ans))&lt;&gt;ISNUMBER(SEARCH(_xlpm.opts,_xlpm.resp)))))
)</f>
        <v>0</v>
      </c>
      <c r="M48" s="7">
        <f t="shared" ref="M48:M54" si="35">IF(H48=0,3,IF(H48=1,1.8,IF(H48=2,0.6,0)))</f>
        <v>1.8</v>
      </c>
      <c r="N48" s="7">
        <f t="shared" si="34"/>
        <v>1.8</v>
      </c>
      <c r="O48" s="7">
        <f t="shared" si="34"/>
        <v>1.8</v>
      </c>
      <c r="P48" s="7">
        <f t="shared" si="34"/>
        <v>1.8</v>
      </c>
      <c r="Q48" s="7">
        <f t="shared" si="34"/>
        <v>3</v>
      </c>
      <c r="R48" s="11"/>
      <c r="S48" s="11"/>
      <c r="T48" s="11"/>
      <c r="U48" s="11"/>
      <c r="V48" s="11"/>
      <c r="W48" s="11"/>
      <c r="X48" s="11"/>
      <c r="Y48" s="11"/>
      <c r="Z48" s="11"/>
    </row>
    <row r="49" spans="1:26" ht="15.75" customHeight="1">
      <c r="A49" s="46" t="s">
        <v>258</v>
      </c>
      <c r="B49" s="47" t="s">
        <v>206</v>
      </c>
      <c r="C49" s="50" t="s">
        <v>40</v>
      </c>
      <c r="D49" s="50" t="s">
        <v>57</v>
      </c>
      <c r="E49" s="50" t="s">
        <v>17</v>
      </c>
      <c r="F49" s="50" t="s">
        <v>90</v>
      </c>
      <c r="G49" s="50" t="s">
        <v>57</v>
      </c>
      <c r="H49" s="53" cm="1">
        <f t="array" ref="H49">_xlfn.LET(
_xlpm.opts,{"A","B","C","D","E"},
_xlpm.ans,UPPER(SUBSTITUTE(SUBSTITUTE(SUBSTITUTE(SUBSTITUTE(SUBSTITUTE(TRIM($B49),"　","")," ",""),",",""),"，",""),"、","")),
_xlpm.resp,UPPER(SUBSTITUTE(SUBSTITUTE(SUBSTITUTE(SUBSTITUTE(SUBSTITUTE(TRIM(C49),"　","")," ",""),",",""),"，",""),"、","")),
IF(_xlpm.resp="",99,
SUMPRODUCT(--(ISNUMBER(SEARCH(_xlpm.opts,_xlpm.ans))&lt;&gt;ISNUMBER(SEARCH(_xlpm.opts,_xlpm.resp)))))
)</f>
        <v>3</v>
      </c>
      <c r="I49" s="53" cm="1">
        <f t="array" ref="I49">_xlfn.LET(
_xlpm.opts,{"A","B","C","D","E"},
_xlpm.ans,UPPER(SUBSTITUTE(SUBSTITUTE(SUBSTITUTE(SUBSTITUTE(SUBSTITUTE(TRIM($B49),"　","")," ",""),",",""),"，",""),"、","")),
_xlpm.resp,UPPER(SUBSTITUTE(SUBSTITUTE(SUBSTITUTE(SUBSTITUTE(SUBSTITUTE(TRIM(D49),"　","")," ",""),",",""),"，",""),"、","")),
IF(_xlpm.resp="",99,
SUMPRODUCT(--(ISNUMBER(SEARCH(_xlpm.opts,_xlpm.ans))&lt;&gt;ISNUMBER(SEARCH(_xlpm.opts,_xlpm.resp)))))
)</f>
        <v>2</v>
      </c>
      <c r="J49" s="53" cm="1">
        <f t="array" ref="J49">_xlfn.LET(
_xlpm.opts,{"A","B","C","D","E"},
_xlpm.ans,UPPER(SUBSTITUTE(SUBSTITUTE(SUBSTITUTE(SUBSTITUTE(SUBSTITUTE(TRIM($B49),"　","")," ",""),",",""),"，",""),"、","")),
_xlpm.resp,UPPER(SUBSTITUTE(SUBSTITUTE(SUBSTITUTE(SUBSTITUTE(SUBSTITUTE(TRIM(E49),"　","")," ",""),",",""),"，",""),"、","")),
IF(_xlpm.resp="",99,
SUMPRODUCT(--(ISNUMBER(SEARCH(_xlpm.opts,_xlpm.ans))&lt;&gt;ISNUMBER(SEARCH(_xlpm.opts,_xlpm.resp)))))
)</f>
        <v>4</v>
      </c>
      <c r="K49" s="53" cm="1">
        <f t="array" ref="K49">_xlfn.LET(
_xlpm.opts,{"A","B","C","D","E"},
_xlpm.ans,UPPER(SUBSTITUTE(SUBSTITUTE(SUBSTITUTE(SUBSTITUTE(SUBSTITUTE(TRIM($B49),"　","")," ",""),",",""),"，",""),"、","")),
_xlpm.resp,UPPER(SUBSTITUTE(SUBSTITUTE(SUBSTITUTE(SUBSTITUTE(SUBSTITUTE(TRIM(F49),"　","")," ",""),",",""),"，",""),"、","")),
IF(_xlpm.resp="",99,
SUMPRODUCT(--(ISNUMBER(SEARCH(_xlpm.opts,_xlpm.ans))&lt;&gt;ISNUMBER(SEARCH(_xlpm.opts,_xlpm.resp)))))
)</f>
        <v>1</v>
      </c>
      <c r="L49" s="53" cm="1">
        <f t="array" ref="L49">_xlfn.LET(
_xlpm.opts,{"A","B","C","D","E"},
_xlpm.ans,UPPER(SUBSTITUTE(SUBSTITUTE(SUBSTITUTE(SUBSTITUTE(SUBSTITUTE(TRIM($B49),"　","")," ",""),",",""),"，",""),"、","")),
_xlpm.resp,UPPER(SUBSTITUTE(SUBSTITUTE(SUBSTITUTE(SUBSTITUTE(SUBSTITUTE(TRIM(G49),"　","")," ",""),",",""),"，",""),"、","")),
IF(_xlpm.resp="",99,
SUMPRODUCT(--(ISNUMBER(SEARCH(_xlpm.opts,_xlpm.ans))&lt;&gt;ISNUMBER(SEARCH(_xlpm.opts,_xlpm.resp)))))
)</f>
        <v>2</v>
      </c>
      <c r="M49" s="7">
        <f t="shared" si="35"/>
        <v>0</v>
      </c>
      <c r="N49" s="7">
        <f t="shared" si="34"/>
        <v>0.6</v>
      </c>
      <c r="O49" s="7">
        <f t="shared" si="34"/>
        <v>0</v>
      </c>
      <c r="P49" s="7">
        <f t="shared" si="34"/>
        <v>1.8</v>
      </c>
      <c r="Q49" s="7">
        <f t="shared" si="34"/>
        <v>0.6</v>
      </c>
      <c r="R49" s="11"/>
      <c r="S49" s="11"/>
      <c r="T49" s="11"/>
      <c r="U49" s="11"/>
      <c r="V49" s="11"/>
      <c r="W49" s="11"/>
      <c r="X49" s="11"/>
      <c r="Y49" s="11"/>
      <c r="Z49" s="11"/>
    </row>
    <row r="50" spans="1:26" ht="15.75" customHeight="1">
      <c r="A50" s="46" t="s">
        <v>259</v>
      </c>
      <c r="B50" s="47" t="s">
        <v>260</v>
      </c>
      <c r="C50" s="47" t="s">
        <v>260</v>
      </c>
      <c r="D50" s="50" t="s">
        <v>39</v>
      </c>
      <c r="E50" s="50" t="s">
        <v>39</v>
      </c>
      <c r="F50" s="50" t="s">
        <v>136</v>
      </c>
      <c r="G50" s="50" t="s">
        <v>39</v>
      </c>
      <c r="H50" s="53" cm="1">
        <f t="array" ref="H50">_xlfn.LET(
_xlpm.opts,{"A","B","C","D","E"},
_xlpm.ans,UPPER(SUBSTITUTE(SUBSTITUTE(SUBSTITUTE(SUBSTITUTE(SUBSTITUTE(TRIM($B50),"　","")," ",""),",",""),"，",""),"、","")),
_xlpm.resp,UPPER(SUBSTITUTE(SUBSTITUTE(SUBSTITUTE(SUBSTITUTE(SUBSTITUTE(TRIM(C50),"　","")," ",""),",",""),"，",""),"、","")),
IF(_xlpm.resp="",99,
SUMPRODUCT(--(ISNUMBER(SEARCH(_xlpm.opts,_xlpm.ans))&lt;&gt;ISNUMBER(SEARCH(_xlpm.opts,_xlpm.resp)))))
)</f>
        <v>0</v>
      </c>
      <c r="I50" s="53" cm="1">
        <f t="array" ref="I50">_xlfn.LET(
_xlpm.opts,{"A","B","C","D","E"},
_xlpm.ans,UPPER(SUBSTITUTE(SUBSTITUTE(SUBSTITUTE(SUBSTITUTE(SUBSTITUTE(TRIM($B50),"　","")," ",""),",",""),"，",""),"、","")),
_xlpm.resp,UPPER(SUBSTITUTE(SUBSTITUTE(SUBSTITUTE(SUBSTITUTE(SUBSTITUTE(TRIM(D50),"　","")," ",""),",",""),"，",""),"、","")),
IF(_xlpm.resp="",99,
SUMPRODUCT(--(ISNUMBER(SEARCH(_xlpm.opts,_xlpm.ans))&lt;&gt;ISNUMBER(SEARCH(_xlpm.opts,_xlpm.resp)))))
)</f>
        <v>0</v>
      </c>
      <c r="J50" s="53" cm="1">
        <f t="array" ref="J50">_xlfn.LET(
_xlpm.opts,{"A","B","C","D","E"},
_xlpm.ans,UPPER(SUBSTITUTE(SUBSTITUTE(SUBSTITUTE(SUBSTITUTE(SUBSTITUTE(TRIM($B50),"　","")," ",""),",",""),"，",""),"、","")),
_xlpm.resp,UPPER(SUBSTITUTE(SUBSTITUTE(SUBSTITUTE(SUBSTITUTE(SUBSTITUTE(TRIM(E50),"　","")," ",""),",",""),"，",""),"、","")),
IF(_xlpm.resp="",99,
SUMPRODUCT(--(ISNUMBER(SEARCH(_xlpm.opts,_xlpm.ans))&lt;&gt;ISNUMBER(SEARCH(_xlpm.opts,_xlpm.resp)))))
)</f>
        <v>0</v>
      </c>
      <c r="K50" s="53" cm="1">
        <f t="array" ref="K50">_xlfn.LET(
_xlpm.opts,{"A","B","C","D","E"},
_xlpm.ans,UPPER(SUBSTITUTE(SUBSTITUTE(SUBSTITUTE(SUBSTITUTE(SUBSTITUTE(TRIM($B50),"　","")," ",""),",",""),"，",""),"、","")),
_xlpm.resp,UPPER(SUBSTITUTE(SUBSTITUTE(SUBSTITUTE(SUBSTITUTE(SUBSTITUTE(TRIM(F50),"　","")," ",""),",",""),"，",""),"、","")),
IF(_xlpm.resp="",99,
SUMPRODUCT(--(ISNUMBER(SEARCH(_xlpm.opts,_xlpm.ans))&lt;&gt;ISNUMBER(SEARCH(_xlpm.opts,_xlpm.resp)))))
)</f>
        <v>1</v>
      </c>
      <c r="L50" s="53" cm="1">
        <f t="array" ref="L50">_xlfn.LET(
_xlpm.opts,{"A","B","C","D","E"},
_xlpm.ans,UPPER(SUBSTITUTE(SUBSTITUTE(SUBSTITUTE(SUBSTITUTE(SUBSTITUTE(TRIM($B50),"　","")," ",""),",",""),"，",""),"、","")),
_xlpm.resp,UPPER(SUBSTITUTE(SUBSTITUTE(SUBSTITUTE(SUBSTITUTE(SUBSTITUTE(TRIM(G50),"　","")," ",""),",",""),"，",""),"、","")),
IF(_xlpm.resp="",99,
SUMPRODUCT(--(ISNUMBER(SEARCH(_xlpm.opts,_xlpm.ans))&lt;&gt;ISNUMBER(SEARCH(_xlpm.opts,_xlpm.resp)))))
)</f>
        <v>0</v>
      </c>
      <c r="M50" s="7">
        <f t="shared" si="35"/>
        <v>3</v>
      </c>
      <c r="N50" s="7">
        <f t="shared" si="34"/>
        <v>3</v>
      </c>
      <c r="O50" s="7">
        <f t="shared" si="34"/>
        <v>3</v>
      </c>
      <c r="P50" s="7">
        <f t="shared" si="34"/>
        <v>1.8</v>
      </c>
      <c r="Q50" s="7">
        <f t="shared" si="34"/>
        <v>3</v>
      </c>
      <c r="R50" s="11"/>
      <c r="S50" s="11"/>
      <c r="T50" s="11"/>
      <c r="U50" s="11"/>
      <c r="V50" s="11"/>
      <c r="W50" s="11"/>
      <c r="X50" s="11"/>
      <c r="Y50" s="11"/>
      <c r="Z50" s="11"/>
    </row>
    <row r="51" spans="1:26" ht="15.75" customHeight="1">
      <c r="A51" s="46" t="s">
        <v>261</v>
      </c>
      <c r="B51" s="47" t="s">
        <v>262</v>
      </c>
      <c r="C51" s="50" t="s">
        <v>42</v>
      </c>
      <c r="D51" s="50" t="s">
        <v>42</v>
      </c>
      <c r="E51" s="50" t="s">
        <v>42</v>
      </c>
      <c r="F51" s="50" t="s">
        <v>55</v>
      </c>
      <c r="G51" s="50" t="s">
        <v>42</v>
      </c>
      <c r="H51" s="53" cm="1">
        <f t="array" ref="H51">_xlfn.LET(
_xlpm.opts,{"A","B","C","D","E"},
_xlpm.ans,UPPER(SUBSTITUTE(SUBSTITUTE(SUBSTITUTE(SUBSTITUTE(SUBSTITUTE(TRIM($B51),"　","")," ",""),",",""),"，",""),"、","")),
_xlpm.resp,UPPER(SUBSTITUTE(SUBSTITUTE(SUBSTITUTE(SUBSTITUTE(SUBSTITUTE(TRIM(C51),"　","")," ",""),",",""),"，",""),"、","")),
IF(_xlpm.resp="",99,
SUMPRODUCT(--(ISNUMBER(SEARCH(_xlpm.opts,_xlpm.ans))&lt;&gt;ISNUMBER(SEARCH(_xlpm.opts,_xlpm.resp)))))
)</f>
        <v>1</v>
      </c>
      <c r="I51" s="53" cm="1">
        <f t="array" ref="I51">_xlfn.LET(
_xlpm.opts,{"A","B","C","D","E"},
_xlpm.ans,UPPER(SUBSTITUTE(SUBSTITUTE(SUBSTITUTE(SUBSTITUTE(SUBSTITUTE(TRIM($B51),"　","")," ",""),",",""),"，",""),"、","")),
_xlpm.resp,UPPER(SUBSTITUTE(SUBSTITUTE(SUBSTITUTE(SUBSTITUTE(SUBSTITUTE(TRIM(D51),"　","")," ",""),",",""),"，",""),"、","")),
IF(_xlpm.resp="",99,
SUMPRODUCT(--(ISNUMBER(SEARCH(_xlpm.opts,_xlpm.ans))&lt;&gt;ISNUMBER(SEARCH(_xlpm.opts,_xlpm.resp)))))
)</f>
        <v>1</v>
      </c>
      <c r="J51" s="53" cm="1">
        <f t="array" ref="J51">_xlfn.LET(
_xlpm.opts,{"A","B","C","D","E"},
_xlpm.ans,UPPER(SUBSTITUTE(SUBSTITUTE(SUBSTITUTE(SUBSTITUTE(SUBSTITUTE(TRIM($B51),"　","")," ",""),",",""),"，",""),"、","")),
_xlpm.resp,UPPER(SUBSTITUTE(SUBSTITUTE(SUBSTITUTE(SUBSTITUTE(SUBSTITUTE(TRIM(E51),"　","")," ",""),",",""),"，",""),"、","")),
IF(_xlpm.resp="",99,
SUMPRODUCT(--(ISNUMBER(SEARCH(_xlpm.opts,_xlpm.ans))&lt;&gt;ISNUMBER(SEARCH(_xlpm.opts,_xlpm.resp)))))
)</f>
        <v>1</v>
      </c>
      <c r="K51" s="53" cm="1">
        <f t="array" ref="K51">_xlfn.LET(
_xlpm.opts,{"A","B","C","D","E"},
_xlpm.ans,UPPER(SUBSTITUTE(SUBSTITUTE(SUBSTITUTE(SUBSTITUTE(SUBSTITUTE(TRIM($B51),"　","")," ",""),",",""),"，",""),"、","")),
_xlpm.resp,UPPER(SUBSTITUTE(SUBSTITUTE(SUBSTITUTE(SUBSTITUTE(SUBSTITUTE(TRIM(F51),"　","")," ",""),",",""),"，",""),"、","")),
IF(_xlpm.resp="",99,
SUMPRODUCT(--(ISNUMBER(SEARCH(_xlpm.opts,_xlpm.ans))&lt;&gt;ISNUMBER(SEARCH(_xlpm.opts,_xlpm.resp)))))
)</f>
        <v>0</v>
      </c>
      <c r="L51" s="53" cm="1">
        <f t="array" ref="L51">_xlfn.LET(
_xlpm.opts,{"A","B","C","D","E"},
_xlpm.ans,UPPER(SUBSTITUTE(SUBSTITUTE(SUBSTITUTE(SUBSTITUTE(SUBSTITUTE(TRIM($B51),"　","")," ",""),",",""),"，",""),"、","")),
_xlpm.resp,UPPER(SUBSTITUTE(SUBSTITUTE(SUBSTITUTE(SUBSTITUTE(SUBSTITUTE(TRIM(G51),"　","")," ",""),",",""),"，",""),"、","")),
IF(_xlpm.resp="",99,
SUMPRODUCT(--(ISNUMBER(SEARCH(_xlpm.opts,_xlpm.ans))&lt;&gt;ISNUMBER(SEARCH(_xlpm.opts,_xlpm.resp)))))
)</f>
        <v>1</v>
      </c>
      <c r="M51" s="7">
        <f t="shared" si="35"/>
        <v>1.8</v>
      </c>
      <c r="N51" s="7">
        <f t="shared" si="34"/>
        <v>1.8</v>
      </c>
      <c r="O51" s="7">
        <f t="shared" si="34"/>
        <v>1.8</v>
      </c>
      <c r="P51" s="7">
        <f t="shared" si="34"/>
        <v>3</v>
      </c>
      <c r="Q51" s="7">
        <f t="shared" si="34"/>
        <v>1.8</v>
      </c>
      <c r="R51" s="11"/>
      <c r="S51" s="11"/>
      <c r="T51" s="11"/>
      <c r="U51" s="11"/>
      <c r="V51" s="11"/>
      <c r="W51" s="11"/>
      <c r="X51" s="11"/>
      <c r="Y51" s="11"/>
      <c r="Z51" s="11"/>
    </row>
    <row r="52" spans="1:26" ht="15.75" customHeight="1">
      <c r="A52" s="46" t="s">
        <v>263</v>
      </c>
      <c r="B52" s="47" t="s">
        <v>264</v>
      </c>
      <c r="C52" s="50" t="s">
        <v>97</v>
      </c>
      <c r="D52" s="50" t="s">
        <v>97</v>
      </c>
      <c r="E52" s="50" t="s">
        <v>54</v>
      </c>
      <c r="F52" s="50" t="s">
        <v>132</v>
      </c>
      <c r="G52" s="50" t="s">
        <v>132</v>
      </c>
      <c r="H52" s="53" cm="1">
        <f t="array" ref="H52">_xlfn.LET(
_xlpm.opts,{"A","B","C","D","E"},
_xlpm.ans,UPPER(SUBSTITUTE(SUBSTITUTE(SUBSTITUTE(SUBSTITUTE(SUBSTITUTE(TRIM($B52),"　","")," ",""),",",""),"，",""),"、","")),
_xlpm.resp,UPPER(SUBSTITUTE(SUBSTITUTE(SUBSTITUTE(SUBSTITUTE(SUBSTITUTE(TRIM(C52),"　","")," ",""),",",""),"，",""),"、","")),
IF(_xlpm.resp="",99,
SUMPRODUCT(--(ISNUMBER(SEARCH(_xlpm.opts,_xlpm.ans))&lt;&gt;ISNUMBER(SEARCH(_xlpm.opts,_xlpm.resp)))))
)</f>
        <v>1</v>
      </c>
      <c r="I52" s="53" cm="1">
        <f t="array" ref="I52">_xlfn.LET(
_xlpm.opts,{"A","B","C","D","E"},
_xlpm.ans,UPPER(SUBSTITUTE(SUBSTITUTE(SUBSTITUTE(SUBSTITUTE(SUBSTITUTE(TRIM($B52),"　","")," ",""),",",""),"，",""),"、","")),
_xlpm.resp,UPPER(SUBSTITUTE(SUBSTITUTE(SUBSTITUTE(SUBSTITUTE(SUBSTITUTE(TRIM(D52),"　","")," ",""),",",""),"，",""),"、","")),
IF(_xlpm.resp="",99,
SUMPRODUCT(--(ISNUMBER(SEARCH(_xlpm.opts,_xlpm.ans))&lt;&gt;ISNUMBER(SEARCH(_xlpm.opts,_xlpm.resp)))))
)</f>
        <v>1</v>
      </c>
      <c r="J52" s="53" cm="1">
        <f t="array" ref="J52">_xlfn.LET(
_xlpm.opts,{"A","B","C","D","E"},
_xlpm.ans,UPPER(SUBSTITUTE(SUBSTITUTE(SUBSTITUTE(SUBSTITUTE(SUBSTITUTE(TRIM($B52),"　","")," ",""),",",""),"，",""),"、","")),
_xlpm.resp,UPPER(SUBSTITUTE(SUBSTITUTE(SUBSTITUTE(SUBSTITUTE(SUBSTITUTE(TRIM(E52),"　","")," ",""),",",""),"，",""),"、","")),
IF(_xlpm.resp="",99,
SUMPRODUCT(--(ISNUMBER(SEARCH(_xlpm.opts,_xlpm.ans))&lt;&gt;ISNUMBER(SEARCH(_xlpm.opts,_xlpm.resp)))))
)</f>
        <v>2</v>
      </c>
      <c r="K52" s="53" cm="1">
        <f t="array" ref="K52">_xlfn.LET(
_xlpm.opts,{"A","B","C","D","E"},
_xlpm.ans,UPPER(SUBSTITUTE(SUBSTITUTE(SUBSTITUTE(SUBSTITUTE(SUBSTITUTE(TRIM($B52),"　","")," ",""),",",""),"，",""),"、","")),
_xlpm.resp,UPPER(SUBSTITUTE(SUBSTITUTE(SUBSTITUTE(SUBSTITUTE(SUBSTITUTE(TRIM(F52),"　","")," ",""),",",""),"，",""),"、","")),
IF(_xlpm.resp="",99,
SUMPRODUCT(--(ISNUMBER(SEARCH(_xlpm.opts,_xlpm.ans))&lt;&gt;ISNUMBER(SEARCH(_xlpm.opts,_xlpm.resp)))))
)</f>
        <v>0</v>
      </c>
      <c r="L52" s="53" cm="1">
        <f t="array" ref="L52">_xlfn.LET(
_xlpm.opts,{"A","B","C","D","E"},
_xlpm.ans,UPPER(SUBSTITUTE(SUBSTITUTE(SUBSTITUTE(SUBSTITUTE(SUBSTITUTE(TRIM($B52),"　","")," ",""),",",""),"，",""),"、","")),
_xlpm.resp,UPPER(SUBSTITUTE(SUBSTITUTE(SUBSTITUTE(SUBSTITUTE(SUBSTITUTE(TRIM(G52),"　","")," ",""),",",""),"，",""),"、","")),
IF(_xlpm.resp="",99,
SUMPRODUCT(--(ISNUMBER(SEARCH(_xlpm.opts,_xlpm.ans))&lt;&gt;ISNUMBER(SEARCH(_xlpm.opts,_xlpm.resp)))))
)</f>
        <v>0</v>
      </c>
      <c r="M52" s="7">
        <f t="shared" si="35"/>
        <v>1.8</v>
      </c>
      <c r="N52" s="7">
        <f t="shared" si="34"/>
        <v>1.8</v>
      </c>
      <c r="O52" s="7">
        <f t="shared" si="34"/>
        <v>0.6</v>
      </c>
      <c r="P52" s="7">
        <f t="shared" si="34"/>
        <v>3</v>
      </c>
      <c r="Q52" s="7">
        <f t="shared" si="34"/>
        <v>3</v>
      </c>
      <c r="R52" s="11"/>
      <c r="S52" s="11"/>
      <c r="T52" s="11"/>
      <c r="U52" s="11"/>
      <c r="V52" s="11"/>
      <c r="W52" s="11"/>
      <c r="X52" s="11"/>
      <c r="Y52" s="11"/>
      <c r="Z52" s="11"/>
    </row>
    <row r="53" spans="1:26" ht="15.75" customHeight="1">
      <c r="A53" s="46" t="s">
        <v>265</v>
      </c>
      <c r="B53" s="47" t="s">
        <v>266</v>
      </c>
      <c r="C53" s="47" t="s">
        <v>266</v>
      </c>
      <c r="D53" s="50" t="s">
        <v>89</v>
      </c>
      <c r="E53" s="50" t="s">
        <v>89</v>
      </c>
      <c r="F53" s="50" t="s">
        <v>89</v>
      </c>
      <c r="G53" s="50" t="s">
        <v>89</v>
      </c>
      <c r="H53" s="53" cm="1">
        <f t="array" ref="H53">_xlfn.LET(
_xlpm.opts,{"A","B","C","D","E"},
_xlpm.ans,UPPER(SUBSTITUTE(SUBSTITUTE(SUBSTITUTE(SUBSTITUTE(SUBSTITUTE(TRIM($B53),"　","")," ",""),",",""),"，",""),"、","")),
_xlpm.resp,UPPER(SUBSTITUTE(SUBSTITUTE(SUBSTITUTE(SUBSTITUTE(SUBSTITUTE(TRIM(C53),"　","")," ",""),",",""),"，",""),"、","")),
IF(_xlpm.resp="",99,
SUMPRODUCT(--(ISNUMBER(SEARCH(_xlpm.opts,_xlpm.ans))&lt;&gt;ISNUMBER(SEARCH(_xlpm.opts,_xlpm.resp)))))
)</f>
        <v>0</v>
      </c>
      <c r="I53" s="53" cm="1">
        <f t="array" ref="I53">_xlfn.LET(
_xlpm.opts,{"A","B","C","D","E"},
_xlpm.ans,UPPER(SUBSTITUTE(SUBSTITUTE(SUBSTITUTE(SUBSTITUTE(SUBSTITUTE(TRIM($B53),"　","")," ",""),",",""),"，",""),"、","")),
_xlpm.resp,UPPER(SUBSTITUTE(SUBSTITUTE(SUBSTITUTE(SUBSTITUTE(SUBSTITUTE(TRIM(D53),"　","")," ",""),",",""),"，",""),"、","")),
IF(_xlpm.resp="",99,
SUMPRODUCT(--(ISNUMBER(SEARCH(_xlpm.opts,_xlpm.ans))&lt;&gt;ISNUMBER(SEARCH(_xlpm.opts,_xlpm.resp)))))
)</f>
        <v>0</v>
      </c>
      <c r="J53" s="53" cm="1">
        <f t="array" ref="J53">_xlfn.LET(
_xlpm.opts,{"A","B","C","D","E"},
_xlpm.ans,UPPER(SUBSTITUTE(SUBSTITUTE(SUBSTITUTE(SUBSTITUTE(SUBSTITUTE(TRIM($B53),"　","")," ",""),",",""),"，",""),"、","")),
_xlpm.resp,UPPER(SUBSTITUTE(SUBSTITUTE(SUBSTITUTE(SUBSTITUTE(SUBSTITUTE(TRIM(E53),"　","")," ",""),",",""),"，",""),"、","")),
IF(_xlpm.resp="",99,
SUMPRODUCT(--(ISNUMBER(SEARCH(_xlpm.opts,_xlpm.ans))&lt;&gt;ISNUMBER(SEARCH(_xlpm.opts,_xlpm.resp)))))
)</f>
        <v>0</v>
      </c>
      <c r="K53" s="53" cm="1">
        <f t="array" ref="K53">_xlfn.LET(
_xlpm.opts,{"A","B","C","D","E"},
_xlpm.ans,UPPER(SUBSTITUTE(SUBSTITUTE(SUBSTITUTE(SUBSTITUTE(SUBSTITUTE(TRIM($B53),"　","")," ",""),",",""),"，",""),"、","")),
_xlpm.resp,UPPER(SUBSTITUTE(SUBSTITUTE(SUBSTITUTE(SUBSTITUTE(SUBSTITUTE(TRIM(F53),"　","")," ",""),",",""),"，",""),"、","")),
IF(_xlpm.resp="",99,
SUMPRODUCT(--(ISNUMBER(SEARCH(_xlpm.opts,_xlpm.ans))&lt;&gt;ISNUMBER(SEARCH(_xlpm.opts,_xlpm.resp)))))
)</f>
        <v>0</v>
      </c>
      <c r="L53" s="53" cm="1">
        <f t="array" ref="L53">_xlfn.LET(
_xlpm.opts,{"A","B","C","D","E"},
_xlpm.ans,UPPER(SUBSTITUTE(SUBSTITUTE(SUBSTITUTE(SUBSTITUTE(SUBSTITUTE(TRIM($B53),"　","")," ",""),",",""),"，",""),"、","")),
_xlpm.resp,UPPER(SUBSTITUTE(SUBSTITUTE(SUBSTITUTE(SUBSTITUTE(SUBSTITUTE(TRIM(G53),"　","")," ",""),",",""),"，",""),"、","")),
IF(_xlpm.resp="",99,
SUMPRODUCT(--(ISNUMBER(SEARCH(_xlpm.opts,_xlpm.ans))&lt;&gt;ISNUMBER(SEARCH(_xlpm.opts,_xlpm.resp)))))
)</f>
        <v>0</v>
      </c>
      <c r="M53" s="7">
        <f t="shared" si="35"/>
        <v>3</v>
      </c>
      <c r="N53" s="7">
        <f t="shared" si="34"/>
        <v>3</v>
      </c>
      <c r="O53" s="7">
        <f t="shared" si="34"/>
        <v>3</v>
      </c>
      <c r="P53" s="7">
        <f t="shared" si="34"/>
        <v>3</v>
      </c>
      <c r="Q53" s="7">
        <f t="shared" si="34"/>
        <v>3</v>
      </c>
      <c r="R53" s="11"/>
      <c r="S53" s="11"/>
      <c r="T53" s="11"/>
      <c r="U53" s="11"/>
      <c r="V53" s="11"/>
      <c r="W53" s="11"/>
      <c r="X53" s="11"/>
      <c r="Y53" s="11"/>
      <c r="Z53" s="11"/>
    </row>
    <row r="54" spans="1:26" ht="15.75" customHeight="1">
      <c r="A54" s="46" t="s">
        <v>267</v>
      </c>
      <c r="B54" s="47" t="s">
        <v>268</v>
      </c>
      <c r="C54" s="47" t="s">
        <v>130</v>
      </c>
      <c r="D54" s="50" t="s">
        <v>97</v>
      </c>
      <c r="E54" s="50" t="s">
        <v>17</v>
      </c>
      <c r="F54" s="55" t="s">
        <v>102</v>
      </c>
      <c r="G54" s="50" t="s">
        <v>102</v>
      </c>
      <c r="H54" s="53" cm="1">
        <f t="array" ref="H54">_xlfn.LET(
_xlpm.opts,{"A","B","C","D","E"},
_xlpm.ans,UPPER(SUBSTITUTE(SUBSTITUTE(SUBSTITUTE(SUBSTITUTE(SUBSTITUTE(TRIM($B54),"　","")," ",""),",",""),"，",""),"、","")),
_xlpm.resp,UPPER(SUBSTITUTE(SUBSTITUTE(SUBSTITUTE(SUBSTITUTE(SUBSTITUTE(TRIM(C54),"　","")," ",""),",",""),"，",""),"、","")),
IF(_xlpm.resp="",99,
SUMPRODUCT(--(ISNUMBER(SEARCH(_xlpm.opts,_xlpm.ans))&lt;&gt;ISNUMBER(SEARCH(_xlpm.opts,_xlpm.resp)))))
)</f>
        <v>2</v>
      </c>
      <c r="I54" s="53" cm="1">
        <f t="array" ref="I54">_xlfn.LET(
_xlpm.opts,{"A","B","C","D","E"},
_xlpm.ans,UPPER(SUBSTITUTE(SUBSTITUTE(SUBSTITUTE(SUBSTITUTE(SUBSTITUTE(TRIM($B54),"　","")," ",""),",",""),"，",""),"、","")),
_xlpm.resp,UPPER(SUBSTITUTE(SUBSTITUTE(SUBSTITUTE(SUBSTITUTE(SUBSTITUTE(TRIM(D54),"　","")," ",""),",",""),"，",""),"、","")),
IF(_xlpm.resp="",99,
SUMPRODUCT(--(ISNUMBER(SEARCH(_xlpm.opts,_xlpm.ans))&lt;&gt;ISNUMBER(SEARCH(_xlpm.opts,_xlpm.resp)))))
)</f>
        <v>2</v>
      </c>
      <c r="J54" s="53" cm="1">
        <f t="array" ref="J54">_xlfn.LET(
_xlpm.opts,{"A","B","C","D","E"},
_xlpm.ans,UPPER(SUBSTITUTE(SUBSTITUTE(SUBSTITUTE(SUBSTITUTE(SUBSTITUTE(TRIM($B54),"　","")," ",""),",",""),"，",""),"、","")),
_xlpm.resp,UPPER(SUBSTITUTE(SUBSTITUTE(SUBSTITUTE(SUBSTITUTE(SUBSTITUTE(TRIM(E54),"　","")," ",""),",",""),"，",""),"、","")),
IF(_xlpm.resp="",99,
SUMPRODUCT(--(ISNUMBER(SEARCH(_xlpm.opts,_xlpm.ans))&lt;&gt;ISNUMBER(SEARCH(_xlpm.opts,_xlpm.resp)))))
)</f>
        <v>1</v>
      </c>
      <c r="K54" s="53" cm="1">
        <f t="array" ref="K54">_xlfn.LET(
_xlpm.opts,{"A","B","C","D","E"},
_xlpm.ans,UPPER(SUBSTITUTE(SUBSTITUTE(SUBSTITUTE(SUBSTITUTE(SUBSTITUTE(TRIM($B54),"　","")," ",""),",",""),"，",""),"、","")),
_xlpm.resp,UPPER(SUBSTITUTE(SUBSTITUTE(SUBSTITUTE(SUBSTITUTE(SUBSTITUTE(TRIM(F54),"　","")," ",""),",",""),"，",""),"、","")),
IF(_xlpm.resp="",99,
SUMPRODUCT(--(ISNUMBER(SEARCH(_xlpm.opts,_xlpm.ans))&lt;&gt;ISNUMBER(SEARCH(_xlpm.opts,_xlpm.resp)))))
)</f>
        <v>0</v>
      </c>
      <c r="L54" s="53" cm="1">
        <f t="array" ref="L54">_xlfn.LET(
_xlpm.opts,{"A","B","C","D","E"},
_xlpm.ans,UPPER(SUBSTITUTE(SUBSTITUTE(SUBSTITUTE(SUBSTITUTE(SUBSTITUTE(TRIM($B54),"　","")," ",""),",",""),"，",""),"、","")),
_xlpm.resp,UPPER(SUBSTITUTE(SUBSTITUTE(SUBSTITUTE(SUBSTITUTE(SUBSTITUTE(TRIM(G54),"　","")," ",""),",",""),"，",""),"、","")),
IF(_xlpm.resp="",99,
SUMPRODUCT(--(ISNUMBER(SEARCH(_xlpm.opts,_xlpm.ans))&lt;&gt;ISNUMBER(SEARCH(_xlpm.opts,_xlpm.resp)))))
)</f>
        <v>0</v>
      </c>
      <c r="M54" s="7">
        <f t="shared" si="35"/>
        <v>0.6</v>
      </c>
      <c r="N54" s="7">
        <f t="shared" si="34"/>
        <v>0.6</v>
      </c>
      <c r="O54" s="7">
        <f t="shared" si="34"/>
        <v>1.8</v>
      </c>
      <c r="P54" s="7">
        <f t="shared" si="34"/>
        <v>3</v>
      </c>
      <c r="Q54" s="7">
        <f t="shared" si="34"/>
        <v>3</v>
      </c>
      <c r="R54" s="11"/>
      <c r="S54" s="11"/>
      <c r="T54" s="11"/>
      <c r="U54" s="11"/>
      <c r="V54" s="11"/>
      <c r="W54" s="11"/>
      <c r="X54" s="11"/>
      <c r="Y54" s="11"/>
      <c r="Z54" s="11"/>
    </row>
    <row r="55" spans="1:26" ht="15.75" customHeight="1">
      <c r="A55" s="24"/>
      <c r="B55" s="25"/>
      <c r="C55" s="26"/>
      <c r="D55" s="26"/>
      <c r="E55" s="26"/>
      <c r="F55" s="26"/>
      <c r="G55" s="26"/>
      <c r="H55" s="26"/>
      <c r="I55" s="26"/>
      <c r="J55" s="26"/>
      <c r="K55" s="26"/>
      <c r="L55" s="26"/>
      <c r="M55" s="27"/>
      <c r="N55" s="27"/>
      <c r="O55" s="27"/>
      <c r="P55" s="27"/>
      <c r="Q55" s="27"/>
      <c r="R55" s="11"/>
      <c r="S55" s="11"/>
      <c r="T55" s="11"/>
      <c r="U55" s="11"/>
      <c r="V55" s="11"/>
      <c r="W55" s="11"/>
      <c r="X55" s="11"/>
      <c r="Y55" s="11"/>
      <c r="Z55" s="11"/>
    </row>
    <row r="56" spans="1:26" ht="15.75" customHeight="1">
      <c r="A56" s="24"/>
      <c r="B56" s="25"/>
      <c r="C56" s="26"/>
      <c r="D56" s="26"/>
      <c r="E56" s="26"/>
      <c r="F56" s="26"/>
      <c r="G56" s="26"/>
      <c r="H56" s="26"/>
      <c r="I56" s="26"/>
      <c r="J56" s="26"/>
      <c r="K56" s="26"/>
      <c r="L56" s="26"/>
      <c r="M56" s="27"/>
      <c r="N56" s="27"/>
      <c r="O56" s="27"/>
      <c r="P56" s="27"/>
      <c r="Q56" s="27"/>
      <c r="R56" s="11"/>
      <c r="S56" s="11"/>
      <c r="T56" s="11"/>
      <c r="U56" s="11"/>
      <c r="V56" s="11"/>
      <c r="W56" s="11"/>
      <c r="X56" s="11"/>
      <c r="Y56" s="11"/>
      <c r="Z56" s="11"/>
    </row>
    <row r="57" spans="1:26" ht="15.75" customHeight="1">
      <c r="A57" s="24"/>
      <c r="B57" s="25"/>
      <c r="C57" s="26"/>
      <c r="D57" s="26"/>
      <c r="E57" s="26"/>
      <c r="F57" s="26"/>
      <c r="G57" s="26"/>
      <c r="H57" s="26"/>
      <c r="I57" s="26"/>
      <c r="J57" s="26"/>
      <c r="K57" s="26"/>
      <c r="L57" s="26"/>
      <c r="M57" s="27"/>
      <c r="N57" s="27"/>
      <c r="O57" s="27"/>
      <c r="P57" s="27"/>
      <c r="Q57" s="27"/>
      <c r="R57" s="11"/>
      <c r="S57" s="11"/>
      <c r="T57" s="11"/>
      <c r="U57" s="11"/>
      <c r="V57" s="11"/>
      <c r="W57" s="11"/>
      <c r="X57" s="11"/>
      <c r="Y57" s="11"/>
      <c r="Z57" s="11"/>
    </row>
    <row r="58" spans="1:26" ht="15.75" customHeight="1">
      <c r="A58" s="24"/>
      <c r="B58" s="25"/>
      <c r="C58" s="26"/>
      <c r="D58" s="26"/>
      <c r="E58" s="26"/>
      <c r="F58" s="26"/>
      <c r="G58" s="26"/>
      <c r="H58" s="26"/>
      <c r="I58" s="26"/>
      <c r="J58" s="26"/>
      <c r="K58" s="26"/>
      <c r="L58" s="26"/>
      <c r="M58" s="27"/>
      <c r="N58" s="27"/>
      <c r="O58" s="27"/>
      <c r="P58" s="27"/>
      <c r="Q58" s="27"/>
      <c r="R58" s="11"/>
      <c r="S58" s="11"/>
      <c r="T58" s="11"/>
      <c r="U58" s="11"/>
      <c r="V58" s="11"/>
      <c r="W58" s="11"/>
      <c r="X58" s="11"/>
      <c r="Y58" s="11"/>
      <c r="Z58" s="11"/>
    </row>
    <row r="59" spans="1:26" ht="15.75" customHeight="1">
      <c r="A59" s="24"/>
      <c r="B59" s="25"/>
      <c r="C59" s="26"/>
      <c r="D59" s="26"/>
      <c r="E59" s="26"/>
      <c r="F59" s="26"/>
      <c r="G59" s="26"/>
      <c r="H59" s="26"/>
      <c r="I59" s="26"/>
      <c r="J59" s="26"/>
      <c r="K59" s="26"/>
      <c r="L59" s="26"/>
      <c r="M59" s="27"/>
      <c r="N59" s="27"/>
      <c r="O59" s="27"/>
      <c r="P59" s="27"/>
      <c r="Q59" s="27"/>
      <c r="R59" s="11"/>
      <c r="S59" s="11"/>
      <c r="T59" s="11"/>
      <c r="U59" s="11"/>
      <c r="V59" s="11"/>
      <c r="W59" s="11"/>
      <c r="X59" s="11"/>
      <c r="Y59" s="11"/>
      <c r="Z59" s="11"/>
    </row>
    <row r="60" spans="1:26" ht="15.75" customHeight="1">
      <c r="A60" s="24"/>
      <c r="B60" s="25"/>
      <c r="C60" s="26"/>
      <c r="D60" s="26"/>
      <c r="E60" s="26"/>
      <c r="F60" s="26"/>
      <c r="G60" s="26"/>
      <c r="H60" s="26"/>
      <c r="I60" s="26"/>
      <c r="J60" s="26"/>
      <c r="K60" s="26"/>
      <c r="L60" s="26"/>
      <c r="M60" s="27"/>
      <c r="N60" s="27"/>
      <c r="O60" s="27"/>
      <c r="P60" s="27"/>
      <c r="Q60" s="27"/>
      <c r="R60" s="11"/>
      <c r="S60" s="11"/>
      <c r="T60" s="11"/>
      <c r="U60" s="11"/>
      <c r="V60" s="11"/>
      <c r="W60" s="11"/>
      <c r="X60" s="11"/>
      <c r="Y60" s="11"/>
      <c r="Z60" s="11"/>
    </row>
    <row r="61" spans="1:26" ht="15.75" customHeight="1">
      <c r="A61" s="24"/>
      <c r="B61" s="25"/>
      <c r="C61" s="26"/>
      <c r="D61" s="26"/>
      <c r="E61" s="26"/>
      <c r="F61" s="26"/>
      <c r="G61" s="26"/>
      <c r="H61" s="26"/>
      <c r="I61" s="26"/>
      <c r="J61" s="26"/>
      <c r="K61" s="26"/>
      <c r="L61" s="26"/>
      <c r="M61" s="27"/>
      <c r="N61" s="27"/>
      <c r="O61" s="27"/>
      <c r="P61" s="27"/>
      <c r="Q61" s="27"/>
      <c r="R61" s="11"/>
      <c r="S61" s="11"/>
      <c r="T61" s="11"/>
      <c r="U61" s="11"/>
      <c r="V61" s="11"/>
      <c r="W61" s="11"/>
      <c r="X61" s="11"/>
      <c r="Y61" s="11"/>
      <c r="Z61" s="11"/>
    </row>
    <row r="62" spans="1:26" ht="15.75" customHeight="1">
      <c r="A62" s="24"/>
      <c r="B62" s="25"/>
      <c r="C62" s="26"/>
      <c r="D62" s="26"/>
      <c r="E62" s="26"/>
      <c r="F62" s="26"/>
      <c r="G62" s="26"/>
      <c r="H62" s="26"/>
      <c r="I62" s="26"/>
      <c r="J62" s="26"/>
      <c r="K62" s="26"/>
      <c r="L62" s="26"/>
      <c r="M62" s="27"/>
      <c r="N62" s="27"/>
      <c r="O62" s="27"/>
      <c r="P62" s="27"/>
      <c r="Q62" s="27"/>
      <c r="R62" s="11"/>
      <c r="S62" s="11"/>
      <c r="T62" s="11"/>
      <c r="U62" s="11"/>
      <c r="V62" s="11"/>
      <c r="W62" s="11"/>
      <c r="X62" s="11"/>
      <c r="Y62" s="11"/>
      <c r="Z62" s="11"/>
    </row>
    <row r="63" spans="1:26" ht="15.75" customHeight="1">
      <c r="A63" s="24"/>
      <c r="B63" s="25"/>
      <c r="C63" s="26"/>
      <c r="D63" s="26"/>
      <c r="E63" s="26"/>
      <c r="F63" s="26"/>
      <c r="G63" s="26"/>
      <c r="H63" s="26"/>
      <c r="I63" s="26"/>
      <c r="J63" s="26"/>
      <c r="K63" s="26"/>
      <c r="L63" s="26"/>
      <c r="M63" s="27"/>
      <c r="N63" s="27"/>
      <c r="O63" s="27"/>
      <c r="P63" s="27"/>
      <c r="Q63" s="27"/>
      <c r="R63" s="11"/>
      <c r="S63" s="11"/>
      <c r="T63" s="11"/>
      <c r="U63" s="11"/>
      <c r="V63" s="11"/>
      <c r="W63" s="11"/>
      <c r="X63" s="11"/>
      <c r="Y63" s="11"/>
      <c r="Z63" s="11"/>
    </row>
    <row r="64" spans="1:26" ht="15.75" customHeight="1">
      <c r="A64" s="24"/>
      <c r="B64" s="25"/>
      <c r="C64" s="26"/>
      <c r="D64" s="26"/>
      <c r="E64" s="26"/>
      <c r="F64" s="26"/>
      <c r="G64" s="26"/>
      <c r="H64" s="26"/>
      <c r="I64" s="26"/>
      <c r="J64" s="26"/>
      <c r="K64" s="26"/>
      <c r="L64" s="26"/>
      <c r="M64" s="27"/>
      <c r="N64" s="27"/>
      <c r="O64" s="27"/>
      <c r="P64" s="27"/>
      <c r="Q64" s="27"/>
      <c r="R64" s="11"/>
      <c r="S64" s="11"/>
      <c r="T64" s="11"/>
      <c r="U64" s="11"/>
      <c r="V64" s="11"/>
      <c r="W64" s="11"/>
      <c r="X64" s="11"/>
      <c r="Y64" s="11"/>
      <c r="Z64" s="11"/>
    </row>
    <row r="65" spans="1:26" ht="15.75" customHeight="1">
      <c r="A65" s="24"/>
      <c r="B65" s="25"/>
      <c r="C65" s="26"/>
      <c r="D65" s="26"/>
      <c r="E65" s="26"/>
      <c r="F65" s="26"/>
      <c r="G65" s="26"/>
      <c r="H65" s="26"/>
      <c r="I65" s="26"/>
      <c r="J65" s="26"/>
      <c r="K65" s="26"/>
      <c r="L65" s="26"/>
      <c r="M65" s="27"/>
      <c r="N65" s="27"/>
      <c r="O65" s="27"/>
      <c r="P65" s="27"/>
      <c r="Q65" s="27"/>
      <c r="R65" s="11"/>
      <c r="S65" s="11"/>
      <c r="T65" s="11"/>
      <c r="U65" s="11"/>
      <c r="V65" s="11"/>
      <c r="W65" s="11"/>
      <c r="X65" s="11"/>
      <c r="Y65" s="11"/>
      <c r="Z65" s="11"/>
    </row>
    <row r="66" spans="1:26" ht="15.75" customHeight="1">
      <c r="A66" s="24"/>
      <c r="B66" s="25"/>
      <c r="C66" s="25"/>
      <c r="D66" s="25"/>
      <c r="E66" s="25"/>
      <c r="F66" s="25"/>
      <c r="G66" s="25"/>
      <c r="H66" s="26"/>
      <c r="I66" s="26"/>
      <c r="J66" s="26"/>
      <c r="K66" s="26"/>
      <c r="L66" s="26"/>
      <c r="M66" s="27"/>
      <c r="N66" s="27"/>
      <c r="O66" s="27"/>
      <c r="P66" s="27"/>
      <c r="Q66" s="27"/>
      <c r="R66" s="11"/>
      <c r="S66" s="11"/>
      <c r="T66" s="11"/>
      <c r="U66" s="11"/>
      <c r="V66" s="11"/>
      <c r="W66" s="11"/>
      <c r="X66" s="11"/>
      <c r="Y66" s="11"/>
      <c r="Z66" s="11"/>
    </row>
    <row r="67" spans="1:26" ht="15.75" customHeight="1">
      <c r="A67" s="24"/>
      <c r="B67" s="25"/>
      <c r="C67" s="26"/>
      <c r="D67" s="26"/>
      <c r="E67" s="26"/>
      <c r="F67" s="26"/>
      <c r="G67" s="26"/>
      <c r="H67" s="25"/>
      <c r="I67" s="25"/>
      <c r="J67" s="25"/>
      <c r="K67" s="25"/>
      <c r="L67" s="25"/>
      <c r="M67" s="27"/>
      <c r="N67" s="27"/>
      <c r="O67" s="27"/>
      <c r="P67" s="27"/>
      <c r="Q67" s="27"/>
      <c r="R67" s="11"/>
      <c r="S67" s="11"/>
      <c r="T67" s="11"/>
      <c r="U67" s="11"/>
      <c r="V67" s="11"/>
      <c r="W67" s="11"/>
      <c r="X67" s="11"/>
      <c r="Y67" s="11"/>
      <c r="Z67" s="11"/>
    </row>
    <row r="68" spans="1:26" ht="15.75" customHeight="1">
      <c r="A68" s="24"/>
      <c r="B68" s="25"/>
      <c r="C68" s="26"/>
      <c r="D68" s="26"/>
      <c r="E68" s="26"/>
      <c r="F68" s="26"/>
      <c r="G68" s="26"/>
      <c r="H68" s="26"/>
      <c r="I68" s="26"/>
      <c r="J68" s="26"/>
      <c r="K68" s="26"/>
      <c r="L68" s="26"/>
      <c r="M68" s="27"/>
      <c r="N68" s="27"/>
      <c r="O68" s="27"/>
      <c r="P68" s="27"/>
      <c r="Q68" s="27"/>
      <c r="R68" s="11"/>
      <c r="S68" s="11"/>
      <c r="T68" s="11"/>
      <c r="U68" s="11"/>
      <c r="V68" s="11"/>
      <c r="W68" s="11"/>
      <c r="X68" s="11"/>
      <c r="Y68" s="11"/>
      <c r="Z68" s="11"/>
    </row>
    <row r="69" spans="1:26" ht="15.75" customHeight="1">
      <c r="A69" s="24"/>
      <c r="B69" s="25"/>
      <c r="C69" s="26"/>
      <c r="D69" s="26"/>
      <c r="E69" s="26"/>
      <c r="F69" s="26"/>
      <c r="G69" s="26"/>
      <c r="H69" s="26"/>
      <c r="I69" s="26"/>
      <c r="J69" s="26"/>
      <c r="K69" s="26"/>
      <c r="L69" s="26"/>
      <c r="M69" s="27"/>
      <c r="N69" s="27"/>
      <c r="O69" s="27"/>
      <c r="P69" s="27"/>
      <c r="Q69" s="27"/>
      <c r="R69" s="11"/>
      <c r="S69" s="11"/>
      <c r="T69" s="11"/>
      <c r="U69" s="11"/>
      <c r="V69" s="11"/>
      <c r="W69" s="11"/>
      <c r="X69" s="11"/>
      <c r="Y69" s="11"/>
      <c r="Z69" s="11"/>
    </row>
    <row r="70" spans="1:26" ht="15.75" customHeight="1">
      <c r="A70" s="24"/>
      <c r="B70" s="25"/>
      <c r="C70" s="26"/>
      <c r="D70" s="26"/>
      <c r="E70" s="26"/>
      <c r="F70" s="26"/>
      <c r="G70" s="26"/>
      <c r="H70" s="26"/>
      <c r="I70" s="26"/>
      <c r="J70" s="26"/>
      <c r="K70" s="26"/>
      <c r="L70" s="26"/>
      <c r="M70" s="13"/>
      <c r="N70" s="13"/>
      <c r="O70" s="13"/>
      <c r="P70" s="26"/>
      <c r="Q70" s="26"/>
      <c r="R70" s="11"/>
      <c r="S70" s="11"/>
      <c r="T70" s="11"/>
      <c r="U70" s="11"/>
      <c r="V70" s="11"/>
      <c r="W70" s="11"/>
      <c r="X70" s="11"/>
      <c r="Y70" s="11"/>
      <c r="Z70" s="11"/>
    </row>
    <row r="71" spans="1:26" ht="15.75" customHeight="1">
      <c r="A71" s="24"/>
      <c r="B71" s="25"/>
      <c r="C71" s="26"/>
      <c r="D71" s="26"/>
      <c r="E71" s="26"/>
      <c r="F71" s="26"/>
      <c r="G71" s="26"/>
      <c r="H71" s="26"/>
      <c r="I71" s="26"/>
      <c r="J71" s="26"/>
      <c r="K71" s="26"/>
      <c r="L71" s="26"/>
      <c r="M71" s="29"/>
      <c r="N71" s="29"/>
      <c r="O71" s="29"/>
      <c r="P71" s="29"/>
      <c r="Q71" s="29"/>
      <c r="R71" s="11"/>
      <c r="S71" s="11"/>
      <c r="T71" s="11"/>
      <c r="U71" s="11"/>
      <c r="V71" s="11"/>
      <c r="W71" s="11"/>
      <c r="X71" s="11"/>
      <c r="Y71" s="11"/>
      <c r="Z71" s="11"/>
    </row>
    <row r="72" spans="1:26" ht="15.75" customHeight="1">
      <c r="A72" s="24"/>
      <c r="B72" s="25"/>
      <c r="C72" s="26"/>
      <c r="D72" s="26"/>
      <c r="E72" s="26"/>
      <c r="F72" s="26"/>
      <c r="G72" s="26"/>
      <c r="H72" s="26"/>
      <c r="I72" s="26"/>
      <c r="J72" s="26"/>
      <c r="K72" s="26"/>
      <c r="L72" s="26"/>
      <c r="M72" s="29"/>
      <c r="N72" s="29"/>
      <c r="O72" s="29"/>
      <c r="P72" s="29"/>
      <c r="Q72" s="29"/>
      <c r="R72" s="11"/>
      <c r="S72" s="11"/>
      <c r="T72" s="11"/>
      <c r="U72" s="11"/>
      <c r="V72" s="11"/>
      <c r="W72" s="11"/>
      <c r="X72" s="11"/>
      <c r="Y72" s="11"/>
      <c r="Z72" s="11"/>
    </row>
    <row r="73" spans="1:26" ht="15.75" customHeight="1">
      <c r="A73" s="24"/>
      <c r="B73" s="25"/>
      <c r="C73" s="26"/>
      <c r="D73" s="26"/>
      <c r="E73" s="26"/>
      <c r="F73" s="26"/>
      <c r="G73" s="26"/>
      <c r="H73" s="26"/>
      <c r="I73" s="26"/>
      <c r="J73" s="26"/>
      <c r="K73" s="26"/>
      <c r="L73" s="26"/>
      <c r="M73" s="29"/>
      <c r="N73" s="29"/>
      <c r="O73" s="29"/>
      <c r="P73" s="29"/>
      <c r="Q73" s="29"/>
      <c r="R73" s="11"/>
      <c r="S73" s="11"/>
      <c r="T73" s="11"/>
      <c r="U73" s="11"/>
      <c r="V73" s="11"/>
      <c r="W73" s="11"/>
      <c r="X73" s="11"/>
      <c r="Y73" s="11"/>
      <c r="Z73" s="11"/>
    </row>
    <row r="74" spans="1:26" ht="15.75" customHeight="1">
      <c r="A74" s="42"/>
      <c r="B74" s="25"/>
      <c r="C74" s="26"/>
      <c r="D74" s="26"/>
      <c r="E74" s="26"/>
      <c r="F74" s="26"/>
      <c r="G74" s="26"/>
      <c r="H74" s="26"/>
      <c r="I74" s="26"/>
      <c r="J74" s="26"/>
      <c r="K74" s="26"/>
      <c r="L74" s="26"/>
      <c r="M74" s="29"/>
      <c r="N74" s="29"/>
      <c r="O74" s="29"/>
      <c r="P74" s="29"/>
      <c r="Q74" s="29"/>
      <c r="R74" s="11"/>
      <c r="S74" s="11"/>
      <c r="T74" s="11"/>
      <c r="U74" s="11"/>
      <c r="V74" s="11"/>
      <c r="W74" s="11"/>
      <c r="X74" s="11"/>
      <c r="Y74" s="11"/>
      <c r="Z74" s="11"/>
    </row>
    <row r="75" spans="1:26" ht="15.75" customHeight="1">
      <c r="A75" s="24"/>
      <c r="B75" s="25"/>
      <c r="C75" s="26"/>
      <c r="D75" s="26"/>
      <c r="E75" s="26"/>
      <c r="F75" s="26"/>
      <c r="G75" s="26"/>
      <c r="H75" s="26"/>
      <c r="I75" s="26"/>
      <c r="J75" s="26"/>
      <c r="K75" s="26"/>
      <c r="L75" s="26"/>
      <c r="M75" s="29"/>
      <c r="N75" s="29"/>
      <c r="O75" s="29"/>
      <c r="P75" s="29"/>
      <c r="Q75" s="29"/>
      <c r="R75" s="11"/>
      <c r="S75" s="11"/>
      <c r="T75" s="11"/>
      <c r="U75" s="11"/>
      <c r="V75" s="11"/>
      <c r="W75" s="11"/>
      <c r="X75" s="11"/>
      <c r="Y75" s="11"/>
      <c r="Z75" s="11"/>
    </row>
    <row r="76" spans="1:26" ht="15.75" customHeight="1">
      <c r="A76" s="24"/>
      <c r="B76" s="25"/>
      <c r="C76" s="26"/>
      <c r="D76" s="26"/>
      <c r="E76" s="26"/>
      <c r="F76" s="26"/>
      <c r="G76" s="26"/>
      <c r="H76" s="26"/>
      <c r="I76" s="26"/>
      <c r="J76" s="26"/>
      <c r="K76" s="26"/>
      <c r="L76" s="26"/>
      <c r="M76" s="29"/>
      <c r="N76" s="29"/>
      <c r="O76" s="29"/>
      <c r="P76" s="29"/>
      <c r="Q76" s="29"/>
      <c r="R76" s="11"/>
      <c r="S76" s="11"/>
      <c r="T76" s="11"/>
      <c r="U76" s="11"/>
      <c r="V76" s="11"/>
      <c r="W76" s="11"/>
      <c r="X76" s="11"/>
      <c r="Y76" s="11"/>
      <c r="Z76" s="11"/>
    </row>
    <row r="77" spans="1:26" ht="15.75" customHeight="1">
      <c r="A77" s="24"/>
      <c r="B77" s="25"/>
      <c r="C77" s="26"/>
      <c r="D77" s="26"/>
      <c r="E77" s="26"/>
      <c r="F77" s="26"/>
      <c r="G77" s="26"/>
      <c r="H77" s="26"/>
      <c r="I77" s="26"/>
      <c r="J77" s="26"/>
      <c r="K77" s="26"/>
      <c r="L77" s="26"/>
      <c r="M77" s="29"/>
      <c r="N77" s="29"/>
      <c r="O77" s="29"/>
      <c r="P77" s="29"/>
      <c r="Q77" s="29"/>
      <c r="R77" s="11"/>
      <c r="S77" s="11"/>
      <c r="T77" s="11"/>
      <c r="U77" s="11"/>
      <c r="V77" s="11"/>
      <c r="W77" s="11"/>
      <c r="X77" s="11"/>
      <c r="Y77" s="11"/>
      <c r="Z77" s="11"/>
    </row>
    <row r="78" spans="1:26" ht="15.75" customHeight="1">
      <c r="A78" s="41"/>
      <c r="B78" s="25"/>
      <c r="C78" s="26"/>
      <c r="D78" s="26"/>
      <c r="E78" s="26"/>
      <c r="F78" s="26"/>
      <c r="G78" s="26"/>
      <c r="H78" s="26"/>
      <c r="I78" s="26"/>
      <c r="J78" s="26"/>
      <c r="K78" s="26"/>
      <c r="L78" s="26"/>
      <c r="M78" s="29"/>
      <c r="N78" s="29"/>
      <c r="O78" s="29"/>
      <c r="P78" s="29"/>
      <c r="Q78" s="29"/>
      <c r="R78" s="11"/>
      <c r="S78" s="11"/>
      <c r="T78" s="11"/>
      <c r="U78" s="11"/>
      <c r="V78" s="11"/>
      <c r="W78" s="11"/>
      <c r="X78" s="11"/>
      <c r="Y78" s="11"/>
      <c r="Z78" s="11"/>
    </row>
    <row r="79" spans="1:26" ht="15.75" customHeight="1">
      <c r="A79" s="41"/>
      <c r="B79" s="25"/>
      <c r="C79" s="26"/>
      <c r="D79" s="26"/>
      <c r="E79" s="26"/>
      <c r="F79" s="26"/>
      <c r="G79" s="26"/>
      <c r="H79" s="26"/>
      <c r="I79" s="26"/>
      <c r="J79" s="26"/>
      <c r="K79" s="26"/>
      <c r="L79" s="26"/>
      <c r="M79" s="29"/>
      <c r="N79" s="29"/>
      <c r="O79" s="29"/>
      <c r="P79" s="29"/>
      <c r="Q79" s="29"/>
      <c r="R79" s="11"/>
      <c r="S79" s="11"/>
      <c r="T79" s="11"/>
      <c r="U79" s="11"/>
      <c r="V79" s="11"/>
      <c r="W79" s="11"/>
      <c r="X79" s="11"/>
      <c r="Y79" s="11"/>
      <c r="Z79" s="11"/>
    </row>
    <row r="80" spans="1:26" ht="15.75" customHeight="1">
      <c r="A80" s="41"/>
      <c r="B80" s="25"/>
      <c r="C80" s="26"/>
      <c r="D80" s="26"/>
      <c r="E80" s="26"/>
      <c r="F80" s="26"/>
      <c r="G80" s="26"/>
      <c r="H80" s="26"/>
      <c r="I80" s="26"/>
      <c r="J80" s="26"/>
      <c r="K80" s="26"/>
      <c r="L80" s="26"/>
      <c r="M80" s="29"/>
      <c r="N80" s="29"/>
      <c r="O80" s="29"/>
      <c r="P80" s="29"/>
      <c r="Q80" s="29"/>
      <c r="R80" s="11"/>
      <c r="S80" s="11"/>
      <c r="T80" s="11"/>
      <c r="U80" s="11"/>
      <c r="V80" s="11"/>
      <c r="W80" s="11"/>
      <c r="X80" s="11"/>
      <c r="Y80" s="11"/>
      <c r="Z80" s="11"/>
    </row>
    <row r="81" spans="1:26" ht="15.75" customHeight="1">
      <c r="A81" s="41"/>
      <c r="B81" s="25"/>
      <c r="C81" s="26"/>
      <c r="D81" s="26"/>
      <c r="E81" s="26"/>
      <c r="F81" s="26"/>
      <c r="G81" s="26"/>
      <c r="H81" s="26"/>
      <c r="I81" s="26"/>
      <c r="J81" s="26"/>
      <c r="K81" s="26"/>
      <c r="L81" s="26"/>
      <c r="M81" s="29"/>
      <c r="N81" s="29"/>
      <c r="O81" s="29"/>
      <c r="P81" s="29"/>
      <c r="Q81" s="29"/>
      <c r="R81" s="11"/>
      <c r="S81" s="11"/>
      <c r="T81" s="11"/>
      <c r="U81" s="11"/>
      <c r="V81" s="11"/>
      <c r="W81" s="11"/>
      <c r="X81" s="11"/>
      <c r="Y81" s="11"/>
      <c r="Z81" s="11"/>
    </row>
    <row r="82" spans="1:26" ht="15.75" customHeight="1">
      <c r="A82" s="41"/>
      <c r="B82" s="25"/>
      <c r="C82" s="26"/>
      <c r="D82" s="26"/>
      <c r="E82" s="26"/>
      <c r="F82" s="26"/>
      <c r="G82" s="26"/>
      <c r="H82" s="26"/>
      <c r="I82" s="26"/>
      <c r="J82" s="26"/>
      <c r="K82" s="26"/>
      <c r="L82" s="26"/>
      <c r="M82" s="29"/>
      <c r="N82" s="29"/>
      <c r="O82" s="29"/>
      <c r="P82" s="29"/>
      <c r="Q82" s="29"/>
      <c r="R82" s="11"/>
      <c r="S82" s="11"/>
      <c r="T82" s="11"/>
      <c r="U82" s="11"/>
      <c r="V82" s="11"/>
      <c r="W82" s="11"/>
      <c r="X82" s="11"/>
      <c r="Y82" s="11"/>
      <c r="Z82" s="11"/>
    </row>
    <row r="83" spans="1:26" ht="15.75" customHeight="1">
      <c r="A83" s="41"/>
      <c r="B83" s="25"/>
      <c r="C83" s="26"/>
      <c r="D83" s="26"/>
      <c r="E83" s="26"/>
      <c r="F83" s="26"/>
      <c r="G83" s="26"/>
      <c r="H83" s="26"/>
      <c r="I83" s="26"/>
      <c r="J83" s="26"/>
      <c r="K83" s="26"/>
      <c r="L83" s="26"/>
      <c r="M83" s="29"/>
      <c r="N83" s="29"/>
      <c r="O83" s="29"/>
      <c r="P83" s="29"/>
      <c r="Q83" s="29"/>
      <c r="R83" s="11"/>
      <c r="S83" s="11"/>
      <c r="T83" s="11"/>
      <c r="U83" s="11"/>
      <c r="V83" s="11"/>
      <c r="W83" s="11"/>
      <c r="X83" s="11"/>
      <c r="Y83" s="11"/>
      <c r="Z83" s="11"/>
    </row>
    <row r="84" spans="1:26" ht="15.75" customHeight="1">
      <c r="A84" s="41"/>
      <c r="B84" s="25"/>
      <c r="C84" s="26"/>
      <c r="D84" s="26"/>
      <c r="E84" s="26"/>
      <c r="F84" s="26"/>
      <c r="G84" s="26"/>
      <c r="H84" s="26"/>
      <c r="I84" s="26"/>
      <c r="J84" s="26"/>
      <c r="K84" s="26"/>
      <c r="L84" s="26"/>
      <c r="M84" s="29"/>
      <c r="N84" s="29"/>
      <c r="O84" s="29"/>
      <c r="P84" s="29"/>
      <c r="Q84" s="29"/>
      <c r="R84" s="11"/>
      <c r="S84" s="11"/>
      <c r="T84" s="11"/>
      <c r="U84" s="11"/>
      <c r="V84" s="11"/>
      <c r="W84" s="11"/>
      <c r="X84" s="11"/>
      <c r="Y84" s="11"/>
      <c r="Z84" s="11"/>
    </row>
    <row r="85" spans="1:26" ht="15.75" customHeight="1">
      <c r="A85" s="41"/>
      <c r="B85" s="25"/>
      <c r="C85" s="26"/>
      <c r="D85" s="26"/>
      <c r="E85" s="26"/>
      <c r="F85" s="26"/>
      <c r="G85" s="26"/>
      <c r="H85" s="26"/>
      <c r="I85" s="26"/>
      <c r="J85" s="26"/>
      <c r="K85" s="26"/>
      <c r="L85" s="26"/>
      <c r="M85" s="29"/>
      <c r="N85" s="29"/>
      <c r="O85" s="29"/>
      <c r="P85" s="29"/>
      <c r="Q85" s="29"/>
      <c r="R85" s="11"/>
      <c r="S85" s="11"/>
      <c r="T85" s="11"/>
      <c r="U85" s="11"/>
      <c r="V85" s="11"/>
      <c r="W85" s="11"/>
      <c r="X85" s="11"/>
      <c r="Y85" s="11"/>
      <c r="Z85" s="11"/>
    </row>
    <row r="86" spans="1:26" ht="15.75" customHeight="1">
      <c r="A86" s="41"/>
      <c r="B86" s="25"/>
      <c r="C86" s="26"/>
      <c r="D86" s="26"/>
      <c r="E86" s="26"/>
      <c r="F86" s="26"/>
      <c r="G86" s="26"/>
      <c r="H86" s="26"/>
      <c r="I86" s="26"/>
      <c r="J86" s="26"/>
      <c r="K86" s="26"/>
      <c r="L86" s="26"/>
      <c r="M86" s="29"/>
      <c r="N86" s="29"/>
      <c r="O86" s="29"/>
      <c r="P86" s="29"/>
      <c r="Q86" s="29"/>
      <c r="R86" s="11"/>
      <c r="S86" s="11"/>
      <c r="T86" s="11"/>
      <c r="U86" s="11"/>
      <c r="V86" s="11"/>
      <c r="W86" s="11"/>
      <c r="X86" s="11"/>
      <c r="Y86" s="11"/>
      <c r="Z86" s="11"/>
    </row>
    <row r="87" spans="1:26" ht="15.75" customHeight="1">
      <c r="A87" s="41"/>
      <c r="B87" s="25"/>
      <c r="C87" s="26"/>
      <c r="D87" s="26"/>
      <c r="E87" s="26"/>
      <c r="F87" s="26"/>
      <c r="G87" s="26"/>
      <c r="H87" s="26"/>
      <c r="I87" s="26"/>
      <c r="J87" s="26"/>
      <c r="K87" s="26"/>
      <c r="L87" s="26"/>
      <c r="M87" s="29"/>
      <c r="N87" s="29"/>
      <c r="O87" s="29"/>
      <c r="P87" s="29"/>
      <c r="Q87" s="29"/>
      <c r="R87" s="11"/>
      <c r="S87" s="11"/>
      <c r="T87" s="11"/>
      <c r="U87" s="11"/>
      <c r="V87" s="11"/>
      <c r="W87" s="11"/>
      <c r="X87" s="11"/>
      <c r="Y87" s="11"/>
      <c r="Z87" s="11"/>
    </row>
    <row r="88" spans="1:26" ht="15.75" customHeight="1">
      <c r="A88" s="41"/>
      <c r="B88" s="25"/>
      <c r="C88" s="26"/>
      <c r="D88" s="26"/>
      <c r="E88" s="26"/>
      <c r="F88" s="26"/>
      <c r="G88" s="26"/>
      <c r="H88" s="26"/>
      <c r="I88" s="26"/>
      <c r="J88" s="26"/>
      <c r="K88" s="26"/>
      <c r="L88" s="26"/>
      <c r="M88" s="29"/>
      <c r="N88" s="29"/>
      <c r="O88" s="29"/>
      <c r="P88" s="29"/>
      <c r="Q88" s="29"/>
      <c r="R88" s="11"/>
      <c r="S88" s="11"/>
      <c r="T88" s="11"/>
      <c r="U88" s="11"/>
      <c r="V88" s="11"/>
      <c r="W88" s="11"/>
      <c r="X88" s="11"/>
      <c r="Y88" s="11"/>
      <c r="Z88" s="11"/>
    </row>
    <row r="89" spans="1:26" ht="15.75" customHeight="1">
      <c r="A89" s="42"/>
      <c r="B89" s="25"/>
      <c r="C89" s="26"/>
      <c r="D89" s="26"/>
      <c r="E89" s="26"/>
      <c r="F89" s="26"/>
      <c r="G89" s="26"/>
      <c r="H89" s="26"/>
      <c r="I89" s="26"/>
      <c r="J89" s="26"/>
      <c r="K89" s="26"/>
      <c r="L89" s="26"/>
      <c r="M89" s="29"/>
      <c r="N89" s="29"/>
      <c r="O89" s="29"/>
      <c r="P89" s="29"/>
      <c r="Q89" s="29"/>
      <c r="R89" s="11"/>
      <c r="S89" s="11"/>
      <c r="T89" s="11"/>
      <c r="U89" s="11"/>
      <c r="V89" s="11"/>
      <c r="W89" s="11"/>
      <c r="X89" s="11"/>
      <c r="Y89" s="11"/>
      <c r="Z89" s="11"/>
    </row>
    <row r="90" spans="1:26" ht="15.75" customHeight="1">
      <c r="A90" s="28"/>
      <c r="B90" s="25"/>
      <c r="C90" s="26"/>
      <c r="D90" s="26"/>
      <c r="E90" s="26"/>
      <c r="F90" s="26"/>
      <c r="G90" s="26"/>
      <c r="H90" s="26"/>
      <c r="I90" s="26"/>
      <c r="J90" s="26"/>
      <c r="K90" s="26"/>
      <c r="L90" s="26"/>
      <c r="M90" s="29"/>
      <c r="N90" s="29"/>
      <c r="O90" s="29"/>
      <c r="P90" s="29"/>
      <c r="Q90" s="29"/>
      <c r="R90" s="11"/>
      <c r="S90" s="11"/>
      <c r="T90" s="11"/>
      <c r="U90" s="11"/>
      <c r="V90" s="11"/>
      <c r="W90" s="11"/>
      <c r="X90" s="11"/>
      <c r="Y90" s="11"/>
      <c r="Z90" s="11"/>
    </row>
    <row r="91" spans="1:26" ht="15.75" customHeight="1">
      <c r="A91" s="28"/>
      <c r="B91" s="25"/>
      <c r="C91" s="26"/>
      <c r="D91" s="26"/>
      <c r="E91" s="26"/>
      <c r="F91" s="26"/>
      <c r="G91" s="26"/>
      <c r="H91" s="26"/>
      <c r="I91" s="26"/>
      <c r="J91" s="26"/>
      <c r="K91" s="26"/>
      <c r="L91" s="26"/>
      <c r="M91" s="29"/>
      <c r="N91" s="29"/>
      <c r="O91" s="29"/>
      <c r="P91" s="29"/>
      <c r="Q91" s="29"/>
      <c r="R91" s="11"/>
      <c r="S91" s="11"/>
      <c r="T91" s="11"/>
      <c r="U91" s="11"/>
      <c r="V91" s="11"/>
      <c r="W91" s="11"/>
      <c r="X91" s="11"/>
      <c r="Y91" s="11"/>
      <c r="Z91" s="11"/>
    </row>
    <row r="92" spans="1:26" ht="15.75" customHeight="1">
      <c r="A92" s="28"/>
      <c r="B92" s="25"/>
      <c r="C92" s="26"/>
      <c r="D92" s="26"/>
      <c r="E92" s="26"/>
      <c r="F92" s="26"/>
      <c r="G92" s="26"/>
      <c r="H92" s="26"/>
      <c r="I92" s="26"/>
      <c r="J92" s="26"/>
      <c r="K92" s="26"/>
      <c r="L92" s="26"/>
      <c r="M92" s="29"/>
      <c r="N92" s="29"/>
      <c r="O92" s="29"/>
      <c r="P92" s="29"/>
      <c r="Q92" s="29"/>
      <c r="R92" s="11"/>
      <c r="S92" s="11"/>
      <c r="T92" s="11"/>
      <c r="U92" s="11"/>
      <c r="V92" s="11"/>
      <c r="W92" s="11"/>
      <c r="X92" s="11"/>
      <c r="Y92" s="11"/>
      <c r="Z92" s="11"/>
    </row>
    <row r="93" spans="1:26" ht="15.75" customHeight="1">
      <c r="A93" s="28"/>
      <c r="B93" s="25"/>
      <c r="C93" s="26"/>
      <c r="D93" s="26"/>
      <c r="E93" s="26"/>
      <c r="F93" s="26"/>
      <c r="G93" s="26"/>
      <c r="H93" s="26"/>
      <c r="I93" s="26"/>
      <c r="J93" s="26"/>
      <c r="K93" s="26"/>
      <c r="L93" s="26"/>
      <c r="M93" s="29"/>
      <c r="N93" s="29"/>
      <c r="O93" s="29"/>
      <c r="P93" s="29"/>
      <c r="Q93" s="29"/>
    </row>
    <row r="94" spans="1:26" ht="15.75" customHeight="1">
      <c r="A94" s="28"/>
      <c r="B94" s="25"/>
      <c r="C94" s="26"/>
      <c r="D94" s="26"/>
      <c r="E94" s="26"/>
      <c r="F94" s="26"/>
      <c r="G94" s="26"/>
      <c r="H94" s="26"/>
      <c r="I94" s="26"/>
      <c r="J94" s="26"/>
      <c r="K94" s="26"/>
      <c r="L94" s="26"/>
      <c r="M94" s="29"/>
      <c r="N94" s="29"/>
      <c r="O94" s="29"/>
      <c r="P94" s="29"/>
      <c r="Q94" s="29"/>
    </row>
    <row r="95" spans="1:26" ht="15.75" customHeight="1">
      <c r="A95" s="28"/>
      <c r="B95" s="25"/>
      <c r="C95" s="26"/>
      <c r="D95" s="26"/>
      <c r="E95" s="26"/>
      <c r="F95" s="26"/>
      <c r="G95" s="26"/>
      <c r="H95" s="26"/>
      <c r="I95" s="26"/>
      <c r="J95" s="26"/>
      <c r="K95" s="26"/>
      <c r="L95" s="26"/>
      <c r="M95" s="29"/>
      <c r="N95" s="29"/>
      <c r="O95" s="29"/>
      <c r="P95" s="29"/>
      <c r="Q95" s="29"/>
    </row>
    <row r="96" spans="1:26" ht="15.75" customHeight="1">
      <c r="A96" s="28"/>
      <c r="B96" s="25"/>
      <c r="C96" s="26"/>
      <c r="D96" s="26"/>
      <c r="E96" s="26"/>
      <c r="F96" s="26"/>
      <c r="G96" s="26"/>
      <c r="H96" s="26"/>
      <c r="I96" s="26"/>
      <c r="J96" s="26"/>
      <c r="K96" s="26"/>
      <c r="L96" s="26"/>
      <c r="M96" s="29"/>
      <c r="N96" s="29"/>
      <c r="O96" s="29"/>
      <c r="P96" s="29"/>
      <c r="Q96" s="29"/>
    </row>
    <row r="97" spans="1:17" ht="15.75" customHeight="1">
      <c r="A97" s="28"/>
      <c r="B97" s="25"/>
      <c r="C97" s="26"/>
      <c r="D97" s="26"/>
      <c r="E97" s="26"/>
      <c r="F97" s="26"/>
      <c r="G97" s="26"/>
      <c r="H97" s="26"/>
      <c r="I97" s="26"/>
      <c r="J97" s="26"/>
      <c r="K97" s="26"/>
      <c r="L97" s="26"/>
      <c r="M97" s="29"/>
      <c r="N97" s="29"/>
      <c r="O97" s="29"/>
      <c r="P97" s="29"/>
      <c r="Q97" s="29"/>
    </row>
    <row r="98" spans="1:17" ht="15.75" customHeight="1">
      <c r="A98" s="28"/>
      <c r="B98" s="25"/>
      <c r="C98" s="26"/>
      <c r="D98" s="26"/>
      <c r="E98" s="26"/>
      <c r="F98" s="26"/>
      <c r="G98" s="26"/>
      <c r="H98" s="26"/>
      <c r="I98" s="26"/>
      <c r="J98" s="26"/>
      <c r="K98" s="26"/>
      <c r="L98" s="26"/>
      <c r="M98" s="29"/>
      <c r="N98" s="29"/>
      <c r="O98" s="29"/>
      <c r="P98" s="29"/>
      <c r="Q98" s="29"/>
    </row>
    <row r="99" spans="1:17" ht="15.75" customHeight="1">
      <c r="A99" s="28"/>
      <c r="B99" s="25"/>
      <c r="C99" s="26"/>
      <c r="D99" s="26"/>
      <c r="E99" s="26"/>
      <c r="F99" s="26"/>
      <c r="G99" s="26"/>
      <c r="H99" s="26"/>
      <c r="I99" s="26"/>
      <c r="J99" s="26"/>
      <c r="K99" s="26"/>
      <c r="L99" s="26"/>
      <c r="M99" s="29"/>
      <c r="N99" s="29"/>
      <c r="O99" s="29"/>
      <c r="P99" s="29"/>
      <c r="Q99" s="29"/>
    </row>
    <row r="100" spans="1:17" ht="15.75" customHeight="1">
      <c r="A100" s="28"/>
      <c r="B100" s="25"/>
      <c r="C100" s="26"/>
      <c r="D100" s="26"/>
      <c r="E100" s="26"/>
      <c r="F100" s="26"/>
      <c r="G100" s="26"/>
      <c r="H100" s="26"/>
      <c r="I100" s="26"/>
      <c r="J100" s="26"/>
      <c r="K100" s="26"/>
      <c r="L100" s="26"/>
      <c r="M100" s="29"/>
      <c r="N100" s="29"/>
      <c r="O100" s="29"/>
      <c r="P100" s="29"/>
      <c r="Q100" s="29"/>
    </row>
    <row r="101" spans="1:17" ht="15.75" customHeight="1">
      <c r="A101" s="28"/>
      <c r="B101" s="25"/>
      <c r="C101" s="26"/>
      <c r="D101" s="26"/>
      <c r="E101" s="26"/>
      <c r="F101" s="26"/>
      <c r="G101" s="26"/>
      <c r="H101" s="26"/>
      <c r="I101" s="26"/>
      <c r="J101" s="26"/>
      <c r="K101" s="26"/>
      <c r="L101" s="26"/>
      <c r="M101" s="29"/>
      <c r="N101" s="29"/>
      <c r="O101" s="29"/>
      <c r="P101" s="29"/>
      <c r="Q101" s="29"/>
    </row>
    <row r="102" spans="1:17" ht="15.75" customHeight="1">
      <c r="A102" s="28"/>
      <c r="B102" s="25"/>
      <c r="C102" s="26"/>
      <c r="D102" s="26"/>
      <c r="E102" s="26"/>
      <c r="F102" s="26"/>
      <c r="G102" s="26"/>
      <c r="H102" s="26"/>
      <c r="I102" s="26"/>
      <c r="J102" s="26"/>
      <c r="K102" s="26"/>
      <c r="L102" s="26"/>
      <c r="M102" s="29"/>
      <c r="N102" s="29"/>
      <c r="O102" s="29"/>
      <c r="P102" s="29"/>
      <c r="Q102" s="29"/>
    </row>
    <row r="103" spans="1:17" ht="15.75" customHeight="1">
      <c r="A103" s="28"/>
      <c r="B103" s="25"/>
      <c r="C103" s="26"/>
      <c r="D103" s="26"/>
      <c r="E103" s="26"/>
      <c r="F103" s="26"/>
      <c r="G103" s="26"/>
      <c r="H103" s="26"/>
      <c r="I103" s="26"/>
      <c r="J103" s="26"/>
      <c r="K103" s="26"/>
      <c r="L103" s="26"/>
      <c r="M103" s="29"/>
      <c r="N103" s="29"/>
      <c r="O103" s="29"/>
      <c r="P103" s="29"/>
      <c r="Q103" s="29"/>
    </row>
    <row r="104" spans="1:17" ht="15.75" customHeight="1">
      <c r="A104" s="28"/>
      <c r="B104" s="25"/>
      <c r="C104" s="26"/>
      <c r="D104" s="26"/>
      <c r="E104" s="26"/>
      <c r="F104" s="26"/>
      <c r="G104" s="26"/>
      <c r="H104" s="26"/>
      <c r="I104" s="26"/>
      <c r="J104" s="26"/>
      <c r="K104" s="26"/>
      <c r="L104" s="26"/>
      <c r="M104" s="29"/>
      <c r="N104" s="29"/>
      <c r="O104" s="29"/>
      <c r="P104" s="29"/>
      <c r="Q104" s="29"/>
    </row>
    <row r="105" spans="1:17" ht="15.75" customHeight="1">
      <c r="A105" s="28"/>
      <c r="B105" s="25"/>
      <c r="C105" s="26"/>
      <c r="D105" s="26"/>
      <c r="E105" s="26"/>
      <c r="F105" s="26"/>
      <c r="G105" s="26"/>
      <c r="H105" s="26"/>
      <c r="I105" s="26"/>
      <c r="J105" s="26"/>
      <c r="K105" s="26"/>
      <c r="L105" s="26"/>
      <c r="M105" s="29"/>
      <c r="N105" s="29"/>
      <c r="O105" s="29"/>
      <c r="P105" s="29"/>
      <c r="Q105" s="29"/>
    </row>
    <row r="106" spans="1:17" ht="15.75" customHeight="1">
      <c r="A106" s="28"/>
      <c r="B106" s="25"/>
      <c r="C106" s="26"/>
      <c r="D106" s="26"/>
      <c r="E106" s="26"/>
      <c r="F106" s="26"/>
      <c r="G106" s="26"/>
      <c r="H106" s="26"/>
      <c r="I106" s="26"/>
      <c r="J106" s="26"/>
      <c r="K106" s="26"/>
      <c r="L106" s="26"/>
      <c r="M106" s="29"/>
      <c r="N106" s="29"/>
      <c r="O106" s="29"/>
      <c r="P106" s="29"/>
      <c r="Q106" s="29"/>
    </row>
    <row r="107" spans="1:17" ht="15.75" customHeight="1">
      <c r="A107" s="28"/>
      <c r="B107" s="25"/>
      <c r="C107" s="26"/>
      <c r="D107" s="26"/>
      <c r="E107" s="26"/>
      <c r="F107" s="26"/>
      <c r="G107" s="26"/>
      <c r="H107" s="26"/>
      <c r="I107" s="26"/>
      <c r="J107" s="26"/>
      <c r="K107" s="26"/>
      <c r="L107" s="26"/>
      <c r="M107" s="29"/>
      <c r="N107" s="29"/>
      <c r="O107" s="29"/>
      <c r="P107" s="29"/>
      <c r="Q107" s="29"/>
    </row>
    <row r="108" spans="1:17" ht="15.75" customHeight="1">
      <c r="A108" s="28"/>
      <c r="B108" s="25"/>
      <c r="C108" s="26"/>
      <c r="D108" s="26"/>
      <c r="E108" s="26"/>
      <c r="F108" s="26"/>
      <c r="G108" s="26"/>
      <c r="H108" s="26"/>
      <c r="I108" s="26"/>
      <c r="J108" s="26"/>
      <c r="K108" s="26"/>
      <c r="L108" s="26"/>
      <c r="M108" s="29"/>
      <c r="N108" s="29"/>
      <c r="O108" s="29"/>
      <c r="P108" s="29"/>
      <c r="Q108" s="29"/>
    </row>
    <row r="109" spans="1:17" ht="15.75" customHeight="1">
      <c r="A109" s="28"/>
      <c r="B109" s="25"/>
      <c r="C109" s="26"/>
      <c r="D109" s="26"/>
      <c r="E109" s="26"/>
      <c r="F109" s="26"/>
      <c r="G109" s="26"/>
      <c r="H109" s="26"/>
      <c r="I109" s="26"/>
      <c r="J109" s="26"/>
      <c r="K109" s="26"/>
      <c r="L109" s="26"/>
      <c r="M109" s="29"/>
      <c r="N109" s="29"/>
      <c r="O109" s="29"/>
      <c r="P109" s="29"/>
      <c r="Q109" s="29"/>
    </row>
    <row r="110" spans="1:17" ht="15.75" customHeight="1">
      <c r="A110" s="28"/>
      <c r="B110" s="25"/>
      <c r="C110" s="26"/>
      <c r="D110" s="26"/>
      <c r="E110" s="26"/>
      <c r="F110" s="26"/>
      <c r="G110" s="26"/>
      <c r="H110" s="26"/>
      <c r="I110" s="26"/>
      <c r="J110" s="26"/>
      <c r="K110" s="26"/>
      <c r="L110" s="26"/>
      <c r="M110" s="29"/>
      <c r="N110" s="29"/>
      <c r="O110" s="29"/>
      <c r="P110" s="29"/>
      <c r="Q110" s="29"/>
    </row>
    <row r="111" spans="1:17" ht="15.75" customHeight="1">
      <c r="A111" s="28"/>
      <c r="B111" s="25"/>
      <c r="C111" s="26"/>
      <c r="D111" s="26"/>
      <c r="E111" s="26"/>
      <c r="F111" s="26"/>
      <c r="G111" s="26"/>
      <c r="H111" s="26"/>
      <c r="I111" s="26"/>
      <c r="J111" s="26"/>
      <c r="K111" s="26"/>
      <c r="L111" s="26"/>
      <c r="M111" s="29"/>
      <c r="N111" s="29"/>
      <c r="O111" s="29"/>
      <c r="P111" s="29"/>
      <c r="Q111" s="29"/>
    </row>
    <row r="112" spans="1:17" ht="15.75" customHeight="1">
      <c r="A112" s="28"/>
      <c r="B112" s="25"/>
      <c r="C112" s="26"/>
      <c r="D112" s="26"/>
      <c r="E112" s="26"/>
      <c r="F112" s="26"/>
      <c r="G112" s="26"/>
      <c r="H112" s="26"/>
      <c r="I112" s="26"/>
      <c r="J112" s="26"/>
      <c r="K112" s="26"/>
      <c r="L112" s="26"/>
      <c r="M112" s="29"/>
      <c r="N112" s="29"/>
      <c r="O112" s="29"/>
      <c r="P112" s="29"/>
      <c r="Q112" s="29"/>
    </row>
    <row r="113" spans="1:17" ht="15.75" customHeight="1">
      <c r="A113" s="28"/>
      <c r="B113" s="25"/>
      <c r="C113" s="26"/>
      <c r="D113" s="26"/>
      <c r="E113" s="26"/>
      <c r="F113" s="26"/>
      <c r="G113" s="26"/>
      <c r="H113" s="26"/>
      <c r="I113" s="26"/>
      <c r="J113" s="26"/>
      <c r="K113" s="26"/>
      <c r="L113" s="26"/>
      <c r="M113" s="29"/>
      <c r="N113" s="29"/>
      <c r="O113" s="29"/>
      <c r="P113" s="29"/>
      <c r="Q113" s="29"/>
    </row>
    <row r="114" spans="1:17" ht="15.75" customHeight="1">
      <c r="A114" s="28"/>
      <c r="B114" s="25"/>
      <c r="C114" s="26"/>
      <c r="D114" s="26"/>
      <c r="E114" s="26"/>
      <c r="F114" s="26"/>
      <c r="G114" s="26"/>
      <c r="H114" s="26"/>
      <c r="I114" s="26"/>
      <c r="J114" s="26"/>
      <c r="K114" s="26"/>
      <c r="L114" s="26"/>
      <c r="M114" s="29"/>
      <c r="N114" s="29"/>
      <c r="O114" s="29"/>
      <c r="P114" s="29"/>
      <c r="Q114" s="29"/>
    </row>
    <row r="115" spans="1:17" ht="15.75" customHeight="1">
      <c r="A115" s="28"/>
      <c r="B115" s="25"/>
      <c r="C115" s="26"/>
      <c r="D115" s="26"/>
      <c r="E115" s="26"/>
      <c r="F115" s="26"/>
      <c r="G115" s="26"/>
      <c r="H115" s="26"/>
      <c r="I115" s="26"/>
      <c r="J115" s="26"/>
      <c r="K115" s="26"/>
      <c r="L115" s="26"/>
      <c r="M115" s="29"/>
      <c r="N115" s="29"/>
      <c r="O115" s="29"/>
      <c r="P115" s="29"/>
      <c r="Q115" s="29"/>
    </row>
    <row r="116" spans="1:17" ht="15.75" customHeight="1">
      <c r="A116" s="28"/>
      <c r="B116" s="25"/>
      <c r="C116" s="26"/>
      <c r="D116" s="26"/>
      <c r="E116" s="26"/>
      <c r="F116" s="26"/>
      <c r="G116" s="26"/>
      <c r="H116" s="26"/>
      <c r="I116" s="26"/>
      <c r="J116" s="26"/>
      <c r="K116" s="26"/>
      <c r="L116" s="26"/>
      <c r="M116" s="29"/>
      <c r="N116" s="29"/>
      <c r="O116" s="29"/>
      <c r="P116" s="29"/>
      <c r="Q116" s="29"/>
    </row>
    <row r="117" spans="1:17" ht="15.75" customHeight="1">
      <c r="A117" s="28"/>
      <c r="B117" s="25"/>
      <c r="C117" s="26"/>
      <c r="D117" s="26"/>
      <c r="E117" s="26"/>
      <c r="F117" s="26"/>
      <c r="G117" s="26"/>
      <c r="H117" s="26"/>
      <c r="I117" s="26"/>
      <c r="J117" s="26"/>
      <c r="K117" s="26"/>
      <c r="L117" s="26"/>
      <c r="M117" s="29"/>
      <c r="N117" s="29"/>
      <c r="O117" s="29"/>
      <c r="P117" s="29"/>
      <c r="Q117" s="29"/>
    </row>
    <row r="118" spans="1:17" ht="15.75" customHeight="1">
      <c r="A118" s="28"/>
      <c r="B118" s="25"/>
      <c r="C118" s="26"/>
      <c r="D118" s="26"/>
      <c r="E118" s="26"/>
      <c r="F118" s="26"/>
      <c r="G118" s="26"/>
      <c r="H118" s="26"/>
      <c r="I118" s="26"/>
      <c r="J118" s="26"/>
      <c r="K118" s="26"/>
      <c r="L118" s="26"/>
      <c r="M118" s="29"/>
      <c r="N118" s="29"/>
      <c r="O118" s="29"/>
      <c r="P118" s="29"/>
      <c r="Q118" s="29"/>
    </row>
    <row r="119" spans="1:17" ht="15.75" customHeight="1">
      <c r="A119" s="28"/>
      <c r="B119" s="25"/>
      <c r="C119" s="26"/>
      <c r="D119" s="26"/>
      <c r="E119" s="26"/>
      <c r="F119" s="26"/>
      <c r="G119" s="26"/>
      <c r="H119" s="26"/>
      <c r="I119" s="26"/>
      <c r="J119" s="26"/>
      <c r="K119" s="26"/>
      <c r="L119" s="26"/>
      <c r="M119" s="29"/>
      <c r="N119" s="29"/>
      <c r="O119" s="29"/>
      <c r="P119" s="29"/>
      <c r="Q119" s="29"/>
    </row>
    <row r="120" spans="1:17" ht="15.75" customHeight="1">
      <c r="A120" s="28"/>
      <c r="B120" s="25"/>
      <c r="C120" s="26"/>
      <c r="D120" s="26"/>
      <c r="E120" s="26"/>
      <c r="F120" s="26"/>
      <c r="G120" s="26"/>
      <c r="H120" s="26"/>
      <c r="I120" s="26"/>
      <c r="J120" s="26"/>
      <c r="K120" s="26"/>
      <c r="L120" s="26"/>
      <c r="M120" s="29"/>
      <c r="N120" s="29"/>
      <c r="O120" s="29"/>
      <c r="P120" s="29"/>
      <c r="Q120" s="29"/>
    </row>
    <row r="121" spans="1:17" ht="15.75" customHeight="1">
      <c r="A121" s="28"/>
      <c r="B121" s="25"/>
      <c r="C121" s="26"/>
      <c r="D121" s="26"/>
      <c r="E121" s="26"/>
      <c r="F121" s="26"/>
      <c r="G121" s="26"/>
      <c r="H121" s="26"/>
      <c r="I121" s="26"/>
      <c r="J121" s="26"/>
      <c r="K121" s="26"/>
      <c r="L121" s="26"/>
      <c r="M121" s="29"/>
      <c r="N121" s="29"/>
      <c r="O121" s="29"/>
      <c r="P121" s="29"/>
      <c r="Q121" s="29"/>
    </row>
    <row r="122" spans="1:17" ht="15.75" customHeight="1">
      <c r="A122" s="28"/>
      <c r="B122" s="25"/>
      <c r="C122" s="26"/>
      <c r="D122" s="26"/>
      <c r="E122" s="26"/>
      <c r="F122" s="26"/>
      <c r="G122" s="26"/>
      <c r="H122" s="26"/>
      <c r="I122" s="26"/>
      <c r="J122" s="26"/>
      <c r="K122" s="26"/>
      <c r="L122" s="26"/>
      <c r="M122" s="29"/>
      <c r="N122" s="29"/>
      <c r="O122" s="29"/>
      <c r="P122" s="29"/>
      <c r="Q122" s="29"/>
    </row>
    <row r="123" spans="1:17" ht="15.75" customHeight="1">
      <c r="A123" s="28"/>
      <c r="B123" s="25"/>
      <c r="C123" s="26"/>
      <c r="D123" s="26"/>
      <c r="E123" s="26"/>
      <c r="F123" s="26"/>
      <c r="G123" s="26"/>
      <c r="H123" s="26"/>
      <c r="I123" s="26"/>
      <c r="J123" s="26"/>
      <c r="K123" s="26"/>
      <c r="L123" s="26"/>
      <c r="M123" s="29"/>
      <c r="N123" s="29"/>
      <c r="O123" s="29"/>
      <c r="P123" s="29"/>
      <c r="Q123" s="29"/>
    </row>
    <row r="124" spans="1:17" ht="15.75" customHeight="1">
      <c r="A124" s="28"/>
      <c r="B124" s="25"/>
      <c r="C124" s="26"/>
      <c r="D124" s="26"/>
      <c r="E124" s="26"/>
      <c r="F124" s="26"/>
      <c r="G124" s="26"/>
      <c r="H124" s="26"/>
      <c r="I124" s="26"/>
      <c r="J124" s="26"/>
      <c r="K124" s="26"/>
      <c r="L124" s="26"/>
      <c r="M124" s="29"/>
      <c r="N124" s="29"/>
      <c r="O124" s="29"/>
      <c r="P124" s="29"/>
      <c r="Q124" s="29"/>
    </row>
    <row r="125" spans="1:17" ht="15.75" customHeight="1">
      <c r="A125" s="28"/>
      <c r="B125" s="25"/>
      <c r="C125" s="26"/>
      <c r="D125" s="26"/>
      <c r="E125" s="26"/>
      <c r="F125" s="26"/>
      <c r="G125" s="26"/>
      <c r="H125" s="26"/>
      <c r="I125" s="26"/>
      <c r="J125" s="26"/>
      <c r="K125" s="26"/>
      <c r="L125" s="26"/>
      <c r="M125" s="29"/>
      <c r="N125" s="29"/>
      <c r="O125" s="29"/>
      <c r="P125" s="29"/>
      <c r="Q125" s="29"/>
    </row>
    <row r="126" spans="1:17" ht="15.75" customHeight="1">
      <c r="A126" s="28"/>
      <c r="B126" s="25"/>
      <c r="C126" s="26"/>
      <c r="D126" s="26"/>
      <c r="E126" s="26"/>
      <c r="F126" s="26"/>
      <c r="G126" s="26"/>
      <c r="H126" s="26"/>
      <c r="I126" s="26"/>
      <c r="J126" s="26"/>
      <c r="K126" s="26"/>
      <c r="L126" s="26"/>
      <c r="M126" s="29"/>
      <c r="N126" s="29"/>
      <c r="O126" s="29"/>
      <c r="P126" s="29"/>
      <c r="Q126" s="29"/>
    </row>
    <row r="127" spans="1:17" ht="15.75" customHeight="1">
      <c r="A127" s="28"/>
      <c r="B127" s="25"/>
      <c r="C127" s="26"/>
      <c r="D127" s="26"/>
      <c r="E127" s="26"/>
      <c r="F127" s="26"/>
      <c r="G127" s="26"/>
      <c r="H127" s="26"/>
      <c r="I127" s="26"/>
      <c r="J127" s="26"/>
      <c r="K127" s="26"/>
      <c r="L127" s="26"/>
      <c r="M127" s="29"/>
      <c r="N127" s="29"/>
      <c r="O127" s="29"/>
      <c r="P127" s="29"/>
      <c r="Q127" s="29"/>
    </row>
    <row r="128" spans="1:17" ht="15.75" customHeight="1">
      <c r="A128" s="28"/>
      <c r="B128" s="25"/>
      <c r="C128" s="26"/>
      <c r="D128" s="26"/>
      <c r="E128" s="26"/>
      <c r="F128" s="26"/>
      <c r="G128" s="26"/>
      <c r="H128" s="26"/>
      <c r="I128" s="26"/>
      <c r="J128" s="26"/>
      <c r="K128" s="26"/>
      <c r="L128" s="26"/>
      <c r="M128" s="29"/>
      <c r="N128" s="29"/>
      <c r="O128" s="29"/>
      <c r="P128" s="29"/>
      <c r="Q128" s="29"/>
    </row>
    <row r="129" spans="1:17" ht="15.75" customHeight="1">
      <c r="A129" s="28"/>
      <c r="B129" s="25"/>
      <c r="C129" s="26"/>
      <c r="D129" s="26"/>
      <c r="E129" s="26"/>
      <c r="F129" s="26"/>
      <c r="G129" s="26"/>
      <c r="H129" s="26"/>
      <c r="I129" s="26"/>
      <c r="J129" s="26"/>
      <c r="K129" s="26"/>
      <c r="L129" s="26"/>
      <c r="M129" s="29"/>
      <c r="N129" s="29"/>
      <c r="O129" s="29"/>
      <c r="P129" s="29"/>
      <c r="Q129" s="29"/>
    </row>
    <row r="130" spans="1:17" ht="15.75" customHeight="1">
      <c r="A130" s="28"/>
      <c r="B130" s="25"/>
      <c r="C130" s="26"/>
      <c r="D130" s="26"/>
      <c r="E130" s="26"/>
      <c r="F130" s="26"/>
      <c r="G130" s="26"/>
      <c r="H130" s="26"/>
      <c r="I130" s="26"/>
      <c r="J130" s="26"/>
      <c r="K130" s="26"/>
      <c r="L130" s="26"/>
      <c r="M130" s="29"/>
      <c r="N130" s="29"/>
      <c r="O130" s="29"/>
      <c r="P130" s="29"/>
      <c r="Q130" s="29"/>
    </row>
    <row r="131" spans="1:17" ht="15.75" customHeight="1">
      <c r="A131" s="28"/>
      <c r="B131" s="25"/>
      <c r="C131" s="26"/>
      <c r="D131" s="26"/>
      <c r="E131" s="26"/>
      <c r="F131" s="26"/>
      <c r="G131" s="26"/>
      <c r="H131" s="26"/>
      <c r="I131" s="26"/>
      <c r="J131" s="26"/>
      <c r="K131" s="26"/>
      <c r="L131" s="26"/>
      <c r="M131" s="29"/>
      <c r="N131" s="29"/>
      <c r="O131" s="29"/>
      <c r="P131" s="29"/>
      <c r="Q131" s="29"/>
    </row>
    <row r="132" spans="1:17" ht="15.75" customHeight="1">
      <c r="A132" s="28"/>
      <c r="B132" s="25"/>
      <c r="C132" s="26"/>
      <c r="D132" s="26"/>
      <c r="E132" s="26"/>
      <c r="F132" s="26"/>
      <c r="G132" s="26"/>
      <c r="H132" s="26"/>
      <c r="I132" s="26"/>
      <c r="J132" s="26"/>
      <c r="K132" s="26"/>
      <c r="L132" s="26"/>
      <c r="M132" s="29"/>
      <c r="N132" s="29"/>
      <c r="O132" s="29"/>
      <c r="P132" s="29"/>
      <c r="Q132" s="29"/>
    </row>
    <row r="133" spans="1:17" ht="15.75" customHeight="1">
      <c r="A133" s="28"/>
      <c r="B133" s="25"/>
      <c r="C133" s="26"/>
      <c r="D133" s="26"/>
      <c r="E133" s="26"/>
      <c r="F133" s="26"/>
      <c r="G133" s="26"/>
      <c r="H133" s="26"/>
      <c r="I133" s="26"/>
      <c r="J133" s="26"/>
      <c r="K133" s="26"/>
      <c r="L133" s="26"/>
      <c r="M133" s="29"/>
      <c r="N133" s="29"/>
      <c r="O133" s="29"/>
      <c r="P133" s="29"/>
      <c r="Q133" s="29"/>
    </row>
    <row r="134" spans="1:17" ht="15.75" customHeight="1">
      <c r="A134" s="28"/>
      <c r="B134" s="25"/>
      <c r="C134" s="26"/>
      <c r="D134" s="26"/>
      <c r="E134" s="26"/>
      <c r="F134" s="26"/>
      <c r="G134" s="26"/>
      <c r="H134" s="26"/>
      <c r="I134" s="26"/>
      <c r="J134" s="26"/>
      <c r="K134" s="26"/>
      <c r="L134" s="26"/>
      <c r="M134" s="29"/>
      <c r="N134" s="29"/>
      <c r="O134" s="29"/>
      <c r="P134" s="29"/>
      <c r="Q134" s="29"/>
    </row>
    <row r="135" spans="1:17" ht="15.75" customHeight="1">
      <c r="A135" s="28"/>
      <c r="B135" s="25"/>
      <c r="C135" s="26"/>
      <c r="D135" s="26"/>
      <c r="E135" s="26"/>
      <c r="F135" s="26"/>
      <c r="G135" s="26"/>
      <c r="H135" s="26"/>
      <c r="I135" s="26"/>
      <c r="J135" s="26"/>
      <c r="K135" s="26"/>
      <c r="L135" s="26"/>
      <c r="M135" s="29"/>
      <c r="N135" s="29"/>
      <c r="O135" s="29"/>
      <c r="P135" s="29"/>
      <c r="Q135" s="29"/>
    </row>
    <row r="136" spans="1:17" ht="15.75" customHeight="1">
      <c r="A136" s="28"/>
      <c r="B136" s="25"/>
      <c r="C136" s="26"/>
      <c r="D136" s="26"/>
      <c r="E136" s="26"/>
      <c r="F136" s="26"/>
      <c r="G136" s="26"/>
      <c r="H136" s="26"/>
      <c r="I136" s="26"/>
      <c r="J136" s="26"/>
      <c r="K136" s="26"/>
      <c r="L136" s="26"/>
      <c r="M136" s="29"/>
      <c r="N136" s="29"/>
      <c r="O136" s="29"/>
      <c r="P136" s="29"/>
      <c r="Q136" s="29"/>
    </row>
    <row r="137" spans="1:17" ht="15.75" customHeight="1">
      <c r="A137" s="28"/>
      <c r="B137" s="25"/>
      <c r="C137" s="26"/>
      <c r="D137" s="26"/>
      <c r="E137" s="26"/>
      <c r="F137" s="26"/>
      <c r="G137" s="26"/>
      <c r="H137" s="26"/>
      <c r="I137" s="26"/>
      <c r="J137" s="26"/>
      <c r="K137" s="26"/>
      <c r="L137" s="26"/>
      <c r="M137" s="29"/>
      <c r="N137" s="29"/>
      <c r="O137" s="29"/>
      <c r="P137" s="29"/>
      <c r="Q137" s="29"/>
    </row>
    <row r="138" spans="1:17" ht="15.75" customHeight="1">
      <c r="A138" s="28"/>
      <c r="B138" s="25"/>
      <c r="C138" s="26"/>
      <c r="D138" s="26"/>
      <c r="E138" s="26"/>
      <c r="F138" s="26"/>
      <c r="G138" s="26"/>
      <c r="H138" s="26"/>
      <c r="I138" s="26"/>
      <c r="J138" s="26"/>
      <c r="K138" s="26"/>
      <c r="L138" s="26"/>
      <c r="M138" s="29"/>
      <c r="N138" s="29"/>
      <c r="O138" s="29"/>
      <c r="P138" s="29"/>
      <c r="Q138" s="29"/>
    </row>
    <row r="139" spans="1:17" ht="15.75" customHeight="1">
      <c r="A139" s="28"/>
      <c r="B139" s="25"/>
      <c r="C139" s="26"/>
      <c r="D139" s="26"/>
      <c r="E139" s="26"/>
      <c r="F139" s="26"/>
      <c r="G139" s="26"/>
      <c r="H139" s="26"/>
      <c r="I139" s="26"/>
      <c r="J139" s="26"/>
      <c r="K139" s="26"/>
      <c r="L139" s="26"/>
      <c r="M139" s="29"/>
      <c r="N139" s="29"/>
      <c r="O139" s="29"/>
      <c r="P139" s="29"/>
      <c r="Q139" s="29"/>
    </row>
    <row r="140" spans="1:17" ht="15.75" customHeight="1">
      <c r="A140" s="28"/>
      <c r="B140" s="25"/>
      <c r="C140" s="26"/>
      <c r="D140" s="26"/>
      <c r="E140" s="26"/>
      <c r="F140" s="26"/>
      <c r="G140" s="26"/>
      <c r="H140" s="26"/>
      <c r="I140" s="26"/>
      <c r="J140" s="26"/>
      <c r="K140" s="26"/>
      <c r="L140" s="26"/>
      <c r="M140" s="29"/>
      <c r="N140" s="29"/>
      <c r="O140" s="29"/>
      <c r="P140" s="29"/>
      <c r="Q140" s="29"/>
    </row>
    <row r="141" spans="1:17" ht="15.75" customHeight="1">
      <c r="A141" s="28"/>
      <c r="B141" s="25"/>
      <c r="C141" s="26"/>
      <c r="D141" s="26"/>
      <c r="E141" s="26"/>
      <c r="F141" s="26"/>
      <c r="G141" s="26"/>
      <c r="H141" s="26"/>
      <c r="I141" s="26"/>
      <c r="J141" s="26"/>
      <c r="K141" s="26"/>
      <c r="L141" s="26"/>
      <c r="M141" s="29"/>
      <c r="N141" s="29"/>
      <c r="O141" s="29"/>
      <c r="P141" s="29"/>
      <c r="Q141" s="29"/>
    </row>
    <row r="142" spans="1:17" ht="15.75" customHeight="1">
      <c r="A142" s="28"/>
      <c r="B142" s="25"/>
      <c r="C142" s="26"/>
      <c r="D142" s="26"/>
      <c r="E142" s="26"/>
      <c r="F142" s="26"/>
      <c r="G142" s="26"/>
      <c r="H142" s="26"/>
      <c r="I142" s="26"/>
      <c r="J142" s="26"/>
      <c r="K142" s="26"/>
      <c r="L142" s="26"/>
      <c r="M142" s="29"/>
      <c r="N142" s="29"/>
      <c r="O142" s="29"/>
      <c r="P142" s="29"/>
      <c r="Q142" s="29"/>
    </row>
    <row r="143" spans="1:17" ht="15.75" customHeight="1">
      <c r="A143" s="28"/>
      <c r="B143" s="25"/>
      <c r="C143" s="26"/>
      <c r="D143" s="26"/>
      <c r="E143" s="26"/>
      <c r="F143" s="26"/>
      <c r="G143" s="26"/>
      <c r="H143" s="26"/>
      <c r="I143" s="26"/>
      <c r="J143" s="26"/>
      <c r="K143" s="26"/>
      <c r="L143" s="26"/>
      <c r="M143" s="29"/>
      <c r="N143" s="29"/>
      <c r="O143" s="29"/>
      <c r="P143" s="29"/>
      <c r="Q143" s="29"/>
    </row>
    <row r="144" spans="1:17" ht="15.75" customHeight="1">
      <c r="A144" s="28"/>
      <c r="B144" s="25"/>
      <c r="C144" s="26"/>
      <c r="D144" s="26"/>
      <c r="E144" s="26"/>
      <c r="F144" s="26"/>
      <c r="G144" s="26"/>
      <c r="H144" s="26"/>
      <c r="I144" s="26"/>
      <c r="J144" s="26"/>
      <c r="K144" s="26"/>
      <c r="L144" s="26"/>
      <c r="M144" s="29"/>
      <c r="N144" s="29"/>
      <c r="O144" s="29"/>
      <c r="P144" s="29"/>
      <c r="Q144" s="29"/>
    </row>
    <row r="145" spans="1:17" ht="15.75" customHeight="1">
      <c r="A145" s="28"/>
      <c r="B145" s="25"/>
      <c r="C145" s="26"/>
      <c r="D145" s="26"/>
      <c r="E145" s="26"/>
      <c r="F145" s="26"/>
      <c r="G145" s="26"/>
      <c r="H145" s="26"/>
      <c r="I145" s="26"/>
      <c r="J145" s="26"/>
      <c r="K145" s="26"/>
      <c r="L145" s="26"/>
      <c r="M145" s="29"/>
      <c r="N145" s="29"/>
      <c r="O145" s="29"/>
      <c r="P145" s="29"/>
      <c r="Q145" s="29"/>
    </row>
    <row r="146" spans="1:17" ht="15.75" customHeight="1">
      <c r="A146" s="28"/>
      <c r="B146" s="25"/>
      <c r="C146" s="26"/>
      <c r="D146" s="26"/>
      <c r="E146" s="26"/>
      <c r="F146" s="26"/>
      <c r="G146" s="26"/>
      <c r="H146" s="26"/>
      <c r="I146" s="26"/>
      <c r="J146" s="26"/>
      <c r="K146" s="26"/>
      <c r="L146" s="26"/>
      <c r="M146" s="29"/>
      <c r="N146" s="29"/>
      <c r="O146" s="29"/>
      <c r="P146" s="29"/>
      <c r="Q146" s="29"/>
    </row>
    <row r="147" spans="1:17" ht="15.75" customHeight="1">
      <c r="A147" s="28"/>
      <c r="B147" s="25"/>
      <c r="C147" s="26"/>
      <c r="D147" s="26"/>
      <c r="E147" s="26"/>
      <c r="F147" s="26"/>
      <c r="G147" s="26"/>
      <c r="H147" s="26"/>
      <c r="I147" s="26"/>
      <c r="J147" s="26"/>
      <c r="K147" s="26"/>
      <c r="L147" s="26"/>
      <c r="M147" s="29"/>
      <c r="N147" s="29"/>
      <c r="O147" s="29"/>
      <c r="P147" s="29"/>
      <c r="Q147" s="29"/>
    </row>
    <row r="148" spans="1:17" ht="15.75" customHeight="1">
      <c r="A148" s="28"/>
      <c r="B148" s="25"/>
      <c r="C148" s="26"/>
      <c r="D148" s="26"/>
      <c r="E148" s="26"/>
      <c r="F148" s="26"/>
      <c r="G148" s="26"/>
      <c r="H148" s="26"/>
      <c r="I148" s="26"/>
      <c r="J148" s="26"/>
      <c r="K148" s="26"/>
      <c r="L148" s="26"/>
      <c r="M148" s="29"/>
      <c r="N148" s="29"/>
      <c r="O148" s="29"/>
      <c r="P148" s="29"/>
      <c r="Q148" s="29"/>
    </row>
    <row r="149" spans="1:17" ht="15.75" customHeight="1">
      <c r="A149" s="28"/>
      <c r="B149" s="25"/>
      <c r="C149" s="26"/>
      <c r="D149" s="26"/>
      <c r="E149" s="26"/>
      <c r="F149" s="26"/>
      <c r="G149" s="26"/>
      <c r="H149" s="26"/>
      <c r="I149" s="26"/>
      <c r="J149" s="26"/>
      <c r="K149" s="26"/>
      <c r="L149" s="26"/>
      <c r="M149" s="29"/>
      <c r="N149" s="29"/>
      <c r="O149" s="29"/>
      <c r="P149" s="29"/>
      <c r="Q149" s="29"/>
    </row>
    <row r="150" spans="1:17" ht="15.75" customHeight="1">
      <c r="A150" s="28"/>
      <c r="B150" s="25"/>
      <c r="C150" s="26"/>
      <c r="D150" s="26"/>
      <c r="E150" s="26"/>
      <c r="F150" s="26"/>
      <c r="G150" s="26"/>
      <c r="H150" s="26"/>
      <c r="I150" s="26"/>
      <c r="J150" s="26"/>
      <c r="K150" s="26"/>
      <c r="L150" s="26"/>
      <c r="M150" s="29"/>
      <c r="N150" s="29"/>
      <c r="O150" s="29"/>
      <c r="P150" s="29"/>
      <c r="Q150" s="29"/>
    </row>
    <row r="151" spans="1:17" ht="15.75" customHeight="1">
      <c r="A151" s="28"/>
      <c r="B151" s="25"/>
      <c r="C151" s="26"/>
      <c r="D151" s="26"/>
      <c r="E151" s="26"/>
      <c r="F151" s="26"/>
      <c r="G151" s="26"/>
      <c r="H151" s="26"/>
      <c r="I151" s="26"/>
      <c r="J151" s="26"/>
      <c r="K151" s="26"/>
      <c r="L151" s="26"/>
      <c r="M151" s="29"/>
      <c r="N151" s="29"/>
      <c r="O151" s="29"/>
      <c r="P151" s="29"/>
      <c r="Q151" s="29"/>
    </row>
    <row r="152" spans="1:17" ht="15.75" customHeight="1">
      <c r="A152" s="28"/>
      <c r="B152" s="25"/>
      <c r="C152" s="26"/>
      <c r="D152" s="26"/>
      <c r="E152" s="26"/>
      <c r="F152" s="26"/>
      <c r="G152" s="26"/>
      <c r="H152" s="26"/>
      <c r="I152" s="26"/>
      <c r="J152" s="26"/>
      <c r="K152" s="26"/>
      <c r="L152" s="26"/>
      <c r="M152" s="29"/>
      <c r="N152" s="29"/>
      <c r="O152" s="29"/>
      <c r="P152" s="29"/>
      <c r="Q152" s="29"/>
    </row>
    <row r="153" spans="1:17" ht="15.75" customHeight="1">
      <c r="A153" s="28"/>
      <c r="B153" s="25"/>
      <c r="C153" s="26"/>
      <c r="D153" s="26"/>
      <c r="E153" s="26"/>
      <c r="F153" s="26"/>
      <c r="G153" s="26"/>
      <c r="H153" s="26"/>
      <c r="I153" s="26"/>
      <c r="J153" s="26"/>
      <c r="K153" s="26"/>
      <c r="L153" s="26"/>
      <c r="M153" s="29"/>
      <c r="N153" s="29"/>
      <c r="O153" s="29"/>
      <c r="P153" s="29"/>
      <c r="Q153" s="29"/>
    </row>
    <row r="154" spans="1:17" ht="15.75" customHeight="1">
      <c r="A154" s="28"/>
      <c r="B154" s="25"/>
      <c r="C154" s="26"/>
      <c r="D154" s="26"/>
      <c r="E154" s="26"/>
      <c r="F154" s="26"/>
      <c r="G154" s="26"/>
      <c r="H154" s="26"/>
      <c r="I154" s="26"/>
      <c r="J154" s="26"/>
      <c r="K154" s="26"/>
      <c r="L154" s="26"/>
      <c r="M154" s="29"/>
      <c r="N154" s="29"/>
      <c r="O154" s="29"/>
      <c r="P154" s="29"/>
      <c r="Q154" s="29"/>
    </row>
    <row r="155" spans="1:17" ht="15.75" customHeight="1">
      <c r="A155" s="28"/>
      <c r="B155" s="25"/>
      <c r="C155" s="26"/>
      <c r="D155" s="26"/>
      <c r="E155" s="26"/>
      <c r="F155" s="26"/>
      <c r="G155" s="26"/>
      <c r="H155" s="26"/>
      <c r="I155" s="26"/>
      <c r="J155" s="26"/>
      <c r="K155" s="26"/>
      <c r="L155" s="26"/>
      <c r="M155" s="29"/>
      <c r="N155" s="29"/>
      <c r="O155" s="29"/>
      <c r="P155" s="29"/>
      <c r="Q155" s="29"/>
    </row>
    <row r="156" spans="1:17" ht="15.75" customHeight="1">
      <c r="A156" s="28"/>
      <c r="B156" s="25"/>
      <c r="C156" s="26"/>
      <c r="D156" s="26"/>
      <c r="E156" s="26"/>
      <c r="F156" s="26"/>
      <c r="G156" s="26"/>
      <c r="H156" s="26"/>
      <c r="I156" s="26"/>
      <c r="J156" s="26"/>
      <c r="K156" s="26"/>
      <c r="L156" s="26"/>
      <c r="M156" s="29"/>
      <c r="N156" s="29"/>
      <c r="O156" s="29"/>
      <c r="P156" s="29"/>
      <c r="Q156" s="29"/>
    </row>
    <row r="157" spans="1:17" ht="15.75" customHeight="1">
      <c r="A157" s="28"/>
      <c r="B157" s="25"/>
      <c r="C157" s="26"/>
      <c r="D157" s="26"/>
      <c r="E157" s="26"/>
      <c r="F157" s="26"/>
      <c r="G157" s="26"/>
      <c r="H157" s="26"/>
      <c r="I157" s="26"/>
      <c r="J157" s="26"/>
      <c r="K157" s="26"/>
      <c r="L157" s="26"/>
      <c r="M157" s="29"/>
      <c r="N157" s="29"/>
      <c r="O157" s="29"/>
      <c r="P157" s="29"/>
      <c r="Q157" s="29"/>
    </row>
    <row r="158" spans="1:17" ht="15.75" customHeight="1">
      <c r="A158" s="28"/>
      <c r="B158" s="25"/>
      <c r="C158" s="26"/>
      <c r="D158" s="26"/>
      <c r="E158" s="26"/>
      <c r="F158" s="26"/>
      <c r="G158" s="26"/>
      <c r="H158" s="26"/>
      <c r="I158" s="26"/>
      <c r="J158" s="26"/>
      <c r="K158" s="26"/>
      <c r="L158" s="26"/>
      <c r="M158" s="29"/>
      <c r="N158" s="29"/>
      <c r="O158" s="29"/>
      <c r="P158" s="29"/>
      <c r="Q158" s="29"/>
    </row>
    <row r="159" spans="1:17" ht="15.75" customHeight="1">
      <c r="A159" s="28"/>
      <c r="B159" s="25"/>
      <c r="C159" s="26"/>
      <c r="D159" s="26"/>
      <c r="E159" s="26"/>
      <c r="F159" s="26"/>
      <c r="G159" s="26"/>
      <c r="H159" s="26"/>
      <c r="I159" s="26"/>
      <c r="J159" s="26"/>
      <c r="K159" s="26"/>
      <c r="L159" s="26"/>
      <c r="M159" s="29"/>
      <c r="N159" s="29"/>
      <c r="O159" s="29"/>
      <c r="P159" s="29"/>
      <c r="Q159" s="29"/>
    </row>
    <row r="160" spans="1:17" ht="15.75" customHeight="1">
      <c r="A160" s="28"/>
      <c r="B160" s="25"/>
      <c r="C160" s="26"/>
      <c r="D160" s="26"/>
      <c r="E160" s="26"/>
      <c r="F160" s="26"/>
      <c r="G160" s="26"/>
      <c r="H160" s="26"/>
      <c r="I160" s="26"/>
      <c r="J160" s="26"/>
      <c r="K160" s="26"/>
      <c r="L160" s="26"/>
      <c r="M160" s="29"/>
      <c r="N160" s="29"/>
      <c r="O160" s="29"/>
      <c r="P160" s="29"/>
      <c r="Q160" s="29"/>
    </row>
    <row r="161" spans="1:17" ht="15.75" customHeight="1">
      <c r="A161" s="28"/>
      <c r="B161" s="25"/>
      <c r="C161" s="26"/>
      <c r="D161" s="26"/>
      <c r="E161" s="26"/>
      <c r="F161" s="26"/>
      <c r="G161" s="26"/>
      <c r="H161" s="26"/>
      <c r="I161" s="26"/>
      <c r="J161" s="26"/>
      <c r="K161" s="26"/>
      <c r="L161" s="26"/>
      <c r="M161" s="29"/>
      <c r="N161" s="29"/>
      <c r="O161" s="29"/>
      <c r="P161" s="29"/>
      <c r="Q161" s="29"/>
    </row>
    <row r="162" spans="1:17" ht="15.75" customHeight="1">
      <c r="A162" s="28"/>
      <c r="B162" s="25"/>
      <c r="C162" s="26"/>
      <c r="D162" s="26"/>
      <c r="E162" s="26"/>
      <c r="F162" s="26"/>
      <c r="G162" s="26"/>
      <c r="H162" s="26"/>
      <c r="I162" s="26"/>
      <c r="J162" s="26"/>
      <c r="K162" s="26"/>
      <c r="L162" s="26"/>
      <c r="M162" s="29"/>
      <c r="N162" s="29"/>
      <c r="O162" s="29"/>
      <c r="P162" s="29"/>
      <c r="Q162" s="29"/>
    </row>
    <row r="163" spans="1:17" ht="15.75" customHeight="1">
      <c r="A163" s="28"/>
      <c r="B163" s="25"/>
      <c r="C163" s="26"/>
      <c r="D163" s="26"/>
      <c r="E163" s="26"/>
      <c r="F163" s="26"/>
      <c r="G163" s="26"/>
      <c r="H163" s="26"/>
      <c r="I163" s="26"/>
      <c r="J163" s="26"/>
      <c r="K163" s="26"/>
      <c r="L163" s="26"/>
      <c r="M163" s="29"/>
      <c r="N163" s="29"/>
      <c r="O163" s="29"/>
      <c r="P163" s="29"/>
      <c r="Q163" s="29"/>
    </row>
    <row r="164" spans="1:17" ht="15.75" customHeight="1">
      <c r="A164" s="28"/>
      <c r="B164" s="25"/>
      <c r="C164" s="26"/>
      <c r="D164" s="26"/>
      <c r="E164" s="26"/>
      <c r="F164" s="26"/>
      <c r="G164" s="26"/>
      <c r="H164" s="26"/>
      <c r="I164" s="26"/>
      <c r="J164" s="26"/>
      <c r="K164" s="26"/>
      <c r="L164" s="26"/>
      <c r="M164" s="29"/>
      <c r="N164" s="29"/>
      <c r="O164" s="29"/>
      <c r="P164" s="29"/>
      <c r="Q164" s="29"/>
    </row>
    <row r="165" spans="1:17" ht="15.75" customHeight="1">
      <c r="A165" s="28"/>
      <c r="B165" s="25"/>
      <c r="C165" s="26"/>
      <c r="D165" s="26"/>
      <c r="E165" s="26"/>
      <c r="F165" s="26"/>
      <c r="G165" s="26"/>
      <c r="H165" s="26"/>
      <c r="I165" s="26"/>
      <c r="J165" s="26"/>
      <c r="K165" s="26"/>
      <c r="L165" s="26"/>
      <c r="M165" s="29"/>
      <c r="N165" s="29"/>
      <c r="O165" s="29"/>
      <c r="P165" s="29"/>
      <c r="Q165" s="29"/>
    </row>
    <row r="166" spans="1:17" ht="15.75" customHeight="1">
      <c r="A166" s="28"/>
      <c r="B166" s="25"/>
      <c r="C166" s="26"/>
      <c r="D166" s="26"/>
      <c r="E166" s="26"/>
      <c r="F166" s="26"/>
      <c r="G166" s="26"/>
      <c r="H166" s="26"/>
      <c r="I166" s="26"/>
      <c r="J166" s="26"/>
      <c r="K166" s="26"/>
      <c r="L166" s="26"/>
      <c r="M166" s="29"/>
      <c r="N166" s="29"/>
      <c r="O166" s="29"/>
      <c r="P166" s="29"/>
      <c r="Q166" s="29"/>
    </row>
    <row r="167" spans="1:17" ht="15.75" customHeight="1">
      <c r="A167" s="28"/>
      <c r="B167" s="25"/>
      <c r="C167" s="26"/>
      <c r="D167" s="26"/>
      <c r="E167" s="26"/>
      <c r="F167" s="26"/>
      <c r="G167" s="26"/>
      <c r="H167" s="26"/>
      <c r="I167" s="26"/>
      <c r="J167" s="26"/>
      <c r="K167" s="26"/>
      <c r="L167" s="26"/>
      <c r="M167" s="29"/>
      <c r="N167" s="29"/>
      <c r="O167" s="29"/>
      <c r="P167" s="29"/>
      <c r="Q167" s="29"/>
    </row>
    <row r="168" spans="1:17" ht="15.75" customHeight="1">
      <c r="A168" s="28"/>
      <c r="B168" s="25"/>
      <c r="C168" s="26"/>
      <c r="D168" s="26"/>
      <c r="E168" s="26"/>
      <c r="F168" s="26"/>
      <c r="G168" s="26"/>
      <c r="H168" s="26"/>
      <c r="I168" s="26"/>
      <c r="J168" s="26"/>
      <c r="K168" s="26"/>
      <c r="L168" s="26"/>
      <c r="M168" s="29"/>
      <c r="N168" s="29"/>
      <c r="O168" s="29"/>
      <c r="P168" s="29"/>
      <c r="Q168" s="29"/>
    </row>
    <row r="169" spans="1:17" ht="15.75" customHeight="1">
      <c r="A169" s="28"/>
      <c r="B169" s="25"/>
      <c r="C169" s="26"/>
      <c r="D169" s="26"/>
      <c r="E169" s="26"/>
      <c r="F169" s="26"/>
      <c r="G169" s="26"/>
      <c r="H169" s="26"/>
      <c r="I169" s="26"/>
      <c r="J169" s="26"/>
      <c r="K169" s="26"/>
      <c r="L169" s="26"/>
      <c r="M169" s="29"/>
      <c r="N169" s="29"/>
      <c r="O169" s="29"/>
      <c r="P169" s="29"/>
      <c r="Q169" s="29"/>
    </row>
    <row r="170" spans="1:17" ht="15.75" customHeight="1">
      <c r="A170" s="28"/>
      <c r="B170" s="25"/>
      <c r="C170" s="26"/>
      <c r="D170" s="26"/>
      <c r="E170" s="26"/>
      <c r="F170" s="26"/>
      <c r="G170" s="26"/>
      <c r="H170" s="26"/>
      <c r="I170" s="26"/>
      <c r="J170" s="26"/>
      <c r="K170" s="26"/>
      <c r="L170" s="26"/>
      <c r="M170" s="29"/>
      <c r="N170" s="29"/>
      <c r="O170" s="29"/>
      <c r="P170" s="29"/>
      <c r="Q170" s="29"/>
    </row>
    <row r="171" spans="1:17" ht="15.75" customHeight="1">
      <c r="A171" s="28"/>
      <c r="B171" s="25"/>
      <c r="C171" s="26"/>
      <c r="D171" s="26"/>
      <c r="E171" s="26"/>
      <c r="F171" s="26"/>
      <c r="G171" s="26"/>
      <c r="H171" s="26"/>
      <c r="I171" s="26"/>
      <c r="J171" s="26"/>
      <c r="K171" s="26"/>
      <c r="L171" s="26"/>
      <c r="M171" s="29"/>
      <c r="N171" s="29"/>
      <c r="O171" s="29"/>
      <c r="P171" s="29"/>
      <c r="Q171" s="29"/>
    </row>
    <row r="172" spans="1:17" ht="15.75" customHeight="1">
      <c r="A172" s="28"/>
      <c r="B172" s="25"/>
      <c r="C172" s="26"/>
      <c r="D172" s="26"/>
      <c r="E172" s="26"/>
      <c r="F172" s="26"/>
      <c r="G172" s="26"/>
      <c r="H172" s="26"/>
      <c r="I172" s="26"/>
      <c r="J172" s="26"/>
      <c r="K172" s="26"/>
      <c r="L172" s="26"/>
      <c r="M172" s="29"/>
      <c r="N172" s="29"/>
      <c r="O172" s="29"/>
      <c r="P172" s="29"/>
      <c r="Q172" s="29"/>
    </row>
    <row r="173" spans="1:17" ht="15.75" customHeight="1">
      <c r="A173" s="28"/>
      <c r="B173" s="25"/>
      <c r="C173" s="26"/>
      <c r="D173" s="26"/>
      <c r="E173" s="26"/>
      <c r="F173" s="26"/>
      <c r="G173" s="26"/>
      <c r="H173" s="26"/>
      <c r="I173" s="26"/>
      <c r="J173" s="26"/>
      <c r="K173" s="26"/>
      <c r="L173" s="26"/>
      <c r="M173" s="29"/>
      <c r="N173" s="29"/>
      <c r="O173" s="29"/>
      <c r="P173" s="29"/>
      <c r="Q173" s="29"/>
    </row>
    <row r="174" spans="1:17" ht="15.75" customHeight="1">
      <c r="A174" s="28"/>
      <c r="B174" s="25"/>
      <c r="C174" s="26"/>
      <c r="D174" s="26"/>
      <c r="E174" s="26"/>
      <c r="F174" s="26"/>
      <c r="G174" s="26"/>
      <c r="H174" s="26"/>
      <c r="I174" s="26"/>
      <c r="J174" s="26"/>
      <c r="K174" s="26"/>
      <c r="L174" s="26"/>
      <c r="M174" s="29"/>
      <c r="N174" s="29"/>
      <c r="O174" s="29"/>
      <c r="P174" s="29"/>
      <c r="Q174" s="29"/>
    </row>
    <row r="175" spans="1:17" ht="15.75" customHeight="1">
      <c r="A175" s="28"/>
      <c r="B175" s="25"/>
      <c r="C175" s="26"/>
      <c r="D175" s="26"/>
      <c r="E175" s="26"/>
      <c r="F175" s="26"/>
      <c r="G175" s="26"/>
      <c r="H175" s="26"/>
      <c r="I175" s="26"/>
      <c r="J175" s="26"/>
      <c r="K175" s="26"/>
      <c r="L175" s="26"/>
      <c r="M175" s="29"/>
      <c r="N175" s="29"/>
      <c r="O175" s="29"/>
      <c r="P175" s="29"/>
      <c r="Q175" s="29"/>
    </row>
    <row r="176" spans="1:17" ht="15.75" customHeight="1">
      <c r="A176" s="28"/>
      <c r="B176" s="25"/>
      <c r="C176" s="26"/>
      <c r="D176" s="26"/>
      <c r="E176" s="26"/>
      <c r="F176" s="26"/>
      <c r="G176" s="26"/>
      <c r="H176" s="26"/>
      <c r="I176" s="26"/>
      <c r="J176" s="26"/>
      <c r="K176" s="26"/>
      <c r="L176" s="26"/>
      <c r="M176" s="29"/>
      <c r="N176" s="29"/>
      <c r="O176" s="29"/>
      <c r="P176" s="29"/>
      <c r="Q176" s="29"/>
    </row>
    <row r="177" spans="1:17" ht="15.75" customHeight="1">
      <c r="A177" s="28"/>
      <c r="B177" s="25"/>
      <c r="C177" s="26"/>
      <c r="D177" s="26"/>
      <c r="E177" s="26"/>
      <c r="F177" s="26"/>
      <c r="G177" s="26"/>
      <c r="H177" s="26"/>
      <c r="I177" s="26"/>
      <c r="J177" s="26"/>
      <c r="K177" s="26"/>
      <c r="L177" s="26"/>
      <c r="M177" s="29"/>
      <c r="N177" s="29"/>
      <c r="O177" s="29"/>
      <c r="P177" s="29"/>
      <c r="Q177" s="29"/>
    </row>
    <row r="178" spans="1:17" ht="15.75" customHeight="1">
      <c r="A178" s="28"/>
      <c r="B178" s="25"/>
      <c r="C178" s="26"/>
      <c r="D178" s="26"/>
      <c r="E178" s="26"/>
      <c r="F178" s="26"/>
      <c r="G178" s="26"/>
      <c r="H178" s="26"/>
      <c r="I178" s="26"/>
      <c r="J178" s="26"/>
      <c r="K178" s="26"/>
      <c r="L178" s="26"/>
      <c r="M178" s="29"/>
      <c r="N178" s="29"/>
      <c r="O178" s="29"/>
      <c r="P178" s="29"/>
      <c r="Q178" s="29"/>
    </row>
    <row r="179" spans="1:17" ht="15.75" customHeight="1">
      <c r="A179" s="28"/>
      <c r="B179" s="25"/>
      <c r="C179" s="26"/>
      <c r="D179" s="26"/>
      <c r="E179" s="26"/>
      <c r="F179" s="26"/>
      <c r="G179" s="26"/>
      <c r="H179" s="26"/>
      <c r="I179" s="26"/>
      <c r="J179" s="26"/>
      <c r="K179" s="26"/>
      <c r="L179" s="26"/>
      <c r="M179" s="29"/>
      <c r="N179" s="29"/>
      <c r="O179" s="29"/>
      <c r="P179" s="29"/>
      <c r="Q179" s="29"/>
    </row>
    <row r="180" spans="1:17" ht="15.75" customHeight="1">
      <c r="A180" s="28"/>
      <c r="B180" s="25"/>
      <c r="C180" s="26"/>
      <c r="D180" s="26"/>
      <c r="E180" s="26"/>
      <c r="F180" s="26"/>
      <c r="G180" s="26"/>
      <c r="H180" s="26"/>
      <c r="I180" s="26"/>
      <c r="J180" s="26"/>
      <c r="K180" s="26"/>
      <c r="L180" s="26"/>
      <c r="M180" s="29"/>
      <c r="N180" s="29"/>
      <c r="O180" s="29"/>
      <c r="P180" s="29"/>
      <c r="Q180" s="29"/>
    </row>
    <row r="181" spans="1:17" ht="15.75" customHeight="1">
      <c r="A181" s="28"/>
      <c r="B181" s="25"/>
      <c r="C181" s="26"/>
      <c r="D181" s="26"/>
      <c r="E181" s="26"/>
      <c r="F181" s="26"/>
      <c r="G181" s="26"/>
      <c r="H181" s="26"/>
      <c r="I181" s="26"/>
      <c r="J181" s="26"/>
      <c r="K181" s="26"/>
      <c r="L181" s="26"/>
      <c r="M181" s="29"/>
      <c r="N181" s="29"/>
      <c r="O181" s="29"/>
      <c r="P181" s="29"/>
      <c r="Q181" s="29"/>
    </row>
    <row r="182" spans="1:17" ht="15.75" customHeight="1">
      <c r="A182" s="28"/>
      <c r="B182" s="25"/>
      <c r="C182" s="26"/>
      <c r="D182" s="26"/>
      <c r="E182" s="26"/>
      <c r="F182" s="26"/>
      <c r="G182" s="26"/>
      <c r="H182" s="26"/>
      <c r="I182" s="26"/>
      <c r="J182" s="26"/>
      <c r="K182" s="26"/>
      <c r="L182" s="26"/>
      <c r="M182" s="29"/>
      <c r="N182" s="29"/>
      <c r="O182" s="29"/>
      <c r="P182" s="29"/>
      <c r="Q182" s="29"/>
    </row>
    <row r="183" spans="1:17" ht="15.75" customHeight="1">
      <c r="A183" s="28"/>
      <c r="B183" s="25"/>
      <c r="C183" s="26"/>
      <c r="D183" s="26"/>
      <c r="E183" s="26"/>
      <c r="F183" s="26"/>
      <c r="G183" s="26"/>
      <c r="H183" s="26"/>
      <c r="I183" s="26"/>
      <c r="J183" s="26"/>
      <c r="K183" s="26"/>
      <c r="L183" s="26"/>
      <c r="M183" s="29"/>
      <c r="N183" s="29"/>
      <c r="O183" s="29"/>
      <c r="P183" s="29"/>
      <c r="Q183" s="29"/>
    </row>
    <row r="184" spans="1:17" ht="15.75" customHeight="1">
      <c r="A184" s="28"/>
      <c r="B184" s="25"/>
      <c r="C184" s="26"/>
      <c r="D184" s="26"/>
      <c r="E184" s="26"/>
      <c r="F184" s="26"/>
      <c r="G184" s="26"/>
      <c r="H184" s="26"/>
      <c r="I184" s="26"/>
      <c r="J184" s="26"/>
      <c r="K184" s="26"/>
      <c r="L184" s="26"/>
      <c r="M184" s="29"/>
      <c r="N184" s="29"/>
      <c r="O184" s="29"/>
      <c r="P184" s="29"/>
      <c r="Q184" s="29"/>
    </row>
    <row r="185" spans="1:17" ht="15.75" customHeight="1">
      <c r="A185" s="28"/>
      <c r="B185" s="25"/>
      <c r="C185" s="26"/>
      <c r="D185" s="26"/>
      <c r="E185" s="26"/>
      <c r="F185" s="26"/>
      <c r="G185" s="26"/>
      <c r="H185" s="26"/>
      <c r="I185" s="26"/>
      <c r="J185" s="26"/>
      <c r="K185" s="26"/>
      <c r="L185" s="26"/>
      <c r="M185" s="29"/>
      <c r="N185" s="29"/>
      <c r="O185" s="29"/>
      <c r="P185" s="29"/>
      <c r="Q185" s="29"/>
    </row>
    <row r="186" spans="1:17" ht="15.75" customHeight="1">
      <c r="A186" s="28"/>
      <c r="B186" s="25"/>
      <c r="C186" s="26"/>
      <c r="D186" s="26"/>
      <c r="E186" s="26"/>
      <c r="F186" s="26"/>
      <c r="G186" s="26"/>
      <c r="H186" s="26"/>
      <c r="I186" s="26"/>
      <c r="J186" s="26"/>
      <c r="K186" s="26"/>
      <c r="L186" s="26"/>
      <c r="M186" s="29"/>
      <c r="N186" s="29"/>
      <c r="O186" s="29"/>
      <c r="P186" s="29"/>
      <c r="Q186" s="29"/>
    </row>
    <row r="187" spans="1:17" ht="15.75" customHeight="1">
      <c r="A187" s="28"/>
      <c r="B187" s="25"/>
      <c r="C187" s="26"/>
      <c r="D187" s="26"/>
      <c r="E187" s="26"/>
      <c r="F187" s="26"/>
      <c r="G187" s="26"/>
      <c r="H187" s="26"/>
      <c r="I187" s="26"/>
      <c r="J187" s="26"/>
      <c r="K187" s="26"/>
      <c r="L187" s="26"/>
      <c r="M187" s="29"/>
      <c r="N187" s="29"/>
      <c r="O187" s="29"/>
      <c r="P187" s="29"/>
      <c r="Q187" s="29"/>
    </row>
    <row r="188" spans="1:17" ht="15.75" customHeight="1">
      <c r="A188" s="28"/>
      <c r="B188" s="25"/>
      <c r="C188" s="26"/>
      <c r="D188" s="26"/>
      <c r="E188" s="26"/>
      <c r="F188" s="26"/>
      <c r="G188" s="26"/>
      <c r="H188" s="26"/>
      <c r="I188" s="26"/>
      <c r="J188" s="26"/>
      <c r="K188" s="26"/>
      <c r="L188" s="26"/>
      <c r="M188" s="29"/>
      <c r="N188" s="29"/>
      <c r="O188" s="29"/>
      <c r="P188" s="29"/>
      <c r="Q188" s="29"/>
    </row>
    <row r="189" spans="1:17" ht="15.75" customHeight="1">
      <c r="A189" s="28"/>
      <c r="B189" s="25"/>
      <c r="C189" s="26"/>
      <c r="D189" s="26"/>
      <c r="E189" s="26"/>
      <c r="F189" s="26"/>
      <c r="G189" s="26"/>
      <c r="H189" s="26"/>
      <c r="I189" s="26"/>
      <c r="J189" s="26"/>
      <c r="K189" s="26"/>
      <c r="L189" s="26"/>
      <c r="M189" s="29"/>
      <c r="N189" s="29"/>
      <c r="O189" s="29"/>
      <c r="P189" s="29"/>
      <c r="Q189" s="29"/>
    </row>
    <row r="190" spans="1:17" ht="15.75" customHeight="1">
      <c r="A190" s="28"/>
      <c r="B190" s="25"/>
      <c r="C190" s="26"/>
      <c r="D190" s="26"/>
      <c r="E190" s="26"/>
      <c r="F190" s="26"/>
      <c r="G190" s="26"/>
      <c r="H190" s="26"/>
      <c r="I190" s="26"/>
      <c r="J190" s="26"/>
      <c r="K190" s="26"/>
      <c r="L190" s="26"/>
      <c r="M190" s="29"/>
      <c r="N190" s="29"/>
      <c r="O190" s="29"/>
      <c r="P190" s="29"/>
      <c r="Q190" s="29"/>
    </row>
    <row r="191" spans="1:17" ht="15.75" customHeight="1">
      <c r="A191" s="28"/>
      <c r="B191" s="25"/>
      <c r="C191" s="26"/>
      <c r="D191" s="26"/>
      <c r="E191" s="26"/>
      <c r="F191" s="26"/>
      <c r="G191" s="26"/>
      <c r="H191" s="26"/>
      <c r="I191" s="26"/>
      <c r="J191" s="26"/>
      <c r="K191" s="26"/>
      <c r="L191" s="26"/>
      <c r="M191" s="29"/>
      <c r="N191" s="29"/>
      <c r="O191" s="29"/>
      <c r="P191" s="29"/>
      <c r="Q191" s="29"/>
    </row>
    <row r="192" spans="1:17" ht="15.75" customHeight="1">
      <c r="A192" s="28"/>
      <c r="B192" s="25"/>
      <c r="C192" s="26"/>
      <c r="D192" s="26"/>
      <c r="E192" s="26"/>
      <c r="F192" s="26"/>
      <c r="G192" s="26"/>
      <c r="H192" s="26"/>
      <c r="I192" s="26"/>
      <c r="J192" s="26"/>
      <c r="K192" s="26"/>
      <c r="L192" s="26"/>
      <c r="M192" s="29"/>
      <c r="N192" s="29"/>
      <c r="O192" s="29"/>
      <c r="P192" s="29"/>
      <c r="Q192" s="29"/>
    </row>
    <row r="193" spans="1:17" ht="15.75" customHeight="1">
      <c r="A193" s="28"/>
      <c r="B193" s="25"/>
      <c r="C193" s="26"/>
      <c r="D193" s="26"/>
      <c r="E193" s="26"/>
      <c r="F193" s="26"/>
      <c r="G193" s="26"/>
      <c r="H193" s="26"/>
      <c r="I193" s="26"/>
      <c r="J193" s="26"/>
      <c r="K193" s="26"/>
      <c r="L193" s="26"/>
      <c r="M193" s="29"/>
      <c r="N193" s="29"/>
      <c r="O193" s="29"/>
      <c r="P193" s="29"/>
      <c r="Q193" s="29"/>
    </row>
    <row r="194" spans="1:17" ht="15.75" customHeight="1">
      <c r="A194" s="28"/>
      <c r="B194" s="25"/>
      <c r="C194" s="26"/>
      <c r="D194" s="26"/>
      <c r="E194" s="26"/>
      <c r="F194" s="26"/>
      <c r="G194" s="26"/>
      <c r="H194" s="26"/>
      <c r="I194" s="26"/>
      <c r="J194" s="26"/>
      <c r="K194" s="26"/>
      <c r="L194" s="26"/>
      <c r="M194" s="29"/>
      <c r="N194" s="29"/>
      <c r="O194" s="29"/>
      <c r="P194" s="29"/>
      <c r="Q194" s="29"/>
    </row>
    <row r="195" spans="1:17" ht="15.75" customHeight="1">
      <c r="A195" s="28"/>
      <c r="B195" s="25"/>
      <c r="C195" s="26"/>
      <c r="D195" s="26"/>
      <c r="E195" s="26"/>
      <c r="F195" s="26"/>
      <c r="G195" s="26"/>
      <c r="H195" s="26"/>
      <c r="I195" s="26"/>
      <c r="J195" s="26"/>
      <c r="K195" s="26"/>
      <c r="L195" s="26"/>
      <c r="M195" s="29"/>
      <c r="N195" s="29"/>
      <c r="O195" s="29"/>
      <c r="P195" s="29"/>
      <c r="Q195" s="29"/>
    </row>
    <row r="196" spans="1:17" ht="15.75" customHeight="1">
      <c r="A196" s="28"/>
      <c r="B196" s="25"/>
      <c r="C196" s="26"/>
      <c r="D196" s="26"/>
      <c r="E196" s="26"/>
      <c r="F196" s="26"/>
      <c r="G196" s="26"/>
      <c r="H196" s="26"/>
      <c r="I196" s="26"/>
      <c r="J196" s="26"/>
      <c r="K196" s="26"/>
      <c r="L196" s="26"/>
      <c r="M196" s="29"/>
      <c r="N196" s="29"/>
      <c r="O196" s="29"/>
      <c r="P196" s="29"/>
      <c r="Q196" s="29"/>
    </row>
    <row r="197" spans="1:17" ht="15.75" customHeight="1">
      <c r="A197" s="28"/>
      <c r="B197" s="25"/>
      <c r="C197" s="26"/>
      <c r="D197" s="26"/>
      <c r="E197" s="26"/>
      <c r="F197" s="26"/>
      <c r="G197" s="26"/>
      <c r="H197" s="26"/>
      <c r="I197" s="26"/>
      <c r="J197" s="26"/>
      <c r="K197" s="26"/>
      <c r="L197" s="26"/>
      <c r="M197" s="29"/>
      <c r="N197" s="29"/>
      <c r="O197" s="29"/>
      <c r="P197" s="29"/>
      <c r="Q197" s="29"/>
    </row>
    <row r="198" spans="1:17" ht="15.75" customHeight="1">
      <c r="A198" s="28"/>
      <c r="B198" s="25"/>
      <c r="C198" s="26"/>
      <c r="D198" s="26"/>
      <c r="E198" s="26"/>
      <c r="F198" s="26"/>
      <c r="G198" s="26"/>
      <c r="H198" s="26"/>
      <c r="I198" s="26"/>
      <c r="J198" s="26"/>
      <c r="K198" s="26"/>
      <c r="L198" s="26"/>
      <c r="M198" s="29"/>
      <c r="N198" s="29"/>
      <c r="O198" s="29"/>
      <c r="P198" s="29"/>
      <c r="Q198" s="29"/>
    </row>
    <row r="199" spans="1:17" ht="15.75" customHeight="1">
      <c r="A199" s="28"/>
      <c r="B199" s="25"/>
      <c r="C199" s="26"/>
      <c r="D199" s="26"/>
      <c r="E199" s="26"/>
      <c r="F199" s="26"/>
      <c r="G199" s="26"/>
      <c r="H199" s="26"/>
      <c r="I199" s="26"/>
      <c r="J199" s="26"/>
      <c r="K199" s="26"/>
      <c r="L199" s="26"/>
      <c r="M199" s="29"/>
      <c r="N199" s="29"/>
      <c r="O199" s="29"/>
      <c r="P199" s="29"/>
      <c r="Q199" s="29"/>
    </row>
    <row r="200" spans="1:17" ht="15.75" customHeight="1">
      <c r="A200" s="28"/>
      <c r="B200" s="25"/>
      <c r="C200" s="26"/>
      <c r="D200" s="26"/>
      <c r="E200" s="26"/>
      <c r="F200" s="26"/>
      <c r="G200" s="26"/>
      <c r="H200" s="26"/>
      <c r="I200" s="26"/>
      <c r="J200" s="26"/>
      <c r="K200" s="26"/>
      <c r="L200" s="26"/>
      <c r="M200" s="29"/>
      <c r="N200" s="29"/>
      <c r="O200" s="29"/>
      <c r="P200" s="29"/>
      <c r="Q200" s="29"/>
    </row>
    <row r="201" spans="1:17" ht="15.75" customHeight="1">
      <c r="A201" s="28"/>
      <c r="B201" s="25"/>
      <c r="C201" s="26"/>
      <c r="D201" s="26"/>
      <c r="E201" s="26"/>
      <c r="F201" s="26"/>
      <c r="G201" s="26"/>
      <c r="H201" s="26"/>
      <c r="I201" s="26"/>
      <c r="J201" s="26"/>
      <c r="K201" s="26"/>
      <c r="L201" s="26"/>
      <c r="M201" s="29"/>
      <c r="N201" s="29"/>
      <c r="O201" s="29"/>
      <c r="P201" s="29"/>
      <c r="Q201" s="29"/>
    </row>
    <row r="202" spans="1:17" ht="15.75" customHeight="1">
      <c r="A202" s="28"/>
      <c r="B202" s="25"/>
      <c r="C202" s="26"/>
      <c r="D202" s="26"/>
      <c r="E202" s="26"/>
      <c r="F202" s="26"/>
      <c r="G202" s="26"/>
      <c r="H202" s="26"/>
      <c r="I202" s="26"/>
      <c r="J202" s="26"/>
      <c r="K202" s="26"/>
      <c r="L202" s="26"/>
      <c r="M202" s="29"/>
      <c r="N202" s="29"/>
      <c r="O202" s="29"/>
      <c r="P202" s="29"/>
      <c r="Q202" s="29"/>
    </row>
    <row r="203" spans="1:17" ht="15.75" customHeight="1">
      <c r="A203" s="28"/>
      <c r="B203" s="25"/>
      <c r="C203" s="26"/>
      <c r="D203" s="26"/>
      <c r="E203" s="26"/>
      <c r="F203" s="26"/>
      <c r="G203" s="26"/>
      <c r="H203" s="26"/>
      <c r="I203" s="26"/>
      <c r="J203" s="26"/>
      <c r="K203" s="26"/>
      <c r="L203" s="26"/>
      <c r="M203" s="29"/>
      <c r="N203" s="29"/>
      <c r="O203" s="29"/>
      <c r="P203" s="29"/>
      <c r="Q203" s="29"/>
    </row>
    <row r="204" spans="1:17" ht="15.75" customHeight="1">
      <c r="A204" s="28"/>
      <c r="B204" s="25"/>
      <c r="C204" s="26"/>
      <c r="D204" s="26"/>
      <c r="E204" s="26"/>
      <c r="F204" s="26"/>
      <c r="G204" s="26"/>
      <c r="H204" s="26"/>
      <c r="I204" s="26"/>
      <c r="J204" s="26"/>
      <c r="K204" s="26"/>
      <c r="L204" s="26"/>
      <c r="M204" s="29"/>
      <c r="N204" s="29"/>
      <c r="O204" s="29"/>
      <c r="P204" s="29"/>
      <c r="Q204" s="29"/>
    </row>
    <row r="205" spans="1:17" ht="15.75" customHeight="1">
      <c r="A205" s="28"/>
      <c r="B205" s="25"/>
      <c r="C205" s="26"/>
      <c r="D205" s="26"/>
      <c r="E205" s="26"/>
      <c r="F205" s="26"/>
      <c r="G205" s="26"/>
      <c r="H205" s="26"/>
      <c r="I205" s="26"/>
      <c r="J205" s="26"/>
      <c r="K205" s="26"/>
      <c r="L205" s="26"/>
      <c r="M205" s="29"/>
      <c r="N205" s="29"/>
      <c r="O205" s="29"/>
      <c r="P205" s="29"/>
      <c r="Q205" s="29"/>
    </row>
    <row r="206" spans="1:17" ht="15.75" customHeight="1">
      <c r="A206" s="28"/>
      <c r="B206" s="25"/>
      <c r="C206" s="26"/>
      <c r="D206" s="26"/>
      <c r="E206" s="26"/>
      <c r="F206" s="26"/>
      <c r="G206" s="26"/>
      <c r="H206" s="26"/>
      <c r="I206" s="26"/>
      <c r="J206" s="26"/>
      <c r="K206" s="26"/>
      <c r="L206" s="26"/>
      <c r="M206" s="29"/>
      <c r="N206" s="29"/>
      <c r="O206" s="29"/>
      <c r="P206" s="29"/>
      <c r="Q206" s="29"/>
    </row>
    <row r="207" spans="1:17" ht="15.75" customHeight="1">
      <c r="A207" s="28"/>
      <c r="B207" s="25"/>
      <c r="C207" s="26"/>
      <c r="D207" s="26"/>
      <c r="E207" s="26"/>
      <c r="F207" s="26"/>
      <c r="G207" s="26"/>
      <c r="H207" s="26"/>
      <c r="I207" s="26"/>
      <c r="J207" s="26"/>
      <c r="K207" s="26"/>
      <c r="L207" s="26"/>
      <c r="M207" s="29"/>
      <c r="N207" s="29"/>
      <c r="O207" s="29"/>
      <c r="P207" s="29"/>
      <c r="Q207" s="29"/>
    </row>
    <row r="208" spans="1:17" ht="15.75" customHeight="1">
      <c r="A208" s="28"/>
      <c r="B208" s="25"/>
      <c r="C208" s="26"/>
      <c r="D208" s="26"/>
      <c r="E208" s="26"/>
      <c r="F208" s="26"/>
      <c r="G208" s="26"/>
      <c r="H208" s="26"/>
      <c r="I208" s="26"/>
      <c r="J208" s="26"/>
      <c r="K208" s="26"/>
      <c r="L208" s="26"/>
      <c r="M208" s="29"/>
      <c r="N208" s="29"/>
      <c r="O208" s="29"/>
      <c r="P208" s="29"/>
      <c r="Q208" s="29"/>
    </row>
    <row r="209" spans="1:17" ht="15.75" customHeight="1">
      <c r="A209" s="28"/>
      <c r="B209" s="25"/>
      <c r="C209" s="26"/>
      <c r="D209" s="26"/>
      <c r="E209" s="26"/>
      <c r="F209" s="26"/>
      <c r="G209" s="26"/>
      <c r="H209" s="26"/>
      <c r="I209" s="26"/>
      <c r="J209" s="26"/>
      <c r="K209" s="26"/>
      <c r="L209" s="26"/>
      <c r="M209" s="29"/>
      <c r="N209" s="29"/>
      <c r="O209" s="29"/>
      <c r="P209" s="29"/>
      <c r="Q209" s="29"/>
    </row>
    <row r="210" spans="1:17" ht="15.75" customHeight="1">
      <c r="A210" s="28"/>
      <c r="B210" s="25"/>
      <c r="C210" s="26"/>
      <c r="D210" s="26"/>
      <c r="E210" s="26"/>
      <c r="F210" s="26"/>
      <c r="G210" s="26"/>
      <c r="H210" s="26"/>
      <c r="I210" s="26"/>
      <c r="J210" s="26"/>
      <c r="K210" s="26"/>
      <c r="L210" s="26"/>
      <c r="M210" s="29"/>
      <c r="N210" s="29"/>
      <c r="O210" s="29"/>
      <c r="P210" s="29"/>
      <c r="Q210" s="29"/>
    </row>
    <row r="211" spans="1:17" ht="15.75" customHeight="1">
      <c r="A211" s="28"/>
      <c r="B211" s="25"/>
      <c r="C211" s="26"/>
      <c r="D211" s="26"/>
      <c r="E211" s="26"/>
      <c r="F211" s="26"/>
      <c r="G211" s="26"/>
      <c r="H211" s="26"/>
      <c r="I211" s="26"/>
      <c r="J211" s="26"/>
      <c r="K211" s="26"/>
      <c r="L211" s="26"/>
      <c r="M211" s="29"/>
      <c r="N211" s="29"/>
      <c r="O211" s="29"/>
      <c r="P211" s="29"/>
      <c r="Q211" s="29"/>
    </row>
    <row r="212" spans="1:17" ht="15.75" customHeight="1">
      <c r="A212" s="28"/>
      <c r="B212" s="25"/>
      <c r="C212" s="26"/>
      <c r="D212" s="26"/>
      <c r="E212" s="26"/>
      <c r="F212" s="26"/>
      <c r="G212" s="26"/>
      <c r="H212" s="26"/>
      <c r="I212" s="26"/>
      <c r="J212" s="26"/>
      <c r="K212" s="26"/>
      <c r="L212" s="26"/>
      <c r="M212" s="29"/>
      <c r="N212" s="29"/>
      <c r="O212" s="29"/>
      <c r="P212" s="29"/>
      <c r="Q212" s="29"/>
    </row>
    <row r="213" spans="1:17" ht="15.75" customHeight="1">
      <c r="A213" s="28"/>
      <c r="B213" s="25"/>
      <c r="C213" s="26"/>
      <c r="D213" s="26"/>
      <c r="E213" s="26"/>
      <c r="F213" s="26"/>
      <c r="G213" s="26"/>
      <c r="H213" s="26"/>
      <c r="I213" s="26"/>
      <c r="J213" s="26"/>
      <c r="K213" s="26"/>
      <c r="L213" s="26"/>
      <c r="M213" s="29"/>
      <c r="N213" s="29"/>
      <c r="O213" s="29"/>
      <c r="P213" s="29"/>
      <c r="Q213" s="29"/>
    </row>
    <row r="214" spans="1:17" ht="15.75" customHeight="1">
      <c r="A214" s="28"/>
      <c r="B214" s="25"/>
      <c r="C214" s="26"/>
      <c r="D214" s="26"/>
      <c r="E214" s="26"/>
      <c r="F214" s="26"/>
      <c r="G214" s="26"/>
      <c r="H214" s="26"/>
      <c r="I214" s="26"/>
      <c r="J214" s="26"/>
      <c r="K214" s="26"/>
      <c r="L214" s="26"/>
      <c r="M214" s="29"/>
      <c r="N214" s="29"/>
      <c r="O214" s="29"/>
      <c r="P214" s="29"/>
      <c r="Q214" s="29"/>
    </row>
    <row r="215" spans="1:17" ht="15.75" customHeight="1">
      <c r="A215" s="28"/>
      <c r="B215" s="25"/>
      <c r="C215" s="26"/>
      <c r="D215" s="26"/>
      <c r="E215" s="26"/>
      <c r="F215" s="26"/>
      <c r="G215" s="26"/>
      <c r="H215" s="26"/>
      <c r="I215" s="26"/>
      <c r="J215" s="26"/>
      <c r="K215" s="26"/>
      <c r="L215" s="26"/>
      <c r="M215" s="29"/>
      <c r="N215" s="29"/>
      <c r="O215" s="29"/>
      <c r="P215" s="29"/>
      <c r="Q215" s="29"/>
    </row>
    <row r="216" spans="1:17" ht="15.75" customHeight="1">
      <c r="A216" s="28"/>
      <c r="B216" s="25"/>
      <c r="C216" s="26"/>
      <c r="D216" s="26"/>
      <c r="E216" s="26"/>
      <c r="F216" s="26"/>
      <c r="G216" s="26"/>
      <c r="H216" s="26"/>
      <c r="I216" s="26"/>
      <c r="J216" s="26"/>
      <c r="K216" s="26"/>
      <c r="L216" s="26"/>
      <c r="M216" s="29"/>
      <c r="N216" s="29"/>
      <c r="O216" s="29"/>
      <c r="P216" s="29"/>
      <c r="Q216" s="29"/>
    </row>
    <row r="217" spans="1:17" ht="15.75" customHeight="1">
      <c r="A217" s="28"/>
      <c r="B217" s="25"/>
      <c r="C217" s="26"/>
      <c r="D217" s="26"/>
      <c r="E217" s="26"/>
      <c r="F217" s="26"/>
      <c r="G217" s="26"/>
      <c r="H217" s="26"/>
      <c r="I217" s="26"/>
      <c r="J217" s="26"/>
      <c r="K217" s="26"/>
      <c r="L217" s="26"/>
      <c r="M217" s="29"/>
      <c r="N217" s="29"/>
      <c r="O217" s="29"/>
      <c r="P217" s="29"/>
      <c r="Q217" s="29"/>
    </row>
    <row r="218" spans="1:17" ht="15.75" customHeight="1">
      <c r="A218" s="28"/>
      <c r="B218" s="25"/>
      <c r="C218" s="26"/>
      <c r="D218" s="26"/>
      <c r="E218" s="26"/>
      <c r="F218" s="26"/>
      <c r="G218" s="26"/>
      <c r="H218" s="26"/>
      <c r="I218" s="26"/>
      <c r="J218" s="26"/>
      <c r="K218" s="26"/>
      <c r="L218" s="26"/>
      <c r="M218" s="29"/>
      <c r="N218" s="29"/>
      <c r="O218" s="29"/>
      <c r="P218" s="29"/>
      <c r="Q218" s="29"/>
    </row>
    <row r="219" spans="1:17" ht="15.75" customHeight="1">
      <c r="A219" s="28"/>
      <c r="B219" s="25"/>
      <c r="C219" s="26"/>
      <c r="D219" s="26"/>
      <c r="E219" s="26"/>
      <c r="F219" s="26"/>
      <c r="G219" s="26"/>
      <c r="H219" s="26"/>
      <c r="I219" s="26"/>
      <c r="J219" s="26"/>
      <c r="K219" s="26"/>
      <c r="L219" s="26"/>
      <c r="M219" s="29"/>
      <c r="N219" s="29"/>
      <c r="O219" s="29"/>
      <c r="P219" s="29"/>
      <c r="Q219" s="29"/>
    </row>
    <row r="220" spans="1:17" ht="15.75" customHeight="1">
      <c r="A220" s="28"/>
      <c r="B220" s="25"/>
      <c r="C220" s="26"/>
      <c r="D220" s="26"/>
      <c r="E220" s="26"/>
      <c r="F220" s="26"/>
      <c r="G220" s="26"/>
      <c r="H220" s="26"/>
      <c r="I220" s="26"/>
      <c r="J220" s="26"/>
      <c r="K220" s="26"/>
      <c r="L220" s="26"/>
      <c r="M220" s="29"/>
      <c r="N220" s="29"/>
      <c r="O220" s="29"/>
      <c r="P220" s="29"/>
      <c r="Q220" s="29"/>
    </row>
    <row r="221" spans="1:17" ht="15.75" customHeight="1">
      <c r="A221" s="28"/>
      <c r="B221" s="25"/>
      <c r="C221" s="26"/>
      <c r="D221" s="26"/>
      <c r="E221" s="26"/>
      <c r="F221" s="26"/>
      <c r="G221" s="26"/>
      <c r="H221" s="26"/>
      <c r="I221" s="26"/>
      <c r="J221" s="26"/>
      <c r="K221" s="26"/>
      <c r="L221" s="26"/>
      <c r="M221" s="29"/>
      <c r="N221" s="29"/>
      <c r="O221" s="29"/>
      <c r="P221" s="29"/>
      <c r="Q221" s="29"/>
    </row>
    <row r="222" spans="1:17" ht="15.75" customHeight="1">
      <c r="A222" s="28"/>
      <c r="B222" s="25"/>
      <c r="C222" s="26"/>
      <c r="D222" s="26"/>
      <c r="E222" s="26"/>
      <c r="F222" s="26"/>
      <c r="G222" s="26"/>
      <c r="H222" s="26"/>
      <c r="I222" s="26"/>
      <c r="J222" s="26"/>
      <c r="K222" s="26"/>
      <c r="L222" s="26"/>
      <c r="M222" s="29"/>
      <c r="N222" s="29"/>
      <c r="O222" s="29"/>
      <c r="P222" s="29"/>
      <c r="Q222" s="29"/>
    </row>
    <row r="223" spans="1:17" ht="15.75" customHeight="1">
      <c r="A223" s="28"/>
      <c r="B223" s="25"/>
      <c r="C223" s="26"/>
      <c r="D223" s="26"/>
      <c r="E223" s="26"/>
      <c r="F223" s="26"/>
      <c r="G223" s="26"/>
      <c r="H223" s="26"/>
      <c r="I223" s="26"/>
      <c r="J223" s="26"/>
      <c r="K223" s="26"/>
      <c r="L223" s="26"/>
      <c r="M223" s="29"/>
      <c r="N223" s="29"/>
      <c r="O223" s="29"/>
      <c r="P223" s="29"/>
      <c r="Q223" s="29"/>
    </row>
    <row r="224" spans="1:17" ht="15.75" customHeight="1">
      <c r="A224" s="28"/>
      <c r="B224" s="25"/>
      <c r="C224" s="26"/>
      <c r="D224" s="26"/>
      <c r="E224" s="26"/>
      <c r="F224" s="26"/>
      <c r="G224" s="26"/>
      <c r="H224" s="26"/>
      <c r="I224" s="26"/>
      <c r="J224" s="26"/>
      <c r="K224" s="26"/>
      <c r="L224" s="26"/>
      <c r="M224" s="29"/>
      <c r="N224" s="29"/>
      <c r="O224" s="29"/>
      <c r="P224" s="29"/>
      <c r="Q224" s="29"/>
    </row>
    <row r="225" spans="1:17" ht="15.75" customHeight="1">
      <c r="A225" s="28"/>
      <c r="B225" s="25"/>
      <c r="C225" s="26"/>
      <c r="D225" s="26"/>
      <c r="E225" s="26"/>
      <c r="F225" s="26"/>
      <c r="G225" s="26"/>
      <c r="H225" s="26"/>
      <c r="I225" s="26"/>
      <c r="J225" s="26"/>
      <c r="K225" s="26"/>
      <c r="L225" s="26"/>
      <c r="M225" s="29"/>
      <c r="N225" s="29"/>
      <c r="O225" s="29"/>
      <c r="P225" s="29"/>
      <c r="Q225" s="29"/>
    </row>
    <row r="226" spans="1:17" ht="15.75" customHeight="1">
      <c r="A226" s="28"/>
      <c r="B226" s="25"/>
      <c r="C226" s="26"/>
      <c r="D226" s="26"/>
      <c r="E226" s="26"/>
      <c r="F226" s="26"/>
      <c r="G226" s="26"/>
      <c r="H226" s="26"/>
      <c r="I226" s="26"/>
      <c r="J226" s="26"/>
      <c r="K226" s="26"/>
      <c r="L226" s="26"/>
      <c r="M226" s="29"/>
      <c r="N226" s="29"/>
      <c r="O226" s="29"/>
      <c r="P226" s="29"/>
      <c r="Q226" s="29"/>
    </row>
    <row r="227" spans="1:17" ht="15.75" customHeight="1">
      <c r="A227" s="28"/>
      <c r="B227" s="25"/>
      <c r="C227" s="26"/>
      <c r="D227" s="26"/>
      <c r="E227" s="26"/>
      <c r="F227" s="26"/>
      <c r="G227" s="26"/>
      <c r="H227" s="26"/>
      <c r="I227" s="26"/>
      <c r="J227" s="26"/>
      <c r="K227" s="26"/>
      <c r="L227" s="26"/>
      <c r="M227" s="29"/>
      <c r="N227" s="29"/>
      <c r="O227" s="29"/>
      <c r="P227" s="29"/>
      <c r="Q227" s="29"/>
    </row>
    <row r="228" spans="1:17" ht="15.75" customHeight="1">
      <c r="A228" s="28"/>
      <c r="B228" s="25"/>
      <c r="C228" s="26"/>
      <c r="D228" s="26"/>
      <c r="E228" s="26"/>
      <c r="F228" s="26"/>
      <c r="G228" s="26"/>
      <c r="H228" s="26"/>
      <c r="I228" s="26"/>
      <c r="J228" s="26"/>
      <c r="K228" s="26"/>
      <c r="L228" s="26"/>
      <c r="M228" s="29"/>
      <c r="N228" s="29"/>
      <c r="O228" s="29"/>
      <c r="P228" s="29"/>
      <c r="Q228" s="29"/>
    </row>
    <row r="229" spans="1:17" ht="15.75" customHeight="1">
      <c r="A229" s="28"/>
      <c r="B229" s="25"/>
      <c r="C229" s="26"/>
      <c r="D229" s="26"/>
      <c r="E229" s="26"/>
      <c r="F229" s="26"/>
      <c r="G229" s="26"/>
      <c r="H229" s="26"/>
      <c r="I229" s="26"/>
      <c r="J229" s="26"/>
      <c r="K229" s="26"/>
      <c r="L229" s="26"/>
      <c r="M229" s="29"/>
      <c r="N229" s="29"/>
      <c r="O229" s="29"/>
      <c r="P229" s="29"/>
      <c r="Q229" s="29"/>
    </row>
    <row r="230" spans="1:17" ht="15.75" customHeight="1">
      <c r="A230" s="28"/>
      <c r="B230" s="25"/>
      <c r="C230" s="26"/>
      <c r="D230" s="26"/>
      <c r="E230" s="26"/>
      <c r="F230" s="26"/>
      <c r="G230" s="26"/>
      <c r="H230" s="26"/>
      <c r="I230" s="26"/>
      <c r="J230" s="26"/>
      <c r="K230" s="26"/>
      <c r="L230" s="26"/>
      <c r="M230" s="29"/>
      <c r="N230" s="29"/>
      <c r="O230" s="29"/>
      <c r="P230" s="29"/>
      <c r="Q230" s="29"/>
    </row>
    <row r="231" spans="1:17" ht="15.75" customHeight="1">
      <c r="A231" s="28"/>
      <c r="B231" s="25"/>
      <c r="C231" s="26"/>
      <c r="D231" s="26"/>
      <c r="E231" s="26"/>
      <c r="F231" s="26"/>
      <c r="G231" s="26"/>
      <c r="H231" s="26"/>
      <c r="I231" s="26"/>
      <c r="J231" s="26"/>
      <c r="K231" s="26"/>
      <c r="L231" s="26"/>
      <c r="M231" s="29"/>
      <c r="N231" s="29"/>
      <c r="O231" s="29"/>
      <c r="P231" s="29"/>
      <c r="Q231" s="29"/>
    </row>
    <row r="232" spans="1:17" ht="15.75" customHeight="1">
      <c r="A232" s="28"/>
      <c r="B232" s="25"/>
      <c r="C232" s="26"/>
      <c r="D232" s="26"/>
      <c r="E232" s="26"/>
      <c r="F232" s="26"/>
      <c r="G232" s="26"/>
      <c r="H232" s="26"/>
      <c r="I232" s="26"/>
      <c r="J232" s="26"/>
      <c r="K232" s="26"/>
      <c r="L232" s="26"/>
      <c r="M232" s="29"/>
      <c r="N232" s="29"/>
      <c r="O232" s="29"/>
      <c r="P232" s="29"/>
      <c r="Q232" s="29"/>
    </row>
    <row r="233" spans="1:17" ht="15.75" customHeight="1">
      <c r="A233" s="28"/>
      <c r="B233" s="25"/>
      <c r="C233" s="26"/>
      <c r="D233" s="26"/>
      <c r="E233" s="26"/>
      <c r="F233" s="26"/>
      <c r="G233" s="26"/>
      <c r="H233" s="26"/>
      <c r="I233" s="26"/>
      <c r="J233" s="26"/>
      <c r="K233" s="26"/>
      <c r="L233" s="26"/>
      <c r="M233" s="29"/>
      <c r="N233" s="29"/>
      <c r="O233" s="29"/>
      <c r="P233" s="29"/>
      <c r="Q233" s="29"/>
    </row>
    <row r="234" spans="1:17" ht="15.75" customHeight="1">
      <c r="A234" s="28"/>
      <c r="B234" s="25"/>
      <c r="C234" s="26"/>
      <c r="D234" s="26"/>
      <c r="E234" s="26"/>
      <c r="F234" s="26"/>
      <c r="G234" s="26"/>
      <c r="H234" s="26"/>
      <c r="I234" s="26"/>
      <c r="J234" s="26"/>
      <c r="K234" s="26"/>
      <c r="L234" s="26"/>
      <c r="M234" s="29"/>
      <c r="N234" s="29"/>
      <c r="O234" s="29"/>
      <c r="P234" s="29"/>
      <c r="Q234" s="29"/>
    </row>
    <row r="235" spans="1:17" ht="15.75" customHeight="1">
      <c r="A235" s="28"/>
      <c r="B235" s="25"/>
      <c r="C235" s="26"/>
      <c r="D235" s="26"/>
      <c r="E235" s="26"/>
      <c r="F235" s="26"/>
      <c r="G235" s="26"/>
      <c r="H235" s="26"/>
      <c r="I235" s="26"/>
      <c r="J235" s="26"/>
      <c r="K235" s="26"/>
      <c r="L235" s="26"/>
      <c r="M235" s="29"/>
      <c r="N235" s="29"/>
      <c r="O235" s="29"/>
      <c r="P235" s="29"/>
      <c r="Q235" s="29"/>
    </row>
    <row r="236" spans="1:17" ht="15.75" customHeight="1">
      <c r="A236" s="28"/>
      <c r="B236" s="25"/>
      <c r="C236" s="26"/>
      <c r="D236" s="26"/>
      <c r="E236" s="26"/>
      <c r="F236" s="26"/>
      <c r="G236" s="26"/>
      <c r="H236" s="26"/>
      <c r="I236" s="26"/>
      <c r="J236" s="26"/>
      <c r="K236" s="26"/>
      <c r="L236" s="26"/>
      <c r="M236" s="29"/>
      <c r="N236" s="29"/>
      <c r="O236" s="29"/>
      <c r="P236" s="29"/>
      <c r="Q236" s="29"/>
    </row>
    <row r="237" spans="1:17" ht="15.75" customHeight="1">
      <c r="A237" s="28"/>
      <c r="B237" s="25"/>
      <c r="C237" s="26"/>
      <c r="D237" s="26"/>
      <c r="E237" s="26"/>
      <c r="F237" s="26"/>
      <c r="G237" s="26"/>
      <c r="H237" s="26"/>
      <c r="I237" s="26"/>
      <c r="J237" s="26"/>
      <c r="K237" s="26"/>
      <c r="L237" s="26"/>
      <c r="M237" s="29"/>
      <c r="N237" s="29"/>
      <c r="O237" s="29"/>
      <c r="P237" s="29"/>
      <c r="Q237" s="29"/>
    </row>
    <row r="238" spans="1:17" ht="15.75" customHeight="1">
      <c r="A238" s="28"/>
      <c r="B238" s="25"/>
      <c r="C238" s="26"/>
      <c r="D238" s="26"/>
      <c r="E238" s="26"/>
      <c r="F238" s="26"/>
      <c r="G238" s="26"/>
      <c r="H238" s="26"/>
      <c r="I238" s="26"/>
      <c r="J238" s="26"/>
      <c r="K238" s="26"/>
      <c r="L238" s="26"/>
      <c r="M238" s="29"/>
      <c r="N238" s="29"/>
      <c r="O238" s="29"/>
      <c r="P238" s="29"/>
      <c r="Q238" s="29"/>
    </row>
    <row r="239" spans="1:17" ht="15.75" customHeight="1">
      <c r="A239" s="28"/>
      <c r="B239" s="25"/>
      <c r="C239" s="26"/>
      <c r="D239" s="26"/>
      <c r="E239" s="26"/>
      <c r="F239" s="26"/>
      <c r="G239" s="26"/>
      <c r="H239" s="26"/>
      <c r="I239" s="26"/>
      <c r="J239" s="26"/>
      <c r="K239" s="26"/>
      <c r="L239" s="26"/>
      <c r="M239" s="29"/>
      <c r="N239" s="29"/>
      <c r="O239" s="29"/>
      <c r="P239" s="29"/>
      <c r="Q239" s="29"/>
    </row>
    <row r="240" spans="1:17" ht="15.75" customHeight="1">
      <c r="A240" s="28"/>
      <c r="B240" s="25"/>
      <c r="C240" s="26"/>
      <c r="D240" s="26"/>
      <c r="E240" s="26"/>
      <c r="F240" s="26"/>
      <c r="G240" s="26"/>
      <c r="H240" s="26"/>
      <c r="I240" s="26"/>
      <c r="J240" s="26"/>
      <c r="K240" s="26"/>
      <c r="L240" s="26"/>
      <c r="M240" s="29"/>
      <c r="N240" s="29"/>
      <c r="O240" s="29"/>
      <c r="P240" s="29"/>
      <c r="Q240" s="29"/>
    </row>
    <row r="241" spans="1:17" ht="15.75" customHeight="1">
      <c r="A241" s="28"/>
      <c r="B241" s="25"/>
      <c r="C241" s="26"/>
      <c r="D241" s="26"/>
      <c r="E241" s="26"/>
      <c r="F241" s="26"/>
      <c r="G241" s="26"/>
      <c r="H241" s="26"/>
      <c r="I241" s="26"/>
      <c r="J241" s="26"/>
      <c r="K241" s="26"/>
      <c r="L241" s="26"/>
      <c r="M241" s="29"/>
      <c r="N241" s="29"/>
      <c r="O241" s="29"/>
      <c r="P241" s="29"/>
      <c r="Q241" s="29"/>
    </row>
    <row r="242" spans="1:17" ht="15.75" customHeight="1">
      <c r="A242" s="28"/>
      <c r="B242" s="25"/>
      <c r="C242" s="26"/>
      <c r="D242" s="26"/>
      <c r="E242" s="26"/>
      <c r="F242" s="26"/>
      <c r="G242" s="26"/>
      <c r="H242" s="26"/>
      <c r="I242" s="26"/>
      <c r="J242" s="26"/>
      <c r="K242" s="26"/>
      <c r="L242" s="26"/>
      <c r="M242" s="29"/>
      <c r="N242" s="29"/>
      <c r="O242" s="29"/>
      <c r="P242" s="29"/>
      <c r="Q242" s="29"/>
    </row>
    <row r="243" spans="1:17" ht="15.75" customHeight="1">
      <c r="A243" s="28"/>
      <c r="B243" s="25"/>
      <c r="C243" s="26"/>
      <c r="D243" s="26"/>
      <c r="E243" s="26"/>
      <c r="F243" s="26"/>
      <c r="G243" s="26"/>
      <c r="H243" s="26"/>
      <c r="I243" s="26"/>
      <c r="J243" s="26"/>
      <c r="K243" s="26"/>
      <c r="L243" s="26"/>
      <c r="M243" s="29"/>
      <c r="N243" s="29"/>
      <c r="O243" s="29"/>
      <c r="P243" s="29"/>
      <c r="Q243" s="29"/>
    </row>
    <row r="244" spans="1:17" ht="15.75" customHeight="1">
      <c r="A244" s="28"/>
      <c r="B244" s="25"/>
      <c r="C244" s="26"/>
      <c r="D244" s="26"/>
      <c r="E244" s="26"/>
      <c r="F244" s="26"/>
      <c r="G244" s="26"/>
      <c r="H244" s="26"/>
      <c r="I244" s="26"/>
      <c r="J244" s="26"/>
      <c r="K244" s="26"/>
      <c r="L244" s="26"/>
      <c r="M244" s="29"/>
      <c r="N244" s="29"/>
      <c r="O244" s="29"/>
      <c r="P244" s="29"/>
      <c r="Q244" s="29"/>
    </row>
    <row r="245" spans="1:17" ht="15.75" customHeight="1">
      <c r="A245" s="28"/>
      <c r="B245" s="25"/>
      <c r="C245" s="26"/>
      <c r="D245" s="26"/>
      <c r="E245" s="26"/>
      <c r="F245" s="26"/>
      <c r="G245" s="26"/>
      <c r="H245" s="26"/>
      <c r="I245" s="26"/>
      <c r="J245" s="26"/>
      <c r="K245" s="26"/>
      <c r="L245" s="26"/>
      <c r="M245" s="29"/>
      <c r="N245" s="29"/>
      <c r="O245" s="29"/>
      <c r="P245" s="29"/>
      <c r="Q245" s="29"/>
    </row>
    <row r="246" spans="1:17" ht="15.75" customHeight="1">
      <c r="A246" s="28"/>
      <c r="B246" s="25"/>
      <c r="C246" s="26"/>
      <c r="D246" s="26"/>
      <c r="E246" s="26"/>
      <c r="F246" s="26"/>
      <c r="G246" s="26"/>
      <c r="H246" s="26"/>
      <c r="I246" s="26"/>
      <c r="J246" s="26"/>
      <c r="K246" s="26"/>
      <c r="L246" s="26"/>
      <c r="M246" s="29"/>
      <c r="N246" s="29"/>
      <c r="O246" s="29"/>
      <c r="P246" s="29"/>
      <c r="Q246" s="29"/>
    </row>
    <row r="247" spans="1:17" ht="15.75" customHeight="1">
      <c r="A247" s="28"/>
      <c r="B247" s="25"/>
      <c r="C247" s="26"/>
      <c r="D247" s="26"/>
      <c r="E247" s="26"/>
      <c r="F247" s="26"/>
      <c r="G247" s="26"/>
      <c r="H247" s="26"/>
      <c r="I247" s="26"/>
      <c r="J247" s="26"/>
      <c r="K247" s="26"/>
      <c r="L247" s="26"/>
      <c r="M247" s="29"/>
      <c r="N247" s="29"/>
      <c r="O247" s="29"/>
      <c r="P247" s="29"/>
      <c r="Q247" s="29"/>
    </row>
    <row r="248" spans="1:17" ht="15.75" customHeight="1">
      <c r="A248" s="28"/>
      <c r="B248" s="25"/>
      <c r="C248" s="26"/>
      <c r="D248" s="26"/>
      <c r="E248" s="26"/>
      <c r="F248" s="26"/>
      <c r="G248" s="26"/>
      <c r="H248" s="26"/>
      <c r="I248" s="26"/>
      <c r="J248" s="26"/>
      <c r="K248" s="26"/>
      <c r="L248" s="26"/>
      <c r="M248" s="29"/>
      <c r="N248" s="29"/>
      <c r="O248" s="29"/>
      <c r="P248" s="29"/>
      <c r="Q248" s="29"/>
    </row>
    <row r="249" spans="1:17" ht="15.75" customHeight="1">
      <c r="A249" s="28"/>
      <c r="B249" s="25"/>
      <c r="C249" s="26"/>
      <c r="D249" s="26"/>
      <c r="E249" s="26"/>
      <c r="F249" s="26"/>
      <c r="G249" s="26"/>
      <c r="H249" s="26"/>
      <c r="I249" s="26"/>
      <c r="J249" s="26"/>
      <c r="K249" s="26"/>
      <c r="L249" s="26"/>
      <c r="M249" s="29"/>
      <c r="N249" s="29"/>
      <c r="O249" s="29"/>
      <c r="P249" s="29"/>
      <c r="Q249" s="29"/>
    </row>
    <row r="250" spans="1:17" ht="15.75" customHeight="1">
      <c r="A250" s="28"/>
      <c r="B250" s="25"/>
      <c r="C250" s="26"/>
      <c r="D250" s="26"/>
      <c r="E250" s="26"/>
      <c r="F250" s="26"/>
      <c r="G250" s="26"/>
      <c r="H250" s="26"/>
      <c r="I250" s="26"/>
      <c r="J250" s="26"/>
      <c r="K250" s="26"/>
      <c r="L250" s="26"/>
      <c r="M250" s="29"/>
      <c r="N250" s="29"/>
      <c r="O250" s="29"/>
      <c r="P250" s="29"/>
      <c r="Q250" s="29"/>
    </row>
    <row r="251" spans="1:17" ht="15.75" customHeight="1">
      <c r="A251" s="28"/>
      <c r="B251" s="25"/>
      <c r="C251" s="26"/>
      <c r="D251" s="26"/>
      <c r="E251" s="26"/>
      <c r="F251" s="26"/>
      <c r="G251" s="26"/>
      <c r="H251" s="26"/>
      <c r="I251" s="26"/>
      <c r="J251" s="26"/>
      <c r="K251" s="26"/>
      <c r="L251" s="26"/>
      <c r="M251" s="29"/>
      <c r="N251" s="29"/>
      <c r="O251" s="29"/>
      <c r="P251" s="29"/>
      <c r="Q251" s="29"/>
    </row>
    <row r="252" spans="1:17" ht="15.75" customHeight="1">
      <c r="A252" s="28"/>
      <c r="B252" s="25"/>
      <c r="C252" s="26"/>
      <c r="D252" s="26"/>
      <c r="E252" s="26"/>
      <c r="F252" s="26"/>
      <c r="G252" s="26"/>
      <c r="H252" s="26"/>
      <c r="I252" s="26"/>
      <c r="J252" s="26"/>
      <c r="K252" s="26"/>
      <c r="L252" s="26"/>
      <c r="M252" s="29"/>
      <c r="N252" s="29"/>
      <c r="O252" s="29"/>
      <c r="P252" s="29"/>
      <c r="Q252" s="29"/>
    </row>
    <row r="253" spans="1:17" ht="15.75" customHeight="1">
      <c r="A253" s="28"/>
      <c r="B253" s="25"/>
      <c r="C253" s="26"/>
      <c r="D253" s="26"/>
      <c r="E253" s="26"/>
      <c r="F253" s="26"/>
      <c r="G253" s="26"/>
      <c r="H253" s="26"/>
      <c r="I253" s="26"/>
      <c r="J253" s="26"/>
      <c r="K253" s="26"/>
      <c r="L253" s="26"/>
      <c r="M253" s="29"/>
      <c r="N253" s="29"/>
      <c r="O253" s="29"/>
      <c r="P253" s="29"/>
      <c r="Q253" s="29"/>
    </row>
    <row r="254" spans="1:17" ht="15.75" customHeight="1">
      <c r="A254" s="28"/>
      <c r="B254" s="25"/>
      <c r="C254" s="26"/>
      <c r="D254" s="26"/>
      <c r="E254" s="26"/>
      <c r="F254" s="26"/>
      <c r="G254" s="26"/>
      <c r="H254" s="26"/>
      <c r="I254" s="26"/>
      <c r="J254" s="26"/>
      <c r="K254" s="26"/>
      <c r="L254" s="26"/>
      <c r="M254" s="29"/>
      <c r="N254" s="29"/>
      <c r="O254" s="29"/>
      <c r="P254" s="29"/>
      <c r="Q254" s="29"/>
    </row>
    <row r="255" spans="1:17" ht="15.75" customHeight="1"/>
    <row r="256" spans="1: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1"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9"/>
  <sheetViews>
    <sheetView workbookViewId="0">
      <pane ySplit="1" topLeftCell="A32" activePane="bottomLeft" state="frozen"/>
      <selection pane="bottomLeft" activeCell="A54" sqref="A54:XFD54"/>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27" width="8.7109375" customWidth="1"/>
  </cols>
  <sheetData>
    <row r="1" spans="1:18" ht="15.75" customHeight="1">
      <c r="A1" s="45" t="s">
        <v>269</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46" t="s">
        <v>270</v>
      </c>
      <c r="B2" s="47" t="s">
        <v>162</v>
      </c>
      <c r="C2" s="47" t="s">
        <v>23</v>
      </c>
      <c r="D2" s="48" t="s">
        <v>17</v>
      </c>
      <c r="E2" s="48" t="s">
        <v>17</v>
      </c>
      <c r="F2" s="48" t="s">
        <v>17</v>
      </c>
      <c r="G2" s="48" t="s">
        <v>17</v>
      </c>
      <c r="H2" s="48"/>
      <c r="I2" s="48"/>
      <c r="J2" s="48"/>
      <c r="K2" s="48"/>
      <c r="L2" s="48"/>
      <c r="M2" s="48">
        <f t="shared" ref="M2:O2" si="0">IF(TRIM(SUBSTITUTE(C2, "　", " "))=TRIM(SUBSTITUTE($B2, "　", " ")), 2, 0)</f>
        <v>0</v>
      </c>
      <c r="N2" s="48">
        <f t="shared" si="0"/>
        <v>2</v>
      </c>
      <c r="O2" s="48">
        <f t="shared" si="0"/>
        <v>2</v>
      </c>
      <c r="P2" s="48">
        <f t="shared" ref="P2:Q2" si="1">IF(TRIM(SUBSTITUTE(F2, "　", " "))=TRIM(SUBSTITUTE(C2, "　", " ")), 2, 0)</f>
        <v>0</v>
      </c>
      <c r="Q2" s="48">
        <f t="shared" si="1"/>
        <v>2</v>
      </c>
      <c r="R2" s="2"/>
    </row>
    <row r="3" spans="1:18" ht="15.75" customHeight="1">
      <c r="A3" s="46" t="s">
        <v>271</v>
      </c>
      <c r="B3" s="47" t="s">
        <v>148</v>
      </c>
      <c r="C3" s="47" t="s">
        <v>17</v>
      </c>
      <c r="D3" s="48" t="s">
        <v>23</v>
      </c>
      <c r="E3" s="48" t="s">
        <v>23</v>
      </c>
      <c r="F3" s="48" t="s">
        <v>23</v>
      </c>
      <c r="G3" s="48" t="s">
        <v>23</v>
      </c>
      <c r="H3" s="48"/>
      <c r="I3" s="48"/>
      <c r="J3" s="48"/>
      <c r="K3" s="48"/>
      <c r="L3" s="48"/>
      <c r="M3" s="48">
        <f t="shared" ref="M3:O3" si="2">IF(TRIM(SUBSTITUTE(C3, "　", " "))=TRIM(SUBSTITUTE($B3, "　", " ")), 2, 0)</f>
        <v>0</v>
      </c>
      <c r="N3" s="48">
        <f t="shared" si="2"/>
        <v>2</v>
      </c>
      <c r="O3" s="48">
        <f t="shared" si="2"/>
        <v>2</v>
      </c>
      <c r="P3" s="48">
        <f t="shared" ref="P3:Q3" si="3">IF(TRIM(SUBSTITUTE(F3, "　", " "))=TRIM(SUBSTITUTE(C3, "　", " ")), 2, 0)</f>
        <v>0</v>
      </c>
      <c r="Q3" s="48">
        <f t="shared" si="3"/>
        <v>2</v>
      </c>
      <c r="R3" s="29"/>
    </row>
    <row r="4" spans="1:18" ht="15.75" customHeight="1">
      <c r="A4" s="46" t="s">
        <v>272</v>
      </c>
      <c r="B4" s="47" t="s">
        <v>150</v>
      </c>
      <c r="C4" s="47" t="s">
        <v>23</v>
      </c>
      <c r="D4" s="48" t="s">
        <v>20</v>
      </c>
      <c r="E4" s="48" t="s">
        <v>20</v>
      </c>
      <c r="F4" s="48" t="s">
        <v>18</v>
      </c>
      <c r="G4" s="48" t="s">
        <v>18</v>
      </c>
      <c r="H4" s="48"/>
      <c r="I4" s="48"/>
      <c r="J4" s="48"/>
      <c r="K4" s="48"/>
      <c r="L4" s="48"/>
      <c r="M4" s="48">
        <f t="shared" ref="M4:O4" si="4">IF(TRIM(SUBSTITUTE(C4, "　", " "))=TRIM(SUBSTITUTE($B4, "　", " ")), 2, 0)</f>
        <v>0</v>
      </c>
      <c r="N4" s="48">
        <f t="shared" si="4"/>
        <v>0</v>
      </c>
      <c r="O4" s="48">
        <f t="shared" si="4"/>
        <v>0</v>
      </c>
      <c r="P4" s="48">
        <f t="shared" ref="P4:Q4" si="5">IF(TRIM(SUBSTITUTE(F4, "　", " "))=TRIM(SUBSTITUTE(C4, "　", " ")), 2, 0)</f>
        <v>0</v>
      </c>
      <c r="Q4" s="48">
        <f t="shared" si="5"/>
        <v>0</v>
      </c>
      <c r="R4" s="29"/>
    </row>
    <row r="5" spans="1:18" ht="15.75" customHeight="1">
      <c r="A5" s="46" t="s">
        <v>273</v>
      </c>
      <c r="B5" s="47" t="s">
        <v>155</v>
      </c>
      <c r="C5" s="47" t="s">
        <v>20</v>
      </c>
      <c r="D5" s="48" t="s">
        <v>20</v>
      </c>
      <c r="E5" s="48" t="s">
        <v>20</v>
      </c>
      <c r="F5" s="48" t="s">
        <v>20</v>
      </c>
      <c r="G5" s="48" t="s">
        <v>20</v>
      </c>
      <c r="H5" s="48"/>
      <c r="I5" s="48"/>
      <c r="J5" s="48"/>
      <c r="K5" s="48"/>
      <c r="L5" s="48"/>
      <c r="M5" s="48">
        <f t="shared" ref="M5:O5" si="6">IF(TRIM(SUBSTITUTE(C5, "　", " "))=TRIM(SUBSTITUTE($B5, "　", " ")), 2, 0)</f>
        <v>2</v>
      </c>
      <c r="N5" s="48">
        <f t="shared" si="6"/>
        <v>2</v>
      </c>
      <c r="O5" s="48">
        <f t="shared" si="6"/>
        <v>2</v>
      </c>
      <c r="P5" s="48">
        <f t="shared" ref="P5:Q5" si="7">IF(TRIM(SUBSTITUTE(F5, "　", " "))=TRIM(SUBSTITUTE(C5, "　", " ")), 2, 0)</f>
        <v>2</v>
      </c>
      <c r="Q5" s="48">
        <f t="shared" si="7"/>
        <v>2</v>
      </c>
      <c r="R5" s="2"/>
    </row>
    <row r="6" spans="1:18" ht="15.75" customHeight="1">
      <c r="A6" s="46" t="s">
        <v>274</v>
      </c>
      <c r="B6" s="47" t="s">
        <v>150</v>
      </c>
      <c r="C6" s="47" t="s">
        <v>18</v>
      </c>
      <c r="D6" s="48" t="s">
        <v>18</v>
      </c>
      <c r="E6" s="48" t="s">
        <v>18</v>
      </c>
      <c r="F6" s="48" t="s">
        <v>18</v>
      </c>
      <c r="G6" s="48" t="s">
        <v>18</v>
      </c>
      <c r="H6" s="48"/>
      <c r="I6" s="48"/>
      <c r="J6" s="48"/>
      <c r="K6" s="48"/>
      <c r="L6" s="48"/>
      <c r="M6" s="48">
        <f t="shared" ref="M6:O6" si="8">IF(TRIM(SUBSTITUTE(C6, "　", " "))=TRIM(SUBSTITUTE($B6, "　", " ")), 2, 0)</f>
        <v>2</v>
      </c>
      <c r="N6" s="48">
        <f t="shared" si="8"/>
        <v>2</v>
      </c>
      <c r="O6" s="48">
        <f t="shared" si="8"/>
        <v>2</v>
      </c>
      <c r="P6" s="48">
        <f t="shared" ref="P6:Q6" si="9">IF(TRIM(SUBSTITUTE(F6, "　", " "))=TRIM(SUBSTITUTE(C6, "　", " ")), 2, 0)</f>
        <v>2</v>
      </c>
      <c r="Q6" s="48">
        <f t="shared" si="9"/>
        <v>2</v>
      </c>
      <c r="R6" s="2"/>
    </row>
    <row r="7" spans="1:18" ht="15.75" customHeight="1">
      <c r="A7" s="46" t="s">
        <v>275</v>
      </c>
      <c r="B7" s="47" t="s">
        <v>150</v>
      </c>
      <c r="C7" s="47" t="s">
        <v>18</v>
      </c>
      <c r="D7" s="48" t="s">
        <v>18</v>
      </c>
      <c r="E7" s="48" t="s">
        <v>18</v>
      </c>
      <c r="F7" s="48" t="s">
        <v>18</v>
      </c>
      <c r="G7" s="48" t="s">
        <v>18</v>
      </c>
      <c r="H7" s="48"/>
      <c r="I7" s="48"/>
      <c r="J7" s="48"/>
      <c r="K7" s="48"/>
      <c r="L7" s="48"/>
      <c r="M7" s="48">
        <f t="shared" ref="M7:O7" si="10">IF(TRIM(SUBSTITUTE(C7, "　", " "))=TRIM(SUBSTITUTE($B7, "　", " ")), 2, 0)</f>
        <v>2</v>
      </c>
      <c r="N7" s="48">
        <f t="shared" si="10"/>
        <v>2</v>
      </c>
      <c r="O7" s="48">
        <f t="shared" si="10"/>
        <v>2</v>
      </c>
      <c r="P7" s="48">
        <f t="shared" ref="P7:Q7" si="11">IF(TRIM(SUBSTITUTE(F7, "　", " "))=TRIM(SUBSTITUTE(C7, "　", " ")), 2, 0)</f>
        <v>2</v>
      </c>
      <c r="Q7" s="48">
        <f t="shared" si="11"/>
        <v>2</v>
      </c>
      <c r="R7" s="2"/>
    </row>
    <row r="8" spans="1:18" ht="15.75" customHeight="1">
      <c r="A8" s="46" t="s">
        <v>276</v>
      </c>
      <c r="B8" s="47" t="s">
        <v>148</v>
      </c>
      <c r="C8" s="47" t="s">
        <v>23</v>
      </c>
      <c r="D8" s="48" t="s">
        <v>23</v>
      </c>
      <c r="E8" s="48" t="s">
        <v>23</v>
      </c>
      <c r="F8" s="48" t="s">
        <v>23</v>
      </c>
      <c r="G8" s="48" t="s">
        <v>23</v>
      </c>
      <c r="H8" s="48"/>
      <c r="I8" s="48"/>
      <c r="J8" s="48"/>
      <c r="K8" s="48"/>
      <c r="L8" s="48"/>
      <c r="M8" s="48">
        <f t="shared" ref="M8:O8" si="12">IF(TRIM(SUBSTITUTE(C8, "　", " "))=TRIM(SUBSTITUTE($B8, "　", " ")), 2, 0)</f>
        <v>2</v>
      </c>
      <c r="N8" s="48">
        <f t="shared" si="12"/>
        <v>2</v>
      </c>
      <c r="O8" s="48">
        <f t="shared" si="12"/>
        <v>2</v>
      </c>
      <c r="P8" s="48">
        <f t="shared" ref="P8:Q8" si="13">IF(TRIM(SUBSTITUTE(F8, "　", " "))=TRIM(SUBSTITUTE(C8, "　", " ")), 2, 0)</f>
        <v>2</v>
      </c>
      <c r="Q8" s="48">
        <f t="shared" si="13"/>
        <v>2</v>
      </c>
      <c r="R8" s="2"/>
    </row>
    <row r="9" spans="1:18" ht="15.75" customHeight="1">
      <c r="A9" s="46" t="s">
        <v>277</v>
      </c>
      <c r="B9" s="47" t="s">
        <v>155</v>
      </c>
      <c r="C9" s="47" t="s">
        <v>20</v>
      </c>
      <c r="D9" s="48" t="s">
        <v>20</v>
      </c>
      <c r="E9" s="48" t="s">
        <v>20</v>
      </c>
      <c r="F9" s="48" t="s">
        <v>20</v>
      </c>
      <c r="G9" s="48" t="s">
        <v>20</v>
      </c>
      <c r="H9" s="48"/>
      <c r="I9" s="48"/>
      <c r="J9" s="48"/>
      <c r="K9" s="48"/>
      <c r="L9" s="48"/>
      <c r="M9" s="48">
        <f t="shared" ref="M9:O9" si="14">IF(TRIM(SUBSTITUTE(C9, "　", " "))=TRIM(SUBSTITUTE($B9, "　", " ")), 2, 0)</f>
        <v>2</v>
      </c>
      <c r="N9" s="48">
        <f t="shared" si="14"/>
        <v>2</v>
      </c>
      <c r="O9" s="48">
        <f t="shared" si="14"/>
        <v>2</v>
      </c>
      <c r="P9" s="48">
        <f t="shared" ref="P9:Q9" si="15">IF(TRIM(SUBSTITUTE(F9, "　", " "))=TRIM(SUBSTITUTE(C9, "　", " ")), 2, 0)</f>
        <v>2</v>
      </c>
      <c r="Q9" s="48">
        <f t="shared" si="15"/>
        <v>2</v>
      </c>
      <c r="R9" s="2"/>
    </row>
    <row r="10" spans="1:18" ht="15.75" customHeight="1">
      <c r="A10" s="46" t="s">
        <v>278</v>
      </c>
      <c r="B10" s="47" t="s">
        <v>162</v>
      </c>
      <c r="C10" s="47" t="s">
        <v>17</v>
      </c>
      <c r="D10" s="48" t="s">
        <v>17</v>
      </c>
      <c r="E10" s="47" t="s">
        <v>20</v>
      </c>
      <c r="F10" s="47" t="s">
        <v>17</v>
      </c>
      <c r="G10" s="47" t="s">
        <v>17</v>
      </c>
      <c r="H10" s="47"/>
      <c r="I10" s="47"/>
      <c r="J10" s="47"/>
      <c r="K10" s="47"/>
      <c r="L10" s="47"/>
      <c r="M10" s="48">
        <f t="shared" ref="M10:O10" si="16">IF(TRIM(SUBSTITUTE(C10, "　", " "))=TRIM(SUBSTITUTE($B10, "　", " ")), 2, 0)</f>
        <v>2</v>
      </c>
      <c r="N10" s="48">
        <f t="shared" si="16"/>
        <v>2</v>
      </c>
      <c r="O10" s="48">
        <f t="shared" si="16"/>
        <v>0</v>
      </c>
      <c r="P10" s="48">
        <f t="shared" ref="P10:Q10" si="17">IF(TRIM(SUBSTITUTE(F10, "　", " "))=TRIM(SUBSTITUTE(C10, "　", " ")), 2, 0)</f>
        <v>2</v>
      </c>
      <c r="Q10" s="48">
        <f t="shared" si="17"/>
        <v>2</v>
      </c>
      <c r="R10" s="2"/>
    </row>
    <row r="11" spans="1:18" ht="15.75" customHeight="1">
      <c r="A11" s="46" t="s">
        <v>279</v>
      </c>
      <c r="B11" s="47" t="s">
        <v>155</v>
      </c>
      <c r="C11" s="47" t="s">
        <v>20</v>
      </c>
      <c r="D11" s="48" t="s">
        <v>20</v>
      </c>
      <c r="E11" s="47" t="s">
        <v>20</v>
      </c>
      <c r="F11" s="47" t="s">
        <v>18</v>
      </c>
      <c r="G11" s="47" t="s">
        <v>20</v>
      </c>
      <c r="H11" s="47"/>
      <c r="I11" s="47"/>
      <c r="J11" s="47"/>
      <c r="K11" s="47"/>
      <c r="L11" s="47"/>
      <c r="M11" s="48">
        <f t="shared" ref="M11:O11" si="18">IF(TRIM(SUBSTITUTE(C11, "　", " "))=TRIM(SUBSTITUTE($B11, "　", " ")), 2, 0)</f>
        <v>2</v>
      </c>
      <c r="N11" s="48">
        <f t="shared" si="18"/>
        <v>2</v>
      </c>
      <c r="O11" s="48">
        <f t="shared" si="18"/>
        <v>2</v>
      </c>
      <c r="P11" s="48">
        <f t="shared" ref="P11:Q11" si="19">IF(TRIM(SUBSTITUTE(F11, "　", " "))=TRIM(SUBSTITUTE(C11, "　", " ")), 2, 0)</f>
        <v>0</v>
      </c>
      <c r="Q11" s="48">
        <f t="shared" si="19"/>
        <v>2</v>
      </c>
      <c r="R11" s="2"/>
    </row>
    <row r="12" spans="1:18" ht="15.75" customHeight="1">
      <c r="A12" s="46" t="s">
        <v>280</v>
      </c>
      <c r="B12" s="47" t="s">
        <v>148</v>
      </c>
      <c r="C12" s="47" t="s">
        <v>23</v>
      </c>
      <c r="D12" s="48" t="s">
        <v>23</v>
      </c>
      <c r="E12" s="47" t="s">
        <v>20</v>
      </c>
      <c r="F12" s="47" t="s">
        <v>23</v>
      </c>
      <c r="G12" s="47" t="s">
        <v>23</v>
      </c>
      <c r="H12" s="47"/>
      <c r="I12" s="47"/>
      <c r="J12" s="47"/>
      <c r="K12" s="47"/>
      <c r="L12" s="47"/>
      <c r="M12" s="48">
        <f t="shared" ref="M12:O12" si="20">IF(TRIM(SUBSTITUTE(C12, "　", " "))=TRIM(SUBSTITUTE($B12, "　", " ")), 2, 0)</f>
        <v>2</v>
      </c>
      <c r="N12" s="48">
        <f t="shared" si="20"/>
        <v>2</v>
      </c>
      <c r="O12" s="48">
        <f t="shared" si="20"/>
        <v>0</v>
      </c>
      <c r="P12" s="48">
        <f t="shared" ref="P12:Q12" si="21">IF(TRIM(SUBSTITUTE(F12, "　", " "))=TRIM(SUBSTITUTE(C12, "　", " ")), 2, 0)</f>
        <v>2</v>
      </c>
      <c r="Q12" s="48">
        <f t="shared" si="21"/>
        <v>2</v>
      </c>
      <c r="R12" s="2"/>
    </row>
    <row r="13" spans="1:18" ht="15.75" customHeight="1">
      <c r="A13" s="46" t="s">
        <v>281</v>
      </c>
      <c r="B13" s="47" t="s">
        <v>148</v>
      </c>
      <c r="C13" s="47" t="s">
        <v>23</v>
      </c>
      <c r="D13" s="48" t="s">
        <v>23</v>
      </c>
      <c r="E13" s="48" t="s">
        <v>20</v>
      </c>
      <c r="F13" s="48" t="s">
        <v>23</v>
      </c>
      <c r="G13" s="48" t="s">
        <v>23</v>
      </c>
      <c r="H13" s="48"/>
      <c r="I13" s="48"/>
      <c r="J13" s="48"/>
      <c r="K13" s="48"/>
      <c r="L13" s="48"/>
      <c r="M13" s="48">
        <f t="shared" ref="M13:O13" si="22">IF(TRIM(SUBSTITUTE(C13, "　", " "))=TRIM(SUBSTITUTE($B13, "　", " ")), 2, 0)</f>
        <v>2</v>
      </c>
      <c r="N13" s="48">
        <f t="shared" si="22"/>
        <v>2</v>
      </c>
      <c r="O13" s="48">
        <f t="shared" si="22"/>
        <v>0</v>
      </c>
      <c r="P13" s="48">
        <f t="shared" ref="P13:Q13" si="23">IF(TRIM(SUBSTITUTE(F13, "　", " "))=TRIM(SUBSTITUTE(C13, "　", " ")), 2, 0)</f>
        <v>2</v>
      </c>
      <c r="Q13" s="48">
        <f t="shared" si="23"/>
        <v>2</v>
      </c>
      <c r="R13" s="2"/>
    </row>
    <row r="14" spans="1:18" ht="15.75" customHeight="1">
      <c r="A14" s="46" t="s">
        <v>282</v>
      </c>
      <c r="B14" s="47" t="s">
        <v>155</v>
      </c>
      <c r="C14" s="47" t="s">
        <v>17</v>
      </c>
      <c r="D14" s="48" t="s">
        <v>20</v>
      </c>
      <c r="E14" s="48" t="s">
        <v>20</v>
      </c>
      <c r="F14" s="48" t="s">
        <v>20</v>
      </c>
      <c r="G14" s="48" t="s">
        <v>20</v>
      </c>
      <c r="H14" s="48"/>
      <c r="I14" s="48"/>
      <c r="J14" s="48"/>
      <c r="K14" s="48"/>
      <c r="L14" s="48"/>
      <c r="M14" s="48">
        <f t="shared" ref="M14:O14" si="24">IF(TRIM(SUBSTITUTE(C14, "　", " "))=TRIM(SUBSTITUTE($B14, "　", " ")), 2, 0)</f>
        <v>0</v>
      </c>
      <c r="N14" s="48">
        <f t="shared" si="24"/>
        <v>2</v>
      </c>
      <c r="O14" s="48">
        <f t="shared" si="24"/>
        <v>2</v>
      </c>
      <c r="P14" s="48">
        <f t="shared" ref="P14:Q14" si="25">IF(TRIM(SUBSTITUTE(F14, "　", " "))=TRIM(SUBSTITUTE(C14, "　", " ")), 2, 0)</f>
        <v>0</v>
      </c>
      <c r="Q14" s="48">
        <f t="shared" si="25"/>
        <v>2</v>
      </c>
      <c r="R14" s="2"/>
    </row>
    <row r="15" spans="1:18" ht="15.75" customHeight="1">
      <c r="A15" s="49" t="s">
        <v>283</v>
      </c>
      <c r="B15" s="47"/>
      <c r="C15" s="47"/>
      <c r="D15" s="48"/>
      <c r="E15" s="48"/>
      <c r="F15" s="48"/>
      <c r="G15" s="48"/>
      <c r="H15" s="48"/>
      <c r="I15" s="48"/>
      <c r="J15" s="48"/>
      <c r="K15" s="48"/>
      <c r="L15" s="48"/>
      <c r="M15" s="48"/>
      <c r="N15" s="48"/>
      <c r="O15" s="48"/>
      <c r="P15" s="27"/>
      <c r="Q15" s="27"/>
      <c r="R15" s="2"/>
    </row>
    <row r="16" spans="1:18" ht="15.75" customHeight="1">
      <c r="A16" s="46" t="s">
        <v>284</v>
      </c>
      <c r="B16" s="47" t="s">
        <v>148</v>
      </c>
      <c r="C16" s="47" t="s">
        <v>23</v>
      </c>
      <c r="D16" s="48" t="s">
        <v>23</v>
      </c>
      <c r="E16" s="48" t="s">
        <v>23</v>
      </c>
      <c r="F16" s="48" t="s">
        <v>23</v>
      </c>
      <c r="G16" s="48" t="s">
        <v>23</v>
      </c>
      <c r="H16" s="48"/>
      <c r="I16" s="48"/>
      <c r="J16" s="48"/>
      <c r="K16" s="48"/>
      <c r="L16" s="48"/>
      <c r="M16" s="48">
        <f t="shared" ref="M16:O16" si="26">IF(TRIM(SUBSTITUTE(C16, "　", " "))=TRIM(SUBSTITUTE($B16, "　", " ")), 2, 0)</f>
        <v>2</v>
      </c>
      <c r="N16" s="48">
        <f t="shared" si="26"/>
        <v>2</v>
      </c>
      <c r="O16" s="48">
        <f t="shared" si="26"/>
        <v>2</v>
      </c>
      <c r="P16" s="48">
        <f t="shared" ref="P16:Q16" si="27">IF(TRIM(SUBSTITUTE(F16, "　", " "))=TRIM(SUBSTITUTE(C16, "　", " ")), 2, 0)</f>
        <v>2</v>
      </c>
      <c r="Q16" s="48">
        <f t="shared" si="27"/>
        <v>2</v>
      </c>
      <c r="R16" s="2"/>
    </row>
    <row r="17" spans="1:18" ht="15.75" customHeight="1">
      <c r="A17" s="46" t="s">
        <v>285</v>
      </c>
      <c r="B17" s="47" t="s">
        <v>155</v>
      </c>
      <c r="C17" s="47" t="s">
        <v>20</v>
      </c>
      <c r="D17" s="48" t="s">
        <v>20</v>
      </c>
      <c r="E17" s="48" t="s">
        <v>20</v>
      </c>
      <c r="F17" s="48" t="s">
        <v>20</v>
      </c>
      <c r="G17" s="48" t="s">
        <v>20</v>
      </c>
      <c r="H17" s="50"/>
      <c r="I17" s="50"/>
      <c r="J17" s="50"/>
      <c r="K17" s="50"/>
      <c r="L17" s="50"/>
      <c r="M17" s="48">
        <f t="shared" ref="M17:O17" si="28">IF(TRIM(SUBSTITUTE(C17, "　", " "))=TRIM(SUBSTITUTE($B17, "　", " ")), 2, 0)</f>
        <v>2</v>
      </c>
      <c r="N17" s="48">
        <f t="shared" si="28"/>
        <v>2</v>
      </c>
      <c r="O17" s="48">
        <f t="shared" si="28"/>
        <v>2</v>
      </c>
      <c r="P17" s="48">
        <f t="shared" ref="P17:Q17" si="29">IF(TRIM(SUBSTITUTE(F17, "　", " "))=TRIM(SUBSTITUTE(C17, "　", " ")), 2, 0)</f>
        <v>2</v>
      </c>
      <c r="Q17" s="48">
        <f t="shared" si="29"/>
        <v>2</v>
      </c>
      <c r="R17" s="2"/>
    </row>
    <row r="18" spans="1:18" ht="15.75" customHeight="1">
      <c r="A18" s="49" t="s">
        <v>286</v>
      </c>
      <c r="B18" s="47"/>
      <c r="C18" s="47"/>
      <c r="D18" s="50"/>
      <c r="E18" s="50"/>
      <c r="F18" s="50"/>
      <c r="G18" s="50"/>
      <c r="H18" s="50"/>
      <c r="I18" s="50"/>
      <c r="J18" s="50"/>
      <c r="K18" s="50"/>
      <c r="L18" s="50"/>
      <c r="M18" s="48"/>
      <c r="N18" s="48"/>
      <c r="O18" s="48"/>
      <c r="P18" s="27"/>
      <c r="Q18" s="27"/>
      <c r="R18" s="2"/>
    </row>
    <row r="19" spans="1:18" ht="15.75" customHeight="1">
      <c r="A19" s="46" t="s">
        <v>287</v>
      </c>
      <c r="B19" s="47" t="s">
        <v>150</v>
      </c>
      <c r="C19" s="47" t="s">
        <v>18</v>
      </c>
      <c r="D19" s="50" t="s">
        <v>18</v>
      </c>
      <c r="E19" s="50" t="s">
        <v>18</v>
      </c>
      <c r="F19" s="50" t="s">
        <v>18</v>
      </c>
      <c r="G19" s="50" t="s">
        <v>18</v>
      </c>
      <c r="H19" s="50"/>
      <c r="I19" s="50"/>
      <c r="J19" s="50"/>
      <c r="K19" s="50"/>
      <c r="L19" s="50"/>
      <c r="M19" s="48">
        <f t="shared" ref="M19:O19" si="30">IF(TRIM(SUBSTITUTE(C19, "　", " "))=TRIM(SUBSTITUTE($B19, "　", " ")), 2, 0)</f>
        <v>2</v>
      </c>
      <c r="N19" s="48">
        <f t="shared" si="30"/>
        <v>2</v>
      </c>
      <c r="O19" s="48">
        <f t="shared" si="30"/>
        <v>2</v>
      </c>
      <c r="P19" s="48">
        <f t="shared" ref="P19:Q19" si="31">IF(TRIM(SUBSTITUTE(F19, "　", " "))=TRIM(SUBSTITUTE(C19, "　", " ")), 2, 0)</f>
        <v>2</v>
      </c>
      <c r="Q19" s="48">
        <f t="shared" si="31"/>
        <v>2</v>
      </c>
      <c r="R19" s="2"/>
    </row>
    <row r="20" spans="1:18" ht="15.75" customHeight="1">
      <c r="A20" s="46" t="s">
        <v>288</v>
      </c>
      <c r="B20" s="47" t="s">
        <v>150</v>
      </c>
      <c r="C20" s="47" t="s">
        <v>20</v>
      </c>
      <c r="D20" s="50" t="s">
        <v>18</v>
      </c>
      <c r="E20" s="50" t="s">
        <v>18</v>
      </c>
      <c r="F20" s="50" t="s">
        <v>18</v>
      </c>
      <c r="G20" s="50" t="s">
        <v>18</v>
      </c>
      <c r="H20" s="50"/>
      <c r="I20" s="50"/>
      <c r="J20" s="50"/>
      <c r="K20" s="50"/>
      <c r="L20" s="50"/>
      <c r="M20" s="48">
        <f t="shared" ref="M20:O20" si="32">IF(TRIM(SUBSTITUTE(C20, "　", " "))=TRIM(SUBSTITUTE($B20, "　", " ")), 2, 0)</f>
        <v>0</v>
      </c>
      <c r="N20" s="48">
        <f t="shared" si="32"/>
        <v>2</v>
      </c>
      <c r="O20" s="48">
        <f t="shared" si="32"/>
        <v>2</v>
      </c>
      <c r="P20" s="48">
        <f t="shared" ref="P20:Q20" si="33">IF(TRIM(SUBSTITUTE(F20, "　", " "))=TRIM(SUBSTITUTE(C20, "　", " ")), 2, 0)</f>
        <v>0</v>
      </c>
      <c r="Q20" s="48">
        <f t="shared" si="33"/>
        <v>2</v>
      </c>
      <c r="R20" s="2"/>
    </row>
    <row r="21" spans="1:18" ht="15.75" customHeight="1">
      <c r="A21" s="46" t="s">
        <v>289</v>
      </c>
      <c r="B21" s="47" t="s">
        <v>148</v>
      </c>
      <c r="C21" s="47" t="s">
        <v>23</v>
      </c>
      <c r="D21" s="50" t="s">
        <v>23</v>
      </c>
      <c r="E21" s="50" t="s">
        <v>23</v>
      </c>
      <c r="F21" s="50" t="s">
        <v>23</v>
      </c>
      <c r="G21" s="50" t="s">
        <v>23</v>
      </c>
      <c r="H21" s="50"/>
      <c r="I21" s="50"/>
      <c r="J21" s="50"/>
      <c r="K21" s="50"/>
      <c r="L21" s="50"/>
      <c r="M21" s="48">
        <f t="shared" ref="M21:O21" si="34">IF(TRIM(SUBSTITUTE(C21, "　", " "))=TRIM(SUBSTITUTE($B21, "　", " ")), 2, 0)</f>
        <v>2</v>
      </c>
      <c r="N21" s="48">
        <f t="shared" si="34"/>
        <v>2</v>
      </c>
      <c r="O21" s="48">
        <f t="shared" si="34"/>
        <v>2</v>
      </c>
      <c r="P21" s="48">
        <f t="shared" ref="P21:Q21" si="35">IF(TRIM(SUBSTITUTE(F21, "　", " "))=TRIM(SUBSTITUTE(C21, "　", " ")), 2, 0)</f>
        <v>2</v>
      </c>
      <c r="Q21" s="48">
        <f t="shared" si="35"/>
        <v>2</v>
      </c>
      <c r="R21" s="2"/>
    </row>
    <row r="22" spans="1:18" ht="15.75" customHeight="1">
      <c r="A22" s="49" t="s">
        <v>290</v>
      </c>
      <c r="B22" s="47"/>
      <c r="C22" s="47"/>
      <c r="D22" s="50"/>
      <c r="E22" s="50"/>
      <c r="F22" s="50"/>
      <c r="G22" s="50"/>
      <c r="H22" s="50"/>
      <c r="I22" s="50"/>
      <c r="J22" s="50"/>
      <c r="K22" s="50"/>
      <c r="L22" s="50"/>
      <c r="M22" s="48"/>
      <c r="N22" s="48"/>
      <c r="O22" s="48"/>
      <c r="P22" s="27"/>
      <c r="Q22" s="27"/>
      <c r="R22" s="2"/>
    </row>
    <row r="23" spans="1:18" ht="15.75" customHeight="1">
      <c r="A23" s="46" t="s">
        <v>291</v>
      </c>
      <c r="B23" s="47" t="s">
        <v>150</v>
      </c>
      <c r="C23" s="47" t="s">
        <v>18</v>
      </c>
      <c r="D23" s="50" t="s">
        <v>18</v>
      </c>
      <c r="E23" s="50" t="s">
        <v>18</v>
      </c>
      <c r="F23" s="50" t="s">
        <v>18</v>
      </c>
      <c r="G23" s="50" t="s">
        <v>18</v>
      </c>
      <c r="H23" s="50"/>
      <c r="I23" s="50"/>
      <c r="J23" s="50"/>
      <c r="K23" s="50"/>
      <c r="L23" s="50"/>
      <c r="M23" s="48">
        <f t="shared" ref="M23:O23" si="36">IF(TRIM(SUBSTITUTE(C23, "　", " "))=TRIM(SUBSTITUTE($B23, "　", " ")), 2, 0)</f>
        <v>2</v>
      </c>
      <c r="N23" s="48">
        <f t="shared" si="36"/>
        <v>2</v>
      </c>
      <c r="O23" s="48">
        <f t="shared" si="36"/>
        <v>2</v>
      </c>
      <c r="P23" s="48">
        <f t="shared" ref="P23:Q23" si="37">IF(TRIM(SUBSTITUTE(F23, "　", " "))=TRIM(SUBSTITUTE(C23, "　", " ")), 2, 0)</f>
        <v>2</v>
      </c>
      <c r="Q23" s="48">
        <f t="shared" si="37"/>
        <v>2</v>
      </c>
      <c r="R23" s="2"/>
    </row>
    <row r="24" spans="1:18" ht="15.75" customHeight="1">
      <c r="A24" s="46" t="s">
        <v>292</v>
      </c>
      <c r="B24" s="47" t="s">
        <v>162</v>
      </c>
      <c r="C24" s="47" t="s">
        <v>17</v>
      </c>
      <c r="D24" s="50" t="s">
        <v>17</v>
      </c>
      <c r="E24" s="50" t="s">
        <v>17</v>
      </c>
      <c r="F24" s="50" t="s">
        <v>17</v>
      </c>
      <c r="G24" s="50" t="s">
        <v>17</v>
      </c>
      <c r="H24" s="50"/>
      <c r="I24" s="50"/>
      <c r="J24" s="50"/>
      <c r="K24" s="50"/>
      <c r="L24" s="50"/>
      <c r="M24" s="48">
        <f t="shared" ref="M24:O24" si="38">IF(TRIM(SUBSTITUTE(C24, "　", " "))=TRIM(SUBSTITUTE($B24, "　", " ")), 2, 0)</f>
        <v>2</v>
      </c>
      <c r="N24" s="48">
        <f t="shared" si="38"/>
        <v>2</v>
      </c>
      <c r="O24" s="48">
        <f t="shared" si="38"/>
        <v>2</v>
      </c>
      <c r="P24" s="48">
        <f t="shared" ref="P24:Q24" si="39">IF(TRIM(SUBSTITUTE(F24, "　", " "))=TRIM(SUBSTITUTE(C24, "　", " ")), 2, 0)</f>
        <v>2</v>
      </c>
      <c r="Q24" s="48">
        <f t="shared" si="39"/>
        <v>2</v>
      </c>
      <c r="R24" s="2"/>
    </row>
    <row r="25" spans="1:18" ht="15.75" customHeight="1">
      <c r="A25" s="46" t="s">
        <v>293</v>
      </c>
      <c r="B25" s="47" t="s">
        <v>18</v>
      </c>
      <c r="C25" s="47" t="s">
        <v>18</v>
      </c>
      <c r="D25" s="50" t="s">
        <v>18</v>
      </c>
      <c r="E25" s="50" t="s">
        <v>18</v>
      </c>
      <c r="F25" s="50" t="s">
        <v>18</v>
      </c>
      <c r="G25" s="50" t="s">
        <v>18</v>
      </c>
      <c r="H25" s="50"/>
      <c r="I25" s="50"/>
      <c r="J25" s="50"/>
      <c r="K25" s="50"/>
      <c r="L25" s="50"/>
      <c r="M25" s="48">
        <f t="shared" ref="M25:O25" si="40">IF(TRIM(SUBSTITUTE(C25, "　", " "))=TRIM(SUBSTITUTE($B25, "　", " ")), 2, 0)</f>
        <v>2</v>
      </c>
      <c r="N25" s="48">
        <f t="shared" si="40"/>
        <v>2</v>
      </c>
      <c r="O25" s="48">
        <f t="shared" si="40"/>
        <v>2</v>
      </c>
      <c r="P25" s="48">
        <f t="shared" ref="P25:Q25" si="41">IF(TRIM(SUBSTITUTE(F25, "　", " "))=TRIM(SUBSTITUTE(C25, "　", " ")), 2, 0)</f>
        <v>2</v>
      </c>
      <c r="Q25" s="48">
        <f t="shared" si="41"/>
        <v>2</v>
      </c>
      <c r="R25" s="2"/>
    </row>
    <row r="26" spans="1:18" ht="15.75" customHeight="1">
      <c r="A26" s="49" t="s">
        <v>294</v>
      </c>
      <c r="B26" s="47" t="s">
        <v>83</v>
      </c>
      <c r="C26" s="47"/>
      <c r="D26" s="50"/>
      <c r="E26" s="50"/>
      <c r="F26" s="50"/>
      <c r="G26" s="50"/>
      <c r="H26" s="50"/>
      <c r="I26" s="50"/>
      <c r="J26" s="50"/>
      <c r="K26" s="50"/>
      <c r="L26" s="50"/>
      <c r="M26" s="48"/>
      <c r="N26" s="48"/>
      <c r="O26" s="48"/>
      <c r="P26" s="27"/>
      <c r="Q26" s="27"/>
      <c r="R26" s="29"/>
    </row>
    <row r="27" spans="1:18" ht="15.75" customHeight="1">
      <c r="A27" s="46" t="s">
        <v>295</v>
      </c>
      <c r="B27" s="47" t="s">
        <v>162</v>
      </c>
      <c r="C27" s="47" t="s">
        <v>17</v>
      </c>
      <c r="D27" s="50" t="s">
        <v>17</v>
      </c>
      <c r="E27" s="50" t="s">
        <v>20</v>
      </c>
      <c r="F27" s="50" t="s">
        <v>17</v>
      </c>
      <c r="G27" s="50" t="s">
        <v>17</v>
      </c>
      <c r="H27" s="50"/>
      <c r="I27" s="50"/>
      <c r="J27" s="50"/>
      <c r="K27" s="50"/>
      <c r="L27" s="50"/>
      <c r="M27" s="48">
        <f t="shared" ref="M27:O27" si="42">IF(TRIM(SUBSTITUTE(C27, "　", " "))=TRIM(SUBSTITUTE($B27, "　", " ")), 2, 0)</f>
        <v>2</v>
      </c>
      <c r="N27" s="48">
        <f t="shared" si="42"/>
        <v>2</v>
      </c>
      <c r="O27" s="48">
        <f t="shared" si="42"/>
        <v>0</v>
      </c>
      <c r="P27" s="48">
        <f t="shared" ref="P27:Q27" si="43">IF(TRIM(SUBSTITUTE(F27, "　", " "))=TRIM(SUBSTITUTE(C27, "　", " ")), 2, 0)</f>
        <v>2</v>
      </c>
      <c r="Q27" s="48">
        <f t="shared" si="43"/>
        <v>2</v>
      </c>
      <c r="R27" s="29"/>
    </row>
    <row r="28" spans="1:18" ht="15.75" customHeight="1">
      <c r="A28" s="46" t="s">
        <v>296</v>
      </c>
      <c r="B28" s="47" t="s">
        <v>150</v>
      </c>
      <c r="C28" s="47" t="s">
        <v>18</v>
      </c>
      <c r="D28" s="50" t="s">
        <v>18</v>
      </c>
      <c r="E28" s="50" t="s">
        <v>18</v>
      </c>
      <c r="F28" s="50" t="s">
        <v>18</v>
      </c>
      <c r="G28" s="50" t="s">
        <v>18</v>
      </c>
      <c r="H28" s="50"/>
      <c r="I28" s="50"/>
      <c r="J28" s="50"/>
      <c r="K28" s="50"/>
      <c r="L28" s="50"/>
      <c r="M28" s="48">
        <f t="shared" ref="M28:O28" si="44">IF(TRIM(SUBSTITUTE(C28, "　", " "))=TRIM(SUBSTITUTE($B28, "　", " ")), 2, 0)</f>
        <v>2</v>
      </c>
      <c r="N28" s="48">
        <f t="shared" si="44"/>
        <v>2</v>
      </c>
      <c r="O28" s="48">
        <f t="shared" si="44"/>
        <v>2</v>
      </c>
      <c r="P28" s="48">
        <f t="shared" ref="P28:Q28" si="45">IF(TRIM(SUBSTITUTE(F28, "　", " "))=TRIM(SUBSTITUTE(C28, "　", " ")), 2, 0)</f>
        <v>2</v>
      </c>
      <c r="Q28" s="48">
        <f t="shared" si="45"/>
        <v>2</v>
      </c>
      <c r="R28" s="29"/>
    </row>
    <row r="29" spans="1:18" ht="15.75" customHeight="1">
      <c r="A29" s="49" t="s">
        <v>297</v>
      </c>
      <c r="B29" s="47"/>
      <c r="C29" s="47"/>
      <c r="D29" s="50"/>
      <c r="E29" s="50"/>
      <c r="F29" s="50"/>
      <c r="G29" s="50"/>
      <c r="H29" s="50"/>
      <c r="I29" s="50"/>
      <c r="J29" s="50"/>
      <c r="K29" s="50"/>
      <c r="L29" s="50"/>
      <c r="M29" s="48"/>
      <c r="N29" s="48"/>
      <c r="O29" s="48"/>
      <c r="P29" s="27"/>
      <c r="Q29" s="27"/>
      <c r="R29" s="29"/>
    </row>
    <row r="30" spans="1:18" ht="15.75" customHeight="1">
      <c r="A30" s="46" t="s">
        <v>298</v>
      </c>
      <c r="B30" s="47" t="s">
        <v>162</v>
      </c>
      <c r="C30" s="47" t="s">
        <v>17</v>
      </c>
      <c r="D30" s="50" t="s">
        <v>18</v>
      </c>
      <c r="E30" s="50" t="s">
        <v>20</v>
      </c>
      <c r="F30" s="50" t="s">
        <v>17</v>
      </c>
      <c r="G30" s="50" t="s">
        <v>17</v>
      </c>
      <c r="H30" s="50"/>
      <c r="I30" s="50"/>
      <c r="J30" s="50"/>
      <c r="K30" s="50"/>
      <c r="L30" s="50"/>
      <c r="M30" s="48">
        <f t="shared" ref="M30:O30" si="46">IF(TRIM(SUBSTITUTE(C30, "　", " "))=TRIM(SUBSTITUTE($B30, "　", " ")), 2, 0)</f>
        <v>2</v>
      </c>
      <c r="N30" s="48">
        <f t="shared" si="46"/>
        <v>0</v>
      </c>
      <c r="O30" s="48">
        <f t="shared" si="46"/>
        <v>0</v>
      </c>
      <c r="P30" s="48">
        <f t="shared" ref="P30:Q30" si="47">IF(TRIM(SUBSTITUTE(F30, "　", " "))=TRIM(SUBSTITUTE(C30, "　", " ")), 2, 0)</f>
        <v>2</v>
      </c>
      <c r="Q30" s="48">
        <f t="shared" si="47"/>
        <v>0</v>
      </c>
      <c r="R30" s="29"/>
    </row>
    <row r="31" spans="1:18" ht="15.75" customHeight="1">
      <c r="A31" s="46" t="s">
        <v>299</v>
      </c>
      <c r="B31" s="47" t="s">
        <v>162</v>
      </c>
      <c r="C31" s="47" t="s">
        <v>17</v>
      </c>
      <c r="D31" s="50" t="s">
        <v>17</v>
      </c>
      <c r="E31" s="50" t="s">
        <v>17</v>
      </c>
      <c r="F31" s="50" t="s">
        <v>17</v>
      </c>
      <c r="G31" s="50" t="s">
        <v>17</v>
      </c>
      <c r="H31" s="50"/>
      <c r="I31" s="50"/>
      <c r="J31" s="50"/>
      <c r="K31" s="50"/>
      <c r="L31" s="50"/>
      <c r="M31" s="48">
        <f t="shared" ref="M31:O31" si="48">IF(TRIM(SUBSTITUTE(C31, "　", " "))=TRIM(SUBSTITUTE($B31, "　", " ")), 2, 0)</f>
        <v>2</v>
      </c>
      <c r="N31" s="48">
        <f t="shared" si="48"/>
        <v>2</v>
      </c>
      <c r="O31" s="48">
        <f t="shared" si="48"/>
        <v>2</v>
      </c>
      <c r="P31" s="48">
        <f t="shared" ref="P31:Q31" si="49">IF(TRIM(SUBSTITUTE(F31, "　", " "))=TRIM(SUBSTITUTE(C31, "　", " ")), 2, 0)</f>
        <v>2</v>
      </c>
      <c r="Q31" s="48">
        <f t="shared" si="49"/>
        <v>2</v>
      </c>
      <c r="R31" s="29"/>
    </row>
    <row r="32" spans="1:18" ht="15.75" customHeight="1">
      <c r="A32" s="49" t="s">
        <v>300</v>
      </c>
      <c r="B32" s="47"/>
      <c r="C32" s="47"/>
      <c r="D32" s="50"/>
      <c r="E32" s="50"/>
      <c r="F32" s="50"/>
      <c r="G32" s="50"/>
      <c r="H32" s="50"/>
      <c r="I32" s="50"/>
      <c r="J32" s="50"/>
      <c r="K32" s="50"/>
      <c r="L32" s="50"/>
      <c r="M32" s="48"/>
      <c r="N32" s="48"/>
      <c r="O32" s="48"/>
      <c r="P32" s="27"/>
      <c r="Q32" s="27"/>
      <c r="R32" s="29"/>
    </row>
    <row r="33" spans="1:27" ht="15.75" customHeight="1">
      <c r="A33" s="46" t="s">
        <v>301</v>
      </c>
      <c r="B33" s="47" t="s">
        <v>150</v>
      </c>
      <c r="C33" s="47" t="s">
        <v>150</v>
      </c>
      <c r="D33" s="50" t="s">
        <v>18</v>
      </c>
      <c r="E33" s="50" t="s">
        <v>18</v>
      </c>
      <c r="F33" s="50" t="s">
        <v>18</v>
      </c>
      <c r="G33" s="50" t="s">
        <v>18</v>
      </c>
      <c r="H33" s="50"/>
      <c r="I33" s="50"/>
      <c r="J33" s="50"/>
      <c r="K33" s="50"/>
      <c r="L33" s="50"/>
      <c r="M33" s="48">
        <f t="shared" ref="M33:O33" si="50">IF(TRIM(SUBSTITUTE(C33, "　", " "))=TRIM(SUBSTITUTE($B33, "　", " ")), 2, 0)</f>
        <v>2</v>
      </c>
      <c r="N33" s="48">
        <f t="shared" si="50"/>
        <v>2</v>
      </c>
      <c r="O33" s="48">
        <f t="shared" si="50"/>
        <v>2</v>
      </c>
      <c r="P33" s="48">
        <f t="shared" ref="P33:Q33" si="51">IF(TRIM(SUBSTITUTE(F33, "　", " "))=TRIM(SUBSTITUTE(C33, "　", " ")), 2, 0)</f>
        <v>2</v>
      </c>
      <c r="Q33" s="48">
        <f t="shared" si="51"/>
        <v>2</v>
      </c>
      <c r="R33" s="29"/>
    </row>
    <row r="34" spans="1:27" ht="15.75" customHeight="1">
      <c r="A34" s="46" t="s">
        <v>302</v>
      </c>
      <c r="B34" s="47" t="s">
        <v>155</v>
      </c>
      <c r="C34" s="47" t="s">
        <v>155</v>
      </c>
      <c r="D34" s="50" t="s">
        <v>20</v>
      </c>
      <c r="E34" s="50" t="s">
        <v>20</v>
      </c>
      <c r="F34" s="50" t="s">
        <v>20</v>
      </c>
      <c r="G34" s="50" t="s">
        <v>20</v>
      </c>
      <c r="H34" s="50"/>
      <c r="I34" s="50"/>
      <c r="J34" s="50"/>
      <c r="K34" s="50"/>
      <c r="L34" s="50"/>
      <c r="M34" s="48">
        <f t="shared" ref="M34:O34" si="52">IF(TRIM(SUBSTITUTE(C34, "　", " "))=TRIM(SUBSTITUTE($B34, "　", " ")), 2, 0)</f>
        <v>2</v>
      </c>
      <c r="N34" s="48">
        <f t="shared" si="52"/>
        <v>2</v>
      </c>
      <c r="O34" s="48">
        <f t="shared" si="52"/>
        <v>2</v>
      </c>
      <c r="P34" s="48">
        <f t="shared" ref="P34:Q34" si="53">IF(TRIM(SUBSTITUTE(F34, "　", " "))=TRIM(SUBSTITUTE(C34, "　", " ")), 2, 0)</f>
        <v>2</v>
      </c>
      <c r="Q34" s="48">
        <f t="shared" si="53"/>
        <v>2</v>
      </c>
      <c r="R34" s="29"/>
    </row>
    <row r="35" spans="1:27" ht="15.75" customHeight="1">
      <c r="A35" s="46" t="s">
        <v>303</v>
      </c>
      <c r="B35" s="47" t="s">
        <v>162</v>
      </c>
      <c r="C35" s="47" t="s">
        <v>162</v>
      </c>
      <c r="D35" s="50" t="s">
        <v>17</v>
      </c>
      <c r="E35" s="50" t="s">
        <v>20</v>
      </c>
      <c r="F35" s="50" t="s">
        <v>17</v>
      </c>
      <c r="G35" s="50" t="s">
        <v>17</v>
      </c>
      <c r="H35" s="50"/>
      <c r="I35" s="50"/>
      <c r="J35" s="50"/>
      <c r="K35" s="50"/>
      <c r="L35" s="50"/>
      <c r="M35" s="48">
        <f t="shared" ref="M35:O35" si="54">IF(TRIM(SUBSTITUTE(C35, "　", " "))=TRIM(SUBSTITUTE($B35, "　", " ")), 2, 0)</f>
        <v>2</v>
      </c>
      <c r="N35" s="48">
        <f t="shared" si="54"/>
        <v>2</v>
      </c>
      <c r="O35" s="48">
        <f t="shared" si="54"/>
        <v>0</v>
      </c>
      <c r="P35" s="48">
        <f t="shared" ref="P35:Q35" si="55">IF(TRIM(SUBSTITUTE(F35, "　", " "))=TRIM(SUBSTITUTE(C35, "　", " ")), 2, 0)</f>
        <v>2</v>
      </c>
      <c r="Q35" s="48">
        <f t="shared" si="55"/>
        <v>2</v>
      </c>
      <c r="R35" s="29"/>
    </row>
    <row r="36" spans="1:27" ht="15.75" customHeight="1">
      <c r="A36" s="49" t="s">
        <v>304</v>
      </c>
      <c r="B36" s="47"/>
      <c r="C36" s="47"/>
      <c r="D36" s="50"/>
      <c r="E36" s="50"/>
      <c r="F36" s="50"/>
      <c r="G36" s="50"/>
      <c r="H36" s="50"/>
      <c r="I36" s="50"/>
      <c r="J36" s="50"/>
      <c r="K36" s="50"/>
      <c r="L36" s="50"/>
      <c r="M36" s="48"/>
      <c r="N36" s="48"/>
      <c r="O36" s="48"/>
      <c r="P36" s="27"/>
      <c r="Q36" s="27"/>
      <c r="R36" s="29"/>
    </row>
    <row r="37" spans="1:27" ht="15.75" customHeight="1">
      <c r="A37" s="46" t="s">
        <v>305</v>
      </c>
      <c r="B37" s="47" t="s">
        <v>148</v>
      </c>
      <c r="C37" s="47" t="s">
        <v>148</v>
      </c>
      <c r="D37" s="50" t="s">
        <v>23</v>
      </c>
      <c r="E37" s="50" t="s">
        <v>23</v>
      </c>
      <c r="F37" s="50" t="s">
        <v>23</v>
      </c>
      <c r="G37" s="50" t="s">
        <v>23</v>
      </c>
      <c r="H37" s="50"/>
      <c r="I37" s="50"/>
      <c r="J37" s="50"/>
      <c r="K37" s="50"/>
      <c r="L37" s="50"/>
      <c r="M37" s="48">
        <f t="shared" ref="M37:O37" si="56">IF(TRIM(SUBSTITUTE(C37, "　", " "))=TRIM(SUBSTITUTE($B37, "　", " ")), 2, 0)</f>
        <v>2</v>
      </c>
      <c r="N37" s="48">
        <f t="shared" si="56"/>
        <v>2</v>
      </c>
      <c r="O37" s="48">
        <f t="shared" si="56"/>
        <v>2</v>
      </c>
      <c r="P37" s="48">
        <f t="shared" ref="P37:Q37" si="57">IF(TRIM(SUBSTITUTE(F37, "　", " "))=TRIM(SUBSTITUTE(C37, "　", " ")), 2, 0)</f>
        <v>2</v>
      </c>
      <c r="Q37" s="48">
        <f t="shared" si="57"/>
        <v>2</v>
      </c>
      <c r="R37" s="29"/>
    </row>
    <row r="38" spans="1:27" ht="15.75" customHeight="1">
      <c r="A38" s="46" t="s">
        <v>306</v>
      </c>
      <c r="B38" s="47" t="s">
        <v>155</v>
      </c>
      <c r="C38" s="47" t="s">
        <v>155</v>
      </c>
      <c r="D38" s="50" t="s">
        <v>20</v>
      </c>
      <c r="E38" s="50" t="s">
        <v>20</v>
      </c>
      <c r="F38" s="50" t="s">
        <v>20</v>
      </c>
      <c r="G38" s="50" t="s">
        <v>20</v>
      </c>
      <c r="H38" s="50"/>
      <c r="I38" s="50"/>
      <c r="J38" s="50"/>
      <c r="K38" s="50"/>
      <c r="L38" s="50"/>
      <c r="M38" s="48">
        <f t="shared" ref="M38:O38" si="58">IF(TRIM(SUBSTITUTE(C38, "　", " "))=TRIM(SUBSTITUTE($B38, "　", " ")), 2, 0)</f>
        <v>2</v>
      </c>
      <c r="N38" s="48">
        <f t="shared" si="58"/>
        <v>2</v>
      </c>
      <c r="O38" s="48">
        <f t="shared" si="58"/>
        <v>2</v>
      </c>
      <c r="P38" s="48">
        <f t="shared" ref="P38:Q38" si="59">IF(TRIM(SUBSTITUTE(F38, "　", " "))=TRIM(SUBSTITUTE(C38, "　", " ")), 2, 0)</f>
        <v>2</v>
      </c>
      <c r="Q38" s="48">
        <f t="shared" si="59"/>
        <v>2</v>
      </c>
      <c r="R38" s="29"/>
      <c r="S38" s="11"/>
      <c r="T38" s="11"/>
      <c r="U38" s="11"/>
      <c r="V38" s="11"/>
      <c r="W38" s="11"/>
      <c r="X38" s="11"/>
      <c r="Y38" s="11"/>
      <c r="Z38" s="11"/>
      <c r="AA38" s="11"/>
    </row>
    <row r="39" spans="1:27" ht="15.75" customHeight="1">
      <c r="A39" s="51" t="s">
        <v>307</v>
      </c>
      <c r="B39" s="52"/>
      <c r="C39" s="52"/>
      <c r="D39" s="50"/>
      <c r="E39" s="50"/>
      <c r="F39" s="50"/>
      <c r="G39" s="50"/>
      <c r="H39" s="50"/>
      <c r="I39" s="50"/>
      <c r="J39" s="50"/>
      <c r="K39" s="50"/>
      <c r="L39" s="50"/>
      <c r="M39" s="48"/>
      <c r="N39" s="48"/>
      <c r="O39" s="48"/>
      <c r="P39" s="27"/>
      <c r="Q39" s="27"/>
      <c r="R39" s="29"/>
      <c r="S39" s="11"/>
      <c r="T39" s="11"/>
      <c r="U39" s="11"/>
      <c r="V39" s="11"/>
      <c r="W39" s="11"/>
      <c r="X39" s="11"/>
      <c r="Y39" s="11"/>
      <c r="Z39" s="11"/>
      <c r="AA39" s="11"/>
    </row>
    <row r="40" spans="1:27" ht="15.75" customHeight="1">
      <c r="A40" s="46" t="s">
        <v>308</v>
      </c>
      <c r="B40" s="47" t="s">
        <v>155</v>
      </c>
      <c r="C40" s="47" t="s">
        <v>20</v>
      </c>
      <c r="D40" s="50" t="s">
        <v>20</v>
      </c>
      <c r="E40" s="50" t="s">
        <v>18</v>
      </c>
      <c r="F40" s="50" t="s">
        <v>20</v>
      </c>
      <c r="G40" s="50" t="s">
        <v>20</v>
      </c>
      <c r="H40" s="50"/>
      <c r="I40" s="50"/>
      <c r="J40" s="50"/>
      <c r="K40" s="50"/>
      <c r="L40" s="50"/>
      <c r="M40" s="48">
        <f t="shared" ref="M40:O40" si="60">IF(TRIM(SUBSTITUTE(C40, "　", " "))=TRIM(SUBSTITUTE($B40, "　", " ")), 2, 0)</f>
        <v>2</v>
      </c>
      <c r="N40" s="48">
        <f t="shared" si="60"/>
        <v>2</v>
      </c>
      <c r="O40" s="48">
        <f t="shared" si="60"/>
        <v>0</v>
      </c>
      <c r="P40" s="48">
        <f t="shared" ref="P40:Q40" si="61">IF(TRIM(SUBSTITUTE(F40, "　", " "))=TRIM(SUBSTITUTE(C40, "　", " ")), 2, 0)</f>
        <v>2</v>
      </c>
      <c r="Q40" s="48">
        <f t="shared" si="61"/>
        <v>2</v>
      </c>
      <c r="R40" s="29"/>
      <c r="S40" s="11"/>
      <c r="T40" s="11"/>
      <c r="U40" s="11"/>
      <c r="V40" s="11"/>
      <c r="W40" s="11"/>
      <c r="X40" s="11"/>
      <c r="Y40" s="11"/>
      <c r="Z40" s="11"/>
      <c r="AA40" s="11"/>
    </row>
    <row r="41" spans="1:27" ht="15.75" customHeight="1">
      <c r="A41" s="46" t="s">
        <v>309</v>
      </c>
      <c r="B41" s="47" t="s">
        <v>162</v>
      </c>
      <c r="C41" s="47" t="s">
        <v>17</v>
      </c>
      <c r="D41" s="50" t="s">
        <v>17</v>
      </c>
      <c r="E41" s="50" t="s">
        <v>18</v>
      </c>
      <c r="F41" s="50" t="s">
        <v>17</v>
      </c>
      <c r="G41" s="50" t="s">
        <v>17</v>
      </c>
      <c r="H41" s="50"/>
      <c r="I41" s="50"/>
      <c r="J41" s="50"/>
      <c r="K41" s="50"/>
      <c r="L41" s="50"/>
      <c r="M41" s="48">
        <f t="shared" ref="M41:O41" si="62">IF(TRIM(SUBSTITUTE(C41, "　", " "))=TRIM(SUBSTITUTE($B41, "　", " ")), 2, 0)</f>
        <v>2</v>
      </c>
      <c r="N41" s="48">
        <f t="shared" si="62"/>
        <v>2</v>
      </c>
      <c r="O41" s="48">
        <f t="shared" si="62"/>
        <v>0</v>
      </c>
      <c r="P41" s="48">
        <f t="shared" ref="P41:Q41" si="63">IF(TRIM(SUBSTITUTE(F41, "　", " "))=TRIM(SUBSTITUTE(C41, "　", " ")), 2, 0)</f>
        <v>2</v>
      </c>
      <c r="Q41" s="48">
        <f t="shared" si="63"/>
        <v>2</v>
      </c>
      <c r="R41" s="29"/>
      <c r="S41" s="11"/>
      <c r="T41" s="11"/>
      <c r="U41" s="11"/>
      <c r="V41" s="11"/>
      <c r="W41" s="11"/>
      <c r="X41" s="11"/>
      <c r="Y41" s="11"/>
      <c r="Z41" s="11"/>
      <c r="AA41" s="11"/>
    </row>
    <row r="42" spans="1:27" ht="15.75" customHeight="1">
      <c r="A42" s="51" t="s">
        <v>310</v>
      </c>
      <c r="B42" s="47"/>
      <c r="C42" s="47"/>
      <c r="D42" s="50"/>
      <c r="E42" s="50"/>
      <c r="F42" s="50"/>
      <c r="G42" s="50"/>
      <c r="H42" s="50"/>
      <c r="I42" s="50"/>
      <c r="J42" s="50"/>
      <c r="K42" s="50"/>
      <c r="L42" s="50"/>
      <c r="M42" s="48"/>
      <c r="N42" s="48"/>
      <c r="O42" s="48"/>
      <c r="P42" s="27"/>
      <c r="Q42" s="27"/>
      <c r="R42" s="29"/>
      <c r="S42" s="11"/>
      <c r="T42" s="11"/>
      <c r="U42" s="11"/>
      <c r="V42" s="11"/>
      <c r="W42" s="11"/>
      <c r="X42" s="11"/>
      <c r="Y42" s="11"/>
      <c r="Z42" s="11"/>
      <c r="AA42" s="11"/>
    </row>
    <row r="43" spans="1:27" ht="15.75" customHeight="1">
      <c r="A43" s="46" t="s">
        <v>311</v>
      </c>
      <c r="B43" s="47" t="s">
        <v>162</v>
      </c>
      <c r="C43" s="47" t="s">
        <v>17</v>
      </c>
      <c r="D43" s="50" t="s">
        <v>17</v>
      </c>
      <c r="E43" s="50" t="s">
        <v>17</v>
      </c>
      <c r="F43" s="50" t="s">
        <v>17</v>
      </c>
      <c r="G43" s="50" t="s">
        <v>17</v>
      </c>
      <c r="H43" s="50"/>
      <c r="I43" s="50"/>
      <c r="J43" s="50"/>
      <c r="K43" s="50"/>
      <c r="L43" s="50"/>
      <c r="M43" s="48">
        <f t="shared" ref="M43:O43" si="64">IF(TRIM(SUBSTITUTE(C43, "　", " "))=TRIM(SUBSTITUTE($B43, "　", " ")), 2, 0)</f>
        <v>2</v>
      </c>
      <c r="N43" s="48">
        <f t="shared" si="64"/>
        <v>2</v>
      </c>
      <c r="O43" s="48">
        <f t="shared" si="64"/>
        <v>2</v>
      </c>
      <c r="P43" s="48">
        <f t="shared" ref="P43:Q43" si="65">IF(TRIM(SUBSTITUTE(F43, "　", " "))=TRIM(SUBSTITUTE(C43, "　", " ")), 2, 0)</f>
        <v>2</v>
      </c>
      <c r="Q43" s="48">
        <f t="shared" si="65"/>
        <v>2</v>
      </c>
      <c r="R43" s="29"/>
      <c r="S43" s="11"/>
      <c r="T43" s="11"/>
      <c r="U43" s="11"/>
      <c r="V43" s="11"/>
      <c r="W43" s="11"/>
      <c r="X43" s="11"/>
      <c r="Y43" s="11"/>
      <c r="Z43" s="11"/>
      <c r="AA43" s="11"/>
    </row>
    <row r="44" spans="1:27" ht="15.75" customHeight="1">
      <c r="A44" s="46" t="s">
        <v>312</v>
      </c>
      <c r="B44" s="47" t="s">
        <v>155</v>
      </c>
      <c r="C44" s="47" t="s">
        <v>20</v>
      </c>
      <c r="D44" s="50" t="s">
        <v>20</v>
      </c>
      <c r="E44" s="50" t="s">
        <v>20</v>
      </c>
      <c r="F44" s="50" t="s">
        <v>20</v>
      </c>
      <c r="G44" s="50" t="s">
        <v>20</v>
      </c>
      <c r="H44" s="50"/>
      <c r="I44" s="50"/>
      <c r="J44" s="50"/>
      <c r="K44" s="50"/>
      <c r="L44" s="50"/>
      <c r="M44" s="48">
        <f t="shared" ref="M44:O44" si="66">IF(TRIM(SUBSTITUTE(C44, "　", " "))=TRIM(SUBSTITUTE($B44, "　", " ")), 2, 0)</f>
        <v>2</v>
      </c>
      <c r="N44" s="48">
        <f t="shared" si="66"/>
        <v>2</v>
      </c>
      <c r="O44" s="48">
        <f t="shared" si="66"/>
        <v>2</v>
      </c>
      <c r="P44" s="48">
        <f t="shared" ref="P44:Q44" si="67">IF(TRIM(SUBSTITUTE(F44, "　", " "))=TRIM(SUBSTITUTE(C44, "　", " ")), 2, 0)</f>
        <v>2</v>
      </c>
      <c r="Q44" s="48">
        <f t="shared" si="67"/>
        <v>2</v>
      </c>
      <c r="R44" s="29"/>
      <c r="S44" s="11"/>
      <c r="T44" s="11"/>
      <c r="U44" s="11"/>
      <c r="V44" s="11"/>
      <c r="W44" s="11"/>
      <c r="X44" s="11"/>
      <c r="Y44" s="11"/>
      <c r="Z44" s="11"/>
      <c r="AA44" s="11"/>
    </row>
    <row r="45" spans="1:27" ht="15.75" customHeight="1">
      <c r="A45" s="56" t="s">
        <v>193</v>
      </c>
      <c r="B45" s="47"/>
      <c r="C45" s="47"/>
      <c r="D45" s="50"/>
      <c r="E45" s="50"/>
      <c r="F45" s="50"/>
      <c r="G45" s="50"/>
      <c r="H45" s="50"/>
      <c r="I45" s="50"/>
      <c r="J45" s="50"/>
      <c r="K45" s="50"/>
      <c r="L45" s="50"/>
      <c r="M45" s="48"/>
      <c r="N45" s="48"/>
      <c r="O45" s="48"/>
      <c r="P45" s="27"/>
      <c r="Q45" s="27"/>
      <c r="R45" s="29"/>
      <c r="S45" s="11"/>
      <c r="T45" s="11"/>
      <c r="U45" s="11"/>
      <c r="V45" s="11"/>
      <c r="W45" s="11"/>
      <c r="X45" s="11"/>
      <c r="Y45" s="11"/>
      <c r="Z45" s="11"/>
      <c r="AA45" s="11"/>
    </row>
    <row r="46" spans="1:27" ht="15.75" customHeight="1">
      <c r="A46" s="46" t="s">
        <v>313</v>
      </c>
      <c r="B46" s="47" t="s">
        <v>209</v>
      </c>
      <c r="C46" s="47" t="s">
        <v>101</v>
      </c>
      <c r="D46" s="50" t="s">
        <v>101</v>
      </c>
      <c r="E46" s="50" t="s">
        <v>99</v>
      </c>
      <c r="F46" s="50" t="s">
        <v>101</v>
      </c>
      <c r="G46" s="50" t="s">
        <v>101</v>
      </c>
      <c r="H46" s="53" cm="1">
        <f t="array" ref="H46">_xlfn.LET(
_xlpm.opts,{"A","B","C","D","E"},
_xlpm.ans,UPPER(SUBSTITUTE(SUBSTITUTE(SUBSTITUTE(SUBSTITUTE(SUBSTITUTE(TRIM($B46),"　","")," ",""),",",""),"，",""),"、","")),
_xlpm.resp,UPPER(SUBSTITUTE(SUBSTITUTE(SUBSTITUTE(SUBSTITUTE(SUBSTITUTE(TRIM(C46),"　","")," ",""),",",""),"，",""),"、","")),
IF(_xlpm.resp="",99,
SUMPRODUCT(--(ISNUMBER(SEARCH(_xlpm.opts,_xlpm.ans))&lt;&gt;ISNUMBER(SEARCH(_xlpm.opts,_xlpm.resp)))))
)</f>
        <v>0</v>
      </c>
      <c r="I46" s="53" cm="1">
        <f t="array" ref="I46">_xlfn.LET(
_xlpm.opts,{"A","B","C","D","E"},
_xlpm.ans,UPPER(SUBSTITUTE(SUBSTITUTE(SUBSTITUTE(SUBSTITUTE(SUBSTITUTE(TRIM($B46),"　","")," ",""),",",""),"，",""),"、","")),
_xlpm.resp,UPPER(SUBSTITUTE(SUBSTITUTE(SUBSTITUTE(SUBSTITUTE(SUBSTITUTE(TRIM(D46),"　","")," ",""),",",""),"，",""),"、","")),
IF(_xlpm.resp="",99,
SUMPRODUCT(--(ISNUMBER(SEARCH(_xlpm.opts,_xlpm.ans))&lt;&gt;ISNUMBER(SEARCH(_xlpm.opts,_xlpm.resp)))))
)</f>
        <v>0</v>
      </c>
      <c r="J46" s="53" cm="1">
        <f t="array" ref="J46">_xlfn.LET(
_xlpm.opts,{"A","B","C","D","E"},
_xlpm.ans,UPPER(SUBSTITUTE(SUBSTITUTE(SUBSTITUTE(SUBSTITUTE(SUBSTITUTE(TRIM($B46),"　","")," ",""),",",""),"，",""),"、","")),
_xlpm.resp,UPPER(SUBSTITUTE(SUBSTITUTE(SUBSTITUTE(SUBSTITUTE(SUBSTITUTE(TRIM(E46),"　","")," ",""),",",""),"，",""),"、","")),
IF(_xlpm.resp="",99,
SUMPRODUCT(--(ISNUMBER(SEARCH(_xlpm.opts,_xlpm.ans))&lt;&gt;ISNUMBER(SEARCH(_xlpm.opts,_xlpm.resp)))))
)</f>
        <v>2</v>
      </c>
      <c r="K46" s="53" cm="1">
        <f t="array" ref="K46">_xlfn.LET(
_xlpm.opts,{"A","B","C","D","E"},
_xlpm.ans,UPPER(SUBSTITUTE(SUBSTITUTE(SUBSTITUTE(SUBSTITUTE(SUBSTITUTE(TRIM($B46),"　","")," ",""),",",""),"，",""),"、","")),
_xlpm.resp,UPPER(SUBSTITUTE(SUBSTITUTE(SUBSTITUTE(SUBSTITUTE(SUBSTITUTE(TRIM(F46),"　","")," ",""),",",""),"，",""),"、","")),
IF(_xlpm.resp="",99,
SUMPRODUCT(--(ISNUMBER(SEARCH(_xlpm.opts,_xlpm.ans))&lt;&gt;ISNUMBER(SEARCH(_xlpm.opts,_xlpm.resp)))))
)</f>
        <v>0</v>
      </c>
      <c r="L46" s="53" cm="1">
        <f t="array" ref="L46">_xlfn.LET(
_xlpm.opts,{"A","B","C","D","E"},
_xlpm.ans,UPPER(SUBSTITUTE(SUBSTITUTE(SUBSTITUTE(SUBSTITUTE(SUBSTITUTE(TRIM($B46),"　","")," ",""),",",""),"，",""),"、","")),
_xlpm.resp,UPPER(SUBSTITUTE(SUBSTITUTE(SUBSTITUTE(SUBSTITUTE(SUBSTITUTE(TRIM(G46),"　","")," ",""),",",""),"，",""),"、","")),
IF(_xlpm.resp="",99,
SUMPRODUCT(--(ISNUMBER(SEARCH(_xlpm.opts,_xlpm.ans))&lt;&gt;ISNUMBER(SEARCH(_xlpm.opts,_xlpm.resp)))))
)</f>
        <v>0</v>
      </c>
      <c r="M46" s="54">
        <f>IF(H46=0,3,IF(H46=1,1.8,IF(H46=2,0.6,0)))</f>
        <v>3</v>
      </c>
      <c r="N46" s="54">
        <f t="shared" ref="N46:Q53" si="68">IF(I46=0,3,IF(I46=1,1.8,IF(I46=2,0.6,0)))</f>
        <v>3</v>
      </c>
      <c r="O46" s="54">
        <f t="shared" si="68"/>
        <v>0.6</v>
      </c>
      <c r="P46" s="54">
        <f t="shared" si="68"/>
        <v>3</v>
      </c>
      <c r="Q46" s="54">
        <f t="shared" si="68"/>
        <v>3</v>
      </c>
      <c r="R46" s="29"/>
      <c r="S46" s="11"/>
      <c r="T46" s="11"/>
      <c r="U46" s="11"/>
      <c r="V46" s="11"/>
      <c r="W46" s="11"/>
      <c r="X46" s="11"/>
      <c r="Y46" s="11"/>
      <c r="Z46" s="11"/>
      <c r="AA46" s="11"/>
    </row>
    <row r="47" spans="1:27" ht="15.75" customHeight="1">
      <c r="A47" s="46" t="s">
        <v>314</v>
      </c>
      <c r="B47" s="47" t="s">
        <v>195</v>
      </c>
      <c r="C47" s="47" t="s">
        <v>45</v>
      </c>
      <c r="D47" s="50" t="s">
        <v>45</v>
      </c>
      <c r="E47" s="50" t="s">
        <v>136</v>
      </c>
      <c r="F47" s="50" t="s">
        <v>18</v>
      </c>
      <c r="G47" s="50" t="s">
        <v>45</v>
      </c>
      <c r="H47" s="53" cm="1">
        <f t="array" ref="H47">_xlfn.LET(
_xlpm.opts,{"A","B","C","D","E"},
_xlpm.ans,UPPER(SUBSTITUTE(SUBSTITUTE(SUBSTITUTE(SUBSTITUTE(SUBSTITUTE(TRIM($B47),"　","")," ",""),",",""),"，",""),"、","")),
_xlpm.resp,UPPER(SUBSTITUTE(SUBSTITUTE(SUBSTITUTE(SUBSTITUTE(SUBSTITUTE(TRIM(C47),"　","")," ",""),",",""),"，",""),"、","")),
IF(_xlpm.resp="",99,
SUMPRODUCT(--(ISNUMBER(SEARCH(_xlpm.opts,_xlpm.ans))&lt;&gt;ISNUMBER(SEARCH(_xlpm.opts,_xlpm.resp)))))
)</f>
        <v>0</v>
      </c>
      <c r="I47" s="53" cm="1">
        <f t="array" ref="I47">_xlfn.LET(
_xlpm.opts,{"A","B","C","D","E"},
_xlpm.ans,UPPER(SUBSTITUTE(SUBSTITUTE(SUBSTITUTE(SUBSTITUTE(SUBSTITUTE(TRIM($B47),"　","")," ",""),",",""),"，",""),"、","")),
_xlpm.resp,UPPER(SUBSTITUTE(SUBSTITUTE(SUBSTITUTE(SUBSTITUTE(SUBSTITUTE(TRIM(D47),"　","")," ",""),",",""),"，",""),"、","")),
IF(_xlpm.resp="",99,
SUMPRODUCT(--(ISNUMBER(SEARCH(_xlpm.opts,_xlpm.ans))&lt;&gt;ISNUMBER(SEARCH(_xlpm.opts,_xlpm.resp)))))
)</f>
        <v>0</v>
      </c>
      <c r="J47" s="53" cm="1">
        <f t="array" ref="J47">_xlfn.LET(
_xlpm.opts,{"A","B","C","D","E"},
_xlpm.ans,UPPER(SUBSTITUTE(SUBSTITUTE(SUBSTITUTE(SUBSTITUTE(SUBSTITUTE(TRIM($B47),"　","")," ",""),",",""),"，",""),"、","")),
_xlpm.resp,UPPER(SUBSTITUTE(SUBSTITUTE(SUBSTITUTE(SUBSTITUTE(SUBSTITUTE(TRIM(E47),"　","")," ",""),",",""),"，",""),"、","")),
IF(_xlpm.resp="",99,
SUMPRODUCT(--(ISNUMBER(SEARCH(_xlpm.opts,_xlpm.ans))&lt;&gt;ISNUMBER(SEARCH(_xlpm.opts,_xlpm.resp)))))
)</f>
        <v>3</v>
      </c>
      <c r="K47" s="53" cm="1">
        <f t="array" ref="K47">_xlfn.LET(
_xlpm.opts,{"A","B","C","D","E"},
_xlpm.ans,UPPER(SUBSTITUTE(SUBSTITUTE(SUBSTITUTE(SUBSTITUTE(SUBSTITUTE(TRIM($B47),"　","")," ",""),",",""),"，",""),"、","")),
_xlpm.resp,UPPER(SUBSTITUTE(SUBSTITUTE(SUBSTITUTE(SUBSTITUTE(SUBSTITUTE(TRIM(F47),"　","")," ",""),",",""),"，",""),"、","")),
IF(_xlpm.resp="",99,
SUMPRODUCT(--(ISNUMBER(SEARCH(_xlpm.opts,_xlpm.ans))&lt;&gt;ISNUMBER(SEARCH(_xlpm.opts,_xlpm.resp)))))
)</f>
        <v>1</v>
      </c>
      <c r="L47" s="53" cm="1">
        <f t="array" ref="L47">_xlfn.LET(
_xlpm.opts,{"A","B","C","D","E"},
_xlpm.ans,UPPER(SUBSTITUTE(SUBSTITUTE(SUBSTITUTE(SUBSTITUTE(SUBSTITUTE(TRIM($B47),"　","")," ",""),",",""),"，",""),"、","")),
_xlpm.resp,UPPER(SUBSTITUTE(SUBSTITUTE(SUBSTITUTE(SUBSTITUTE(SUBSTITUTE(TRIM(G47),"　","")," ",""),",",""),"，",""),"、","")),
IF(_xlpm.resp="",99,
SUMPRODUCT(--(ISNUMBER(SEARCH(_xlpm.opts,_xlpm.ans))&lt;&gt;ISNUMBER(SEARCH(_xlpm.opts,_xlpm.resp)))))
)</f>
        <v>0</v>
      </c>
      <c r="M47" s="54">
        <f t="shared" ref="M47:M53" si="69">IF(H47=0,3,IF(H47=1,1.8,IF(H47=2,0.6,0)))</f>
        <v>3</v>
      </c>
      <c r="N47" s="54">
        <f t="shared" si="68"/>
        <v>3</v>
      </c>
      <c r="O47" s="54">
        <f t="shared" si="68"/>
        <v>0</v>
      </c>
      <c r="P47" s="54">
        <f t="shared" si="68"/>
        <v>1.8</v>
      </c>
      <c r="Q47" s="54">
        <f t="shared" si="68"/>
        <v>3</v>
      </c>
      <c r="R47" s="29"/>
      <c r="S47" s="11"/>
      <c r="T47" s="11"/>
      <c r="U47" s="11"/>
      <c r="V47" s="11"/>
      <c r="W47" s="11"/>
      <c r="X47" s="11"/>
      <c r="Y47" s="11"/>
      <c r="Z47" s="11"/>
      <c r="AA47" s="11"/>
    </row>
    <row r="48" spans="1:27" ht="15.75" customHeight="1">
      <c r="A48" s="46" t="s">
        <v>315</v>
      </c>
      <c r="B48" s="47" t="s">
        <v>206</v>
      </c>
      <c r="C48" s="47" t="s">
        <v>135</v>
      </c>
      <c r="D48" s="50" t="s">
        <v>135</v>
      </c>
      <c r="E48" s="50" t="s">
        <v>134</v>
      </c>
      <c r="F48" s="50" t="s">
        <v>134</v>
      </c>
      <c r="G48" s="50" t="s">
        <v>135</v>
      </c>
      <c r="H48" s="53" cm="1">
        <f t="array" ref="H48">_xlfn.LET(
_xlpm.opts,{"A","B","C","D","E"},
_xlpm.ans,UPPER(SUBSTITUTE(SUBSTITUTE(SUBSTITUTE(SUBSTITUTE(SUBSTITUTE(TRIM($B48),"　","")," ",""),",",""),"，",""),"、","")),
_xlpm.resp,UPPER(SUBSTITUTE(SUBSTITUTE(SUBSTITUTE(SUBSTITUTE(SUBSTITUTE(TRIM(C48),"　","")," ",""),",",""),"，",""),"、","")),
IF(_xlpm.resp="",99,
SUMPRODUCT(--(ISNUMBER(SEARCH(_xlpm.opts,_xlpm.ans))&lt;&gt;ISNUMBER(SEARCH(_xlpm.opts,_xlpm.resp)))))
)</f>
        <v>1</v>
      </c>
      <c r="I48" s="53" cm="1">
        <f t="array" ref="I48">_xlfn.LET(
_xlpm.opts,{"A","B","C","D","E"},
_xlpm.ans,UPPER(SUBSTITUTE(SUBSTITUTE(SUBSTITUTE(SUBSTITUTE(SUBSTITUTE(TRIM($B48),"　","")," ",""),",",""),"，",""),"、","")),
_xlpm.resp,UPPER(SUBSTITUTE(SUBSTITUTE(SUBSTITUTE(SUBSTITUTE(SUBSTITUTE(TRIM(D48),"　","")," ",""),",",""),"，",""),"、","")),
IF(_xlpm.resp="",99,
SUMPRODUCT(--(ISNUMBER(SEARCH(_xlpm.opts,_xlpm.ans))&lt;&gt;ISNUMBER(SEARCH(_xlpm.opts,_xlpm.resp)))))
)</f>
        <v>1</v>
      </c>
      <c r="J48" s="53" cm="1">
        <f t="array" ref="J48">_xlfn.LET(
_xlpm.opts,{"A","B","C","D","E"},
_xlpm.ans,UPPER(SUBSTITUTE(SUBSTITUTE(SUBSTITUTE(SUBSTITUTE(SUBSTITUTE(TRIM($B48),"　","")," ",""),",",""),"，",""),"、","")),
_xlpm.resp,UPPER(SUBSTITUTE(SUBSTITUTE(SUBSTITUTE(SUBSTITUTE(SUBSTITUTE(TRIM(E48),"　","")," ",""),",",""),"，",""),"、","")),
IF(_xlpm.resp="",99,
SUMPRODUCT(--(ISNUMBER(SEARCH(_xlpm.opts,_xlpm.ans))&lt;&gt;ISNUMBER(SEARCH(_xlpm.opts,_xlpm.resp)))))
)</f>
        <v>0</v>
      </c>
      <c r="K48" s="53" cm="1">
        <f t="array" ref="K48">_xlfn.LET(
_xlpm.opts,{"A","B","C","D","E"},
_xlpm.ans,UPPER(SUBSTITUTE(SUBSTITUTE(SUBSTITUTE(SUBSTITUTE(SUBSTITUTE(TRIM($B48),"　","")," ",""),",",""),"，",""),"、","")),
_xlpm.resp,UPPER(SUBSTITUTE(SUBSTITUTE(SUBSTITUTE(SUBSTITUTE(SUBSTITUTE(TRIM(F48),"　","")," ",""),",",""),"，",""),"、","")),
IF(_xlpm.resp="",99,
SUMPRODUCT(--(ISNUMBER(SEARCH(_xlpm.opts,_xlpm.ans))&lt;&gt;ISNUMBER(SEARCH(_xlpm.opts,_xlpm.resp)))))
)</f>
        <v>0</v>
      </c>
      <c r="L48" s="53" cm="1">
        <f t="array" ref="L48">_xlfn.LET(
_xlpm.opts,{"A","B","C","D","E"},
_xlpm.ans,UPPER(SUBSTITUTE(SUBSTITUTE(SUBSTITUTE(SUBSTITUTE(SUBSTITUTE(TRIM($B48),"　","")," ",""),",",""),"，",""),"、","")),
_xlpm.resp,UPPER(SUBSTITUTE(SUBSTITUTE(SUBSTITUTE(SUBSTITUTE(SUBSTITUTE(TRIM(G48),"　","")," ",""),",",""),"，",""),"、","")),
IF(_xlpm.resp="",99,
SUMPRODUCT(--(ISNUMBER(SEARCH(_xlpm.opts,_xlpm.ans))&lt;&gt;ISNUMBER(SEARCH(_xlpm.opts,_xlpm.resp)))))
)</f>
        <v>1</v>
      </c>
      <c r="M48" s="54">
        <f t="shared" si="69"/>
        <v>1.8</v>
      </c>
      <c r="N48" s="54">
        <f t="shared" si="68"/>
        <v>1.8</v>
      </c>
      <c r="O48" s="54">
        <f t="shared" si="68"/>
        <v>3</v>
      </c>
      <c r="P48" s="54">
        <f t="shared" si="68"/>
        <v>3</v>
      </c>
      <c r="Q48" s="54">
        <f t="shared" si="68"/>
        <v>1.8</v>
      </c>
      <c r="R48" s="29"/>
      <c r="S48" s="11"/>
      <c r="T48" s="11"/>
      <c r="U48" s="11"/>
      <c r="V48" s="11"/>
      <c r="W48" s="11"/>
      <c r="X48" s="11"/>
      <c r="Y48" s="11"/>
      <c r="Z48" s="11"/>
      <c r="AA48" s="11"/>
    </row>
    <row r="49" spans="1:27" ht="15.75" customHeight="1">
      <c r="A49" s="46" t="s">
        <v>316</v>
      </c>
      <c r="B49" s="47" t="s">
        <v>317</v>
      </c>
      <c r="C49" s="47" t="s">
        <v>42</v>
      </c>
      <c r="D49" s="50" t="s">
        <v>51</v>
      </c>
      <c r="E49" s="50" t="s">
        <v>94</v>
      </c>
      <c r="F49" s="50" t="s">
        <v>51</v>
      </c>
      <c r="G49" s="50" t="s">
        <v>51</v>
      </c>
      <c r="H49" s="53" cm="1">
        <f t="array" ref="H49">_xlfn.LET(
_xlpm.opts,{"A","B","C","D","E"},
_xlpm.ans,UPPER(SUBSTITUTE(SUBSTITUTE(SUBSTITUTE(SUBSTITUTE(SUBSTITUTE(TRIM($B49),"　","")," ",""),",",""),"，",""),"、","")),
_xlpm.resp,UPPER(SUBSTITUTE(SUBSTITUTE(SUBSTITUTE(SUBSTITUTE(SUBSTITUTE(TRIM(C49),"　","")," ",""),",",""),"，",""),"、","")),
IF(_xlpm.resp="",99,
SUMPRODUCT(--(ISNUMBER(SEARCH(_xlpm.opts,_xlpm.ans))&lt;&gt;ISNUMBER(SEARCH(_xlpm.opts,_xlpm.resp)))))
)</f>
        <v>1</v>
      </c>
      <c r="I49" s="53" cm="1">
        <f t="array" ref="I49">_xlfn.LET(
_xlpm.opts,{"A","B","C","D","E"},
_xlpm.ans,UPPER(SUBSTITUTE(SUBSTITUTE(SUBSTITUTE(SUBSTITUTE(SUBSTITUTE(TRIM($B49),"　","")," ",""),",",""),"，",""),"、","")),
_xlpm.resp,UPPER(SUBSTITUTE(SUBSTITUTE(SUBSTITUTE(SUBSTITUTE(SUBSTITUTE(TRIM(D49),"　","")," ",""),",",""),"，",""),"、","")),
IF(_xlpm.resp="",99,
SUMPRODUCT(--(ISNUMBER(SEARCH(_xlpm.opts,_xlpm.ans))&lt;&gt;ISNUMBER(SEARCH(_xlpm.opts,_xlpm.resp)))))
)</f>
        <v>0</v>
      </c>
      <c r="J49" s="53" cm="1">
        <f t="array" ref="J49">_xlfn.LET(
_xlpm.opts,{"A","B","C","D","E"},
_xlpm.ans,UPPER(SUBSTITUTE(SUBSTITUTE(SUBSTITUTE(SUBSTITUTE(SUBSTITUTE(TRIM($B49),"　","")," ",""),",",""),"，",""),"、","")),
_xlpm.resp,UPPER(SUBSTITUTE(SUBSTITUTE(SUBSTITUTE(SUBSTITUTE(SUBSTITUTE(TRIM(E49),"　","")," ",""),",",""),"，",""),"、","")),
IF(_xlpm.resp="",99,
SUMPRODUCT(--(ISNUMBER(SEARCH(_xlpm.opts,_xlpm.ans))&lt;&gt;ISNUMBER(SEARCH(_xlpm.opts,_xlpm.resp)))))
)</f>
        <v>3</v>
      </c>
      <c r="K49" s="53" cm="1">
        <f t="array" ref="K49">_xlfn.LET(
_xlpm.opts,{"A","B","C","D","E"},
_xlpm.ans,UPPER(SUBSTITUTE(SUBSTITUTE(SUBSTITUTE(SUBSTITUTE(SUBSTITUTE(TRIM($B49),"　","")," ",""),",",""),"，",""),"、","")),
_xlpm.resp,UPPER(SUBSTITUTE(SUBSTITUTE(SUBSTITUTE(SUBSTITUTE(SUBSTITUTE(TRIM(F49),"　","")," ",""),",",""),"，",""),"、","")),
IF(_xlpm.resp="",99,
SUMPRODUCT(--(ISNUMBER(SEARCH(_xlpm.opts,_xlpm.ans))&lt;&gt;ISNUMBER(SEARCH(_xlpm.opts,_xlpm.resp)))))
)</f>
        <v>0</v>
      </c>
      <c r="L49" s="53" cm="1">
        <f t="array" ref="L49">_xlfn.LET(
_xlpm.opts,{"A","B","C","D","E"},
_xlpm.ans,UPPER(SUBSTITUTE(SUBSTITUTE(SUBSTITUTE(SUBSTITUTE(SUBSTITUTE(TRIM($B49),"　","")," ",""),",",""),"，",""),"、","")),
_xlpm.resp,UPPER(SUBSTITUTE(SUBSTITUTE(SUBSTITUTE(SUBSTITUTE(SUBSTITUTE(TRIM(G49),"　","")," ",""),",",""),"，",""),"、","")),
IF(_xlpm.resp="",99,
SUMPRODUCT(--(ISNUMBER(SEARCH(_xlpm.opts,_xlpm.ans))&lt;&gt;ISNUMBER(SEARCH(_xlpm.opts,_xlpm.resp)))))
)</f>
        <v>0</v>
      </c>
      <c r="M49" s="54">
        <f t="shared" si="69"/>
        <v>1.8</v>
      </c>
      <c r="N49" s="54">
        <f t="shared" si="68"/>
        <v>3</v>
      </c>
      <c r="O49" s="54">
        <f t="shared" si="68"/>
        <v>0</v>
      </c>
      <c r="P49" s="54">
        <f t="shared" si="68"/>
        <v>3</v>
      </c>
      <c r="Q49" s="54">
        <f t="shared" si="68"/>
        <v>3</v>
      </c>
      <c r="R49" s="29"/>
      <c r="S49" s="11"/>
      <c r="T49" s="11"/>
      <c r="U49" s="11"/>
      <c r="V49" s="11"/>
      <c r="W49" s="11"/>
      <c r="X49" s="11"/>
      <c r="Y49" s="11"/>
      <c r="Z49" s="11"/>
      <c r="AA49" s="11"/>
    </row>
    <row r="50" spans="1:27" ht="15.75" customHeight="1">
      <c r="A50" s="46" t="s">
        <v>318</v>
      </c>
      <c r="B50" s="47" t="s">
        <v>197</v>
      </c>
      <c r="C50" s="47" t="s">
        <v>198</v>
      </c>
      <c r="D50" s="50" t="s">
        <v>94</v>
      </c>
      <c r="E50" s="50" t="s">
        <v>42</v>
      </c>
      <c r="F50" s="50" t="s">
        <v>198</v>
      </c>
      <c r="G50" s="50" t="s">
        <v>94</v>
      </c>
      <c r="H50" s="53" cm="1">
        <f t="array" ref="H50">_xlfn.LET(
_xlpm.opts,{"A","B","C","D","E"},
_xlpm.ans,UPPER(SUBSTITUTE(SUBSTITUTE(SUBSTITUTE(SUBSTITUTE(SUBSTITUTE(TRIM($B50),"　","")," ",""),",",""),"，",""),"、","")),
_xlpm.resp,UPPER(SUBSTITUTE(SUBSTITUTE(SUBSTITUTE(SUBSTITUTE(SUBSTITUTE(TRIM(C50),"　","")," ",""),",",""),"，",""),"、","")),
IF(_xlpm.resp="",99,
SUMPRODUCT(--(ISNUMBER(SEARCH(_xlpm.opts,_xlpm.ans))&lt;&gt;ISNUMBER(SEARCH(_xlpm.opts,_xlpm.resp)))))
)</f>
        <v>0</v>
      </c>
      <c r="I50" s="53" cm="1">
        <f t="array" ref="I50">_xlfn.LET(
_xlpm.opts,{"A","B","C","D","E"},
_xlpm.ans,UPPER(SUBSTITUTE(SUBSTITUTE(SUBSTITUTE(SUBSTITUTE(SUBSTITUTE(TRIM($B50),"　","")," ",""),",",""),"，",""),"、","")),
_xlpm.resp,UPPER(SUBSTITUTE(SUBSTITUTE(SUBSTITUTE(SUBSTITUTE(SUBSTITUTE(TRIM(D50),"　","")," ",""),",",""),"，",""),"、","")),
IF(_xlpm.resp="",99,
SUMPRODUCT(--(ISNUMBER(SEARCH(_xlpm.opts,_xlpm.ans))&lt;&gt;ISNUMBER(SEARCH(_xlpm.opts,_xlpm.resp)))))
)</f>
        <v>1</v>
      </c>
      <c r="J50" s="53" cm="1">
        <f t="array" ref="J50">_xlfn.LET(
_xlpm.opts,{"A","B","C","D","E"},
_xlpm.ans,UPPER(SUBSTITUTE(SUBSTITUTE(SUBSTITUTE(SUBSTITUTE(SUBSTITUTE(TRIM($B50),"　","")," ",""),",",""),"，",""),"、","")),
_xlpm.resp,UPPER(SUBSTITUTE(SUBSTITUTE(SUBSTITUTE(SUBSTITUTE(SUBSTITUTE(TRIM(E50),"　","")," ",""),",",""),"，",""),"、","")),
IF(_xlpm.resp="",99,
SUMPRODUCT(--(ISNUMBER(SEARCH(_xlpm.opts,_xlpm.ans))&lt;&gt;ISNUMBER(SEARCH(_xlpm.opts,_xlpm.resp)))))
)</f>
        <v>1</v>
      </c>
      <c r="K50" s="53" cm="1">
        <f t="array" ref="K50">_xlfn.LET(
_xlpm.opts,{"A","B","C","D","E"},
_xlpm.ans,UPPER(SUBSTITUTE(SUBSTITUTE(SUBSTITUTE(SUBSTITUTE(SUBSTITUTE(TRIM($B50),"　","")," ",""),",",""),"，",""),"、","")),
_xlpm.resp,UPPER(SUBSTITUTE(SUBSTITUTE(SUBSTITUTE(SUBSTITUTE(SUBSTITUTE(TRIM(F50),"　","")," ",""),",",""),"，",""),"、","")),
IF(_xlpm.resp="",99,
SUMPRODUCT(--(ISNUMBER(SEARCH(_xlpm.opts,_xlpm.ans))&lt;&gt;ISNUMBER(SEARCH(_xlpm.opts,_xlpm.resp)))))
)</f>
        <v>0</v>
      </c>
      <c r="L50" s="53" cm="1">
        <f t="array" ref="L50">_xlfn.LET(
_xlpm.opts,{"A","B","C","D","E"},
_xlpm.ans,UPPER(SUBSTITUTE(SUBSTITUTE(SUBSTITUTE(SUBSTITUTE(SUBSTITUTE(TRIM($B50),"　","")," ",""),",",""),"，",""),"、","")),
_xlpm.resp,UPPER(SUBSTITUTE(SUBSTITUTE(SUBSTITUTE(SUBSTITUTE(SUBSTITUTE(TRIM(G50),"　","")," ",""),",",""),"，",""),"、","")),
IF(_xlpm.resp="",99,
SUMPRODUCT(--(ISNUMBER(SEARCH(_xlpm.opts,_xlpm.ans))&lt;&gt;ISNUMBER(SEARCH(_xlpm.opts,_xlpm.resp)))))
)</f>
        <v>1</v>
      </c>
      <c r="M50" s="54">
        <f t="shared" si="69"/>
        <v>3</v>
      </c>
      <c r="N50" s="54">
        <f t="shared" si="68"/>
        <v>1.8</v>
      </c>
      <c r="O50" s="54">
        <f t="shared" si="68"/>
        <v>1.8</v>
      </c>
      <c r="P50" s="54">
        <f t="shared" si="68"/>
        <v>3</v>
      </c>
      <c r="Q50" s="54">
        <f t="shared" si="68"/>
        <v>1.8</v>
      </c>
      <c r="R50" s="29"/>
      <c r="S50" s="11"/>
      <c r="T50" s="11"/>
      <c r="U50" s="11"/>
      <c r="V50" s="11"/>
      <c r="W50" s="11"/>
      <c r="X50" s="11"/>
      <c r="Y50" s="11"/>
      <c r="Z50" s="11"/>
      <c r="AA50" s="11"/>
    </row>
    <row r="51" spans="1:27" ht="15.75" customHeight="1">
      <c r="A51" s="46" t="s">
        <v>319</v>
      </c>
      <c r="B51" s="47" t="s">
        <v>195</v>
      </c>
      <c r="C51" s="47" t="s">
        <v>198</v>
      </c>
      <c r="D51" s="50" t="s">
        <v>94</v>
      </c>
      <c r="E51" s="50" t="s">
        <v>94</v>
      </c>
      <c r="F51" s="50" t="s">
        <v>45</v>
      </c>
      <c r="G51" s="50" t="s">
        <v>45</v>
      </c>
      <c r="H51" s="53" cm="1">
        <f t="array" ref="H51">_xlfn.LET(
_xlpm.opts,{"A","B","C","D","E"},
_xlpm.ans,UPPER(SUBSTITUTE(SUBSTITUTE(SUBSTITUTE(SUBSTITUTE(SUBSTITUTE(TRIM($B51),"　","")," ",""),",",""),"，",""),"、","")),
_xlpm.resp,UPPER(SUBSTITUTE(SUBSTITUTE(SUBSTITUTE(SUBSTITUTE(SUBSTITUTE(TRIM(C51),"　","")," ",""),",",""),"，",""),"、","")),
IF(_xlpm.resp="",99,
SUMPRODUCT(--(ISNUMBER(SEARCH(_xlpm.opts,_xlpm.ans))&lt;&gt;ISNUMBER(SEARCH(_xlpm.opts,_xlpm.resp)))))
)</f>
        <v>1</v>
      </c>
      <c r="I51" s="53" cm="1">
        <f t="array" ref="I51">_xlfn.LET(
_xlpm.opts,{"A","B","C","D","E"},
_xlpm.ans,UPPER(SUBSTITUTE(SUBSTITUTE(SUBSTITUTE(SUBSTITUTE(SUBSTITUTE(TRIM($B51),"　","")," ",""),",",""),"，",""),"、","")),
_xlpm.resp,UPPER(SUBSTITUTE(SUBSTITUTE(SUBSTITUTE(SUBSTITUTE(SUBSTITUTE(TRIM(D51),"　","")," ",""),",",""),"，",""),"、","")),
IF(_xlpm.resp="",99,
SUMPRODUCT(--(ISNUMBER(SEARCH(_xlpm.opts,_xlpm.ans))&lt;&gt;ISNUMBER(SEARCH(_xlpm.opts,_xlpm.resp)))))
)</f>
        <v>2</v>
      </c>
      <c r="J51" s="53" cm="1">
        <f t="array" ref="J51">_xlfn.LET(
_xlpm.opts,{"A","B","C","D","E"},
_xlpm.ans,UPPER(SUBSTITUTE(SUBSTITUTE(SUBSTITUTE(SUBSTITUTE(SUBSTITUTE(TRIM($B51),"　","")," ",""),",",""),"，",""),"、","")),
_xlpm.resp,UPPER(SUBSTITUTE(SUBSTITUTE(SUBSTITUTE(SUBSTITUTE(SUBSTITUTE(TRIM(E51),"　","")," ",""),",",""),"，",""),"、","")),
IF(_xlpm.resp="",99,
SUMPRODUCT(--(ISNUMBER(SEARCH(_xlpm.opts,_xlpm.ans))&lt;&gt;ISNUMBER(SEARCH(_xlpm.opts,_xlpm.resp)))))
)</f>
        <v>2</v>
      </c>
      <c r="K51" s="53" cm="1">
        <f t="array" ref="K51">_xlfn.LET(
_xlpm.opts,{"A","B","C","D","E"},
_xlpm.ans,UPPER(SUBSTITUTE(SUBSTITUTE(SUBSTITUTE(SUBSTITUTE(SUBSTITUTE(TRIM($B51),"　","")," ",""),",",""),"，",""),"、","")),
_xlpm.resp,UPPER(SUBSTITUTE(SUBSTITUTE(SUBSTITUTE(SUBSTITUTE(SUBSTITUTE(TRIM(F51),"　","")," ",""),",",""),"，",""),"、","")),
IF(_xlpm.resp="",99,
SUMPRODUCT(--(ISNUMBER(SEARCH(_xlpm.opts,_xlpm.ans))&lt;&gt;ISNUMBER(SEARCH(_xlpm.opts,_xlpm.resp)))))
)</f>
        <v>0</v>
      </c>
      <c r="L51" s="53" cm="1">
        <f t="array" ref="L51">_xlfn.LET(
_xlpm.opts,{"A","B","C","D","E"},
_xlpm.ans,UPPER(SUBSTITUTE(SUBSTITUTE(SUBSTITUTE(SUBSTITUTE(SUBSTITUTE(TRIM($B51),"　","")," ",""),",",""),"，",""),"、","")),
_xlpm.resp,UPPER(SUBSTITUTE(SUBSTITUTE(SUBSTITUTE(SUBSTITUTE(SUBSTITUTE(TRIM(G51),"　","")," ",""),",",""),"，",""),"、","")),
IF(_xlpm.resp="",99,
SUMPRODUCT(--(ISNUMBER(SEARCH(_xlpm.opts,_xlpm.ans))&lt;&gt;ISNUMBER(SEARCH(_xlpm.opts,_xlpm.resp)))))
)</f>
        <v>0</v>
      </c>
      <c r="M51" s="54">
        <f t="shared" si="69"/>
        <v>1.8</v>
      </c>
      <c r="N51" s="54">
        <f t="shared" si="68"/>
        <v>0.6</v>
      </c>
      <c r="O51" s="54">
        <f t="shared" si="68"/>
        <v>0.6</v>
      </c>
      <c r="P51" s="54">
        <f t="shared" si="68"/>
        <v>3</v>
      </c>
      <c r="Q51" s="54">
        <f t="shared" si="68"/>
        <v>3</v>
      </c>
      <c r="R51" s="29"/>
      <c r="S51" s="11"/>
      <c r="T51" s="11"/>
      <c r="U51" s="11"/>
      <c r="V51" s="11"/>
      <c r="W51" s="11"/>
      <c r="X51" s="11"/>
      <c r="Y51" s="11"/>
      <c r="Z51" s="11"/>
      <c r="AA51" s="11"/>
    </row>
    <row r="52" spans="1:27" ht="15.75" customHeight="1">
      <c r="A52" s="46" t="s">
        <v>320</v>
      </c>
      <c r="B52" s="47" t="s">
        <v>266</v>
      </c>
      <c r="C52" s="47" t="s">
        <v>89</v>
      </c>
      <c r="D52" s="50" t="s">
        <v>89</v>
      </c>
      <c r="E52" s="50" t="s">
        <v>97</v>
      </c>
      <c r="F52" s="50" t="s">
        <v>89</v>
      </c>
      <c r="G52" s="50" t="s">
        <v>89</v>
      </c>
      <c r="H52" s="53" cm="1">
        <f t="array" ref="H52">_xlfn.LET(
_xlpm.opts,{"A","B","C","D","E"},
_xlpm.ans,UPPER(SUBSTITUTE(SUBSTITUTE(SUBSTITUTE(SUBSTITUTE(SUBSTITUTE(TRIM($B52),"　","")," ",""),",",""),"，",""),"、","")),
_xlpm.resp,UPPER(SUBSTITUTE(SUBSTITUTE(SUBSTITUTE(SUBSTITUTE(SUBSTITUTE(TRIM(C52),"　","")," ",""),",",""),"，",""),"、","")),
IF(_xlpm.resp="",99,
SUMPRODUCT(--(ISNUMBER(SEARCH(_xlpm.opts,_xlpm.ans))&lt;&gt;ISNUMBER(SEARCH(_xlpm.opts,_xlpm.resp)))))
)</f>
        <v>0</v>
      </c>
      <c r="I52" s="53" cm="1">
        <f t="array" ref="I52">_xlfn.LET(
_xlpm.opts,{"A","B","C","D","E"},
_xlpm.ans,UPPER(SUBSTITUTE(SUBSTITUTE(SUBSTITUTE(SUBSTITUTE(SUBSTITUTE(TRIM($B52),"　","")," ",""),",",""),"，",""),"、","")),
_xlpm.resp,UPPER(SUBSTITUTE(SUBSTITUTE(SUBSTITUTE(SUBSTITUTE(SUBSTITUTE(TRIM(D52),"　","")," ",""),",",""),"，",""),"、","")),
IF(_xlpm.resp="",99,
SUMPRODUCT(--(ISNUMBER(SEARCH(_xlpm.opts,_xlpm.ans))&lt;&gt;ISNUMBER(SEARCH(_xlpm.opts,_xlpm.resp)))))
)</f>
        <v>0</v>
      </c>
      <c r="J52" s="53" cm="1">
        <f t="array" ref="J52">_xlfn.LET(
_xlpm.opts,{"A","B","C","D","E"},
_xlpm.ans,UPPER(SUBSTITUTE(SUBSTITUTE(SUBSTITUTE(SUBSTITUTE(SUBSTITUTE(TRIM($B52),"　","")," ",""),",",""),"，",""),"、","")),
_xlpm.resp,UPPER(SUBSTITUTE(SUBSTITUTE(SUBSTITUTE(SUBSTITUTE(SUBSTITUTE(TRIM(E52),"　","")," ",""),",",""),"，",""),"、","")),
IF(_xlpm.resp="",99,
SUMPRODUCT(--(ISNUMBER(SEARCH(_xlpm.opts,_xlpm.ans))&lt;&gt;ISNUMBER(SEARCH(_xlpm.opts,_xlpm.resp)))))
)</f>
        <v>1</v>
      </c>
      <c r="K52" s="53" cm="1">
        <f t="array" ref="K52">_xlfn.LET(
_xlpm.opts,{"A","B","C","D","E"},
_xlpm.ans,UPPER(SUBSTITUTE(SUBSTITUTE(SUBSTITUTE(SUBSTITUTE(SUBSTITUTE(TRIM($B52),"　","")," ",""),",",""),"，",""),"、","")),
_xlpm.resp,UPPER(SUBSTITUTE(SUBSTITUTE(SUBSTITUTE(SUBSTITUTE(SUBSTITUTE(TRIM(F52),"　","")," ",""),",",""),"，",""),"、","")),
IF(_xlpm.resp="",99,
SUMPRODUCT(--(ISNUMBER(SEARCH(_xlpm.opts,_xlpm.ans))&lt;&gt;ISNUMBER(SEARCH(_xlpm.opts,_xlpm.resp)))))
)</f>
        <v>0</v>
      </c>
      <c r="L52" s="53" cm="1">
        <f t="array" ref="L52">_xlfn.LET(
_xlpm.opts,{"A","B","C","D","E"},
_xlpm.ans,UPPER(SUBSTITUTE(SUBSTITUTE(SUBSTITUTE(SUBSTITUTE(SUBSTITUTE(TRIM($B52),"　","")," ",""),",",""),"，",""),"、","")),
_xlpm.resp,UPPER(SUBSTITUTE(SUBSTITUTE(SUBSTITUTE(SUBSTITUTE(SUBSTITUTE(TRIM(G52),"　","")," ",""),",",""),"，",""),"、","")),
IF(_xlpm.resp="",99,
SUMPRODUCT(--(ISNUMBER(SEARCH(_xlpm.opts,_xlpm.ans))&lt;&gt;ISNUMBER(SEARCH(_xlpm.opts,_xlpm.resp)))))
)</f>
        <v>0</v>
      </c>
      <c r="M52" s="54">
        <f t="shared" si="69"/>
        <v>3</v>
      </c>
      <c r="N52" s="54">
        <f t="shared" si="68"/>
        <v>3</v>
      </c>
      <c r="O52" s="54">
        <f t="shared" si="68"/>
        <v>1.8</v>
      </c>
      <c r="P52" s="54">
        <f t="shared" si="68"/>
        <v>3</v>
      </c>
      <c r="Q52" s="54">
        <f t="shared" si="68"/>
        <v>3</v>
      </c>
      <c r="R52" s="29"/>
      <c r="S52" s="11"/>
      <c r="T52" s="11"/>
      <c r="U52" s="11"/>
      <c r="V52" s="11"/>
      <c r="W52" s="11"/>
      <c r="X52" s="11"/>
      <c r="Y52" s="11"/>
      <c r="Z52" s="11"/>
      <c r="AA52" s="11"/>
    </row>
    <row r="53" spans="1:27" ht="15.75" customHeight="1">
      <c r="A53" s="46" t="s">
        <v>321</v>
      </c>
      <c r="B53" s="47" t="s">
        <v>322</v>
      </c>
      <c r="C53" s="47" t="s">
        <v>135</v>
      </c>
      <c r="D53" s="50" t="s">
        <v>135</v>
      </c>
      <c r="E53" s="50" t="s">
        <v>95</v>
      </c>
      <c r="F53" s="50" t="s">
        <v>135</v>
      </c>
      <c r="G53" s="50" t="s">
        <v>135</v>
      </c>
      <c r="H53" s="53" cm="1">
        <f t="array" ref="H53">_xlfn.LET(
_xlpm.opts,{"A","B","C","D","E"},
_xlpm.ans,UPPER(SUBSTITUTE(SUBSTITUTE(SUBSTITUTE(SUBSTITUTE(SUBSTITUTE(TRIM($B53),"　","")," ",""),",",""),"，",""),"、","")),
_xlpm.resp,UPPER(SUBSTITUTE(SUBSTITUTE(SUBSTITUTE(SUBSTITUTE(SUBSTITUTE(TRIM(C53),"　","")," ",""),",",""),"，",""),"、","")),
IF(_xlpm.resp="",99,
SUMPRODUCT(--(ISNUMBER(SEARCH(_xlpm.opts,_xlpm.ans))&lt;&gt;ISNUMBER(SEARCH(_xlpm.opts,_xlpm.resp)))))
)</f>
        <v>0</v>
      </c>
      <c r="I53" s="53" cm="1">
        <f t="array" ref="I53">_xlfn.LET(
_xlpm.opts,{"A","B","C","D","E"},
_xlpm.ans,UPPER(SUBSTITUTE(SUBSTITUTE(SUBSTITUTE(SUBSTITUTE(SUBSTITUTE(TRIM($B53),"　","")," ",""),",",""),"，",""),"、","")),
_xlpm.resp,UPPER(SUBSTITUTE(SUBSTITUTE(SUBSTITUTE(SUBSTITUTE(SUBSTITUTE(TRIM(D53),"　","")," ",""),",",""),"，",""),"、","")),
IF(_xlpm.resp="",99,
SUMPRODUCT(--(ISNUMBER(SEARCH(_xlpm.opts,_xlpm.ans))&lt;&gt;ISNUMBER(SEARCH(_xlpm.opts,_xlpm.resp)))))
)</f>
        <v>0</v>
      </c>
      <c r="J53" s="53" cm="1">
        <f t="array" ref="J53">_xlfn.LET(
_xlpm.opts,{"A","B","C","D","E"},
_xlpm.ans,UPPER(SUBSTITUTE(SUBSTITUTE(SUBSTITUTE(SUBSTITUTE(SUBSTITUTE(TRIM($B53),"　","")," ",""),",",""),"，",""),"、","")),
_xlpm.resp,UPPER(SUBSTITUTE(SUBSTITUTE(SUBSTITUTE(SUBSTITUTE(SUBSTITUTE(TRIM(E53),"　","")," ",""),",",""),"，",""),"、","")),
IF(_xlpm.resp="",99,
SUMPRODUCT(--(ISNUMBER(SEARCH(_xlpm.opts,_xlpm.ans))&lt;&gt;ISNUMBER(SEARCH(_xlpm.opts,_xlpm.resp)))))
)</f>
        <v>1</v>
      </c>
      <c r="K53" s="53" cm="1">
        <f t="array" ref="K53">_xlfn.LET(
_xlpm.opts,{"A","B","C","D","E"},
_xlpm.ans,UPPER(SUBSTITUTE(SUBSTITUTE(SUBSTITUTE(SUBSTITUTE(SUBSTITUTE(TRIM($B53),"　","")," ",""),",",""),"，",""),"、","")),
_xlpm.resp,UPPER(SUBSTITUTE(SUBSTITUTE(SUBSTITUTE(SUBSTITUTE(SUBSTITUTE(TRIM(F53),"　","")," ",""),",",""),"，",""),"、","")),
IF(_xlpm.resp="",99,
SUMPRODUCT(--(ISNUMBER(SEARCH(_xlpm.opts,_xlpm.ans))&lt;&gt;ISNUMBER(SEARCH(_xlpm.opts,_xlpm.resp)))))
)</f>
        <v>0</v>
      </c>
      <c r="L53" s="53" cm="1">
        <f t="array" ref="L53">_xlfn.LET(
_xlpm.opts,{"A","B","C","D","E"},
_xlpm.ans,UPPER(SUBSTITUTE(SUBSTITUTE(SUBSTITUTE(SUBSTITUTE(SUBSTITUTE(TRIM($B53),"　","")," ",""),",",""),"，",""),"、","")),
_xlpm.resp,UPPER(SUBSTITUTE(SUBSTITUTE(SUBSTITUTE(SUBSTITUTE(SUBSTITUTE(TRIM(G53),"　","")," ",""),",",""),"，",""),"、","")),
IF(_xlpm.resp="",99,
SUMPRODUCT(--(ISNUMBER(SEARCH(_xlpm.opts,_xlpm.ans))&lt;&gt;ISNUMBER(SEARCH(_xlpm.opts,_xlpm.resp)))))
)</f>
        <v>0</v>
      </c>
      <c r="M53" s="54">
        <f t="shared" si="69"/>
        <v>3</v>
      </c>
      <c r="N53" s="54">
        <f t="shared" si="68"/>
        <v>3</v>
      </c>
      <c r="O53" s="54">
        <f t="shared" si="68"/>
        <v>1.8</v>
      </c>
      <c r="P53" s="54">
        <f t="shared" si="68"/>
        <v>3</v>
      </c>
      <c r="Q53" s="54">
        <f t="shared" si="68"/>
        <v>3</v>
      </c>
      <c r="R53" s="29"/>
      <c r="S53" s="11"/>
      <c r="T53" s="11"/>
      <c r="U53" s="11"/>
      <c r="V53" s="11"/>
      <c r="W53" s="11"/>
      <c r="X53" s="11"/>
      <c r="Y53" s="11"/>
      <c r="Z53" s="11"/>
      <c r="AA53" s="11"/>
    </row>
    <row r="54" spans="1:27" ht="15.75" customHeight="1">
      <c r="A54" s="24"/>
      <c r="B54" s="25"/>
      <c r="C54" s="26"/>
      <c r="D54" s="26"/>
      <c r="E54" s="26"/>
      <c r="F54" s="26"/>
      <c r="G54" s="26"/>
      <c r="H54" s="26"/>
      <c r="I54" s="26"/>
      <c r="J54" s="26"/>
      <c r="K54" s="26"/>
      <c r="L54" s="26"/>
      <c r="M54" s="27"/>
      <c r="N54" s="27"/>
      <c r="O54" s="27"/>
      <c r="P54" s="27"/>
      <c r="Q54" s="27"/>
      <c r="R54" s="29"/>
      <c r="S54" s="11"/>
      <c r="T54" s="11"/>
      <c r="U54" s="11"/>
      <c r="V54" s="11"/>
      <c r="W54" s="11"/>
      <c r="X54" s="11"/>
      <c r="Y54" s="11"/>
      <c r="Z54" s="11"/>
      <c r="AA54" s="11"/>
    </row>
    <row r="55" spans="1:27" ht="15.75" customHeight="1">
      <c r="A55" s="24"/>
      <c r="B55" s="25"/>
      <c r="C55" s="26"/>
      <c r="D55" s="26"/>
      <c r="E55" s="26"/>
      <c r="F55" s="26"/>
      <c r="G55" s="26"/>
      <c r="H55" s="26"/>
      <c r="I55" s="26"/>
      <c r="J55" s="26"/>
      <c r="K55" s="26"/>
      <c r="L55" s="26"/>
      <c r="M55" s="27"/>
      <c r="N55" s="27"/>
      <c r="O55" s="27"/>
      <c r="P55" s="27"/>
      <c r="Q55" s="27"/>
      <c r="R55" s="29"/>
      <c r="S55" s="11"/>
      <c r="T55" s="11"/>
      <c r="U55" s="11"/>
      <c r="V55" s="11"/>
      <c r="W55" s="11"/>
      <c r="X55" s="11"/>
      <c r="Y55" s="11"/>
      <c r="Z55" s="11"/>
      <c r="AA55" s="11"/>
    </row>
    <row r="56" spans="1:27" ht="15.75" customHeight="1">
      <c r="A56" s="24"/>
      <c r="B56" s="25"/>
      <c r="C56" s="26"/>
      <c r="D56" s="26"/>
      <c r="E56" s="26"/>
      <c r="F56" s="26"/>
      <c r="G56" s="26"/>
      <c r="H56" s="26"/>
      <c r="I56" s="26"/>
      <c r="J56" s="26"/>
      <c r="K56" s="26"/>
      <c r="L56" s="26"/>
      <c r="M56" s="27"/>
      <c r="N56" s="27"/>
      <c r="O56" s="27"/>
      <c r="P56" s="27"/>
      <c r="Q56" s="27"/>
      <c r="R56" s="29"/>
      <c r="S56" s="11"/>
      <c r="T56" s="11"/>
      <c r="U56" s="11"/>
      <c r="V56" s="11"/>
      <c r="W56" s="11"/>
      <c r="X56" s="11"/>
      <c r="Y56" s="11"/>
      <c r="Z56" s="11"/>
      <c r="AA56" s="11"/>
    </row>
    <row r="57" spans="1:27" ht="15.75" customHeight="1">
      <c r="A57" s="24"/>
      <c r="B57" s="25"/>
      <c r="C57" s="26"/>
      <c r="D57" s="26"/>
      <c r="E57" s="26"/>
      <c r="F57" s="26"/>
      <c r="G57" s="26"/>
      <c r="H57" s="26"/>
      <c r="I57" s="26"/>
      <c r="J57" s="26"/>
      <c r="K57" s="26"/>
      <c r="L57" s="26"/>
      <c r="M57" s="27"/>
      <c r="N57" s="27"/>
      <c r="O57" s="27"/>
      <c r="P57" s="27"/>
      <c r="Q57" s="27"/>
      <c r="R57" s="29"/>
      <c r="S57" s="11"/>
      <c r="T57" s="11"/>
      <c r="U57" s="11"/>
      <c r="V57" s="11"/>
      <c r="W57" s="11"/>
      <c r="X57" s="11"/>
      <c r="Y57" s="11"/>
      <c r="Z57" s="11"/>
      <c r="AA57" s="11"/>
    </row>
    <row r="58" spans="1:27" ht="15.75" customHeight="1">
      <c r="A58" s="24"/>
      <c r="B58" s="25"/>
      <c r="C58" s="26"/>
      <c r="D58" s="26"/>
      <c r="E58" s="26"/>
      <c r="F58" s="26"/>
      <c r="G58" s="26"/>
      <c r="H58" s="26"/>
      <c r="I58" s="26"/>
      <c r="J58" s="26"/>
      <c r="K58" s="26"/>
      <c r="L58" s="26"/>
      <c r="M58" s="27"/>
      <c r="N58" s="27"/>
      <c r="O58" s="27"/>
      <c r="P58" s="27"/>
      <c r="Q58" s="27"/>
      <c r="R58" s="29"/>
      <c r="S58" s="11"/>
      <c r="T58" s="11"/>
      <c r="U58" s="11"/>
      <c r="V58" s="11"/>
      <c r="W58" s="11"/>
      <c r="X58" s="11"/>
      <c r="Y58" s="11"/>
      <c r="Z58" s="11"/>
      <c r="AA58" s="11"/>
    </row>
    <row r="59" spans="1:27" ht="15.75" customHeight="1">
      <c r="A59" s="24"/>
      <c r="B59" s="25"/>
      <c r="C59" s="26"/>
      <c r="D59" s="26"/>
      <c r="E59" s="26"/>
      <c r="F59" s="26"/>
      <c r="G59" s="26"/>
      <c r="H59" s="26"/>
      <c r="I59" s="26"/>
      <c r="J59" s="26"/>
      <c r="K59" s="26"/>
      <c r="L59" s="26"/>
      <c r="M59" s="27"/>
      <c r="N59" s="27"/>
      <c r="O59" s="27"/>
      <c r="P59" s="27"/>
      <c r="Q59" s="27"/>
      <c r="R59" s="29"/>
      <c r="S59" s="11"/>
      <c r="T59" s="11"/>
      <c r="U59" s="11"/>
      <c r="V59" s="11"/>
      <c r="W59" s="11"/>
      <c r="X59" s="11"/>
      <c r="Y59" s="11"/>
      <c r="Z59" s="11"/>
      <c r="AA59" s="11"/>
    </row>
    <row r="60" spans="1:27" ht="15.75" customHeight="1">
      <c r="A60" s="24"/>
      <c r="B60" s="25"/>
      <c r="C60" s="26"/>
      <c r="D60" s="26"/>
      <c r="E60" s="26"/>
      <c r="F60" s="26"/>
      <c r="G60" s="26"/>
      <c r="H60" s="26"/>
      <c r="I60" s="26"/>
      <c r="J60" s="26"/>
      <c r="K60" s="26"/>
      <c r="L60" s="26"/>
      <c r="M60" s="27"/>
      <c r="N60" s="27"/>
      <c r="O60" s="27"/>
      <c r="P60" s="27"/>
      <c r="Q60" s="27"/>
      <c r="R60" s="29"/>
      <c r="S60" s="11"/>
      <c r="T60" s="11"/>
      <c r="U60" s="11"/>
      <c r="V60" s="11"/>
      <c r="W60" s="11"/>
      <c r="X60" s="11"/>
      <c r="Y60" s="11"/>
      <c r="Z60" s="11"/>
      <c r="AA60" s="11"/>
    </row>
    <row r="61" spans="1:27" ht="15.75" customHeight="1">
      <c r="A61" s="24"/>
      <c r="B61" s="25"/>
      <c r="C61" s="26"/>
      <c r="D61" s="26"/>
      <c r="E61" s="26"/>
      <c r="F61" s="26"/>
      <c r="G61" s="26"/>
      <c r="H61" s="26"/>
      <c r="I61" s="26"/>
      <c r="J61" s="26"/>
      <c r="K61" s="26"/>
      <c r="L61" s="26"/>
      <c r="M61" s="27"/>
      <c r="N61" s="27"/>
      <c r="O61" s="27"/>
      <c r="P61" s="27"/>
      <c r="Q61" s="27"/>
      <c r="R61" s="29"/>
      <c r="S61" s="11"/>
      <c r="T61" s="11"/>
      <c r="U61" s="11"/>
      <c r="V61" s="11"/>
      <c r="W61" s="11"/>
      <c r="X61" s="11"/>
      <c r="Y61" s="11"/>
      <c r="Z61" s="11"/>
      <c r="AA61" s="11"/>
    </row>
    <row r="62" spans="1:27" ht="15.75" customHeight="1">
      <c r="A62" s="24"/>
      <c r="B62" s="25"/>
      <c r="C62" s="26"/>
      <c r="D62" s="26"/>
      <c r="E62" s="26"/>
      <c r="F62" s="26"/>
      <c r="G62" s="26"/>
      <c r="H62" s="26"/>
      <c r="I62" s="26"/>
      <c r="J62" s="26"/>
      <c r="K62" s="26"/>
      <c r="L62" s="26"/>
      <c r="M62" s="27"/>
      <c r="N62" s="27"/>
      <c r="O62" s="27"/>
      <c r="P62" s="27"/>
      <c r="Q62" s="27"/>
      <c r="R62" s="29"/>
      <c r="S62" s="11"/>
      <c r="T62" s="11"/>
      <c r="U62" s="11"/>
      <c r="V62" s="11"/>
      <c r="W62" s="11"/>
      <c r="X62" s="11"/>
      <c r="Y62" s="11"/>
      <c r="Z62" s="11"/>
      <c r="AA62" s="11"/>
    </row>
    <row r="63" spans="1:27" ht="15.75" customHeight="1">
      <c r="A63" s="24"/>
      <c r="B63" s="25"/>
      <c r="C63" s="26"/>
      <c r="D63" s="26"/>
      <c r="E63" s="26"/>
      <c r="F63" s="26"/>
      <c r="G63" s="26"/>
      <c r="H63" s="26"/>
      <c r="I63" s="26"/>
      <c r="J63" s="26"/>
      <c r="K63" s="26"/>
      <c r="L63" s="26"/>
      <c r="M63" s="27"/>
      <c r="N63" s="27"/>
      <c r="O63" s="27"/>
      <c r="P63" s="27"/>
      <c r="Q63" s="27"/>
      <c r="R63" s="29"/>
      <c r="S63" s="11"/>
      <c r="T63" s="11"/>
      <c r="U63" s="11"/>
      <c r="V63" s="11"/>
      <c r="W63" s="11"/>
      <c r="X63" s="11"/>
      <c r="Y63" s="11"/>
      <c r="Z63" s="11"/>
      <c r="AA63" s="11"/>
    </row>
    <row r="64" spans="1:27" ht="15.75" customHeight="1">
      <c r="A64" s="24"/>
      <c r="B64" s="25"/>
      <c r="C64" s="26"/>
      <c r="D64" s="26"/>
      <c r="E64" s="26"/>
      <c r="F64" s="26"/>
      <c r="G64" s="26"/>
      <c r="H64" s="26"/>
      <c r="I64" s="26"/>
      <c r="J64" s="26"/>
      <c r="K64" s="26"/>
      <c r="L64" s="26"/>
      <c r="M64" s="27"/>
      <c r="N64" s="27"/>
      <c r="O64" s="27"/>
      <c r="P64" s="27"/>
      <c r="Q64" s="27"/>
      <c r="R64" s="29"/>
      <c r="S64" s="11"/>
      <c r="T64" s="11"/>
      <c r="U64" s="11"/>
      <c r="V64" s="11"/>
      <c r="W64" s="11"/>
      <c r="X64" s="11"/>
      <c r="Y64" s="11"/>
      <c r="Z64" s="11"/>
      <c r="AA64" s="11"/>
    </row>
    <row r="65" spans="1:27" ht="15.75" customHeight="1">
      <c r="A65" s="24"/>
      <c r="B65" s="25"/>
      <c r="C65" s="26"/>
      <c r="D65" s="26"/>
      <c r="E65" s="26"/>
      <c r="F65" s="26"/>
      <c r="G65" s="26"/>
      <c r="H65" s="26"/>
      <c r="I65" s="26"/>
      <c r="J65" s="26"/>
      <c r="K65" s="26"/>
      <c r="L65" s="26"/>
      <c r="M65" s="27"/>
      <c r="N65" s="27"/>
      <c r="O65" s="27"/>
      <c r="P65" s="27"/>
      <c r="Q65" s="27"/>
      <c r="R65" s="29"/>
      <c r="S65" s="11"/>
      <c r="T65" s="11"/>
      <c r="U65" s="11"/>
      <c r="V65" s="11"/>
      <c r="W65" s="11"/>
      <c r="X65" s="11"/>
      <c r="Y65" s="11"/>
      <c r="Z65" s="11"/>
      <c r="AA65" s="11"/>
    </row>
    <row r="66" spans="1:27" ht="15.75" customHeight="1">
      <c r="A66" s="24"/>
      <c r="B66" s="25"/>
      <c r="C66" s="26"/>
      <c r="D66" s="26"/>
      <c r="E66" s="26"/>
      <c r="F66" s="26"/>
      <c r="G66" s="26"/>
      <c r="H66" s="26"/>
      <c r="I66" s="26"/>
      <c r="J66" s="26"/>
      <c r="K66" s="26"/>
      <c r="L66" s="26"/>
      <c r="M66" s="27"/>
      <c r="N66" s="27"/>
      <c r="O66" s="27"/>
      <c r="P66" s="27"/>
      <c r="Q66" s="27"/>
      <c r="R66" s="29"/>
      <c r="S66" s="11"/>
      <c r="T66" s="11"/>
      <c r="U66" s="11"/>
      <c r="V66" s="11"/>
      <c r="W66" s="11"/>
      <c r="X66" s="11"/>
      <c r="Y66" s="11"/>
      <c r="Z66" s="11"/>
      <c r="AA66" s="11"/>
    </row>
    <row r="67" spans="1:27" ht="15.75" customHeight="1">
      <c r="A67" s="24"/>
      <c r="B67" s="25"/>
      <c r="C67" s="25"/>
      <c r="D67" s="25"/>
      <c r="E67" s="25"/>
      <c r="F67" s="25"/>
      <c r="G67" s="25"/>
      <c r="H67" s="25"/>
      <c r="I67" s="25"/>
      <c r="J67" s="25"/>
      <c r="K67" s="25"/>
      <c r="L67" s="25"/>
      <c r="M67" s="27"/>
      <c r="N67" s="27"/>
      <c r="O67" s="27"/>
      <c r="P67" s="27"/>
      <c r="Q67" s="27"/>
      <c r="R67" s="29"/>
      <c r="S67" s="11"/>
      <c r="T67" s="11"/>
      <c r="U67" s="11"/>
      <c r="V67" s="11"/>
      <c r="W67" s="11"/>
      <c r="X67" s="11"/>
      <c r="Y67" s="11"/>
      <c r="Z67" s="11"/>
      <c r="AA67" s="11"/>
    </row>
    <row r="68" spans="1:27" ht="15.75" customHeight="1">
      <c r="A68" s="24"/>
      <c r="B68" s="25"/>
      <c r="C68" s="26"/>
      <c r="D68" s="26"/>
      <c r="E68" s="26"/>
      <c r="F68" s="26"/>
      <c r="G68" s="26"/>
      <c r="H68" s="26"/>
      <c r="I68" s="26"/>
      <c r="J68" s="26"/>
      <c r="K68" s="26"/>
      <c r="L68" s="26"/>
      <c r="M68" s="13"/>
      <c r="N68" s="13"/>
      <c r="O68" s="13"/>
      <c r="P68" s="26"/>
      <c r="Q68" s="26"/>
      <c r="R68" s="29"/>
      <c r="S68" s="11"/>
      <c r="T68" s="11"/>
      <c r="U68" s="11"/>
      <c r="V68" s="11"/>
      <c r="W68" s="11"/>
      <c r="X68" s="11"/>
      <c r="Y68" s="11"/>
      <c r="Z68" s="11"/>
      <c r="AA68" s="11"/>
    </row>
    <row r="69" spans="1:27" ht="15.75" customHeight="1">
      <c r="A69" s="24"/>
      <c r="B69" s="25"/>
      <c r="C69" s="26"/>
      <c r="D69" s="26"/>
      <c r="E69" s="26"/>
      <c r="F69" s="26"/>
      <c r="G69" s="26"/>
      <c r="H69" s="26"/>
      <c r="I69" s="26"/>
      <c r="J69" s="26"/>
      <c r="K69" s="26"/>
      <c r="L69" s="26"/>
      <c r="M69" s="29"/>
      <c r="N69" s="29"/>
      <c r="O69" s="29"/>
      <c r="P69" s="29"/>
      <c r="Q69" s="29"/>
      <c r="R69" s="29"/>
      <c r="S69" s="11"/>
      <c r="T69" s="11"/>
      <c r="U69" s="11"/>
      <c r="V69" s="11"/>
      <c r="W69" s="11"/>
      <c r="X69" s="11"/>
      <c r="Y69" s="11"/>
      <c r="Z69" s="11"/>
      <c r="AA69" s="11"/>
    </row>
    <row r="70" spans="1:27" ht="15.75" customHeight="1">
      <c r="A70" s="24"/>
      <c r="B70" s="25"/>
      <c r="C70" s="26"/>
      <c r="D70" s="26"/>
      <c r="E70" s="26"/>
      <c r="F70" s="26"/>
      <c r="G70" s="26"/>
      <c r="H70" s="26"/>
      <c r="I70" s="26"/>
      <c r="J70" s="26"/>
      <c r="K70" s="26"/>
      <c r="L70" s="26"/>
      <c r="M70" s="29"/>
      <c r="N70" s="29"/>
      <c r="O70" s="29"/>
      <c r="P70" s="29"/>
      <c r="Q70" s="29"/>
      <c r="R70" s="29"/>
      <c r="S70" s="11"/>
      <c r="T70" s="11"/>
      <c r="U70" s="11"/>
      <c r="V70" s="11"/>
      <c r="W70" s="11"/>
      <c r="X70" s="11"/>
      <c r="Y70" s="11"/>
      <c r="Z70" s="11"/>
      <c r="AA70" s="11"/>
    </row>
    <row r="71" spans="1:27" ht="15.75" customHeight="1">
      <c r="A71" s="24"/>
      <c r="B71" s="25"/>
      <c r="C71" s="26"/>
      <c r="D71" s="26"/>
      <c r="E71" s="26"/>
      <c r="F71" s="26"/>
      <c r="G71" s="26"/>
      <c r="H71" s="26"/>
      <c r="I71" s="26"/>
      <c r="J71" s="26"/>
      <c r="K71" s="26"/>
      <c r="L71" s="26"/>
      <c r="M71" s="29"/>
      <c r="N71" s="29"/>
      <c r="O71" s="29"/>
      <c r="P71" s="29"/>
      <c r="Q71" s="29"/>
      <c r="R71" s="29"/>
      <c r="S71" s="11"/>
      <c r="T71" s="11"/>
      <c r="U71" s="11"/>
      <c r="V71" s="11"/>
      <c r="W71" s="11"/>
      <c r="X71" s="11"/>
      <c r="Y71" s="11"/>
      <c r="Z71" s="11"/>
      <c r="AA71" s="11"/>
    </row>
    <row r="72" spans="1:27" ht="15.75" customHeight="1">
      <c r="A72" s="24"/>
      <c r="B72" s="25"/>
      <c r="C72" s="26"/>
      <c r="D72" s="26"/>
      <c r="E72" s="26"/>
      <c r="F72" s="26"/>
      <c r="G72" s="26"/>
      <c r="H72" s="26"/>
      <c r="I72" s="26"/>
      <c r="J72" s="26"/>
      <c r="K72" s="26"/>
      <c r="L72" s="26"/>
      <c r="M72" s="29"/>
      <c r="N72" s="29"/>
      <c r="O72" s="29"/>
      <c r="P72" s="29"/>
      <c r="Q72" s="29"/>
      <c r="R72" s="29"/>
      <c r="S72" s="11"/>
      <c r="T72" s="11"/>
      <c r="U72" s="11"/>
      <c r="V72" s="11"/>
      <c r="W72" s="11"/>
      <c r="X72" s="11"/>
      <c r="Y72" s="11"/>
      <c r="Z72" s="11"/>
      <c r="AA72" s="11"/>
    </row>
    <row r="73" spans="1:27" ht="15.75" customHeight="1">
      <c r="A73" s="24"/>
      <c r="B73" s="25"/>
      <c r="C73" s="26"/>
      <c r="D73" s="26"/>
      <c r="E73" s="26"/>
      <c r="F73" s="26"/>
      <c r="G73" s="26"/>
      <c r="H73" s="26"/>
      <c r="I73" s="26"/>
      <c r="J73" s="26"/>
      <c r="K73" s="26"/>
      <c r="L73" s="26"/>
      <c r="M73" s="29"/>
      <c r="N73" s="29"/>
      <c r="O73" s="29"/>
      <c r="P73" s="29"/>
      <c r="Q73" s="29"/>
      <c r="R73" s="29"/>
      <c r="S73" s="11"/>
      <c r="T73" s="11"/>
      <c r="U73" s="11"/>
      <c r="V73" s="11"/>
      <c r="W73" s="11"/>
      <c r="X73" s="11"/>
      <c r="Y73" s="11"/>
      <c r="Z73" s="11"/>
      <c r="AA73" s="11"/>
    </row>
    <row r="74" spans="1:27" ht="15.75" customHeight="1">
      <c r="A74" s="24"/>
      <c r="B74" s="25"/>
      <c r="C74" s="26"/>
      <c r="D74" s="26"/>
      <c r="E74" s="26"/>
      <c r="F74" s="26"/>
      <c r="G74" s="26"/>
      <c r="H74" s="26"/>
      <c r="I74" s="26"/>
      <c r="J74" s="26"/>
      <c r="K74" s="26"/>
      <c r="L74" s="26"/>
      <c r="M74" s="29"/>
      <c r="N74" s="29"/>
      <c r="O74" s="29"/>
      <c r="P74" s="29"/>
      <c r="Q74" s="29"/>
      <c r="R74" s="29"/>
      <c r="S74" s="11"/>
      <c r="T74" s="11"/>
      <c r="U74" s="11"/>
      <c r="V74" s="11"/>
      <c r="W74" s="11"/>
      <c r="X74" s="11"/>
      <c r="Y74" s="11"/>
      <c r="Z74" s="11"/>
      <c r="AA74" s="11"/>
    </row>
    <row r="75" spans="1:27" ht="15.75" customHeight="1">
      <c r="A75" s="24"/>
      <c r="B75" s="25"/>
      <c r="C75" s="26"/>
      <c r="D75" s="26"/>
      <c r="E75" s="26"/>
      <c r="F75" s="26"/>
      <c r="G75" s="26"/>
      <c r="H75" s="26"/>
      <c r="I75" s="26"/>
      <c r="J75" s="26"/>
      <c r="K75" s="26"/>
      <c r="L75" s="26"/>
      <c r="M75" s="29"/>
      <c r="N75" s="29"/>
      <c r="O75" s="29"/>
      <c r="P75" s="29"/>
      <c r="Q75" s="29"/>
      <c r="R75" s="29"/>
      <c r="S75" s="11"/>
      <c r="T75" s="11"/>
      <c r="U75" s="11"/>
      <c r="V75" s="11"/>
      <c r="W75" s="11"/>
      <c r="X75" s="11"/>
      <c r="Y75" s="11"/>
      <c r="Z75" s="11"/>
      <c r="AA75" s="11"/>
    </row>
    <row r="76" spans="1:27" ht="15.75" customHeight="1">
      <c r="A76" s="24"/>
      <c r="B76" s="25"/>
      <c r="C76" s="26"/>
      <c r="D76" s="26"/>
      <c r="E76" s="26"/>
      <c r="F76" s="26"/>
      <c r="G76" s="26"/>
      <c r="H76" s="26"/>
      <c r="I76" s="26"/>
      <c r="J76" s="26"/>
      <c r="K76" s="26"/>
      <c r="L76" s="26"/>
      <c r="M76" s="29"/>
      <c r="N76" s="29"/>
      <c r="O76" s="29"/>
      <c r="P76" s="29"/>
      <c r="Q76" s="29"/>
      <c r="R76" s="29"/>
      <c r="S76" s="11"/>
      <c r="T76" s="11"/>
      <c r="U76" s="11"/>
      <c r="V76" s="11"/>
      <c r="W76" s="11"/>
      <c r="X76" s="11"/>
      <c r="Y76" s="11"/>
      <c r="Z76" s="11"/>
      <c r="AA76" s="11"/>
    </row>
    <row r="77" spans="1:27" ht="15.75" customHeight="1">
      <c r="A77" s="42"/>
      <c r="B77" s="25"/>
      <c r="C77" s="26"/>
      <c r="D77" s="26"/>
      <c r="E77" s="26"/>
      <c r="F77" s="26"/>
      <c r="G77" s="26"/>
      <c r="H77" s="26"/>
      <c r="I77" s="26"/>
      <c r="J77" s="26"/>
      <c r="K77" s="26"/>
      <c r="L77" s="26"/>
      <c r="M77" s="29"/>
      <c r="N77" s="29"/>
      <c r="O77" s="29"/>
      <c r="P77" s="29"/>
      <c r="Q77" s="29"/>
      <c r="R77" s="29"/>
      <c r="S77" s="11"/>
      <c r="T77" s="11"/>
      <c r="U77" s="11"/>
      <c r="V77" s="11"/>
      <c r="W77" s="11"/>
      <c r="X77" s="11"/>
      <c r="Y77" s="11"/>
      <c r="Z77" s="11"/>
      <c r="AA77" s="11"/>
    </row>
    <row r="78" spans="1:27" ht="15.75" customHeight="1">
      <c r="A78" s="24"/>
      <c r="B78" s="25"/>
      <c r="C78" s="26"/>
      <c r="D78" s="26"/>
      <c r="E78" s="26"/>
      <c r="F78" s="26"/>
      <c r="G78" s="26"/>
      <c r="H78" s="26"/>
      <c r="I78" s="26"/>
      <c r="J78" s="26"/>
      <c r="K78" s="26"/>
      <c r="L78" s="26"/>
      <c r="M78" s="29"/>
      <c r="N78" s="29"/>
      <c r="O78" s="29"/>
      <c r="P78" s="29"/>
      <c r="Q78" s="29"/>
      <c r="R78" s="29"/>
      <c r="S78" s="11"/>
      <c r="T78" s="11"/>
      <c r="U78" s="11"/>
      <c r="V78" s="11"/>
      <c r="W78" s="11"/>
      <c r="X78" s="11"/>
      <c r="Y78" s="11"/>
      <c r="Z78" s="11"/>
      <c r="AA78" s="11"/>
    </row>
    <row r="79" spans="1:27" ht="15.75" customHeight="1">
      <c r="A79" s="24"/>
      <c r="B79" s="25"/>
      <c r="C79" s="26"/>
      <c r="D79" s="26"/>
      <c r="E79" s="26"/>
      <c r="F79" s="26"/>
      <c r="G79" s="26"/>
      <c r="H79" s="26"/>
      <c r="I79" s="26"/>
      <c r="J79" s="26"/>
      <c r="K79" s="26"/>
      <c r="L79" s="26"/>
      <c r="M79" s="29"/>
      <c r="N79" s="29"/>
      <c r="O79" s="29"/>
      <c r="P79" s="29"/>
      <c r="Q79" s="29"/>
      <c r="R79" s="29"/>
      <c r="S79" s="11"/>
      <c r="T79" s="11"/>
      <c r="U79" s="11"/>
      <c r="V79" s="11"/>
      <c r="W79" s="11"/>
      <c r="X79" s="11"/>
      <c r="Y79" s="11"/>
      <c r="Z79" s="11"/>
      <c r="AA79" s="11"/>
    </row>
    <row r="80" spans="1:27" ht="15.75" customHeight="1">
      <c r="A80" s="24"/>
      <c r="B80" s="25"/>
      <c r="C80" s="26"/>
      <c r="D80" s="26"/>
      <c r="E80" s="26"/>
      <c r="F80" s="26"/>
      <c r="G80" s="26"/>
      <c r="H80" s="26"/>
      <c r="I80" s="26"/>
      <c r="J80" s="26"/>
      <c r="K80" s="26"/>
      <c r="L80" s="26"/>
      <c r="M80" s="29"/>
      <c r="N80" s="29"/>
      <c r="O80" s="29"/>
      <c r="P80" s="29"/>
      <c r="Q80" s="29"/>
      <c r="R80" s="29"/>
      <c r="S80" s="11"/>
      <c r="T80" s="11"/>
      <c r="U80" s="11"/>
      <c r="V80" s="11"/>
      <c r="W80" s="11"/>
      <c r="X80" s="11"/>
      <c r="Y80" s="11"/>
      <c r="Z80" s="11"/>
      <c r="AA80" s="11"/>
    </row>
    <row r="81" spans="1:27" ht="15.75" customHeight="1">
      <c r="A81" s="41"/>
      <c r="B81" s="25"/>
      <c r="C81" s="26"/>
      <c r="D81" s="26"/>
      <c r="E81" s="26"/>
      <c r="F81" s="26"/>
      <c r="G81" s="26"/>
      <c r="H81" s="26"/>
      <c r="I81" s="26"/>
      <c r="J81" s="26"/>
      <c r="K81" s="26"/>
      <c r="L81" s="26"/>
      <c r="M81" s="29"/>
      <c r="N81" s="29"/>
      <c r="O81" s="29"/>
      <c r="P81" s="29"/>
      <c r="Q81" s="29"/>
      <c r="R81" s="29"/>
      <c r="S81" s="11"/>
      <c r="T81" s="11"/>
      <c r="U81" s="11"/>
      <c r="V81" s="11"/>
      <c r="W81" s="11"/>
      <c r="X81" s="11"/>
      <c r="Y81" s="11"/>
      <c r="Z81" s="11"/>
      <c r="AA81" s="11"/>
    </row>
    <row r="82" spans="1:27" ht="15.75" customHeight="1">
      <c r="A82" s="41"/>
      <c r="B82" s="25"/>
      <c r="C82" s="26"/>
      <c r="D82" s="26"/>
      <c r="E82" s="26"/>
      <c r="F82" s="26"/>
      <c r="G82" s="26"/>
      <c r="H82" s="26"/>
      <c r="I82" s="26"/>
      <c r="J82" s="26"/>
      <c r="K82" s="26"/>
      <c r="L82" s="26"/>
      <c r="M82" s="29"/>
      <c r="N82" s="29"/>
      <c r="O82" s="29"/>
      <c r="P82" s="29"/>
      <c r="Q82" s="29"/>
      <c r="R82" s="29"/>
      <c r="S82" s="11"/>
      <c r="T82" s="11"/>
      <c r="U82" s="11"/>
      <c r="V82" s="11"/>
      <c r="W82" s="11"/>
      <c r="X82" s="11"/>
      <c r="Y82" s="11"/>
      <c r="Z82" s="11"/>
      <c r="AA82" s="11"/>
    </row>
    <row r="83" spans="1:27" ht="15.75" customHeight="1">
      <c r="A83" s="41"/>
      <c r="B83" s="25"/>
      <c r="C83" s="26"/>
      <c r="D83" s="26"/>
      <c r="E83" s="26"/>
      <c r="F83" s="26"/>
      <c r="G83" s="26"/>
      <c r="H83" s="26"/>
      <c r="I83" s="26"/>
      <c r="J83" s="26"/>
      <c r="K83" s="26"/>
      <c r="L83" s="26"/>
      <c r="M83" s="29"/>
      <c r="N83" s="29"/>
      <c r="O83" s="29"/>
      <c r="P83" s="29"/>
      <c r="Q83" s="29"/>
      <c r="R83" s="29"/>
      <c r="S83" s="11"/>
      <c r="T83" s="11"/>
      <c r="U83" s="11"/>
      <c r="V83" s="11"/>
      <c r="W83" s="11"/>
      <c r="X83" s="11"/>
      <c r="Y83" s="11"/>
      <c r="Z83" s="11"/>
      <c r="AA83" s="11"/>
    </row>
    <row r="84" spans="1:27" ht="15.75" customHeight="1">
      <c r="A84" s="41"/>
      <c r="B84" s="25"/>
      <c r="C84" s="26"/>
      <c r="D84" s="26"/>
      <c r="E84" s="26"/>
      <c r="F84" s="26"/>
      <c r="G84" s="26"/>
      <c r="H84" s="26"/>
      <c r="I84" s="26"/>
      <c r="J84" s="26"/>
      <c r="K84" s="26"/>
      <c r="L84" s="26"/>
      <c r="M84" s="29"/>
      <c r="N84" s="29"/>
      <c r="O84" s="29"/>
      <c r="P84" s="29"/>
      <c r="Q84" s="29"/>
      <c r="R84" s="29"/>
      <c r="S84" s="11"/>
      <c r="T84" s="11"/>
      <c r="U84" s="11"/>
      <c r="V84" s="11"/>
      <c r="W84" s="11"/>
      <c r="X84" s="11"/>
      <c r="Y84" s="11"/>
      <c r="Z84" s="11"/>
      <c r="AA84" s="11"/>
    </row>
    <row r="85" spans="1:27" ht="15.75" customHeight="1">
      <c r="A85" s="41"/>
      <c r="B85" s="25"/>
      <c r="C85" s="26"/>
      <c r="D85" s="26"/>
      <c r="E85" s="26"/>
      <c r="F85" s="26"/>
      <c r="G85" s="26"/>
      <c r="H85" s="26"/>
      <c r="I85" s="26"/>
      <c r="J85" s="26"/>
      <c r="K85" s="26"/>
      <c r="L85" s="26"/>
      <c r="M85" s="29"/>
      <c r="N85" s="29"/>
      <c r="O85" s="29"/>
      <c r="P85" s="29"/>
      <c r="Q85" s="29"/>
      <c r="R85" s="29"/>
      <c r="S85" s="11"/>
      <c r="T85" s="11"/>
      <c r="U85" s="11"/>
      <c r="V85" s="11"/>
      <c r="W85" s="11"/>
      <c r="X85" s="11"/>
      <c r="Y85" s="11"/>
      <c r="Z85" s="11"/>
      <c r="AA85" s="11"/>
    </row>
    <row r="86" spans="1:27" ht="15.75" customHeight="1">
      <c r="A86" s="41"/>
      <c r="B86" s="25"/>
      <c r="C86" s="26"/>
      <c r="D86" s="26"/>
      <c r="E86" s="26"/>
      <c r="F86" s="26"/>
      <c r="G86" s="26"/>
      <c r="H86" s="26"/>
      <c r="I86" s="26"/>
      <c r="J86" s="26"/>
      <c r="K86" s="26"/>
      <c r="L86" s="26"/>
      <c r="M86" s="29"/>
      <c r="N86" s="29"/>
      <c r="O86" s="29"/>
      <c r="P86" s="29"/>
      <c r="Q86" s="29"/>
      <c r="R86" s="29"/>
      <c r="S86" s="11"/>
      <c r="T86" s="11"/>
      <c r="U86" s="11"/>
      <c r="V86" s="11"/>
      <c r="W86" s="11"/>
      <c r="X86" s="11"/>
      <c r="Y86" s="11"/>
      <c r="Z86" s="11"/>
      <c r="AA86" s="11"/>
    </row>
    <row r="87" spans="1:27" ht="15.75" customHeight="1">
      <c r="A87" s="41"/>
      <c r="B87" s="25"/>
      <c r="C87" s="26"/>
      <c r="D87" s="26"/>
      <c r="E87" s="26"/>
      <c r="F87" s="26"/>
      <c r="G87" s="26"/>
      <c r="H87" s="26"/>
      <c r="I87" s="26"/>
      <c r="J87" s="26"/>
      <c r="K87" s="26"/>
      <c r="L87" s="26"/>
      <c r="M87" s="29"/>
      <c r="N87" s="29"/>
      <c r="O87" s="29"/>
      <c r="P87" s="29"/>
      <c r="Q87" s="29"/>
      <c r="R87" s="29"/>
      <c r="S87" s="11"/>
      <c r="T87" s="11"/>
      <c r="U87" s="11"/>
      <c r="V87" s="11"/>
      <c r="W87" s="11"/>
      <c r="X87" s="11"/>
      <c r="Y87" s="11"/>
      <c r="Z87" s="11"/>
      <c r="AA87" s="11"/>
    </row>
    <row r="88" spans="1:27" ht="15.75" customHeight="1">
      <c r="A88" s="41"/>
      <c r="B88" s="25"/>
      <c r="C88" s="26"/>
      <c r="D88" s="26"/>
      <c r="E88" s="26"/>
      <c r="F88" s="26"/>
      <c r="G88" s="26"/>
      <c r="H88" s="26"/>
      <c r="I88" s="26"/>
      <c r="J88" s="26"/>
      <c r="K88" s="26"/>
      <c r="L88" s="26"/>
      <c r="M88" s="29"/>
      <c r="N88" s="29"/>
      <c r="O88" s="29"/>
      <c r="P88" s="29"/>
      <c r="Q88" s="29"/>
      <c r="R88" s="29"/>
      <c r="S88" s="11"/>
      <c r="T88" s="11"/>
      <c r="U88" s="11"/>
      <c r="V88" s="11"/>
      <c r="W88" s="11"/>
      <c r="X88" s="11"/>
      <c r="Y88" s="11"/>
      <c r="Z88" s="11"/>
      <c r="AA88" s="11"/>
    </row>
    <row r="89" spans="1:27" ht="15.75" customHeight="1">
      <c r="A89" s="41"/>
      <c r="B89" s="25"/>
      <c r="C89" s="26"/>
      <c r="D89" s="26"/>
      <c r="E89" s="26"/>
      <c r="F89" s="26"/>
      <c r="G89" s="26"/>
      <c r="H89" s="26"/>
      <c r="I89" s="26"/>
      <c r="J89" s="26"/>
      <c r="K89" s="26"/>
      <c r="L89" s="26"/>
      <c r="M89" s="29"/>
      <c r="N89" s="29"/>
      <c r="O89" s="29"/>
      <c r="P89" s="29"/>
      <c r="Q89" s="29"/>
      <c r="R89" s="29"/>
      <c r="S89" s="11"/>
      <c r="T89" s="11"/>
      <c r="U89" s="11"/>
      <c r="V89" s="11"/>
      <c r="W89" s="11"/>
      <c r="X89" s="11"/>
      <c r="Y89" s="11"/>
      <c r="Z89" s="11"/>
      <c r="AA89" s="11"/>
    </row>
    <row r="90" spans="1:27" ht="15.75" customHeight="1">
      <c r="A90" s="41"/>
      <c r="B90" s="25"/>
      <c r="C90" s="26"/>
      <c r="D90" s="26"/>
      <c r="E90" s="26"/>
      <c r="F90" s="26"/>
      <c r="G90" s="26"/>
      <c r="H90" s="26"/>
      <c r="I90" s="26"/>
      <c r="J90" s="26"/>
      <c r="K90" s="26"/>
      <c r="L90" s="26"/>
      <c r="M90" s="29"/>
      <c r="N90" s="29"/>
      <c r="O90" s="29"/>
      <c r="P90" s="29"/>
      <c r="Q90" s="29"/>
      <c r="R90" s="29"/>
      <c r="S90" s="11"/>
      <c r="T90" s="11"/>
      <c r="U90" s="11"/>
      <c r="V90" s="11"/>
      <c r="W90" s="11"/>
      <c r="X90" s="11"/>
      <c r="Y90" s="11"/>
      <c r="Z90" s="11"/>
      <c r="AA90" s="11"/>
    </row>
    <row r="91" spans="1:27" ht="15.75" customHeight="1">
      <c r="A91" s="41"/>
      <c r="B91" s="25"/>
      <c r="C91" s="26"/>
      <c r="D91" s="26"/>
      <c r="E91" s="26"/>
      <c r="F91" s="26"/>
      <c r="G91" s="26"/>
      <c r="H91" s="26"/>
      <c r="I91" s="26"/>
      <c r="J91" s="26"/>
      <c r="K91" s="26"/>
      <c r="L91" s="26"/>
      <c r="M91" s="29"/>
      <c r="N91" s="29"/>
      <c r="O91" s="29"/>
      <c r="P91" s="29"/>
      <c r="Q91" s="29"/>
      <c r="R91" s="29"/>
      <c r="S91" s="11"/>
      <c r="T91" s="11"/>
      <c r="U91" s="11"/>
      <c r="V91" s="11"/>
      <c r="W91" s="11"/>
      <c r="X91" s="11"/>
      <c r="Y91" s="11"/>
      <c r="Z91" s="11"/>
      <c r="AA91" s="11"/>
    </row>
    <row r="92" spans="1:27" ht="15.75" customHeight="1">
      <c r="A92" s="42"/>
      <c r="B92" s="25"/>
      <c r="C92" s="26"/>
      <c r="D92" s="26"/>
      <c r="E92" s="26"/>
      <c r="F92" s="26"/>
      <c r="G92" s="26"/>
      <c r="H92" s="26"/>
      <c r="I92" s="26"/>
      <c r="J92" s="26"/>
      <c r="K92" s="26"/>
      <c r="L92" s="26"/>
      <c r="M92" s="29"/>
      <c r="N92" s="29"/>
      <c r="O92" s="29"/>
      <c r="P92" s="29"/>
      <c r="Q92" s="29"/>
      <c r="R92" s="29"/>
      <c r="S92" s="11"/>
      <c r="T92" s="11"/>
      <c r="U92" s="11"/>
      <c r="V92" s="11"/>
      <c r="W92" s="11"/>
      <c r="X92" s="11"/>
      <c r="Y92" s="11"/>
      <c r="Z92" s="11"/>
      <c r="AA92" s="11"/>
    </row>
    <row r="93" spans="1:27" ht="15.75" customHeight="1">
      <c r="A93" s="28"/>
      <c r="B93" s="25"/>
      <c r="C93" s="26"/>
      <c r="D93" s="26"/>
      <c r="E93" s="26"/>
      <c r="F93" s="26"/>
      <c r="G93" s="26"/>
      <c r="H93" s="26"/>
      <c r="I93" s="26"/>
      <c r="J93" s="26"/>
      <c r="K93" s="26"/>
      <c r="L93" s="26"/>
      <c r="M93" s="29"/>
      <c r="N93" s="29"/>
      <c r="O93" s="29"/>
      <c r="P93" s="29"/>
      <c r="Q93" s="29"/>
      <c r="R93" s="29"/>
      <c r="S93" s="11"/>
      <c r="T93" s="11"/>
      <c r="U93" s="11"/>
      <c r="V93" s="11"/>
      <c r="W93" s="11"/>
      <c r="X93" s="11"/>
      <c r="Y93" s="11"/>
      <c r="Z93" s="11"/>
      <c r="AA93" s="11"/>
    </row>
    <row r="94" spans="1:27" ht="15.75" customHeight="1">
      <c r="A94" s="28"/>
      <c r="B94" s="25"/>
      <c r="C94" s="26"/>
      <c r="D94" s="26"/>
      <c r="E94" s="26"/>
      <c r="F94" s="26"/>
      <c r="G94" s="26"/>
      <c r="H94" s="26"/>
      <c r="I94" s="26"/>
      <c r="J94" s="26"/>
      <c r="K94" s="26"/>
      <c r="L94" s="26"/>
      <c r="M94" s="29"/>
      <c r="N94" s="29"/>
      <c r="O94" s="29"/>
      <c r="P94" s="29"/>
      <c r="Q94" s="29"/>
      <c r="R94" s="29"/>
      <c r="S94" s="11"/>
      <c r="T94" s="11"/>
      <c r="U94" s="11"/>
      <c r="V94" s="11"/>
      <c r="W94" s="11"/>
      <c r="X94" s="11"/>
      <c r="Y94" s="11"/>
      <c r="Z94" s="11"/>
      <c r="AA94" s="11"/>
    </row>
    <row r="95" spans="1:27" ht="15.75" customHeight="1">
      <c r="A95" s="28"/>
      <c r="B95" s="25"/>
      <c r="C95" s="26"/>
      <c r="D95" s="26"/>
      <c r="E95" s="26"/>
      <c r="F95" s="26"/>
      <c r="G95" s="26"/>
      <c r="H95" s="26"/>
      <c r="I95" s="26"/>
      <c r="J95" s="26"/>
      <c r="K95" s="26"/>
      <c r="L95" s="26"/>
      <c r="M95" s="29"/>
      <c r="N95" s="29"/>
      <c r="O95" s="29"/>
      <c r="P95" s="29"/>
      <c r="Q95" s="29"/>
      <c r="R95" s="29"/>
      <c r="S95" s="11"/>
      <c r="T95" s="11"/>
      <c r="U95" s="11"/>
      <c r="V95" s="11"/>
      <c r="W95" s="11"/>
      <c r="X95" s="11"/>
      <c r="Y95" s="11"/>
      <c r="Z95" s="11"/>
      <c r="AA95" s="11"/>
    </row>
    <row r="96" spans="1:27" ht="15.75" customHeight="1">
      <c r="A96" s="28"/>
      <c r="B96" s="25"/>
      <c r="C96" s="26"/>
      <c r="D96" s="26"/>
      <c r="E96" s="26"/>
      <c r="F96" s="26"/>
      <c r="G96" s="26"/>
      <c r="H96" s="26"/>
      <c r="I96" s="26"/>
      <c r="J96" s="26"/>
      <c r="K96" s="26"/>
      <c r="L96" s="26"/>
      <c r="M96" s="29"/>
      <c r="N96" s="29"/>
      <c r="O96" s="29"/>
      <c r="P96" s="29"/>
      <c r="Q96" s="29"/>
      <c r="R96" s="29"/>
    </row>
    <row r="97" spans="1:18" ht="15.75" customHeight="1">
      <c r="A97" s="28"/>
      <c r="B97" s="25"/>
      <c r="C97" s="26"/>
      <c r="D97" s="26"/>
      <c r="E97" s="26"/>
      <c r="F97" s="26"/>
      <c r="G97" s="26"/>
      <c r="H97" s="26"/>
      <c r="I97" s="26"/>
      <c r="J97" s="26"/>
      <c r="K97" s="26"/>
      <c r="L97" s="26"/>
      <c r="M97" s="29"/>
      <c r="N97" s="29"/>
      <c r="O97" s="29"/>
      <c r="P97" s="29"/>
      <c r="Q97" s="29"/>
      <c r="R97" s="29"/>
    </row>
    <row r="98" spans="1:18" ht="15.75" customHeight="1">
      <c r="A98" s="28"/>
      <c r="B98" s="25"/>
      <c r="C98" s="26"/>
      <c r="D98" s="26"/>
      <c r="E98" s="26"/>
      <c r="F98" s="26"/>
      <c r="G98" s="26"/>
      <c r="H98" s="26"/>
      <c r="I98" s="26"/>
      <c r="J98" s="26"/>
      <c r="K98" s="26"/>
      <c r="L98" s="26"/>
      <c r="M98" s="29"/>
      <c r="N98" s="29"/>
      <c r="O98" s="29"/>
      <c r="P98" s="29"/>
      <c r="Q98" s="29"/>
      <c r="R98" s="29"/>
    </row>
    <row r="99" spans="1:18" ht="15.75" customHeight="1">
      <c r="A99" s="28"/>
      <c r="B99" s="25"/>
      <c r="C99" s="26"/>
      <c r="D99" s="26"/>
      <c r="E99" s="26"/>
      <c r="F99" s="26"/>
      <c r="G99" s="26"/>
      <c r="H99" s="26"/>
      <c r="I99" s="26"/>
      <c r="J99" s="26"/>
      <c r="K99" s="26"/>
      <c r="L99" s="26"/>
      <c r="M99" s="29"/>
      <c r="N99" s="29"/>
      <c r="O99" s="29"/>
      <c r="P99" s="29"/>
      <c r="Q99" s="29"/>
      <c r="R99" s="29"/>
    </row>
    <row r="100" spans="1:18" ht="15.75" customHeight="1">
      <c r="A100" s="28"/>
      <c r="B100" s="25"/>
      <c r="C100" s="26"/>
      <c r="D100" s="26"/>
      <c r="E100" s="26"/>
      <c r="F100" s="26"/>
      <c r="G100" s="26"/>
      <c r="H100" s="26"/>
      <c r="I100" s="26"/>
      <c r="J100" s="26"/>
      <c r="K100" s="26"/>
      <c r="L100" s="26"/>
      <c r="M100" s="29"/>
      <c r="N100" s="29"/>
      <c r="O100" s="29"/>
      <c r="P100" s="29"/>
      <c r="Q100" s="29"/>
      <c r="R100" s="29"/>
    </row>
    <row r="101" spans="1:18" ht="15.75" customHeight="1">
      <c r="A101" s="28"/>
      <c r="B101" s="25"/>
      <c r="C101" s="26"/>
      <c r="D101" s="26"/>
      <c r="E101" s="26"/>
      <c r="F101" s="26"/>
      <c r="G101" s="26"/>
      <c r="H101" s="26"/>
      <c r="I101" s="26"/>
      <c r="J101" s="26"/>
      <c r="K101" s="26"/>
      <c r="L101" s="26"/>
      <c r="M101" s="29"/>
      <c r="N101" s="29"/>
      <c r="O101" s="29"/>
      <c r="P101" s="29"/>
      <c r="Q101" s="29"/>
      <c r="R101" s="29"/>
    </row>
    <row r="102" spans="1:18" ht="15.75" customHeight="1">
      <c r="A102" s="28"/>
      <c r="B102" s="25"/>
      <c r="C102" s="26"/>
      <c r="D102" s="26"/>
      <c r="E102" s="26"/>
      <c r="F102" s="26"/>
      <c r="G102" s="26"/>
      <c r="H102" s="26"/>
      <c r="I102" s="26"/>
      <c r="J102" s="26"/>
      <c r="K102" s="26"/>
      <c r="L102" s="26"/>
      <c r="M102" s="29"/>
      <c r="N102" s="29"/>
      <c r="O102" s="29"/>
      <c r="P102" s="29"/>
      <c r="Q102" s="29"/>
      <c r="R102" s="29"/>
    </row>
    <row r="103" spans="1:18" ht="15.75" customHeight="1">
      <c r="A103" s="28"/>
      <c r="B103" s="25"/>
      <c r="C103" s="26"/>
      <c r="D103" s="26"/>
      <c r="E103" s="26"/>
      <c r="F103" s="26"/>
      <c r="G103" s="26"/>
      <c r="H103" s="26"/>
      <c r="I103" s="26"/>
      <c r="J103" s="26"/>
      <c r="K103" s="26"/>
      <c r="L103" s="26"/>
      <c r="M103" s="29"/>
      <c r="N103" s="29"/>
      <c r="O103" s="29"/>
      <c r="P103" s="29"/>
      <c r="Q103" s="29"/>
      <c r="R103" s="29"/>
    </row>
    <row r="104" spans="1:18" ht="15.75" customHeight="1">
      <c r="A104" s="28"/>
      <c r="B104" s="25"/>
      <c r="C104" s="26"/>
      <c r="D104" s="26"/>
      <c r="E104" s="26"/>
      <c r="F104" s="26"/>
      <c r="G104" s="26"/>
      <c r="H104" s="26"/>
      <c r="I104" s="26"/>
      <c r="J104" s="26"/>
      <c r="K104" s="26"/>
      <c r="L104" s="26"/>
      <c r="M104" s="29"/>
      <c r="N104" s="29"/>
      <c r="O104" s="29"/>
      <c r="P104" s="29"/>
      <c r="Q104" s="29"/>
      <c r="R104" s="29"/>
    </row>
    <row r="105" spans="1:18" ht="15.75" customHeight="1">
      <c r="A105" s="28"/>
      <c r="B105" s="25"/>
      <c r="C105" s="26"/>
      <c r="D105" s="26"/>
      <c r="E105" s="26"/>
      <c r="F105" s="26"/>
      <c r="G105" s="26"/>
      <c r="H105" s="26"/>
      <c r="I105" s="26"/>
      <c r="J105" s="26"/>
      <c r="K105" s="26"/>
      <c r="L105" s="26"/>
      <c r="M105" s="29"/>
      <c r="N105" s="29"/>
      <c r="O105" s="29"/>
      <c r="P105" s="29"/>
      <c r="Q105" s="29"/>
      <c r="R105" s="29"/>
    </row>
    <row r="106" spans="1:18" ht="15.75" customHeight="1">
      <c r="A106" s="28"/>
      <c r="B106" s="25"/>
      <c r="C106" s="26"/>
      <c r="D106" s="26"/>
      <c r="E106" s="26"/>
      <c r="F106" s="26"/>
      <c r="G106" s="26"/>
      <c r="H106" s="26"/>
      <c r="I106" s="26"/>
      <c r="J106" s="26"/>
      <c r="K106" s="26"/>
      <c r="L106" s="26"/>
      <c r="M106" s="29"/>
      <c r="N106" s="29"/>
      <c r="O106" s="29"/>
      <c r="P106" s="29"/>
      <c r="Q106" s="29"/>
      <c r="R106" s="29"/>
    </row>
    <row r="107" spans="1:18" ht="15.75" customHeight="1">
      <c r="A107" s="28"/>
      <c r="B107" s="25"/>
      <c r="C107" s="26"/>
      <c r="D107" s="26"/>
      <c r="E107" s="26"/>
      <c r="F107" s="26"/>
      <c r="G107" s="26"/>
      <c r="H107" s="26"/>
      <c r="I107" s="26"/>
      <c r="J107" s="26"/>
      <c r="K107" s="26"/>
      <c r="L107" s="26"/>
      <c r="M107" s="29"/>
      <c r="N107" s="29"/>
      <c r="O107" s="29"/>
      <c r="P107" s="29"/>
      <c r="Q107" s="29"/>
      <c r="R107" s="29"/>
    </row>
    <row r="108" spans="1:18" ht="15.75" customHeight="1">
      <c r="A108" s="28"/>
      <c r="B108" s="25"/>
      <c r="C108" s="26"/>
      <c r="D108" s="26"/>
      <c r="E108" s="26"/>
      <c r="F108" s="26"/>
      <c r="G108" s="26"/>
      <c r="H108" s="26"/>
      <c r="I108" s="26"/>
      <c r="J108" s="26"/>
      <c r="K108" s="26"/>
      <c r="L108" s="26"/>
      <c r="M108" s="29"/>
      <c r="N108" s="29"/>
      <c r="O108" s="29"/>
      <c r="P108" s="29"/>
      <c r="Q108" s="29"/>
      <c r="R108" s="29"/>
    </row>
    <row r="109" spans="1:18" ht="15.75" customHeight="1">
      <c r="A109" s="28"/>
      <c r="B109" s="25"/>
      <c r="C109" s="26"/>
      <c r="D109" s="26"/>
      <c r="E109" s="26"/>
      <c r="F109" s="26"/>
      <c r="G109" s="26"/>
      <c r="H109" s="26"/>
      <c r="I109" s="26"/>
      <c r="J109" s="26"/>
      <c r="K109" s="26"/>
      <c r="L109" s="26"/>
      <c r="M109" s="29"/>
      <c r="N109" s="29"/>
      <c r="O109" s="29"/>
      <c r="P109" s="29"/>
      <c r="Q109" s="29"/>
      <c r="R109" s="29"/>
    </row>
    <row r="110" spans="1:18" ht="15.75" customHeight="1">
      <c r="A110" s="28"/>
      <c r="B110" s="25"/>
      <c r="C110" s="26"/>
      <c r="D110" s="26"/>
      <c r="E110" s="26"/>
      <c r="F110" s="26"/>
      <c r="G110" s="26"/>
      <c r="H110" s="26"/>
      <c r="I110" s="26"/>
      <c r="J110" s="26"/>
      <c r="K110" s="26"/>
      <c r="L110" s="26"/>
      <c r="M110" s="29"/>
      <c r="N110" s="29"/>
      <c r="O110" s="29"/>
      <c r="P110" s="29"/>
      <c r="Q110" s="29"/>
      <c r="R110" s="29"/>
    </row>
    <row r="111" spans="1:18" ht="15.75" customHeight="1">
      <c r="A111" s="28"/>
      <c r="B111" s="25"/>
      <c r="C111" s="26"/>
      <c r="D111" s="26"/>
      <c r="E111" s="26"/>
      <c r="F111" s="26"/>
      <c r="G111" s="26"/>
      <c r="H111" s="26"/>
      <c r="I111" s="26"/>
      <c r="J111" s="26"/>
      <c r="K111" s="26"/>
      <c r="L111" s="26"/>
      <c r="M111" s="29"/>
      <c r="N111" s="29"/>
      <c r="O111" s="29"/>
      <c r="P111" s="29"/>
      <c r="Q111" s="29"/>
      <c r="R111" s="29"/>
    </row>
    <row r="112" spans="1:18" ht="15.75" customHeight="1">
      <c r="A112" s="28"/>
      <c r="B112" s="25"/>
      <c r="C112" s="26"/>
      <c r="D112" s="26"/>
      <c r="E112" s="26"/>
      <c r="F112" s="26"/>
      <c r="G112" s="26"/>
      <c r="H112" s="26"/>
      <c r="I112" s="26"/>
      <c r="J112" s="26"/>
      <c r="K112" s="26"/>
      <c r="L112" s="26"/>
      <c r="M112" s="29"/>
      <c r="N112" s="29"/>
      <c r="O112" s="29"/>
      <c r="P112" s="29"/>
      <c r="Q112" s="29"/>
      <c r="R112" s="29"/>
    </row>
    <row r="113" spans="1:18" ht="15.75" customHeight="1">
      <c r="A113" s="28"/>
      <c r="B113" s="25"/>
      <c r="C113" s="26"/>
      <c r="D113" s="26"/>
      <c r="E113" s="26"/>
      <c r="F113" s="26"/>
      <c r="G113" s="26"/>
      <c r="H113" s="26"/>
      <c r="I113" s="26"/>
      <c r="J113" s="26"/>
      <c r="K113" s="26"/>
      <c r="L113" s="26"/>
      <c r="M113" s="29"/>
      <c r="N113" s="29"/>
      <c r="O113" s="29"/>
      <c r="P113" s="29"/>
      <c r="Q113" s="29"/>
      <c r="R113" s="29"/>
    </row>
    <row r="114" spans="1:18" ht="15.75" customHeight="1">
      <c r="A114" s="28"/>
      <c r="B114" s="25"/>
      <c r="C114" s="26"/>
      <c r="D114" s="26"/>
      <c r="E114" s="26"/>
      <c r="F114" s="26"/>
      <c r="G114" s="26"/>
      <c r="H114" s="26"/>
      <c r="I114" s="26"/>
      <c r="J114" s="26"/>
      <c r="K114" s="26"/>
      <c r="L114" s="26"/>
      <c r="M114" s="29"/>
      <c r="N114" s="29"/>
      <c r="O114" s="29"/>
      <c r="P114" s="29"/>
      <c r="Q114" s="29"/>
      <c r="R114" s="29"/>
    </row>
    <row r="115" spans="1:18" ht="15.75" customHeight="1">
      <c r="A115" s="28"/>
      <c r="B115" s="25"/>
      <c r="C115" s="26"/>
      <c r="D115" s="26"/>
      <c r="E115" s="26"/>
      <c r="F115" s="26"/>
      <c r="G115" s="26"/>
      <c r="H115" s="26"/>
      <c r="I115" s="26"/>
      <c r="J115" s="26"/>
      <c r="K115" s="26"/>
      <c r="L115" s="26"/>
      <c r="M115" s="29"/>
      <c r="N115" s="29"/>
      <c r="O115" s="29"/>
      <c r="P115" s="29"/>
      <c r="Q115" s="29"/>
      <c r="R115" s="29"/>
    </row>
    <row r="116" spans="1:18" ht="15.75" customHeight="1">
      <c r="A116" s="28"/>
      <c r="B116" s="25"/>
      <c r="C116" s="26"/>
      <c r="D116" s="26"/>
      <c r="E116" s="26"/>
      <c r="F116" s="26"/>
      <c r="G116" s="26"/>
      <c r="H116" s="26"/>
      <c r="I116" s="26"/>
      <c r="J116" s="26"/>
      <c r="K116" s="26"/>
      <c r="L116" s="26"/>
      <c r="M116" s="29"/>
      <c r="N116" s="29"/>
      <c r="O116" s="29"/>
      <c r="P116" s="29"/>
      <c r="Q116" s="29"/>
      <c r="R116" s="29"/>
    </row>
    <row r="117" spans="1:18" ht="15.75" customHeight="1">
      <c r="A117" s="28"/>
      <c r="B117" s="25"/>
      <c r="C117" s="26"/>
      <c r="D117" s="26"/>
      <c r="E117" s="26"/>
      <c r="F117" s="26"/>
      <c r="G117" s="26"/>
      <c r="H117" s="26"/>
      <c r="I117" s="26"/>
      <c r="J117" s="26"/>
      <c r="K117" s="26"/>
      <c r="L117" s="26"/>
      <c r="M117" s="29"/>
      <c r="N117" s="29"/>
      <c r="O117" s="29"/>
      <c r="P117" s="29"/>
      <c r="Q117" s="29"/>
      <c r="R117" s="29"/>
    </row>
    <row r="118" spans="1:18" ht="15.75" customHeight="1">
      <c r="A118" s="28"/>
      <c r="B118" s="25"/>
      <c r="C118" s="26"/>
      <c r="D118" s="26"/>
      <c r="E118" s="26"/>
      <c r="F118" s="26"/>
      <c r="G118" s="26"/>
      <c r="H118" s="26"/>
      <c r="I118" s="26"/>
      <c r="J118" s="26"/>
      <c r="K118" s="26"/>
      <c r="L118" s="26"/>
      <c r="M118" s="29"/>
      <c r="N118" s="29"/>
      <c r="O118" s="29"/>
      <c r="P118" s="29"/>
      <c r="Q118" s="29"/>
      <c r="R118" s="29"/>
    </row>
    <row r="119" spans="1:18" ht="15.75" customHeight="1">
      <c r="A119" s="28"/>
      <c r="B119" s="25"/>
      <c r="C119" s="26"/>
      <c r="D119" s="26"/>
      <c r="E119" s="26"/>
      <c r="F119" s="26"/>
      <c r="G119" s="26"/>
      <c r="H119" s="26"/>
      <c r="I119" s="26"/>
      <c r="J119" s="26"/>
      <c r="K119" s="26"/>
      <c r="L119" s="26"/>
      <c r="M119" s="29"/>
      <c r="N119" s="29"/>
      <c r="O119" s="29"/>
      <c r="P119" s="29"/>
      <c r="Q119" s="29"/>
      <c r="R119" s="29"/>
    </row>
    <row r="120" spans="1:18" ht="15.75" customHeight="1">
      <c r="A120" s="28"/>
      <c r="B120" s="25"/>
      <c r="C120" s="26"/>
      <c r="D120" s="26"/>
      <c r="E120" s="26"/>
      <c r="F120" s="26"/>
      <c r="G120" s="26"/>
      <c r="H120" s="26"/>
      <c r="I120" s="26"/>
      <c r="J120" s="26"/>
      <c r="K120" s="26"/>
      <c r="L120" s="26"/>
      <c r="M120" s="29"/>
      <c r="N120" s="29"/>
      <c r="O120" s="29"/>
      <c r="P120" s="29"/>
      <c r="Q120" s="29"/>
      <c r="R120" s="29"/>
    </row>
    <row r="121" spans="1:18" ht="15.75" customHeight="1">
      <c r="A121" s="28"/>
      <c r="B121" s="25"/>
      <c r="C121" s="26"/>
      <c r="D121" s="26"/>
      <c r="E121" s="26"/>
      <c r="F121" s="26"/>
      <c r="G121" s="26"/>
      <c r="H121" s="26"/>
      <c r="I121" s="26"/>
      <c r="J121" s="26"/>
      <c r="K121" s="26"/>
      <c r="L121" s="26"/>
      <c r="M121" s="29"/>
      <c r="N121" s="29"/>
      <c r="O121" s="29"/>
      <c r="P121" s="29"/>
      <c r="Q121" s="29"/>
      <c r="R121" s="29"/>
    </row>
    <row r="122" spans="1:18" ht="15.75" customHeight="1">
      <c r="A122" s="28"/>
      <c r="B122" s="25"/>
      <c r="C122" s="26"/>
      <c r="D122" s="26"/>
      <c r="E122" s="26"/>
      <c r="F122" s="26"/>
      <c r="G122" s="26"/>
      <c r="H122" s="26"/>
      <c r="I122" s="26"/>
      <c r="J122" s="26"/>
      <c r="K122" s="26"/>
      <c r="L122" s="26"/>
      <c r="M122" s="29"/>
      <c r="N122" s="29"/>
      <c r="O122" s="29"/>
      <c r="P122" s="29"/>
      <c r="Q122" s="29"/>
      <c r="R122" s="29"/>
    </row>
    <row r="123" spans="1:18" ht="15.75" customHeight="1">
      <c r="A123" s="28"/>
      <c r="B123" s="25"/>
      <c r="C123" s="26"/>
      <c r="D123" s="26"/>
      <c r="E123" s="26"/>
      <c r="F123" s="26"/>
      <c r="G123" s="26"/>
      <c r="H123" s="26"/>
      <c r="I123" s="26"/>
      <c r="J123" s="26"/>
      <c r="K123" s="26"/>
      <c r="L123" s="26"/>
      <c r="M123" s="29"/>
      <c r="N123" s="29"/>
      <c r="O123" s="29"/>
      <c r="P123" s="29"/>
      <c r="Q123" s="29"/>
      <c r="R123" s="29"/>
    </row>
    <row r="124" spans="1:18" ht="15.75" customHeight="1">
      <c r="A124" s="28"/>
      <c r="B124" s="25"/>
      <c r="C124" s="26"/>
      <c r="D124" s="26"/>
      <c r="E124" s="26"/>
      <c r="F124" s="26"/>
      <c r="G124" s="26"/>
      <c r="H124" s="26"/>
      <c r="I124" s="26"/>
      <c r="J124" s="26"/>
      <c r="K124" s="26"/>
      <c r="L124" s="26"/>
      <c r="M124" s="29"/>
      <c r="N124" s="29"/>
      <c r="O124" s="29"/>
      <c r="P124" s="29"/>
      <c r="Q124" s="29"/>
      <c r="R124" s="29"/>
    </row>
    <row r="125" spans="1:18" ht="15.75" customHeight="1">
      <c r="A125" s="28"/>
      <c r="B125" s="25"/>
      <c r="C125" s="26"/>
      <c r="D125" s="26"/>
      <c r="E125" s="26"/>
      <c r="F125" s="26"/>
      <c r="G125" s="26"/>
      <c r="H125" s="26"/>
      <c r="I125" s="26"/>
      <c r="J125" s="26"/>
      <c r="K125" s="26"/>
      <c r="L125" s="26"/>
      <c r="M125" s="29"/>
      <c r="N125" s="29"/>
      <c r="O125" s="29"/>
      <c r="P125" s="29"/>
      <c r="Q125" s="29"/>
      <c r="R125" s="29"/>
    </row>
    <row r="126" spans="1:18" ht="15.75" customHeight="1">
      <c r="A126" s="28"/>
      <c r="B126" s="25"/>
      <c r="C126" s="26"/>
      <c r="D126" s="26"/>
      <c r="E126" s="26"/>
      <c r="F126" s="26"/>
      <c r="G126" s="26"/>
      <c r="H126" s="26"/>
      <c r="I126" s="26"/>
      <c r="J126" s="26"/>
      <c r="K126" s="26"/>
      <c r="L126" s="26"/>
      <c r="M126" s="29"/>
      <c r="N126" s="29"/>
      <c r="O126" s="29"/>
      <c r="P126" s="29"/>
      <c r="Q126" s="29"/>
      <c r="R126" s="29"/>
    </row>
    <row r="127" spans="1:18" ht="15.75" customHeight="1">
      <c r="A127" s="28"/>
      <c r="B127" s="25"/>
      <c r="C127" s="26"/>
      <c r="D127" s="26"/>
      <c r="E127" s="26"/>
      <c r="F127" s="26"/>
      <c r="G127" s="26"/>
      <c r="H127" s="26"/>
      <c r="I127" s="26"/>
      <c r="J127" s="26"/>
      <c r="K127" s="26"/>
      <c r="L127" s="26"/>
      <c r="M127" s="29"/>
      <c r="N127" s="29"/>
      <c r="O127" s="29"/>
      <c r="P127" s="29"/>
      <c r="Q127" s="29"/>
      <c r="R127" s="29"/>
    </row>
    <row r="128" spans="1:18" ht="15.75" customHeight="1">
      <c r="A128" s="28"/>
      <c r="B128" s="25"/>
      <c r="C128" s="26"/>
      <c r="D128" s="26"/>
      <c r="E128" s="26"/>
      <c r="F128" s="26"/>
      <c r="G128" s="26"/>
      <c r="H128" s="26"/>
      <c r="I128" s="26"/>
      <c r="J128" s="26"/>
      <c r="K128" s="26"/>
      <c r="L128" s="26"/>
      <c r="M128" s="29"/>
      <c r="N128" s="29"/>
      <c r="O128" s="29"/>
      <c r="P128" s="29"/>
      <c r="Q128" s="29"/>
      <c r="R128" s="29"/>
    </row>
    <row r="129" spans="1:18" ht="15.75" customHeight="1">
      <c r="A129" s="28"/>
      <c r="B129" s="25"/>
      <c r="C129" s="26"/>
      <c r="D129" s="26"/>
      <c r="E129" s="26"/>
      <c r="F129" s="26"/>
      <c r="G129" s="26"/>
      <c r="H129" s="26"/>
      <c r="I129" s="26"/>
      <c r="J129" s="26"/>
      <c r="K129" s="26"/>
      <c r="L129" s="26"/>
      <c r="M129" s="29"/>
      <c r="N129" s="29"/>
      <c r="O129" s="29"/>
      <c r="P129" s="29"/>
      <c r="Q129" s="29"/>
      <c r="R129" s="29"/>
    </row>
    <row r="130" spans="1:18" ht="15.75" customHeight="1">
      <c r="A130" s="28"/>
      <c r="B130" s="25"/>
      <c r="C130" s="26"/>
      <c r="D130" s="26"/>
      <c r="E130" s="26"/>
      <c r="F130" s="26"/>
      <c r="G130" s="26"/>
      <c r="H130" s="26"/>
      <c r="I130" s="26"/>
      <c r="J130" s="26"/>
      <c r="K130" s="26"/>
      <c r="L130" s="26"/>
      <c r="M130" s="29"/>
      <c r="N130" s="29"/>
      <c r="O130" s="29"/>
      <c r="P130" s="29"/>
      <c r="Q130" s="29"/>
      <c r="R130" s="29"/>
    </row>
    <row r="131" spans="1:18" ht="15.75" customHeight="1">
      <c r="A131" s="28"/>
      <c r="B131" s="25"/>
      <c r="C131" s="26"/>
      <c r="D131" s="26"/>
      <c r="E131" s="26"/>
      <c r="F131" s="26"/>
      <c r="G131" s="26"/>
      <c r="H131" s="26"/>
      <c r="I131" s="26"/>
      <c r="J131" s="26"/>
      <c r="K131" s="26"/>
      <c r="L131" s="26"/>
      <c r="M131" s="29"/>
      <c r="N131" s="29"/>
      <c r="O131" s="29"/>
      <c r="P131" s="29"/>
      <c r="Q131" s="29"/>
      <c r="R131" s="29"/>
    </row>
    <row r="132" spans="1:18" ht="15.75" customHeight="1">
      <c r="A132" s="28"/>
      <c r="B132" s="25"/>
      <c r="C132" s="26"/>
      <c r="D132" s="26"/>
      <c r="E132" s="26"/>
      <c r="F132" s="26"/>
      <c r="G132" s="26"/>
      <c r="H132" s="26"/>
      <c r="I132" s="26"/>
      <c r="J132" s="26"/>
      <c r="K132" s="26"/>
      <c r="L132" s="26"/>
      <c r="M132" s="29"/>
      <c r="N132" s="29"/>
      <c r="O132" s="29"/>
      <c r="P132" s="29"/>
      <c r="Q132" s="29"/>
      <c r="R132" s="29"/>
    </row>
    <row r="133" spans="1:18" ht="15.75" customHeight="1">
      <c r="A133" s="28"/>
      <c r="B133" s="25"/>
      <c r="C133" s="26"/>
      <c r="D133" s="26"/>
      <c r="E133" s="26"/>
      <c r="F133" s="26"/>
      <c r="G133" s="26"/>
      <c r="H133" s="26"/>
      <c r="I133" s="26"/>
      <c r="J133" s="26"/>
      <c r="K133" s="26"/>
      <c r="L133" s="26"/>
      <c r="M133" s="29"/>
      <c r="N133" s="29"/>
      <c r="O133" s="29"/>
      <c r="P133" s="29"/>
      <c r="Q133" s="29"/>
      <c r="R133" s="29"/>
    </row>
    <row r="134" spans="1:18" ht="15.75" customHeight="1">
      <c r="A134" s="28"/>
      <c r="B134" s="25"/>
      <c r="C134" s="26"/>
      <c r="D134" s="26"/>
      <c r="E134" s="26"/>
      <c r="F134" s="26"/>
      <c r="G134" s="26"/>
      <c r="H134" s="26"/>
      <c r="I134" s="26"/>
      <c r="J134" s="26"/>
      <c r="K134" s="26"/>
      <c r="L134" s="26"/>
      <c r="M134" s="29"/>
      <c r="N134" s="29"/>
      <c r="O134" s="29"/>
      <c r="P134" s="29"/>
      <c r="Q134" s="29"/>
      <c r="R134" s="29"/>
    </row>
    <row r="135" spans="1:18" ht="15.75" customHeight="1">
      <c r="A135" s="28"/>
      <c r="B135" s="25"/>
      <c r="C135" s="26"/>
      <c r="D135" s="26"/>
      <c r="E135" s="26"/>
      <c r="F135" s="26"/>
      <c r="G135" s="26"/>
      <c r="H135" s="26"/>
      <c r="I135" s="26"/>
      <c r="J135" s="26"/>
      <c r="K135" s="26"/>
      <c r="L135" s="26"/>
      <c r="M135" s="29"/>
      <c r="N135" s="29"/>
      <c r="O135" s="29"/>
      <c r="P135" s="29"/>
      <c r="Q135" s="29"/>
      <c r="R135" s="29"/>
    </row>
    <row r="136" spans="1:18" ht="15.75" customHeight="1">
      <c r="A136" s="28"/>
      <c r="B136" s="25"/>
      <c r="C136" s="26"/>
      <c r="D136" s="26"/>
      <c r="E136" s="26"/>
      <c r="F136" s="26"/>
      <c r="G136" s="26"/>
      <c r="H136" s="26"/>
      <c r="I136" s="26"/>
      <c r="J136" s="26"/>
      <c r="K136" s="26"/>
      <c r="L136" s="26"/>
      <c r="M136" s="29"/>
      <c r="N136" s="29"/>
      <c r="O136" s="29"/>
      <c r="P136" s="29"/>
      <c r="Q136" s="29"/>
      <c r="R136" s="29"/>
    </row>
    <row r="137" spans="1:18" ht="15.75" customHeight="1">
      <c r="A137" s="28"/>
      <c r="B137" s="25"/>
      <c r="C137" s="26"/>
      <c r="D137" s="26"/>
      <c r="E137" s="26"/>
      <c r="F137" s="26"/>
      <c r="G137" s="26"/>
      <c r="H137" s="26"/>
      <c r="I137" s="26"/>
      <c r="J137" s="26"/>
      <c r="K137" s="26"/>
      <c r="L137" s="26"/>
      <c r="M137" s="29"/>
      <c r="N137" s="29"/>
      <c r="O137" s="29"/>
      <c r="P137" s="29"/>
      <c r="Q137" s="29"/>
      <c r="R137" s="29"/>
    </row>
    <row r="138" spans="1:18" ht="15.75" customHeight="1">
      <c r="A138" s="28"/>
      <c r="B138" s="25"/>
      <c r="C138" s="26"/>
      <c r="D138" s="26"/>
      <c r="E138" s="26"/>
      <c r="F138" s="26"/>
      <c r="G138" s="26"/>
      <c r="H138" s="26"/>
      <c r="I138" s="26"/>
      <c r="J138" s="26"/>
      <c r="K138" s="26"/>
      <c r="L138" s="26"/>
      <c r="M138" s="29"/>
      <c r="N138" s="29"/>
      <c r="O138" s="29"/>
      <c r="P138" s="29"/>
      <c r="Q138" s="29"/>
      <c r="R138" s="29"/>
    </row>
    <row r="139" spans="1:18" ht="15.75" customHeight="1">
      <c r="A139" s="28"/>
      <c r="B139" s="25"/>
      <c r="C139" s="26"/>
      <c r="D139" s="26"/>
      <c r="E139" s="26"/>
      <c r="F139" s="26"/>
      <c r="G139" s="26"/>
      <c r="H139" s="26"/>
      <c r="I139" s="26"/>
      <c r="J139" s="26"/>
      <c r="K139" s="26"/>
      <c r="L139" s="26"/>
      <c r="M139" s="29"/>
      <c r="N139" s="29"/>
      <c r="O139" s="29"/>
      <c r="P139" s="29"/>
      <c r="Q139" s="29"/>
      <c r="R139" s="29"/>
    </row>
    <row r="140" spans="1:18" ht="15.75" customHeight="1">
      <c r="A140" s="28"/>
      <c r="B140" s="25"/>
      <c r="C140" s="26"/>
      <c r="D140" s="26"/>
      <c r="E140" s="26"/>
      <c r="F140" s="26"/>
      <c r="G140" s="26"/>
      <c r="H140" s="26"/>
      <c r="I140" s="26"/>
      <c r="J140" s="26"/>
      <c r="K140" s="26"/>
      <c r="L140" s="26"/>
      <c r="M140" s="29"/>
      <c r="N140" s="29"/>
      <c r="O140" s="29"/>
      <c r="P140" s="29"/>
      <c r="Q140" s="29"/>
      <c r="R140" s="29"/>
    </row>
    <row r="141" spans="1:18" ht="15.75" customHeight="1">
      <c r="A141" s="28"/>
      <c r="B141" s="25"/>
      <c r="C141" s="26"/>
      <c r="D141" s="26"/>
      <c r="E141" s="26"/>
      <c r="F141" s="26"/>
      <c r="G141" s="26"/>
      <c r="H141" s="26"/>
      <c r="I141" s="26"/>
      <c r="J141" s="26"/>
      <c r="K141" s="26"/>
      <c r="L141" s="26"/>
      <c r="M141" s="29"/>
      <c r="N141" s="29"/>
      <c r="O141" s="29"/>
      <c r="P141" s="29"/>
      <c r="Q141" s="29"/>
      <c r="R141" s="29"/>
    </row>
    <row r="142" spans="1:18" ht="15.75" customHeight="1">
      <c r="A142" s="28"/>
      <c r="B142" s="25"/>
      <c r="C142" s="26"/>
      <c r="D142" s="26"/>
      <c r="E142" s="26"/>
      <c r="F142" s="26"/>
      <c r="G142" s="26"/>
      <c r="H142" s="26"/>
      <c r="I142" s="26"/>
      <c r="J142" s="26"/>
      <c r="K142" s="26"/>
      <c r="L142" s="26"/>
      <c r="M142" s="29"/>
      <c r="N142" s="29"/>
      <c r="O142" s="29"/>
      <c r="P142" s="29"/>
      <c r="Q142" s="29"/>
      <c r="R142" s="29"/>
    </row>
    <row r="143" spans="1:18" ht="15.75" customHeight="1">
      <c r="A143" s="28"/>
      <c r="B143" s="25"/>
      <c r="C143" s="26"/>
      <c r="D143" s="26"/>
      <c r="E143" s="26"/>
      <c r="F143" s="26"/>
      <c r="G143" s="26"/>
      <c r="H143" s="26"/>
      <c r="I143" s="26"/>
      <c r="J143" s="26"/>
      <c r="K143" s="26"/>
      <c r="L143" s="26"/>
      <c r="M143" s="29"/>
      <c r="N143" s="29"/>
      <c r="O143" s="29"/>
      <c r="P143" s="29"/>
      <c r="Q143" s="29"/>
      <c r="R143" s="29"/>
    </row>
    <row r="144" spans="1:18" ht="15.75" customHeight="1">
      <c r="A144" s="28"/>
      <c r="B144" s="25"/>
      <c r="C144" s="26"/>
      <c r="D144" s="26"/>
      <c r="E144" s="26"/>
      <c r="F144" s="26"/>
      <c r="G144" s="26"/>
      <c r="H144" s="26"/>
      <c r="I144" s="26"/>
      <c r="J144" s="26"/>
      <c r="K144" s="26"/>
      <c r="L144" s="26"/>
      <c r="M144" s="29"/>
      <c r="N144" s="29"/>
      <c r="O144" s="29"/>
      <c r="P144" s="29"/>
      <c r="Q144" s="29"/>
      <c r="R144" s="29"/>
    </row>
    <row r="145" spans="1:18" ht="15.75" customHeight="1">
      <c r="A145" s="28"/>
      <c r="B145" s="25"/>
      <c r="C145" s="26"/>
      <c r="D145" s="26"/>
      <c r="E145" s="26"/>
      <c r="F145" s="26"/>
      <c r="G145" s="26"/>
      <c r="H145" s="26"/>
      <c r="I145" s="26"/>
      <c r="J145" s="26"/>
      <c r="K145" s="26"/>
      <c r="L145" s="26"/>
      <c r="M145" s="29"/>
      <c r="N145" s="29"/>
      <c r="O145" s="29"/>
      <c r="P145" s="29"/>
      <c r="Q145" s="29"/>
      <c r="R145" s="29"/>
    </row>
    <row r="146" spans="1:18" ht="15.75" customHeight="1">
      <c r="A146" s="28"/>
      <c r="B146" s="25"/>
      <c r="C146" s="26"/>
      <c r="D146" s="26"/>
      <c r="E146" s="26"/>
      <c r="F146" s="26"/>
      <c r="G146" s="26"/>
      <c r="H146" s="26"/>
      <c r="I146" s="26"/>
      <c r="J146" s="26"/>
      <c r="K146" s="26"/>
      <c r="L146" s="26"/>
      <c r="M146" s="29"/>
      <c r="N146" s="29"/>
      <c r="O146" s="29"/>
      <c r="P146" s="29"/>
      <c r="Q146" s="29"/>
      <c r="R146" s="29"/>
    </row>
    <row r="147" spans="1:18" ht="15.75" customHeight="1">
      <c r="A147" s="28"/>
      <c r="B147" s="25"/>
      <c r="C147" s="26"/>
      <c r="D147" s="26"/>
      <c r="E147" s="26"/>
      <c r="F147" s="26"/>
      <c r="G147" s="26"/>
      <c r="H147" s="26"/>
      <c r="I147" s="26"/>
      <c r="J147" s="26"/>
      <c r="K147" s="26"/>
      <c r="L147" s="26"/>
      <c r="M147" s="29"/>
      <c r="N147" s="29"/>
      <c r="O147" s="29"/>
      <c r="P147" s="29"/>
      <c r="Q147" s="29"/>
      <c r="R147" s="29"/>
    </row>
    <row r="148" spans="1:18" ht="15.75" customHeight="1">
      <c r="A148" s="28"/>
      <c r="B148" s="25"/>
      <c r="C148" s="26"/>
      <c r="D148" s="26"/>
      <c r="E148" s="26"/>
      <c r="F148" s="26"/>
      <c r="G148" s="26"/>
      <c r="H148" s="26"/>
      <c r="I148" s="26"/>
      <c r="J148" s="26"/>
      <c r="K148" s="26"/>
      <c r="L148" s="26"/>
      <c r="M148" s="29"/>
      <c r="N148" s="29"/>
      <c r="O148" s="29"/>
      <c r="P148" s="29"/>
      <c r="Q148" s="29"/>
      <c r="R148" s="29"/>
    </row>
    <row r="149" spans="1:18" ht="15.75" customHeight="1">
      <c r="A149" s="28"/>
      <c r="B149" s="25"/>
      <c r="C149" s="26"/>
      <c r="D149" s="26"/>
      <c r="E149" s="26"/>
      <c r="F149" s="26"/>
      <c r="G149" s="26"/>
      <c r="H149" s="26"/>
      <c r="I149" s="26"/>
      <c r="J149" s="26"/>
      <c r="K149" s="26"/>
      <c r="L149" s="26"/>
      <c r="M149" s="29"/>
      <c r="N149" s="29"/>
      <c r="O149" s="29"/>
      <c r="P149" s="29"/>
      <c r="Q149" s="29"/>
      <c r="R149" s="29"/>
    </row>
    <row r="150" spans="1:18" ht="15.75" customHeight="1">
      <c r="A150" s="28"/>
      <c r="B150" s="25"/>
      <c r="C150" s="26"/>
      <c r="D150" s="26"/>
      <c r="E150" s="26"/>
      <c r="F150" s="26"/>
      <c r="G150" s="26"/>
      <c r="H150" s="26"/>
      <c r="I150" s="26"/>
      <c r="J150" s="26"/>
      <c r="K150" s="26"/>
      <c r="L150" s="26"/>
      <c r="M150" s="29"/>
      <c r="N150" s="29"/>
      <c r="O150" s="29"/>
      <c r="P150" s="29"/>
      <c r="Q150" s="29"/>
      <c r="R150" s="29"/>
    </row>
    <row r="151" spans="1:18" ht="15.75" customHeight="1">
      <c r="A151" s="28"/>
      <c r="B151" s="25"/>
      <c r="C151" s="26"/>
      <c r="D151" s="26"/>
      <c r="E151" s="26"/>
      <c r="F151" s="26"/>
      <c r="G151" s="26"/>
      <c r="H151" s="26"/>
      <c r="I151" s="26"/>
      <c r="J151" s="26"/>
      <c r="K151" s="26"/>
      <c r="L151" s="26"/>
      <c r="M151" s="29"/>
      <c r="N151" s="29"/>
      <c r="O151" s="29"/>
      <c r="P151" s="29"/>
      <c r="Q151" s="29"/>
      <c r="R151" s="29"/>
    </row>
    <row r="152" spans="1:18" ht="15.75" customHeight="1">
      <c r="A152" s="28"/>
      <c r="B152" s="25"/>
      <c r="C152" s="26"/>
      <c r="D152" s="26"/>
      <c r="E152" s="26"/>
      <c r="F152" s="26"/>
      <c r="G152" s="26"/>
      <c r="H152" s="26"/>
      <c r="I152" s="26"/>
      <c r="J152" s="26"/>
      <c r="K152" s="26"/>
      <c r="L152" s="26"/>
      <c r="M152" s="29"/>
      <c r="N152" s="29"/>
      <c r="O152" s="29"/>
      <c r="P152" s="29"/>
      <c r="Q152" s="29"/>
      <c r="R152" s="29"/>
    </row>
    <row r="153" spans="1:18" ht="15.75" customHeight="1">
      <c r="A153" s="28"/>
      <c r="B153" s="25"/>
      <c r="C153" s="26"/>
      <c r="D153" s="26"/>
      <c r="E153" s="26"/>
      <c r="F153" s="26"/>
      <c r="G153" s="26"/>
      <c r="H153" s="26"/>
      <c r="I153" s="26"/>
      <c r="J153" s="26"/>
      <c r="K153" s="26"/>
      <c r="L153" s="26"/>
      <c r="M153" s="29"/>
      <c r="N153" s="29"/>
      <c r="O153" s="29"/>
      <c r="P153" s="29"/>
      <c r="Q153" s="29"/>
      <c r="R153" s="29"/>
    </row>
    <row r="154" spans="1:18" ht="15.75" customHeight="1">
      <c r="A154" s="28"/>
      <c r="B154" s="25"/>
      <c r="C154" s="26"/>
      <c r="D154" s="26"/>
      <c r="E154" s="26"/>
      <c r="F154" s="26"/>
      <c r="G154" s="26"/>
      <c r="H154" s="26"/>
      <c r="I154" s="26"/>
      <c r="J154" s="26"/>
      <c r="K154" s="26"/>
      <c r="L154" s="26"/>
      <c r="M154" s="29"/>
      <c r="N154" s="29"/>
      <c r="O154" s="29"/>
      <c r="P154" s="29"/>
      <c r="Q154" s="29"/>
      <c r="R154" s="29"/>
    </row>
    <row r="155" spans="1:18" ht="15.75" customHeight="1">
      <c r="A155" s="28"/>
      <c r="B155" s="25"/>
      <c r="C155" s="26"/>
      <c r="D155" s="26"/>
      <c r="E155" s="26"/>
      <c r="F155" s="26"/>
      <c r="G155" s="26"/>
      <c r="H155" s="26"/>
      <c r="I155" s="26"/>
      <c r="J155" s="26"/>
      <c r="K155" s="26"/>
      <c r="L155" s="26"/>
      <c r="M155" s="29"/>
      <c r="N155" s="29"/>
      <c r="O155" s="29"/>
      <c r="P155" s="29"/>
      <c r="Q155" s="29"/>
      <c r="R155" s="29"/>
    </row>
    <row r="156" spans="1:18" ht="15.75" customHeight="1">
      <c r="A156" s="28"/>
      <c r="B156" s="25"/>
      <c r="C156" s="26"/>
      <c r="D156" s="26"/>
      <c r="E156" s="26"/>
      <c r="F156" s="26"/>
      <c r="G156" s="26"/>
      <c r="H156" s="26"/>
      <c r="I156" s="26"/>
      <c r="J156" s="26"/>
      <c r="K156" s="26"/>
      <c r="L156" s="26"/>
      <c r="M156" s="29"/>
      <c r="N156" s="29"/>
      <c r="O156" s="29"/>
      <c r="P156" s="29"/>
      <c r="Q156" s="29"/>
      <c r="R156" s="29"/>
    </row>
    <row r="157" spans="1:18" ht="15.75" customHeight="1">
      <c r="A157" s="28"/>
      <c r="B157" s="25"/>
      <c r="C157" s="26"/>
      <c r="D157" s="26"/>
      <c r="E157" s="26"/>
      <c r="F157" s="26"/>
      <c r="G157" s="26"/>
      <c r="H157" s="26"/>
      <c r="I157" s="26"/>
      <c r="J157" s="26"/>
      <c r="K157" s="26"/>
      <c r="L157" s="26"/>
      <c r="M157" s="29"/>
      <c r="N157" s="29"/>
      <c r="O157" s="29"/>
      <c r="P157" s="29"/>
      <c r="Q157" s="29"/>
      <c r="R157" s="29"/>
    </row>
    <row r="158" spans="1:18" ht="15.75" customHeight="1">
      <c r="A158" s="28"/>
      <c r="B158" s="25"/>
      <c r="C158" s="26"/>
      <c r="D158" s="26"/>
      <c r="E158" s="26"/>
      <c r="F158" s="26"/>
      <c r="G158" s="26"/>
      <c r="H158" s="26"/>
      <c r="I158" s="26"/>
      <c r="J158" s="26"/>
      <c r="K158" s="26"/>
      <c r="L158" s="26"/>
      <c r="M158" s="29"/>
      <c r="N158" s="29"/>
      <c r="O158" s="29"/>
      <c r="P158" s="29"/>
      <c r="Q158" s="29"/>
      <c r="R158" s="29"/>
    </row>
    <row r="159" spans="1:18" ht="15.75" customHeight="1">
      <c r="A159" s="28"/>
      <c r="B159" s="25"/>
      <c r="C159" s="26"/>
      <c r="D159" s="26"/>
      <c r="E159" s="26"/>
      <c r="F159" s="26"/>
      <c r="G159" s="26"/>
      <c r="H159" s="26"/>
      <c r="I159" s="26"/>
      <c r="J159" s="26"/>
      <c r="K159" s="26"/>
      <c r="L159" s="26"/>
      <c r="M159" s="29"/>
      <c r="N159" s="29"/>
      <c r="O159" s="29"/>
      <c r="P159" s="29"/>
      <c r="Q159" s="29"/>
      <c r="R159" s="29"/>
    </row>
    <row r="160" spans="1:18" ht="15.75" customHeight="1">
      <c r="A160" s="28"/>
      <c r="B160" s="25"/>
      <c r="C160" s="26"/>
      <c r="D160" s="26"/>
      <c r="E160" s="26"/>
      <c r="F160" s="26"/>
      <c r="G160" s="26"/>
      <c r="H160" s="26"/>
      <c r="I160" s="26"/>
      <c r="J160" s="26"/>
      <c r="K160" s="26"/>
      <c r="L160" s="26"/>
      <c r="M160" s="29"/>
      <c r="N160" s="29"/>
      <c r="O160" s="29"/>
      <c r="P160" s="29"/>
      <c r="Q160" s="29"/>
      <c r="R160" s="29"/>
    </row>
    <row r="161" spans="1:18" ht="15.75" customHeight="1">
      <c r="A161" s="28"/>
      <c r="B161" s="25"/>
      <c r="C161" s="26"/>
      <c r="D161" s="26"/>
      <c r="E161" s="26"/>
      <c r="F161" s="26"/>
      <c r="G161" s="26"/>
      <c r="H161" s="26"/>
      <c r="I161" s="26"/>
      <c r="J161" s="26"/>
      <c r="K161" s="26"/>
      <c r="L161" s="26"/>
      <c r="M161" s="29"/>
      <c r="N161" s="29"/>
      <c r="O161" s="29"/>
      <c r="P161" s="29"/>
      <c r="Q161" s="29"/>
      <c r="R161" s="29"/>
    </row>
    <row r="162" spans="1:18" ht="15.75" customHeight="1">
      <c r="A162" s="28"/>
      <c r="B162" s="25"/>
      <c r="C162" s="26"/>
      <c r="D162" s="26"/>
      <c r="E162" s="26"/>
      <c r="F162" s="26"/>
      <c r="G162" s="26"/>
      <c r="H162" s="26"/>
      <c r="I162" s="26"/>
      <c r="J162" s="26"/>
      <c r="K162" s="26"/>
      <c r="L162" s="26"/>
      <c r="M162" s="29"/>
      <c r="N162" s="29"/>
      <c r="O162" s="29"/>
      <c r="P162" s="29"/>
      <c r="Q162" s="29"/>
      <c r="R162" s="29"/>
    </row>
    <row r="163" spans="1:18" ht="15.75" customHeight="1">
      <c r="A163" s="28"/>
      <c r="B163" s="25"/>
      <c r="C163" s="26"/>
      <c r="D163" s="26"/>
      <c r="E163" s="26"/>
      <c r="F163" s="26"/>
      <c r="G163" s="26"/>
      <c r="H163" s="26"/>
      <c r="I163" s="26"/>
      <c r="J163" s="26"/>
      <c r="K163" s="26"/>
      <c r="L163" s="26"/>
      <c r="M163" s="29"/>
      <c r="N163" s="29"/>
      <c r="O163" s="29"/>
      <c r="P163" s="29"/>
      <c r="Q163" s="29"/>
      <c r="R163" s="29"/>
    </row>
    <row r="164" spans="1:18" ht="15.75" customHeight="1">
      <c r="A164" s="28"/>
      <c r="B164" s="25"/>
      <c r="C164" s="26"/>
      <c r="D164" s="26"/>
      <c r="E164" s="26"/>
      <c r="F164" s="26"/>
      <c r="G164" s="26"/>
      <c r="H164" s="26"/>
      <c r="I164" s="26"/>
      <c r="J164" s="26"/>
      <c r="K164" s="26"/>
      <c r="L164" s="26"/>
      <c r="M164" s="29"/>
      <c r="N164" s="29"/>
      <c r="O164" s="29"/>
      <c r="P164" s="29"/>
      <c r="Q164" s="29"/>
      <c r="R164" s="29"/>
    </row>
    <row r="165" spans="1:18" ht="15.75" customHeight="1">
      <c r="A165" s="28"/>
      <c r="B165" s="25"/>
      <c r="C165" s="26"/>
      <c r="D165" s="26"/>
      <c r="E165" s="26"/>
      <c r="F165" s="26"/>
      <c r="G165" s="26"/>
      <c r="H165" s="26"/>
      <c r="I165" s="26"/>
      <c r="J165" s="26"/>
      <c r="K165" s="26"/>
      <c r="L165" s="26"/>
      <c r="M165" s="29"/>
      <c r="N165" s="29"/>
      <c r="O165" s="29"/>
      <c r="P165" s="29"/>
      <c r="Q165" s="29"/>
      <c r="R165" s="29"/>
    </row>
    <row r="166" spans="1:18" ht="15.75" customHeight="1">
      <c r="A166" s="28"/>
      <c r="B166" s="25"/>
      <c r="C166" s="26"/>
      <c r="D166" s="26"/>
      <c r="E166" s="26"/>
      <c r="F166" s="26"/>
      <c r="G166" s="26"/>
      <c r="H166" s="26"/>
      <c r="I166" s="26"/>
      <c r="J166" s="26"/>
      <c r="K166" s="26"/>
      <c r="L166" s="26"/>
      <c r="M166" s="29"/>
      <c r="N166" s="29"/>
      <c r="O166" s="29"/>
      <c r="P166" s="29"/>
      <c r="Q166" s="29"/>
      <c r="R166" s="29"/>
    </row>
    <row r="167" spans="1:18" ht="15.75" customHeight="1">
      <c r="A167" s="28"/>
      <c r="B167" s="25"/>
      <c r="C167" s="26"/>
      <c r="D167" s="26"/>
      <c r="E167" s="26"/>
      <c r="F167" s="26"/>
      <c r="G167" s="26"/>
      <c r="H167" s="26"/>
      <c r="I167" s="26"/>
      <c r="J167" s="26"/>
      <c r="K167" s="26"/>
      <c r="L167" s="26"/>
      <c r="M167" s="29"/>
      <c r="N167" s="29"/>
      <c r="O167" s="29"/>
      <c r="P167" s="29"/>
      <c r="Q167" s="29"/>
      <c r="R167" s="29"/>
    </row>
    <row r="168" spans="1:18" ht="15.75" customHeight="1">
      <c r="A168" s="28"/>
      <c r="B168" s="25"/>
      <c r="C168" s="26"/>
      <c r="D168" s="26"/>
      <c r="E168" s="26"/>
      <c r="F168" s="26"/>
      <c r="G168" s="26"/>
      <c r="H168" s="26"/>
      <c r="I168" s="26"/>
      <c r="J168" s="26"/>
      <c r="K168" s="26"/>
      <c r="L168" s="26"/>
      <c r="M168" s="29"/>
      <c r="N168" s="29"/>
      <c r="O168" s="29"/>
      <c r="P168" s="29"/>
      <c r="Q168" s="29"/>
      <c r="R168" s="29"/>
    </row>
    <row r="169" spans="1:18" ht="15.75" customHeight="1">
      <c r="A169" s="28"/>
      <c r="B169" s="25"/>
      <c r="C169" s="26"/>
      <c r="D169" s="26"/>
      <c r="E169" s="26"/>
      <c r="F169" s="26"/>
      <c r="G169" s="26"/>
      <c r="H169" s="26"/>
      <c r="I169" s="26"/>
      <c r="J169" s="26"/>
      <c r="K169" s="26"/>
      <c r="L169" s="26"/>
      <c r="M169" s="29"/>
      <c r="N169" s="29"/>
      <c r="O169" s="29"/>
      <c r="P169" s="29"/>
      <c r="Q169" s="29"/>
      <c r="R169" s="29"/>
    </row>
    <row r="170" spans="1:18" ht="15.75" customHeight="1">
      <c r="A170" s="28"/>
      <c r="B170" s="25"/>
      <c r="C170" s="26"/>
      <c r="D170" s="26"/>
      <c r="E170" s="26"/>
      <c r="F170" s="26"/>
      <c r="G170" s="26"/>
      <c r="H170" s="26"/>
      <c r="I170" s="26"/>
      <c r="J170" s="26"/>
      <c r="K170" s="26"/>
      <c r="L170" s="26"/>
      <c r="M170" s="29"/>
      <c r="N170" s="29"/>
      <c r="O170" s="29"/>
      <c r="P170" s="29"/>
      <c r="Q170" s="29"/>
      <c r="R170" s="29"/>
    </row>
    <row r="171" spans="1:18" ht="15.75" customHeight="1">
      <c r="A171" s="28"/>
      <c r="B171" s="25"/>
      <c r="C171" s="26"/>
      <c r="D171" s="26"/>
      <c r="E171" s="26"/>
      <c r="F171" s="26"/>
      <c r="G171" s="26"/>
      <c r="H171" s="26"/>
      <c r="I171" s="26"/>
      <c r="J171" s="26"/>
      <c r="K171" s="26"/>
      <c r="L171" s="26"/>
      <c r="M171" s="29"/>
      <c r="N171" s="29"/>
      <c r="O171" s="29"/>
      <c r="P171" s="29"/>
      <c r="Q171" s="29"/>
      <c r="R171" s="29"/>
    </row>
    <row r="172" spans="1:18" ht="15.75" customHeight="1">
      <c r="A172" s="28"/>
      <c r="B172" s="25"/>
      <c r="C172" s="26"/>
      <c r="D172" s="26"/>
      <c r="E172" s="26"/>
      <c r="F172" s="26"/>
      <c r="G172" s="26"/>
      <c r="H172" s="26"/>
      <c r="I172" s="26"/>
      <c r="J172" s="26"/>
      <c r="K172" s="26"/>
      <c r="L172" s="26"/>
      <c r="M172" s="29"/>
      <c r="N172" s="29"/>
      <c r="O172" s="29"/>
      <c r="P172" s="29"/>
      <c r="Q172" s="29"/>
      <c r="R172" s="29"/>
    </row>
    <row r="173" spans="1:18" ht="15.75" customHeight="1">
      <c r="A173" s="28"/>
      <c r="B173" s="25"/>
      <c r="C173" s="26"/>
      <c r="D173" s="26"/>
      <c r="E173" s="26"/>
      <c r="F173" s="26"/>
      <c r="G173" s="26"/>
      <c r="H173" s="26"/>
      <c r="I173" s="26"/>
      <c r="J173" s="26"/>
      <c r="K173" s="26"/>
      <c r="L173" s="26"/>
      <c r="M173" s="29"/>
      <c r="N173" s="29"/>
      <c r="O173" s="29"/>
      <c r="P173" s="29"/>
      <c r="Q173" s="29"/>
      <c r="R173" s="29"/>
    </row>
    <row r="174" spans="1:18" ht="15.75" customHeight="1">
      <c r="A174" s="28"/>
      <c r="B174" s="25"/>
      <c r="C174" s="26"/>
      <c r="D174" s="26"/>
      <c r="E174" s="26"/>
      <c r="F174" s="26"/>
      <c r="G174" s="26"/>
      <c r="H174" s="26"/>
      <c r="I174" s="26"/>
      <c r="J174" s="26"/>
      <c r="K174" s="26"/>
      <c r="L174" s="26"/>
      <c r="M174" s="29"/>
      <c r="N174" s="29"/>
      <c r="O174" s="29"/>
      <c r="P174" s="29"/>
      <c r="Q174" s="29"/>
      <c r="R174" s="29"/>
    </row>
    <row r="175" spans="1:18" ht="15.75" customHeight="1">
      <c r="A175" s="28"/>
      <c r="B175" s="25"/>
      <c r="C175" s="26"/>
      <c r="D175" s="26"/>
      <c r="E175" s="26"/>
      <c r="F175" s="26"/>
      <c r="G175" s="26"/>
      <c r="H175" s="26"/>
      <c r="I175" s="26"/>
      <c r="J175" s="26"/>
      <c r="K175" s="26"/>
      <c r="L175" s="26"/>
      <c r="M175" s="29"/>
      <c r="N175" s="29"/>
      <c r="O175" s="29"/>
      <c r="P175" s="29"/>
      <c r="Q175" s="29"/>
      <c r="R175" s="29"/>
    </row>
    <row r="176" spans="1:18" ht="15.75" customHeight="1">
      <c r="A176" s="28"/>
      <c r="B176" s="25"/>
      <c r="C176" s="26"/>
      <c r="D176" s="26"/>
      <c r="E176" s="26"/>
      <c r="F176" s="26"/>
      <c r="G176" s="26"/>
      <c r="H176" s="26"/>
      <c r="I176" s="26"/>
      <c r="J176" s="26"/>
      <c r="K176" s="26"/>
      <c r="L176" s="26"/>
      <c r="M176" s="29"/>
      <c r="N176" s="29"/>
      <c r="O176" s="29"/>
      <c r="P176" s="29"/>
      <c r="Q176" s="29"/>
      <c r="R176" s="29"/>
    </row>
    <row r="177" spans="1:18" ht="15.75" customHeight="1">
      <c r="A177" s="28"/>
      <c r="B177" s="25"/>
      <c r="C177" s="26"/>
      <c r="D177" s="26"/>
      <c r="E177" s="26"/>
      <c r="F177" s="26"/>
      <c r="G177" s="26"/>
      <c r="H177" s="26"/>
      <c r="I177" s="26"/>
      <c r="J177" s="26"/>
      <c r="K177" s="26"/>
      <c r="L177" s="26"/>
      <c r="M177" s="29"/>
      <c r="N177" s="29"/>
      <c r="O177" s="29"/>
      <c r="P177" s="29"/>
      <c r="Q177" s="29"/>
      <c r="R177" s="29"/>
    </row>
    <row r="178" spans="1:18" ht="15.75" customHeight="1">
      <c r="A178" s="28"/>
      <c r="B178" s="25"/>
      <c r="C178" s="26"/>
      <c r="D178" s="26"/>
      <c r="E178" s="26"/>
      <c r="F178" s="26"/>
      <c r="G178" s="26"/>
      <c r="H178" s="26"/>
      <c r="I178" s="26"/>
      <c r="J178" s="26"/>
      <c r="K178" s="26"/>
      <c r="L178" s="26"/>
      <c r="M178" s="29"/>
      <c r="N178" s="29"/>
      <c r="O178" s="29"/>
      <c r="P178" s="29"/>
      <c r="Q178" s="29"/>
      <c r="R178" s="29"/>
    </row>
    <row r="179" spans="1:18" ht="15.75" customHeight="1">
      <c r="A179" s="28"/>
      <c r="B179" s="25"/>
      <c r="C179" s="26"/>
      <c r="D179" s="26"/>
      <c r="E179" s="26"/>
      <c r="F179" s="26"/>
      <c r="G179" s="26"/>
      <c r="H179" s="26"/>
      <c r="I179" s="26"/>
      <c r="J179" s="26"/>
      <c r="K179" s="26"/>
      <c r="L179" s="26"/>
      <c r="M179" s="29"/>
      <c r="N179" s="29"/>
      <c r="O179" s="29"/>
      <c r="P179" s="29"/>
      <c r="Q179" s="29"/>
      <c r="R179" s="29"/>
    </row>
    <row r="180" spans="1:18" ht="15.75" customHeight="1">
      <c r="A180" s="28"/>
      <c r="B180" s="25"/>
      <c r="C180" s="26"/>
      <c r="D180" s="26"/>
      <c r="E180" s="26"/>
      <c r="F180" s="26"/>
      <c r="G180" s="26"/>
      <c r="H180" s="26"/>
      <c r="I180" s="26"/>
      <c r="J180" s="26"/>
      <c r="K180" s="26"/>
      <c r="L180" s="26"/>
      <c r="M180" s="29"/>
      <c r="N180" s="29"/>
      <c r="O180" s="29"/>
      <c r="P180" s="29"/>
      <c r="Q180" s="29"/>
      <c r="R180" s="29"/>
    </row>
    <row r="181" spans="1:18" ht="15.75" customHeight="1">
      <c r="A181" s="28"/>
      <c r="B181" s="25"/>
      <c r="C181" s="26"/>
      <c r="D181" s="26"/>
      <c r="E181" s="26"/>
      <c r="F181" s="26"/>
      <c r="G181" s="26"/>
      <c r="H181" s="26"/>
      <c r="I181" s="26"/>
      <c r="J181" s="26"/>
      <c r="K181" s="26"/>
      <c r="L181" s="26"/>
      <c r="M181" s="29"/>
      <c r="N181" s="29"/>
      <c r="O181" s="29"/>
      <c r="P181" s="29"/>
      <c r="Q181" s="29"/>
      <c r="R181" s="29"/>
    </row>
    <row r="182" spans="1:18" ht="15.75" customHeight="1">
      <c r="A182" s="28"/>
      <c r="B182" s="25"/>
      <c r="C182" s="26"/>
      <c r="D182" s="26"/>
      <c r="E182" s="26"/>
      <c r="F182" s="26"/>
      <c r="G182" s="26"/>
      <c r="H182" s="26"/>
      <c r="I182" s="26"/>
      <c r="J182" s="26"/>
      <c r="K182" s="26"/>
      <c r="L182" s="26"/>
      <c r="M182" s="29"/>
      <c r="N182" s="29"/>
      <c r="O182" s="29"/>
      <c r="P182" s="29"/>
      <c r="Q182" s="29"/>
      <c r="R182" s="29"/>
    </row>
    <row r="183" spans="1:18" ht="15.75" customHeight="1">
      <c r="A183" s="28"/>
      <c r="B183" s="25"/>
      <c r="C183" s="26"/>
      <c r="D183" s="26"/>
      <c r="E183" s="26"/>
      <c r="F183" s="26"/>
      <c r="G183" s="26"/>
      <c r="H183" s="26"/>
      <c r="I183" s="26"/>
      <c r="J183" s="26"/>
      <c r="K183" s="26"/>
      <c r="L183" s="26"/>
      <c r="M183" s="29"/>
      <c r="N183" s="29"/>
      <c r="O183" s="29"/>
      <c r="P183" s="29"/>
      <c r="Q183" s="29"/>
      <c r="R183" s="29"/>
    </row>
    <row r="184" spans="1:18" ht="15.75" customHeight="1">
      <c r="A184" s="28"/>
      <c r="B184" s="25"/>
      <c r="C184" s="26"/>
      <c r="D184" s="26"/>
      <c r="E184" s="26"/>
      <c r="F184" s="26"/>
      <c r="G184" s="26"/>
      <c r="H184" s="26"/>
      <c r="I184" s="26"/>
      <c r="J184" s="26"/>
      <c r="K184" s="26"/>
      <c r="L184" s="26"/>
      <c r="M184" s="29"/>
      <c r="N184" s="29"/>
      <c r="O184" s="29"/>
      <c r="P184" s="29"/>
      <c r="Q184" s="29"/>
      <c r="R184" s="29"/>
    </row>
    <row r="185" spans="1:18" ht="15.75" customHeight="1">
      <c r="A185" s="28"/>
      <c r="B185" s="25"/>
      <c r="C185" s="26"/>
      <c r="D185" s="26"/>
      <c r="E185" s="26"/>
      <c r="F185" s="26"/>
      <c r="G185" s="26"/>
      <c r="H185" s="26"/>
      <c r="I185" s="26"/>
      <c r="J185" s="26"/>
      <c r="K185" s="26"/>
      <c r="L185" s="26"/>
      <c r="M185" s="29"/>
      <c r="N185" s="29"/>
      <c r="O185" s="29"/>
      <c r="P185" s="29"/>
      <c r="Q185" s="29"/>
      <c r="R185" s="29"/>
    </row>
    <row r="186" spans="1:18" ht="15.75" customHeight="1">
      <c r="A186" s="28"/>
      <c r="B186" s="25"/>
      <c r="C186" s="26"/>
      <c r="D186" s="26"/>
      <c r="E186" s="26"/>
      <c r="F186" s="26"/>
      <c r="G186" s="26"/>
      <c r="H186" s="26"/>
      <c r="I186" s="26"/>
      <c r="J186" s="26"/>
      <c r="K186" s="26"/>
      <c r="L186" s="26"/>
      <c r="M186" s="29"/>
      <c r="N186" s="29"/>
      <c r="O186" s="29"/>
      <c r="P186" s="29"/>
      <c r="Q186" s="29"/>
      <c r="R186" s="29"/>
    </row>
    <row r="187" spans="1:18" ht="15.75" customHeight="1">
      <c r="A187" s="28"/>
      <c r="B187" s="25"/>
      <c r="C187" s="26"/>
      <c r="D187" s="26"/>
      <c r="E187" s="26"/>
      <c r="F187" s="26"/>
      <c r="G187" s="26"/>
      <c r="H187" s="26"/>
      <c r="I187" s="26"/>
      <c r="J187" s="26"/>
      <c r="K187" s="26"/>
      <c r="L187" s="26"/>
      <c r="M187" s="29"/>
      <c r="N187" s="29"/>
      <c r="O187" s="29"/>
      <c r="P187" s="29"/>
      <c r="Q187" s="29"/>
      <c r="R187" s="29"/>
    </row>
    <row r="188" spans="1:18" ht="15.75" customHeight="1">
      <c r="A188" s="28"/>
      <c r="B188" s="25"/>
      <c r="C188" s="26"/>
      <c r="D188" s="26"/>
      <c r="E188" s="26"/>
      <c r="F188" s="26"/>
      <c r="G188" s="26"/>
      <c r="H188" s="26"/>
      <c r="I188" s="26"/>
      <c r="J188" s="26"/>
      <c r="K188" s="26"/>
      <c r="L188" s="26"/>
      <c r="M188" s="29"/>
      <c r="N188" s="29"/>
      <c r="O188" s="29"/>
      <c r="P188" s="29"/>
      <c r="Q188" s="29"/>
      <c r="R188" s="29"/>
    </row>
    <row r="189" spans="1:18" ht="15.75" customHeight="1">
      <c r="A189" s="28"/>
      <c r="B189" s="25"/>
      <c r="C189" s="26"/>
      <c r="D189" s="26"/>
      <c r="E189" s="26"/>
      <c r="F189" s="26"/>
      <c r="G189" s="26"/>
      <c r="H189" s="26"/>
      <c r="I189" s="26"/>
      <c r="J189" s="26"/>
      <c r="K189" s="26"/>
      <c r="L189" s="26"/>
      <c r="M189" s="29"/>
      <c r="N189" s="29"/>
      <c r="O189" s="29"/>
      <c r="P189" s="29"/>
      <c r="Q189" s="29"/>
      <c r="R189" s="29"/>
    </row>
    <row r="190" spans="1:18" ht="15.75" customHeight="1">
      <c r="A190" s="28"/>
      <c r="B190" s="25"/>
      <c r="C190" s="26"/>
      <c r="D190" s="26"/>
      <c r="E190" s="26"/>
      <c r="F190" s="26"/>
      <c r="G190" s="26"/>
      <c r="H190" s="26"/>
      <c r="I190" s="26"/>
      <c r="J190" s="26"/>
      <c r="K190" s="26"/>
      <c r="L190" s="26"/>
      <c r="M190" s="29"/>
      <c r="N190" s="29"/>
      <c r="O190" s="29"/>
      <c r="P190" s="29"/>
      <c r="Q190" s="29"/>
      <c r="R190" s="29"/>
    </row>
    <row r="191" spans="1:18" ht="15.75" customHeight="1">
      <c r="A191" s="28"/>
      <c r="B191" s="25"/>
      <c r="C191" s="26"/>
      <c r="D191" s="26"/>
      <c r="E191" s="26"/>
      <c r="F191" s="26"/>
      <c r="G191" s="26"/>
      <c r="H191" s="26"/>
      <c r="I191" s="26"/>
      <c r="J191" s="26"/>
      <c r="K191" s="26"/>
      <c r="L191" s="26"/>
      <c r="M191" s="29"/>
      <c r="N191" s="29"/>
      <c r="O191" s="29"/>
      <c r="P191" s="29"/>
      <c r="Q191" s="29"/>
      <c r="R191" s="29"/>
    </row>
    <row r="192" spans="1:18" ht="15.75" customHeight="1">
      <c r="A192" s="28"/>
      <c r="B192" s="25"/>
      <c r="C192" s="26"/>
      <c r="D192" s="26"/>
      <c r="E192" s="26"/>
      <c r="F192" s="26"/>
      <c r="G192" s="26"/>
      <c r="H192" s="26"/>
      <c r="I192" s="26"/>
      <c r="J192" s="26"/>
      <c r="K192" s="26"/>
      <c r="L192" s="26"/>
      <c r="M192" s="29"/>
      <c r="N192" s="29"/>
      <c r="O192" s="29"/>
      <c r="P192" s="29"/>
      <c r="Q192" s="29"/>
      <c r="R192" s="29"/>
    </row>
    <row r="193" spans="1:18" ht="15.75" customHeight="1">
      <c r="A193" s="28"/>
      <c r="B193" s="25"/>
      <c r="C193" s="26"/>
      <c r="D193" s="26"/>
      <c r="E193" s="26"/>
      <c r="F193" s="26"/>
      <c r="G193" s="26"/>
      <c r="H193" s="26"/>
      <c r="I193" s="26"/>
      <c r="J193" s="26"/>
      <c r="K193" s="26"/>
      <c r="L193" s="26"/>
      <c r="M193" s="29"/>
      <c r="N193" s="29"/>
      <c r="O193" s="29"/>
      <c r="P193" s="29"/>
      <c r="Q193" s="29"/>
      <c r="R193" s="29"/>
    </row>
    <row r="194" spans="1:18" ht="15.75" customHeight="1">
      <c r="A194" s="28"/>
      <c r="B194" s="25"/>
      <c r="C194" s="26"/>
      <c r="D194" s="26"/>
      <c r="E194" s="26"/>
      <c r="F194" s="26"/>
      <c r="G194" s="26"/>
      <c r="H194" s="26"/>
      <c r="I194" s="26"/>
      <c r="J194" s="26"/>
      <c r="K194" s="26"/>
      <c r="L194" s="26"/>
      <c r="M194" s="29"/>
      <c r="N194" s="29"/>
      <c r="O194" s="29"/>
      <c r="P194" s="29"/>
      <c r="Q194" s="29"/>
      <c r="R194" s="29"/>
    </row>
    <row r="195" spans="1:18" ht="15.75" customHeight="1">
      <c r="A195" s="28"/>
      <c r="B195" s="25"/>
      <c r="C195" s="26"/>
      <c r="D195" s="26"/>
      <c r="E195" s="26"/>
      <c r="F195" s="26"/>
      <c r="G195" s="26"/>
      <c r="H195" s="26"/>
      <c r="I195" s="26"/>
      <c r="J195" s="26"/>
      <c r="K195" s="26"/>
      <c r="L195" s="26"/>
      <c r="M195" s="29"/>
      <c r="N195" s="29"/>
      <c r="O195" s="29"/>
      <c r="P195" s="29"/>
      <c r="Q195" s="29"/>
      <c r="R195" s="29"/>
    </row>
    <row r="196" spans="1:18" ht="15.75" customHeight="1">
      <c r="A196" s="28"/>
      <c r="B196" s="25"/>
      <c r="C196" s="26"/>
      <c r="D196" s="26"/>
      <c r="E196" s="26"/>
      <c r="F196" s="26"/>
      <c r="G196" s="26"/>
      <c r="H196" s="26"/>
      <c r="I196" s="26"/>
      <c r="J196" s="26"/>
      <c r="K196" s="26"/>
      <c r="L196" s="26"/>
      <c r="M196" s="29"/>
      <c r="N196" s="29"/>
      <c r="O196" s="29"/>
      <c r="P196" s="29"/>
      <c r="Q196" s="29"/>
      <c r="R196" s="29"/>
    </row>
    <row r="197" spans="1:18" ht="15.75" customHeight="1">
      <c r="A197" s="28"/>
      <c r="B197" s="25"/>
      <c r="C197" s="26"/>
      <c r="D197" s="26"/>
      <c r="E197" s="26"/>
      <c r="F197" s="26"/>
      <c r="G197" s="26"/>
      <c r="H197" s="26"/>
      <c r="I197" s="26"/>
      <c r="J197" s="26"/>
      <c r="K197" s="26"/>
      <c r="L197" s="26"/>
      <c r="M197" s="29"/>
      <c r="N197" s="29"/>
      <c r="O197" s="29"/>
      <c r="P197" s="29"/>
      <c r="Q197" s="29"/>
      <c r="R197" s="29"/>
    </row>
    <row r="198" spans="1:18" ht="15.75" customHeight="1">
      <c r="A198" s="28"/>
      <c r="B198" s="25"/>
      <c r="C198" s="26"/>
      <c r="D198" s="26"/>
      <c r="E198" s="26"/>
      <c r="F198" s="26"/>
      <c r="G198" s="26"/>
      <c r="H198" s="26"/>
      <c r="I198" s="26"/>
      <c r="J198" s="26"/>
      <c r="K198" s="26"/>
      <c r="L198" s="26"/>
      <c r="M198" s="29"/>
      <c r="N198" s="29"/>
      <c r="O198" s="29"/>
      <c r="P198" s="29"/>
      <c r="Q198" s="29"/>
      <c r="R198" s="29"/>
    </row>
    <row r="199" spans="1:18" ht="15.75" customHeight="1">
      <c r="A199" s="28"/>
      <c r="B199" s="25"/>
      <c r="C199" s="26"/>
      <c r="D199" s="26"/>
      <c r="E199" s="26"/>
      <c r="F199" s="26"/>
      <c r="G199" s="26"/>
      <c r="H199" s="26"/>
      <c r="I199" s="26"/>
      <c r="J199" s="26"/>
      <c r="K199" s="26"/>
      <c r="L199" s="26"/>
      <c r="M199" s="29"/>
      <c r="N199" s="29"/>
      <c r="O199" s="29"/>
      <c r="P199" s="29"/>
      <c r="Q199" s="29"/>
      <c r="R199" s="29"/>
    </row>
    <row r="200" spans="1:18" ht="15.75" customHeight="1">
      <c r="A200" s="28"/>
      <c r="B200" s="25"/>
      <c r="C200" s="26"/>
      <c r="D200" s="26"/>
      <c r="E200" s="26"/>
      <c r="F200" s="26"/>
      <c r="G200" s="26"/>
      <c r="H200" s="26"/>
      <c r="I200" s="26"/>
      <c r="J200" s="26"/>
      <c r="K200" s="26"/>
      <c r="L200" s="26"/>
      <c r="M200" s="29"/>
      <c r="N200" s="29"/>
      <c r="O200" s="29"/>
      <c r="P200" s="29"/>
      <c r="Q200" s="29"/>
      <c r="R200" s="29"/>
    </row>
    <row r="201" spans="1:18" ht="15.75" customHeight="1">
      <c r="A201" s="28"/>
      <c r="B201" s="25"/>
      <c r="C201" s="26"/>
      <c r="D201" s="26"/>
      <c r="E201" s="26"/>
      <c r="F201" s="26"/>
      <c r="G201" s="26"/>
      <c r="H201" s="26"/>
      <c r="I201" s="26"/>
      <c r="J201" s="26"/>
      <c r="K201" s="26"/>
      <c r="L201" s="26"/>
      <c r="M201" s="29"/>
      <c r="N201" s="29"/>
      <c r="O201" s="29"/>
      <c r="P201" s="29"/>
      <c r="Q201" s="29"/>
      <c r="R201" s="29"/>
    </row>
    <row r="202" spans="1:18" ht="15.75" customHeight="1">
      <c r="A202" s="28"/>
      <c r="B202" s="25"/>
      <c r="C202" s="26"/>
      <c r="D202" s="26"/>
      <c r="E202" s="26"/>
      <c r="F202" s="26"/>
      <c r="G202" s="26"/>
      <c r="H202" s="26"/>
      <c r="I202" s="26"/>
      <c r="J202" s="26"/>
      <c r="K202" s="26"/>
      <c r="L202" s="26"/>
      <c r="M202" s="29"/>
      <c r="N202" s="29"/>
      <c r="O202" s="29"/>
      <c r="P202" s="29"/>
      <c r="Q202" s="29"/>
      <c r="R202" s="29"/>
    </row>
    <row r="203" spans="1:18" ht="15.75" customHeight="1">
      <c r="A203" s="28"/>
      <c r="B203" s="25"/>
      <c r="C203" s="26"/>
      <c r="D203" s="26"/>
      <c r="E203" s="26"/>
      <c r="F203" s="26"/>
      <c r="G203" s="26"/>
      <c r="H203" s="26"/>
      <c r="I203" s="26"/>
      <c r="J203" s="26"/>
      <c r="K203" s="26"/>
      <c r="L203" s="26"/>
      <c r="M203" s="29"/>
      <c r="N203" s="29"/>
      <c r="O203" s="29"/>
      <c r="P203" s="29"/>
      <c r="Q203" s="29"/>
      <c r="R203" s="29"/>
    </row>
    <row r="204" spans="1:18" ht="15.75" customHeight="1">
      <c r="A204" s="28"/>
      <c r="B204" s="25"/>
      <c r="C204" s="26"/>
      <c r="D204" s="26"/>
      <c r="E204" s="26"/>
      <c r="F204" s="26"/>
      <c r="G204" s="26"/>
      <c r="H204" s="26"/>
      <c r="I204" s="26"/>
      <c r="J204" s="26"/>
      <c r="K204" s="26"/>
      <c r="L204" s="26"/>
      <c r="M204" s="29"/>
      <c r="N204" s="29"/>
      <c r="O204" s="29"/>
      <c r="P204" s="29"/>
      <c r="Q204" s="29"/>
      <c r="R204" s="29"/>
    </row>
    <row r="205" spans="1:18" ht="15.75" customHeight="1">
      <c r="A205" s="28"/>
      <c r="B205" s="25"/>
      <c r="C205" s="26"/>
      <c r="D205" s="26"/>
      <c r="E205" s="26"/>
      <c r="F205" s="26"/>
      <c r="G205" s="26"/>
      <c r="H205" s="26"/>
      <c r="I205" s="26"/>
      <c r="J205" s="26"/>
      <c r="K205" s="26"/>
      <c r="L205" s="26"/>
      <c r="M205" s="29"/>
      <c r="N205" s="29"/>
      <c r="O205" s="29"/>
      <c r="P205" s="29"/>
      <c r="Q205" s="29"/>
      <c r="R205" s="29"/>
    </row>
    <row r="206" spans="1:18" ht="15.75" customHeight="1">
      <c r="A206" s="28"/>
      <c r="B206" s="25"/>
      <c r="C206" s="26"/>
      <c r="D206" s="26"/>
      <c r="E206" s="26"/>
      <c r="F206" s="26"/>
      <c r="G206" s="26"/>
      <c r="H206" s="26"/>
      <c r="I206" s="26"/>
      <c r="J206" s="26"/>
      <c r="K206" s="26"/>
      <c r="L206" s="26"/>
      <c r="M206" s="29"/>
      <c r="N206" s="29"/>
      <c r="O206" s="29"/>
      <c r="P206" s="29"/>
      <c r="Q206" s="29"/>
      <c r="R206" s="29"/>
    </row>
    <row r="207" spans="1:18" ht="15.75" customHeight="1">
      <c r="A207" s="28"/>
      <c r="B207" s="25"/>
      <c r="C207" s="26"/>
      <c r="D207" s="26"/>
      <c r="E207" s="26"/>
      <c r="F207" s="26"/>
      <c r="G207" s="26"/>
      <c r="H207" s="26"/>
      <c r="I207" s="26"/>
      <c r="J207" s="26"/>
      <c r="K207" s="26"/>
      <c r="L207" s="26"/>
      <c r="M207" s="29"/>
      <c r="N207" s="29"/>
      <c r="O207" s="29"/>
      <c r="P207" s="29"/>
      <c r="Q207" s="29"/>
      <c r="R207" s="29"/>
    </row>
    <row r="208" spans="1:18" ht="15.75" customHeight="1">
      <c r="A208" s="28"/>
      <c r="B208" s="25"/>
      <c r="C208" s="26"/>
      <c r="D208" s="26"/>
      <c r="E208" s="26"/>
      <c r="F208" s="26"/>
      <c r="G208" s="26"/>
      <c r="H208" s="26"/>
      <c r="I208" s="26"/>
      <c r="J208" s="26"/>
      <c r="K208" s="26"/>
      <c r="L208" s="26"/>
      <c r="M208" s="29"/>
      <c r="N208" s="29"/>
      <c r="O208" s="29"/>
      <c r="P208" s="29"/>
      <c r="Q208" s="29"/>
      <c r="R208" s="29"/>
    </row>
    <row r="209" spans="1:18" ht="15.75" customHeight="1">
      <c r="A209" s="28"/>
      <c r="B209" s="25"/>
      <c r="C209" s="26"/>
      <c r="D209" s="26"/>
      <c r="E209" s="26"/>
      <c r="F209" s="26"/>
      <c r="G209" s="26"/>
      <c r="H209" s="26"/>
      <c r="I209" s="26"/>
      <c r="J209" s="26"/>
      <c r="K209" s="26"/>
      <c r="L209" s="26"/>
      <c r="M209" s="29"/>
      <c r="N209" s="29"/>
      <c r="O209" s="29"/>
      <c r="P209" s="29"/>
      <c r="Q209" s="29"/>
      <c r="R209" s="29"/>
    </row>
    <row r="210" spans="1:18" ht="15.75" customHeight="1">
      <c r="A210" s="28"/>
      <c r="B210" s="25"/>
      <c r="C210" s="26"/>
      <c r="D210" s="26"/>
      <c r="E210" s="26"/>
      <c r="F210" s="26"/>
      <c r="G210" s="26"/>
      <c r="H210" s="26"/>
      <c r="I210" s="26"/>
      <c r="J210" s="26"/>
      <c r="K210" s="26"/>
      <c r="L210" s="26"/>
      <c r="M210" s="29"/>
      <c r="N210" s="29"/>
      <c r="O210" s="29"/>
      <c r="P210" s="29"/>
      <c r="Q210" s="29"/>
      <c r="R210" s="29"/>
    </row>
    <row r="211" spans="1:18" ht="15.75" customHeight="1">
      <c r="A211" s="28"/>
      <c r="B211" s="25"/>
      <c r="C211" s="26"/>
      <c r="D211" s="26"/>
      <c r="E211" s="26"/>
      <c r="F211" s="26"/>
      <c r="G211" s="26"/>
      <c r="H211" s="26"/>
      <c r="I211" s="26"/>
      <c r="J211" s="26"/>
      <c r="K211" s="26"/>
      <c r="L211" s="26"/>
      <c r="M211" s="29"/>
      <c r="N211" s="29"/>
      <c r="O211" s="29"/>
      <c r="P211" s="29"/>
      <c r="Q211" s="29"/>
      <c r="R211" s="29"/>
    </row>
    <row r="212" spans="1:18" ht="15.75" customHeight="1">
      <c r="A212" s="28"/>
      <c r="B212" s="25"/>
      <c r="C212" s="26"/>
      <c r="D212" s="26"/>
      <c r="E212" s="26"/>
      <c r="F212" s="26"/>
      <c r="G212" s="26"/>
      <c r="H212" s="26"/>
      <c r="I212" s="26"/>
      <c r="J212" s="26"/>
      <c r="K212" s="26"/>
      <c r="L212" s="26"/>
      <c r="M212" s="29"/>
      <c r="N212" s="29"/>
      <c r="O212" s="29"/>
      <c r="P212" s="29"/>
      <c r="Q212" s="29"/>
      <c r="R212" s="29"/>
    </row>
    <row r="213" spans="1:18" ht="15.75" customHeight="1">
      <c r="A213" s="28"/>
      <c r="B213" s="25"/>
      <c r="C213" s="26"/>
      <c r="D213" s="26"/>
      <c r="E213" s="26"/>
      <c r="F213" s="26"/>
      <c r="G213" s="26"/>
      <c r="H213" s="26"/>
      <c r="I213" s="26"/>
      <c r="J213" s="26"/>
      <c r="K213" s="26"/>
      <c r="L213" s="26"/>
      <c r="M213" s="29"/>
      <c r="N213" s="29"/>
      <c r="O213" s="29"/>
      <c r="P213" s="29"/>
      <c r="Q213" s="29"/>
      <c r="R213" s="29"/>
    </row>
    <row r="214" spans="1:18" ht="15.75" customHeight="1">
      <c r="A214" s="28"/>
      <c r="B214" s="25"/>
      <c r="C214" s="26"/>
      <c r="D214" s="26"/>
      <c r="E214" s="26"/>
      <c r="F214" s="26"/>
      <c r="G214" s="26"/>
      <c r="H214" s="26"/>
      <c r="I214" s="26"/>
      <c r="J214" s="26"/>
      <c r="K214" s="26"/>
      <c r="L214" s="26"/>
      <c r="M214" s="29"/>
      <c r="N214" s="29"/>
      <c r="O214" s="29"/>
      <c r="P214" s="29"/>
      <c r="Q214" s="29"/>
      <c r="R214" s="29"/>
    </row>
    <row r="215" spans="1:18" ht="15.75" customHeight="1">
      <c r="A215" s="28"/>
      <c r="B215" s="25"/>
      <c r="C215" s="26"/>
      <c r="D215" s="26"/>
      <c r="E215" s="26"/>
      <c r="F215" s="26"/>
      <c r="G215" s="26"/>
      <c r="H215" s="26"/>
      <c r="I215" s="26"/>
      <c r="J215" s="26"/>
      <c r="K215" s="26"/>
      <c r="L215" s="26"/>
      <c r="M215" s="29"/>
      <c r="N215" s="29"/>
      <c r="O215" s="29"/>
      <c r="P215" s="29"/>
      <c r="Q215" s="29"/>
      <c r="R215" s="29"/>
    </row>
    <row r="216" spans="1:18" ht="15.75" customHeight="1">
      <c r="A216" s="28"/>
      <c r="B216" s="25"/>
      <c r="C216" s="26"/>
      <c r="D216" s="26"/>
      <c r="E216" s="26"/>
      <c r="F216" s="26"/>
      <c r="G216" s="26"/>
      <c r="H216" s="26"/>
      <c r="I216" s="26"/>
      <c r="J216" s="26"/>
      <c r="K216" s="26"/>
      <c r="L216" s="26"/>
      <c r="M216" s="29"/>
      <c r="N216" s="29"/>
      <c r="O216" s="29"/>
      <c r="P216" s="29"/>
      <c r="Q216" s="29"/>
      <c r="R216" s="29"/>
    </row>
    <row r="217" spans="1:18" ht="15.75" customHeight="1">
      <c r="A217" s="28"/>
      <c r="B217" s="25"/>
      <c r="C217" s="26"/>
      <c r="D217" s="26"/>
      <c r="E217" s="26"/>
      <c r="F217" s="26"/>
      <c r="G217" s="26"/>
      <c r="H217" s="26"/>
      <c r="I217" s="26"/>
      <c r="J217" s="26"/>
      <c r="K217" s="26"/>
      <c r="L217" s="26"/>
      <c r="M217" s="29"/>
      <c r="N217" s="29"/>
      <c r="O217" s="29"/>
      <c r="P217" s="29"/>
      <c r="Q217" s="29"/>
      <c r="R217" s="29"/>
    </row>
    <row r="218" spans="1:18" ht="15.75" customHeight="1">
      <c r="A218" s="28"/>
      <c r="B218" s="25"/>
      <c r="C218" s="26"/>
      <c r="D218" s="26"/>
      <c r="E218" s="26"/>
      <c r="F218" s="26"/>
      <c r="G218" s="26"/>
      <c r="H218" s="26"/>
      <c r="I218" s="26"/>
      <c r="J218" s="26"/>
      <c r="K218" s="26"/>
      <c r="L218" s="26"/>
      <c r="M218" s="29"/>
      <c r="N218" s="29"/>
      <c r="O218" s="29"/>
      <c r="P218" s="29"/>
      <c r="Q218" s="29"/>
      <c r="R218" s="29"/>
    </row>
    <row r="219" spans="1:18" ht="15.75" customHeight="1">
      <c r="A219" s="28"/>
      <c r="B219" s="25"/>
      <c r="C219" s="26"/>
      <c r="D219" s="26"/>
      <c r="E219" s="26"/>
      <c r="F219" s="26"/>
      <c r="G219" s="26"/>
      <c r="H219" s="26"/>
      <c r="I219" s="26"/>
      <c r="J219" s="26"/>
      <c r="K219" s="26"/>
      <c r="L219" s="26"/>
      <c r="M219" s="29"/>
      <c r="N219" s="29"/>
      <c r="O219" s="29"/>
      <c r="P219" s="29"/>
      <c r="Q219" s="29"/>
      <c r="R219" s="29"/>
    </row>
    <row r="220" spans="1:18" ht="15.75" customHeight="1">
      <c r="A220" s="28"/>
      <c r="B220" s="25"/>
      <c r="C220" s="26"/>
      <c r="D220" s="26"/>
      <c r="E220" s="26"/>
      <c r="F220" s="26"/>
      <c r="G220" s="26"/>
      <c r="H220" s="26"/>
      <c r="I220" s="26"/>
      <c r="J220" s="26"/>
      <c r="K220" s="26"/>
      <c r="L220" s="26"/>
      <c r="M220" s="29"/>
      <c r="N220" s="29"/>
      <c r="O220" s="29"/>
      <c r="P220" s="29"/>
      <c r="Q220" s="29"/>
      <c r="R220" s="29"/>
    </row>
    <row r="221" spans="1:18" ht="15.75" customHeight="1">
      <c r="A221" s="28"/>
      <c r="B221" s="25"/>
      <c r="C221" s="26"/>
      <c r="D221" s="26"/>
      <c r="E221" s="26"/>
      <c r="F221" s="26"/>
      <c r="G221" s="26"/>
      <c r="H221" s="26"/>
      <c r="I221" s="26"/>
      <c r="J221" s="26"/>
      <c r="K221" s="26"/>
      <c r="L221" s="26"/>
      <c r="M221" s="29"/>
      <c r="N221" s="29"/>
      <c r="O221" s="29"/>
      <c r="P221" s="29"/>
      <c r="Q221" s="29"/>
      <c r="R221" s="29"/>
    </row>
    <row r="222" spans="1:18" ht="15.75" customHeight="1">
      <c r="A222" s="28"/>
      <c r="B222" s="25"/>
      <c r="C222" s="26"/>
      <c r="D222" s="26"/>
      <c r="E222" s="26"/>
      <c r="F222" s="26"/>
      <c r="G222" s="26"/>
      <c r="H222" s="26"/>
      <c r="I222" s="26"/>
      <c r="J222" s="26"/>
      <c r="K222" s="26"/>
      <c r="L222" s="26"/>
      <c r="M222" s="29"/>
      <c r="N222" s="29"/>
      <c r="O222" s="29"/>
      <c r="P222" s="29"/>
      <c r="Q222" s="29"/>
      <c r="R222" s="29"/>
    </row>
    <row r="223" spans="1:18" ht="15.75" customHeight="1">
      <c r="A223" s="28"/>
      <c r="B223" s="25"/>
      <c r="C223" s="26"/>
      <c r="D223" s="26"/>
      <c r="E223" s="26"/>
      <c r="F223" s="26"/>
      <c r="G223" s="26"/>
      <c r="H223" s="26"/>
      <c r="I223" s="26"/>
      <c r="J223" s="26"/>
      <c r="K223" s="26"/>
      <c r="L223" s="26"/>
      <c r="M223" s="29"/>
      <c r="N223" s="29"/>
      <c r="O223" s="29"/>
      <c r="P223" s="29"/>
      <c r="Q223" s="29"/>
      <c r="R223" s="29"/>
    </row>
    <row r="224" spans="1:18" ht="15.75" customHeight="1">
      <c r="A224" s="28"/>
      <c r="B224" s="25"/>
      <c r="C224" s="26"/>
      <c r="D224" s="26"/>
      <c r="E224" s="26"/>
      <c r="F224" s="26"/>
      <c r="G224" s="26"/>
      <c r="H224" s="26"/>
      <c r="I224" s="26"/>
      <c r="J224" s="26"/>
      <c r="K224" s="26"/>
      <c r="L224" s="26"/>
      <c r="M224" s="29"/>
      <c r="N224" s="29"/>
      <c r="O224" s="29"/>
      <c r="P224" s="29"/>
      <c r="Q224" s="29"/>
      <c r="R224" s="29"/>
    </row>
    <row r="225" spans="1:18" ht="15.75" customHeight="1">
      <c r="A225" s="28"/>
      <c r="B225" s="25"/>
      <c r="C225" s="26"/>
      <c r="D225" s="26"/>
      <c r="E225" s="26"/>
      <c r="F225" s="26"/>
      <c r="G225" s="26"/>
      <c r="H225" s="26"/>
      <c r="I225" s="26"/>
      <c r="J225" s="26"/>
      <c r="K225" s="26"/>
      <c r="L225" s="26"/>
      <c r="M225" s="29"/>
      <c r="N225" s="29"/>
      <c r="O225" s="29"/>
      <c r="P225" s="29"/>
      <c r="Q225" s="29"/>
      <c r="R225" s="29"/>
    </row>
    <row r="226" spans="1:18" ht="15.75" customHeight="1">
      <c r="A226" s="28"/>
      <c r="B226" s="25"/>
      <c r="C226" s="26"/>
      <c r="D226" s="26"/>
      <c r="E226" s="26"/>
      <c r="F226" s="26"/>
      <c r="G226" s="26"/>
      <c r="H226" s="26"/>
      <c r="I226" s="26"/>
      <c r="J226" s="26"/>
      <c r="K226" s="26"/>
      <c r="L226" s="26"/>
      <c r="M226" s="29"/>
      <c r="N226" s="29"/>
      <c r="O226" s="29"/>
      <c r="P226" s="29"/>
      <c r="Q226" s="29"/>
      <c r="R226" s="29"/>
    </row>
    <row r="227" spans="1:18" ht="15.75" customHeight="1">
      <c r="A227" s="28"/>
      <c r="B227" s="25"/>
      <c r="C227" s="26"/>
      <c r="D227" s="26"/>
      <c r="E227" s="26"/>
      <c r="F227" s="26"/>
      <c r="G227" s="26"/>
      <c r="H227" s="26"/>
      <c r="I227" s="26"/>
      <c r="J227" s="26"/>
      <c r="K227" s="26"/>
      <c r="L227" s="26"/>
      <c r="M227" s="29"/>
      <c r="N227" s="29"/>
      <c r="O227" s="29"/>
      <c r="P227" s="29"/>
      <c r="Q227" s="29"/>
      <c r="R227" s="29"/>
    </row>
    <row r="228" spans="1:18" ht="15.75" customHeight="1">
      <c r="A228" s="28"/>
      <c r="B228" s="25"/>
      <c r="C228" s="26"/>
      <c r="D228" s="26"/>
      <c r="E228" s="26"/>
      <c r="F228" s="26"/>
      <c r="G228" s="26"/>
      <c r="H228" s="26"/>
      <c r="I228" s="26"/>
      <c r="J228" s="26"/>
      <c r="K228" s="26"/>
      <c r="L228" s="26"/>
      <c r="M228" s="29"/>
      <c r="N228" s="29"/>
      <c r="O228" s="29"/>
      <c r="P228" s="29"/>
      <c r="Q228" s="29"/>
      <c r="R228" s="29"/>
    </row>
    <row r="229" spans="1:18" ht="15.75" customHeight="1">
      <c r="A229" s="28"/>
      <c r="B229" s="25"/>
      <c r="C229" s="26"/>
      <c r="D229" s="26"/>
      <c r="E229" s="26"/>
      <c r="F229" s="26"/>
      <c r="G229" s="26"/>
      <c r="H229" s="26"/>
      <c r="I229" s="26"/>
      <c r="J229" s="26"/>
      <c r="K229" s="26"/>
      <c r="L229" s="26"/>
      <c r="M229" s="29"/>
      <c r="N229" s="29"/>
      <c r="O229" s="29"/>
      <c r="P229" s="29"/>
      <c r="Q229" s="29"/>
      <c r="R229" s="29"/>
    </row>
    <row r="230" spans="1:18" ht="15.75" customHeight="1">
      <c r="A230" s="28"/>
      <c r="B230" s="25"/>
      <c r="C230" s="26"/>
      <c r="D230" s="26"/>
      <c r="E230" s="26"/>
      <c r="F230" s="26"/>
      <c r="G230" s="26"/>
      <c r="H230" s="26"/>
      <c r="I230" s="26"/>
      <c r="J230" s="26"/>
      <c r="K230" s="26"/>
      <c r="L230" s="26"/>
      <c r="M230" s="29"/>
      <c r="N230" s="29"/>
      <c r="O230" s="29"/>
      <c r="P230" s="29"/>
      <c r="Q230" s="29"/>
      <c r="R230" s="29"/>
    </row>
    <row r="231" spans="1:18" ht="15.75" customHeight="1">
      <c r="A231" s="28"/>
      <c r="B231" s="25"/>
      <c r="C231" s="26"/>
      <c r="D231" s="26"/>
      <c r="E231" s="26"/>
      <c r="F231" s="26"/>
      <c r="G231" s="26"/>
      <c r="H231" s="26"/>
      <c r="I231" s="26"/>
      <c r="J231" s="26"/>
      <c r="K231" s="26"/>
      <c r="L231" s="26"/>
      <c r="M231" s="29"/>
      <c r="N231" s="29"/>
      <c r="O231" s="29"/>
      <c r="P231" s="29"/>
      <c r="Q231" s="29"/>
      <c r="R231" s="29"/>
    </row>
    <row r="232" spans="1:18" ht="15.75" customHeight="1">
      <c r="A232" s="28"/>
      <c r="B232" s="25"/>
      <c r="C232" s="26"/>
      <c r="D232" s="26"/>
      <c r="E232" s="26"/>
      <c r="F232" s="26"/>
      <c r="G232" s="26"/>
      <c r="H232" s="26"/>
      <c r="I232" s="26"/>
      <c r="J232" s="26"/>
      <c r="K232" s="26"/>
      <c r="L232" s="26"/>
      <c r="M232" s="29"/>
      <c r="N232" s="29"/>
      <c r="O232" s="29"/>
      <c r="P232" s="29"/>
      <c r="Q232" s="29"/>
      <c r="R232" s="29"/>
    </row>
    <row r="233" spans="1:18" ht="15.75" customHeight="1">
      <c r="A233" s="28"/>
      <c r="B233" s="25"/>
      <c r="C233" s="26"/>
      <c r="D233" s="26"/>
      <c r="E233" s="26"/>
      <c r="F233" s="26"/>
      <c r="G233" s="26"/>
      <c r="H233" s="26"/>
      <c r="I233" s="26"/>
      <c r="J233" s="26"/>
      <c r="K233" s="26"/>
      <c r="L233" s="26"/>
      <c r="M233" s="29"/>
      <c r="N233" s="29"/>
      <c r="O233" s="29"/>
      <c r="P233" s="29"/>
      <c r="Q233" s="29"/>
      <c r="R233" s="29"/>
    </row>
    <row r="234" spans="1:18" ht="15.75" customHeight="1">
      <c r="A234" s="28"/>
      <c r="B234" s="25"/>
      <c r="C234" s="26"/>
      <c r="D234" s="26"/>
      <c r="E234" s="26"/>
      <c r="F234" s="26"/>
      <c r="G234" s="26"/>
      <c r="H234" s="26"/>
      <c r="I234" s="26"/>
      <c r="J234" s="26"/>
      <c r="K234" s="26"/>
      <c r="L234" s="26"/>
      <c r="M234" s="29"/>
      <c r="N234" s="29"/>
      <c r="O234" s="29"/>
      <c r="P234" s="29"/>
      <c r="Q234" s="29"/>
      <c r="R234" s="29"/>
    </row>
    <row r="235" spans="1:18" ht="15.75" customHeight="1">
      <c r="A235" s="28"/>
      <c r="B235" s="25"/>
      <c r="C235" s="26"/>
      <c r="D235" s="26"/>
      <c r="E235" s="26"/>
      <c r="F235" s="26"/>
      <c r="G235" s="26"/>
      <c r="H235" s="26"/>
      <c r="I235" s="26"/>
      <c r="J235" s="26"/>
      <c r="K235" s="26"/>
      <c r="L235" s="26"/>
      <c r="M235" s="29"/>
      <c r="N235" s="29"/>
      <c r="O235" s="29"/>
      <c r="P235" s="29"/>
      <c r="Q235" s="29"/>
      <c r="R235" s="29"/>
    </row>
    <row r="236" spans="1:18" ht="15.75" customHeight="1">
      <c r="A236" s="28"/>
      <c r="B236" s="25"/>
      <c r="C236" s="26"/>
      <c r="D236" s="26"/>
      <c r="E236" s="26"/>
      <c r="F236" s="26"/>
      <c r="G236" s="26"/>
      <c r="H236" s="26"/>
      <c r="I236" s="26"/>
      <c r="J236" s="26"/>
      <c r="K236" s="26"/>
      <c r="L236" s="26"/>
      <c r="M236" s="29"/>
      <c r="N236" s="29"/>
      <c r="O236" s="29"/>
      <c r="P236" s="29"/>
      <c r="Q236" s="29"/>
      <c r="R236" s="29"/>
    </row>
    <row r="237" spans="1:18" ht="15.75" customHeight="1">
      <c r="A237" s="28"/>
      <c r="B237" s="25"/>
      <c r="C237" s="26"/>
      <c r="D237" s="26"/>
      <c r="E237" s="26"/>
      <c r="F237" s="26"/>
      <c r="G237" s="26"/>
      <c r="H237" s="26"/>
      <c r="I237" s="26"/>
      <c r="J237" s="26"/>
      <c r="K237" s="26"/>
      <c r="L237" s="26"/>
      <c r="M237" s="29"/>
      <c r="N237" s="29"/>
      <c r="O237" s="29"/>
      <c r="P237" s="29"/>
      <c r="Q237" s="29"/>
      <c r="R237" s="29"/>
    </row>
    <row r="238" spans="1:18" ht="15.75" customHeight="1">
      <c r="A238" s="28"/>
      <c r="B238" s="25"/>
      <c r="C238" s="26"/>
      <c r="D238" s="26"/>
      <c r="E238" s="26"/>
      <c r="F238" s="26"/>
      <c r="G238" s="26"/>
      <c r="H238" s="26"/>
      <c r="I238" s="26"/>
      <c r="J238" s="26"/>
      <c r="K238" s="26"/>
      <c r="L238" s="26"/>
      <c r="M238" s="29"/>
      <c r="N238" s="29"/>
      <c r="O238" s="29"/>
      <c r="P238" s="29"/>
      <c r="Q238" s="29"/>
      <c r="R238" s="29"/>
    </row>
    <row r="239" spans="1:18" ht="15.75" customHeight="1">
      <c r="A239" s="28"/>
      <c r="B239" s="25"/>
      <c r="C239" s="26"/>
      <c r="D239" s="26"/>
      <c r="E239" s="26"/>
      <c r="F239" s="26"/>
      <c r="G239" s="26"/>
      <c r="H239" s="26"/>
      <c r="I239" s="26"/>
      <c r="J239" s="26"/>
      <c r="K239" s="26"/>
      <c r="L239" s="26"/>
      <c r="M239" s="29"/>
      <c r="N239" s="29"/>
      <c r="O239" s="29"/>
      <c r="P239" s="29"/>
      <c r="Q239" s="29"/>
      <c r="R239" s="29"/>
    </row>
    <row r="240" spans="1:18" ht="15.75" customHeight="1">
      <c r="A240" s="28"/>
      <c r="B240" s="25"/>
      <c r="C240" s="26"/>
      <c r="D240" s="26"/>
      <c r="E240" s="26"/>
      <c r="F240" s="26"/>
      <c r="G240" s="26"/>
      <c r="H240" s="26"/>
      <c r="I240" s="26"/>
      <c r="J240" s="26"/>
      <c r="K240" s="26"/>
      <c r="L240" s="26"/>
      <c r="M240" s="29"/>
      <c r="N240" s="29"/>
      <c r="O240" s="29"/>
      <c r="P240" s="29"/>
      <c r="Q240" s="29"/>
      <c r="R240" s="29"/>
    </row>
    <row r="241" spans="1:18" ht="15.75" customHeight="1">
      <c r="A241" s="28"/>
      <c r="B241" s="25"/>
      <c r="C241" s="26"/>
      <c r="D241" s="26"/>
      <c r="E241" s="26"/>
      <c r="F241" s="26"/>
      <c r="G241" s="26"/>
      <c r="H241" s="26"/>
      <c r="I241" s="26"/>
      <c r="J241" s="26"/>
      <c r="K241" s="26"/>
      <c r="L241" s="26"/>
      <c r="M241" s="29"/>
      <c r="N241" s="29"/>
      <c r="O241" s="29"/>
      <c r="P241" s="29"/>
      <c r="Q241" s="29"/>
      <c r="R241" s="29"/>
    </row>
    <row r="242" spans="1:18" ht="15.75" customHeight="1">
      <c r="A242" s="28"/>
      <c r="B242" s="25"/>
      <c r="C242" s="26"/>
      <c r="D242" s="26"/>
      <c r="E242" s="26"/>
      <c r="F242" s="26"/>
      <c r="G242" s="26"/>
      <c r="H242" s="26"/>
      <c r="I242" s="26"/>
      <c r="J242" s="26"/>
      <c r="K242" s="26"/>
      <c r="L242" s="26"/>
      <c r="M242" s="29"/>
      <c r="N242" s="29"/>
      <c r="O242" s="29"/>
      <c r="P242" s="29"/>
      <c r="Q242" s="29"/>
      <c r="R242" s="29"/>
    </row>
    <row r="243" spans="1:18" ht="15.75" customHeight="1">
      <c r="A243" s="28"/>
      <c r="B243" s="25"/>
      <c r="C243" s="26"/>
      <c r="D243" s="26"/>
      <c r="E243" s="26"/>
      <c r="F243" s="26"/>
      <c r="G243" s="26"/>
      <c r="H243" s="26"/>
      <c r="I243" s="26"/>
      <c r="J243" s="26"/>
      <c r="K243" s="26"/>
      <c r="L243" s="26"/>
      <c r="M243" s="29"/>
      <c r="N243" s="29"/>
      <c r="O243" s="29"/>
      <c r="P243" s="29"/>
      <c r="Q243" s="29"/>
      <c r="R243" s="29"/>
    </row>
    <row r="244" spans="1:18" ht="15.75" customHeight="1">
      <c r="A244" s="28"/>
      <c r="B244" s="25"/>
      <c r="C244" s="26"/>
      <c r="D244" s="26"/>
      <c r="E244" s="26"/>
      <c r="F244" s="26"/>
      <c r="G244" s="26"/>
      <c r="H244" s="26"/>
      <c r="I244" s="26"/>
      <c r="J244" s="26"/>
      <c r="K244" s="26"/>
      <c r="L244" s="26"/>
      <c r="M244" s="29"/>
      <c r="N244" s="29"/>
      <c r="O244" s="29"/>
      <c r="P244" s="29"/>
      <c r="Q244" s="29"/>
      <c r="R244" s="29"/>
    </row>
    <row r="245" spans="1:18" ht="15.75" customHeight="1">
      <c r="A245" s="28"/>
      <c r="B245" s="25"/>
      <c r="C245" s="26"/>
      <c r="D245" s="26"/>
      <c r="E245" s="26"/>
      <c r="F245" s="26"/>
      <c r="G245" s="26"/>
      <c r="H245" s="26"/>
      <c r="I245" s="26"/>
      <c r="J245" s="26"/>
      <c r="K245" s="26"/>
      <c r="L245" s="26"/>
      <c r="M245" s="29"/>
      <c r="N245" s="29"/>
      <c r="O245" s="29"/>
      <c r="P245" s="29"/>
      <c r="Q245" s="29"/>
      <c r="R245" s="29"/>
    </row>
    <row r="246" spans="1:18" ht="15.75" customHeight="1">
      <c r="A246" s="28"/>
      <c r="B246" s="25"/>
      <c r="C246" s="26"/>
      <c r="D246" s="26"/>
      <c r="E246" s="26"/>
      <c r="F246" s="26"/>
      <c r="G246" s="26"/>
      <c r="H246" s="26"/>
      <c r="I246" s="26"/>
      <c r="J246" s="26"/>
      <c r="K246" s="26"/>
      <c r="L246" s="26"/>
      <c r="M246" s="29"/>
      <c r="N246" s="29"/>
      <c r="O246" s="29"/>
      <c r="P246" s="29"/>
      <c r="Q246" s="29"/>
      <c r="R246" s="29"/>
    </row>
    <row r="247" spans="1:18" ht="15.75" customHeight="1">
      <c r="A247" s="28"/>
      <c r="B247" s="25"/>
      <c r="C247" s="26"/>
      <c r="D247" s="26"/>
      <c r="E247" s="26"/>
      <c r="F247" s="26"/>
      <c r="G247" s="26"/>
      <c r="H247" s="26"/>
      <c r="I247" s="26"/>
      <c r="J247" s="26"/>
      <c r="K247" s="26"/>
      <c r="L247" s="26"/>
      <c r="M247" s="29"/>
      <c r="N247" s="29"/>
      <c r="O247" s="29"/>
      <c r="P247" s="29"/>
      <c r="Q247" s="29"/>
      <c r="R247" s="29"/>
    </row>
    <row r="248" spans="1:18" ht="15.75" customHeight="1">
      <c r="A248" s="28"/>
      <c r="B248" s="25"/>
      <c r="C248" s="26"/>
      <c r="D248" s="26"/>
      <c r="E248" s="26"/>
      <c r="F248" s="26"/>
      <c r="G248" s="26"/>
      <c r="H248" s="26"/>
      <c r="I248" s="26"/>
      <c r="J248" s="26"/>
      <c r="K248" s="26"/>
      <c r="L248" s="26"/>
      <c r="M248" s="29"/>
      <c r="N248" s="29"/>
      <c r="O248" s="29"/>
      <c r="P248" s="29"/>
      <c r="Q248" s="29"/>
      <c r="R248" s="29"/>
    </row>
    <row r="249" spans="1:18" ht="15.75" customHeight="1">
      <c r="A249" s="28"/>
      <c r="B249" s="25"/>
      <c r="C249" s="26"/>
      <c r="D249" s="26"/>
      <c r="E249" s="26"/>
      <c r="F249" s="26"/>
      <c r="G249" s="26"/>
      <c r="H249" s="26"/>
      <c r="I249" s="26"/>
      <c r="J249" s="26"/>
      <c r="K249" s="26"/>
      <c r="L249" s="26"/>
      <c r="M249" s="29"/>
      <c r="N249" s="29"/>
      <c r="O249" s="29"/>
      <c r="P249" s="29"/>
      <c r="Q249" s="29"/>
      <c r="R249" s="29"/>
    </row>
    <row r="250" spans="1:18" ht="15.75" customHeight="1">
      <c r="A250" s="28"/>
      <c r="B250" s="25"/>
      <c r="C250" s="26"/>
      <c r="D250" s="26"/>
      <c r="E250" s="26"/>
      <c r="F250" s="26"/>
      <c r="G250" s="26"/>
      <c r="H250" s="26"/>
      <c r="I250" s="26"/>
      <c r="J250" s="26"/>
      <c r="K250" s="26"/>
      <c r="L250" s="26"/>
      <c r="M250" s="29"/>
      <c r="N250" s="29"/>
      <c r="O250" s="29"/>
      <c r="P250" s="29"/>
      <c r="Q250" s="29"/>
      <c r="R250" s="29"/>
    </row>
    <row r="251" spans="1:18" ht="15.75" customHeight="1">
      <c r="A251" s="28"/>
      <c r="B251" s="25"/>
      <c r="C251" s="26"/>
      <c r="D251" s="26"/>
      <c r="E251" s="26"/>
      <c r="F251" s="26"/>
      <c r="G251" s="26"/>
      <c r="H251" s="26"/>
      <c r="I251" s="26"/>
      <c r="J251" s="26"/>
      <c r="K251" s="26"/>
      <c r="L251" s="26"/>
      <c r="M251" s="29"/>
      <c r="N251" s="29"/>
      <c r="O251" s="29"/>
      <c r="P251" s="29"/>
      <c r="Q251" s="29"/>
      <c r="R251" s="29"/>
    </row>
    <row r="252" spans="1:18" ht="15.75" customHeight="1">
      <c r="A252" s="28"/>
      <c r="B252" s="25"/>
      <c r="C252" s="26"/>
      <c r="D252" s="26"/>
      <c r="E252" s="26"/>
      <c r="F252" s="26"/>
      <c r="G252" s="26"/>
      <c r="H252" s="26"/>
      <c r="I252" s="26"/>
      <c r="J252" s="26"/>
      <c r="K252" s="26"/>
      <c r="L252" s="26"/>
      <c r="M252" s="29"/>
      <c r="N252" s="29"/>
      <c r="O252" s="29"/>
      <c r="P252" s="29"/>
      <c r="Q252" s="29"/>
      <c r="R252" s="29"/>
    </row>
    <row r="253" spans="1:18" ht="15.75" customHeight="1">
      <c r="A253" s="28"/>
      <c r="B253" s="25"/>
      <c r="C253" s="26"/>
      <c r="D253" s="26"/>
      <c r="E253" s="26"/>
      <c r="F253" s="26"/>
      <c r="G253" s="26"/>
      <c r="H253" s="26"/>
      <c r="I253" s="26"/>
      <c r="J253" s="26"/>
      <c r="K253" s="26"/>
      <c r="L253" s="26"/>
      <c r="M253" s="29"/>
      <c r="N253" s="29"/>
      <c r="O253" s="29"/>
      <c r="P253" s="29"/>
      <c r="Q253" s="29"/>
      <c r="R253" s="29"/>
    </row>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1"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999"/>
  <sheetViews>
    <sheetView workbookViewId="0">
      <pane ySplit="1" topLeftCell="A32" activePane="bottomLeft" state="frozen"/>
      <selection pane="bottomLeft" activeCell="A54" sqref="A54:XFD54"/>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37" width="8.7109375" customWidth="1"/>
  </cols>
  <sheetData>
    <row r="1" spans="1:18" ht="15.75" customHeight="1">
      <c r="A1" s="57" t="s">
        <v>323</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58" t="s">
        <v>324</v>
      </c>
      <c r="B2" s="59" t="s">
        <v>150</v>
      </c>
      <c r="C2" s="60" t="s">
        <v>18</v>
      </c>
      <c r="D2" s="60" t="s">
        <v>18</v>
      </c>
      <c r="E2" s="60" t="s">
        <v>18</v>
      </c>
      <c r="F2" s="60" t="s">
        <v>18</v>
      </c>
      <c r="G2" s="60" t="s">
        <v>18</v>
      </c>
      <c r="H2" s="60"/>
      <c r="I2" s="60"/>
      <c r="J2" s="60"/>
      <c r="K2" s="60"/>
      <c r="L2" s="60"/>
      <c r="M2" s="60">
        <f t="shared" ref="M2:Q2" si="0">IF(TRIM(SUBSTITUTE(C2, "　", " "))=TRIM(SUBSTITUTE($B2, "　", " ")), 2, 0)</f>
        <v>2</v>
      </c>
      <c r="N2" s="60">
        <f t="shared" si="0"/>
        <v>2</v>
      </c>
      <c r="O2" s="60">
        <f t="shared" si="0"/>
        <v>2</v>
      </c>
      <c r="P2" s="60">
        <f t="shared" si="0"/>
        <v>2</v>
      </c>
      <c r="Q2" s="61">
        <f t="shared" si="0"/>
        <v>2</v>
      </c>
      <c r="R2" s="2"/>
    </row>
    <row r="3" spans="1:18" ht="15.75" customHeight="1">
      <c r="A3" s="58" t="s">
        <v>325</v>
      </c>
      <c r="B3" s="59" t="s">
        <v>162</v>
      </c>
      <c r="C3" s="60" t="s">
        <v>23</v>
      </c>
      <c r="D3" s="60" t="s">
        <v>20</v>
      </c>
      <c r="E3" s="60" t="s">
        <v>17</v>
      </c>
      <c r="F3" s="60" t="s">
        <v>102</v>
      </c>
      <c r="G3" s="60" t="s">
        <v>17</v>
      </c>
      <c r="H3" s="60"/>
      <c r="I3" s="60"/>
      <c r="J3" s="60"/>
      <c r="K3" s="60"/>
      <c r="L3" s="60"/>
      <c r="M3" s="60">
        <f t="shared" ref="M3:Q3" si="1">IF(TRIM(SUBSTITUTE(C3, "　", " "))=TRIM(SUBSTITUTE($B3, "　", " ")), 2, 0)</f>
        <v>0</v>
      </c>
      <c r="N3" s="60">
        <f t="shared" si="1"/>
        <v>0</v>
      </c>
      <c r="O3" s="60">
        <f t="shared" si="1"/>
        <v>2</v>
      </c>
      <c r="P3" s="60">
        <f t="shared" si="1"/>
        <v>0</v>
      </c>
      <c r="Q3" s="61">
        <f t="shared" si="1"/>
        <v>2</v>
      </c>
      <c r="R3" s="11"/>
    </row>
    <row r="4" spans="1:18" ht="15.75" customHeight="1">
      <c r="A4" s="58" t="s">
        <v>326</v>
      </c>
      <c r="B4" s="59" t="s">
        <v>155</v>
      </c>
      <c r="C4" s="60" t="s">
        <v>18</v>
      </c>
      <c r="D4" s="60" t="s">
        <v>18</v>
      </c>
      <c r="E4" s="60" t="s">
        <v>18</v>
      </c>
      <c r="F4" s="60" t="s">
        <v>18</v>
      </c>
      <c r="G4" s="60" t="s">
        <v>18</v>
      </c>
      <c r="H4" s="60"/>
      <c r="I4" s="60"/>
      <c r="J4" s="60"/>
      <c r="K4" s="60"/>
      <c r="L4" s="60"/>
      <c r="M4" s="60">
        <f t="shared" ref="M4:Q4" si="2">IF(TRIM(SUBSTITUTE(C4, "　", " "))=TRIM(SUBSTITUTE($B4, "　", " ")), 2, 0)</f>
        <v>0</v>
      </c>
      <c r="N4" s="60">
        <f t="shared" si="2"/>
        <v>0</v>
      </c>
      <c r="O4" s="60">
        <f t="shared" si="2"/>
        <v>0</v>
      </c>
      <c r="P4" s="60">
        <f t="shared" si="2"/>
        <v>0</v>
      </c>
      <c r="Q4" s="61">
        <f t="shared" si="2"/>
        <v>0</v>
      </c>
      <c r="R4" s="11"/>
    </row>
    <row r="5" spans="1:18" ht="15.75" customHeight="1">
      <c r="A5" s="58" t="s">
        <v>327</v>
      </c>
      <c r="B5" s="59" t="s">
        <v>148</v>
      </c>
      <c r="C5" s="60" t="s">
        <v>18</v>
      </c>
      <c r="D5" s="60" t="s">
        <v>20</v>
      </c>
      <c r="E5" s="60" t="s">
        <v>20</v>
      </c>
      <c r="F5" s="60" t="s">
        <v>23</v>
      </c>
      <c r="G5" s="60" t="s">
        <v>23</v>
      </c>
      <c r="H5" s="60"/>
      <c r="I5" s="60"/>
      <c r="J5" s="60"/>
      <c r="K5" s="60"/>
      <c r="L5" s="60"/>
      <c r="M5" s="60">
        <f t="shared" ref="M5:Q5" si="3">IF(TRIM(SUBSTITUTE(C5, "　", " "))=TRIM(SUBSTITUTE($B5, "　", " ")), 2, 0)</f>
        <v>0</v>
      </c>
      <c r="N5" s="60">
        <f t="shared" si="3"/>
        <v>0</v>
      </c>
      <c r="O5" s="60">
        <f t="shared" si="3"/>
        <v>0</v>
      </c>
      <c r="P5" s="60">
        <f t="shared" si="3"/>
        <v>2</v>
      </c>
      <c r="Q5" s="60">
        <f t="shared" si="3"/>
        <v>2</v>
      </c>
      <c r="R5" s="2"/>
    </row>
    <row r="6" spans="1:18" ht="15.75" customHeight="1">
      <c r="A6" s="58" t="s">
        <v>328</v>
      </c>
      <c r="B6" s="59" t="s">
        <v>150</v>
      </c>
      <c r="C6" s="60" t="s">
        <v>18</v>
      </c>
      <c r="D6" s="60" t="s">
        <v>18</v>
      </c>
      <c r="E6" s="60" t="s">
        <v>47</v>
      </c>
      <c r="F6" s="60" t="s">
        <v>18</v>
      </c>
      <c r="G6" s="60" t="s">
        <v>18</v>
      </c>
      <c r="H6" s="60"/>
      <c r="I6" s="60"/>
      <c r="J6" s="60"/>
      <c r="K6" s="60"/>
      <c r="L6" s="60"/>
      <c r="M6" s="60">
        <f t="shared" ref="M6:Q6" si="4">IF(TRIM(SUBSTITUTE(C6, "　", " "))=TRIM(SUBSTITUTE($B6, "　", " ")), 2, 0)</f>
        <v>2</v>
      </c>
      <c r="N6" s="60">
        <f t="shared" si="4"/>
        <v>2</v>
      </c>
      <c r="O6" s="60">
        <f t="shared" si="4"/>
        <v>0</v>
      </c>
      <c r="P6" s="60">
        <f t="shared" si="4"/>
        <v>2</v>
      </c>
      <c r="Q6" s="60">
        <f t="shared" si="4"/>
        <v>2</v>
      </c>
      <c r="R6" s="2"/>
    </row>
    <row r="7" spans="1:18" ht="15.75" customHeight="1">
      <c r="A7" s="58" t="s">
        <v>329</v>
      </c>
      <c r="B7" s="59" t="s">
        <v>148</v>
      </c>
      <c r="C7" s="60" t="s">
        <v>23</v>
      </c>
      <c r="D7" s="60" t="s">
        <v>23</v>
      </c>
      <c r="E7" s="60" t="s">
        <v>23</v>
      </c>
      <c r="F7" s="60" t="s">
        <v>23</v>
      </c>
      <c r="G7" s="60" t="s">
        <v>23</v>
      </c>
      <c r="H7" s="60"/>
      <c r="I7" s="60"/>
      <c r="J7" s="60"/>
      <c r="K7" s="60"/>
      <c r="L7" s="60"/>
      <c r="M7" s="60">
        <f t="shared" ref="M7:Q7" si="5">IF(TRIM(SUBSTITUTE(C7, "　", " "))=TRIM(SUBSTITUTE($B7, "　", " ")), 2, 0)</f>
        <v>2</v>
      </c>
      <c r="N7" s="60">
        <f t="shared" si="5"/>
        <v>2</v>
      </c>
      <c r="O7" s="60">
        <f t="shared" si="5"/>
        <v>2</v>
      </c>
      <c r="P7" s="60">
        <f t="shared" si="5"/>
        <v>2</v>
      </c>
      <c r="Q7" s="60">
        <f t="shared" si="5"/>
        <v>2</v>
      </c>
      <c r="R7" s="2"/>
    </row>
    <row r="8" spans="1:18" ht="15.75" customHeight="1">
      <c r="A8" s="58" t="s">
        <v>330</v>
      </c>
      <c r="B8" s="59" t="s">
        <v>150</v>
      </c>
      <c r="C8" s="60" t="s">
        <v>18</v>
      </c>
      <c r="D8" s="60" t="s">
        <v>18</v>
      </c>
      <c r="E8" s="60" t="s">
        <v>18</v>
      </c>
      <c r="F8" s="60" t="s">
        <v>18</v>
      </c>
      <c r="G8" s="60" t="s">
        <v>18</v>
      </c>
      <c r="H8" s="60"/>
      <c r="I8" s="60"/>
      <c r="J8" s="60"/>
      <c r="K8" s="60"/>
      <c r="L8" s="60"/>
      <c r="M8" s="60">
        <f t="shared" ref="M8:Q8" si="6">IF(TRIM(SUBSTITUTE(C8, "　", " "))=TRIM(SUBSTITUTE($B8, "　", " ")), 2, 0)</f>
        <v>2</v>
      </c>
      <c r="N8" s="60">
        <f t="shared" si="6"/>
        <v>2</v>
      </c>
      <c r="O8" s="60">
        <f t="shared" si="6"/>
        <v>2</v>
      </c>
      <c r="P8" s="60">
        <f t="shared" si="6"/>
        <v>2</v>
      </c>
      <c r="Q8" s="60">
        <f t="shared" si="6"/>
        <v>2</v>
      </c>
      <c r="R8" s="2"/>
    </row>
    <row r="9" spans="1:18" ht="15.75" customHeight="1">
      <c r="A9" s="58" t="s">
        <v>331</v>
      </c>
      <c r="B9" s="59" t="s">
        <v>162</v>
      </c>
      <c r="C9" s="60" t="s">
        <v>17</v>
      </c>
      <c r="D9" s="60" t="s">
        <v>17</v>
      </c>
      <c r="E9" s="60" t="s">
        <v>18</v>
      </c>
      <c r="F9" s="60" t="s">
        <v>17</v>
      </c>
      <c r="G9" s="60" t="s">
        <v>17</v>
      </c>
      <c r="H9" s="60"/>
      <c r="I9" s="60"/>
      <c r="J9" s="60"/>
      <c r="K9" s="60"/>
      <c r="L9" s="60"/>
      <c r="M9" s="60">
        <f t="shared" ref="M9:Q9" si="7">IF(TRIM(SUBSTITUTE(C9, "　", " "))=TRIM(SUBSTITUTE($B9, "　", " ")), 2, 0)</f>
        <v>2</v>
      </c>
      <c r="N9" s="60">
        <f t="shared" si="7"/>
        <v>2</v>
      </c>
      <c r="O9" s="60">
        <f t="shared" si="7"/>
        <v>0</v>
      </c>
      <c r="P9" s="60">
        <f t="shared" si="7"/>
        <v>2</v>
      </c>
      <c r="Q9" s="60">
        <f t="shared" si="7"/>
        <v>2</v>
      </c>
      <c r="R9" s="2"/>
    </row>
    <row r="10" spans="1:18" ht="15.75" customHeight="1">
      <c r="A10" s="58" t="s">
        <v>332</v>
      </c>
      <c r="B10" s="59" t="s">
        <v>150</v>
      </c>
      <c r="C10" s="60" t="s">
        <v>23</v>
      </c>
      <c r="D10" s="60" t="s">
        <v>18</v>
      </c>
      <c r="E10" s="59" t="s">
        <v>18</v>
      </c>
      <c r="F10" s="59" t="s">
        <v>18</v>
      </c>
      <c r="G10" s="59" t="s">
        <v>18</v>
      </c>
      <c r="H10" s="59"/>
      <c r="I10" s="59"/>
      <c r="J10" s="59"/>
      <c r="K10" s="59"/>
      <c r="L10" s="59"/>
      <c r="M10" s="60">
        <f t="shared" ref="M10:Q10" si="8">IF(TRIM(SUBSTITUTE(C10, "　", " "))=TRIM(SUBSTITUTE($B10, "　", " ")), 2, 0)</f>
        <v>0</v>
      </c>
      <c r="N10" s="60">
        <f t="shared" si="8"/>
        <v>2</v>
      </c>
      <c r="O10" s="60">
        <f t="shared" si="8"/>
        <v>2</v>
      </c>
      <c r="P10" s="60">
        <f t="shared" si="8"/>
        <v>2</v>
      </c>
      <c r="Q10" s="60">
        <f t="shared" si="8"/>
        <v>2</v>
      </c>
      <c r="R10" s="2"/>
    </row>
    <row r="11" spans="1:18" ht="15.75" customHeight="1">
      <c r="A11" s="58" t="s">
        <v>333</v>
      </c>
      <c r="B11" s="59" t="s">
        <v>148</v>
      </c>
      <c r="C11" s="60" t="s">
        <v>18</v>
      </c>
      <c r="D11" s="60" t="s">
        <v>23</v>
      </c>
      <c r="E11" s="59" t="s">
        <v>23</v>
      </c>
      <c r="F11" s="59" t="s">
        <v>23</v>
      </c>
      <c r="G11" s="59" t="s">
        <v>23</v>
      </c>
      <c r="H11" s="59"/>
      <c r="I11" s="59"/>
      <c r="J11" s="59"/>
      <c r="K11" s="59"/>
      <c r="L11" s="59"/>
      <c r="M11" s="60">
        <f t="shared" ref="M11:Q11" si="9">IF(TRIM(SUBSTITUTE(C11, "　", " "))=TRIM(SUBSTITUTE($B11, "　", " ")), 2, 0)</f>
        <v>0</v>
      </c>
      <c r="N11" s="60">
        <f t="shared" si="9"/>
        <v>2</v>
      </c>
      <c r="O11" s="60">
        <f t="shared" si="9"/>
        <v>2</v>
      </c>
      <c r="P11" s="60">
        <f t="shared" si="9"/>
        <v>2</v>
      </c>
      <c r="Q11" s="60">
        <f t="shared" si="9"/>
        <v>2</v>
      </c>
      <c r="R11" s="2"/>
    </row>
    <row r="12" spans="1:18" ht="15.75" customHeight="1">
      <c r="A12" s="58" t="s">
        <v>334</v>
      </c>
      <c r="B12" s="59" t="s">
        <v>148</v>
      </c>
      <c r="C12" s="59" t="s">
        <v>148</v>
      </c>
      <c r="D12" s="60" t="s">
        <v>23</v>
      </c>
      <c r="E12" s="59" t="s">
        <v>23</v>
      </c>
      <c r="F12" s="59" t="s">
        <v>23</v>
      </c>
      <c r="G12" s="59" t="s">
        <v>23</v>
      </c>
      <c r="H12" s="59"/>
      <c r="I12" s="59"/>
      <c r="J12" s="59"/>
      <c r="K12" s="59"/>
      <c r="L12" s="59"/>
      <c r="M12" s="60">
        <f t="shared" ref="M12:Q12" si="10">IF(TRIM(SUBSTITUTE(C12, "　", " "))=TRIM(SUBSTITUTE($B12, "　", " ")), 2, 0)</f>
        <v>2</v>
      </c>
      <c r="N12" s="60">
        <f t="shared" si="10"/>
        <v>2</v>
      </c>
      <c r="O12" s="60">
        <f t="shared" si="10"/>
        <v>2</v>
      </c>
      <c r="P12" s="60">
        <f t="shared" si="10"/>
        <v>2</v>
      </c>
      <c r="Q12" s="60">
        <f t="shared" si="10"/>
        <v>2</v>
      </c>
      <c r="R12" s="2"/>
    </row>
    <row r="13" spans="1:18" ht="15.75" customHeight="1">
      <c r="A13" s="58" t="s">
        <v>335</v>
      </c>
      <c r="B13" s="59" t="s">
        <v>148</v>
      </c>
      <c r="C13" s="59" t="s">
        <v>148</v>
      </c>
      <c r="D13" s="60" t="s">
        <v>23</v>
      </c>
      <c r="E13" s="60" t="s">
        <v>23</v>
      </c>
      <c r="F13" s="60" t="s">
        <v>23</v>
      </c>
      <c r="G13" s="60" t="s">
        <v>23</v>
      </c>
      <c r="H13" s="60"/>
      <c r="I13" s="60"/>
      <c r="J13" s="60"/>
      <c r="K13" s="60"/>
      <c r="L13" s="60"/>
      <c r="M13" s="60">
        <f t="shared" ref="M13:Q13" si="11">IF(TRIM(SUBSTITUTE(C13, "　", " "))=TRIM(SUBSTITUTE($B13, "　", " ")), 2, 0)</f>
        <v>2</v>
      </c>
      <c r="N13" s="60">
        <f t="shared" si="11"/>
        <v>2</v>
      </c>
      <c r="O13" s="60">
        <f t="shared" si="11"/>
        <v>2</v>
      </c>
      <c r="P13" s="60">
        <f t="shared" si="11"/>
        <v>2</v>
      </c>
      <c r="Q13" s="60">
        <f t="shared" si="11"/>
        <v>2</v>
      </c>
      <c r="R13" s="2"/>
    </row>
    <row r="14" spans="1:18" ht="15.75" customHeight="1">
      <c r="A14" s="58" t="s">
        <v>336</v>
      </c>
      <c r="B14" s="59" t="s">
        <v>162</v>
      </c>
      <c r="C14" s="59" t="s">
        <v>162</v>
      </c>
      <c r="D14" s="60" t="s">
        <v>17</v>
      </c>
      <c r="E14" s="60" t="s">
        <v>17</v>
      </c>
      <c r="F14" s="60" t="s">
        <v>17</v>
      </c>
      <c r="G14" s="60" t="s">
        <v>17</v>
      </c>
      <c r="H14" s="60"/>
      <c r="I14" s="60"/>
      <c r="J14" s="60"/>
      <c r="K14" s="60"/>
      <c r="L14" s="60"/>
      <c r="M14" s="60">
        <f t="shared" ref="M14:Q14" si="12">IF(TRIM(SUBSTITUTE(C14, "　", " "))=TRIM(SUBSTITUTE($B14, "　", " ")), 2, 0)</f>
        <v>2</v>
      </c>
      <c r="N14" s="60">
        <f t="shared" si="12"/>
        <v>2</v>
      </c>
      <c r="O14" s="60">
        <f t="shared" si="12"/>
        <v>2</v>
      </c>
      <c r="P14" s="60">
        <f t="shared" si="12"/>
        <v>2</v>
      </c>
      <c r="Q14" s="60">
        <f t="shared" si="12"/>
        <v>2</v>
      </c>
      <c r="R14" s="2"/>
    </row>
    <row r="15" spans="1:18" ht="15.75" customHeight="1">
      <c r="A15" s="58" t="s">
        <v>337</v>
      </c>
      <c r="B15" s="59" t="s">
        <v>162</v>
      </c>
      <c r="C15" s="59" t="s">
        <v>162</v>
      </c>
      <c r="D15" s="60" t="s">
        <v>17</v>
      </c>
      <c r="E15" s="60" t="s">
        <v>17</v>
      </c>
      <c r="F15" s="60" t="s">
        <v>17</v>
      </c>
      <c r="G15" s="60" t="s">
        <v>17</v>
      </c>
      <c r="H15" s="60"/>
      <c r="I15" s="60"/>
      <c r="J15" s="60"/>
      <c r="K15" s="60"/>
      <c r="L15" s="60"/>
      <c r="M15" s="60">
        <f t="shared" ref="M15:Q15" si="13">IF(TRIM(SUBSTITUTE(C15, "　", " "))=TRIM(SUBSTITUTE($B15, "　", " ")), 2, 0)</f>
        <v>2</v>
      </c>
      <c r="N15" s="60">
        <f t="shared" si="13"/>
        <v>2</v>
      </c>
      <c r="O15" s="60">
        <f t="shared" si="13"/>
        <v>2</v>
      </c>
      <c r="P15" s="60">
        <f t="shared" si="13"/>
        <v>2</v>
      </c>
      <c r="Q15" s="60">
        <f t="shared" si="13"/>
        <v>2</v>
      </c>
      <c r="R15" s="2"/>
    </row>
    <row r="16" spans="1:18" ht="15.75" customHeight="1">
      <c r="A16" s="62" t="s">
        <v>338</v>
      </c>
      <c r="B16" s="59"/>
      <c r="C16" s="60"/>
      <c r="D16" s="60"/>
      <c r="E16" s="60" t="s">
        <v>83</v>
      </c>
      <c r="F16" s="60"/>
      <c r="G16" s="60"/>
      <c r="H16" s="60"/>
      <c r="I16" s="60"/>
      <c r="J16" s="60"/>
      <c r="K16" s="60"/>
      <c r="L16" s="60"/>
      <c r="M16" s="60"/>
      <c r="N16" s="60"/>
      <c r="O16" s="60"/>
      <c r="P16" s="60"/>
      <c r="Q16" s="60"/>
      <c r="R16" s="2"/>
    </row>
    <row r="17" spans="1:19" ht="15.75" customHeight="1">
      <c r="A17" s="58" t="s">
        <v>339</v>
      </c>
      <c r="B17" s="59" t="s">
        <v>155</v>
      </c>
      <c r="C17" s="59" t="s">
        <v>148</v>
      </c>
      <c r="D17" s="60" t="s">
        <v>23</v>
      </c>
      <c r="E17" s="60" t="s">
        <v>23</v>
      </c>
      <c r="F17" s="60" t="s">
        <v>20</v>
      </c>
      <c r="G17" s="60" t="s">
        <v>20</v>
      </c>
      <c r="H17" s="63"/>
      <c r="I17" s="63"/>
      <c r="J17" s="63"/>
      <c r="K17" s="63"/>
      <c r="L17" s="63"/>
      <c r="M17" s="60">
        <f t="shared" ref="M17:Q17" si="14">IF(TRIM(SUBSTITUTE(C17, "　", " "))=TRIM(SUBSTITUTE($B17, "　", " ")), 2, 0)</f>
        <v>0</v>
      </c>
      <c r="N17" s="60">
        <f t="shared" si="14"/>
        <v>0</v>
      </c>
      <c r="O17" s="60">
        <f t="shared" si="14"/>
        <v>0</v>
      </c>
      <c r="P17" s="60">
        <f t="shared" si="14"/>
        <v>2</v>
      </c>
      <c r="Q17" s="60">
        <f t="shared" si="14"/>
        <v>2</v>
      </c>
      <c r="R17" s="2"/>
    </row>
    <row r="18" spans="1:19" ht="15.75" customHeight="1">
      <c r="A18" s="58" t="s">
        <v>340</v>
      </c>
      <c r="B18" s="59" t="s">
        <v>148</v>
      </c>
      <c r="C18" s="63" t="s">
        <v>20</v>
      </c>
      <c r="D18" s="63" t="s">
        <v>17</v>
      </c>
      <c r="E18" s="63" t="s">
        <v>17</v>
      </c>
      <c r="F18" s="63" t="s">
        <v>17</v>
      </c>
      <c r="G18" s="63" t="s">
        <v>23</v>
      </c>
      <c r="H18" s="63"/>
      <c r="I18" s="63"/>
      <c r="J18" s="63"/>
      <c r="K18" s="63"/>
      <c r="L18" s="63"/>
      <c r="M18" s="60">
        <f t="shared" ref="M18:Q18" si="15">IF(TRIM(SUBSTITUTE(C18, "　", " "))=TRIM(SUBSTITUTE($B18, "　", " ")), 2, 0)</f>
        <v>0</v>
      </c>
      <c r="N18" s="60">
        <f t="shared" si="15"/>
        <v>0</v>
      </c>
      <c r="O18" s="60">
        <f t="shared" si="15"/>
        <v>0</v>
      </c>
      <c r="P18" s="60">
        <f t="shared" si="15"/>
        <v>0</v>
      </c>
      <c r="Q18" s="60">
        <f t="shared" si="15"/>
        <v>2</v>
      </c>
      <c r="R18" s="2"/>
    </row>
    <row r="19" spans="1:19" ht="15.75" customHeight="1">
      <c r="A19" s="58" t="s">
        <v>341</v>
      </c>
      <c r="B19" s="59" t="s">
        <v>148</v>
      </c>
      <c r="C19" s="63" t="s">
        <v>148</v>
      </c>
      <c r="D19" s="63" t="s">
        <v>23</v>
      </c>
      <c r="E19" s="63" t="s">
        <v>23</v>
      </c>
      <c r="F19" s="63" t="s">
        <v>23</v>
      </c>
      <c r="G19" s="63" t="s">
        <v>23</v>
      </c>
      <c r="H19" s="63"/>
      <c r="I19" s="63"/>
      <c r="J19" s="63"/>
      <c r="K19" s="63"/>
      <c r="L19" s="63"/>
      <c r="M19" s="60">
        <f t="shared" ref="M19:Q19" si="16">IF(TRIM(SUBSTITUTE(C19, "　", " "))=TRIM(SUBSTITUTE($B19, "　", " ")), 2, 0)</f>
        <v>2</v>
      </c>
      <c r="N19" s="60">
        <f t="shared" si="16"/>
        <v>2</v>
      </c>
      <c r="O19" s="60">
        <f t="shared" si="16"/>
        <v>2</v>
      </c>
      <c r="P19" s="60">
        <f t="shared" si="16"/>
        <v>2</v>
      </c>
      <c r="Q19" s="60">
        <f t="shared" si="16"/>
        <v>2</v>
      </c>
      <c r="R19" s="2"/>
    </row>
    <row r="20" spans="1:19" ht="15.75" customHeight="1">
      <c r="A20" s="62" t="s">
        <v>342</v>
      </c>
      <c r="B20" s="59"/>
      <c r="C20" s="63"/>
      <c r="D20" s="63"/>
      <c r="E20" s="63"/>
      <c r="F20" s="63"/>
      <c r="G20" s="63"/>
      <c r="H20" s="63"/>
      <c r="I20" s="63"/>
      <c r="J20" s="63"/>
      <c r="K20" s="63"/>
      <c r="L20" s="63"/>
      <c r="M20" s="60"/>
      <c r="N20" s="60"/>
      <c r="O20" s="60"/>
      <c r="P20" s="60"/>
      <c r="Q20" s="60"/>
      <c r="R20" s="2"/>
    </row>
    <row r="21" spans="1:19" ht="15.75" customHeight="1">
      <c r="A21" s="58" t="s">
        <v>343</v>
      </c>
      <c r="B21" s="59" t="s">
        <v>150</v>
      </c>
      <c r="C21" s="63" t="s">
        <v>23</v>
      </c>
      <c r="D21" s="63" t="s">
        <v>23</v>
      </c>
      <c r="E21" s="63" t="s">
        <v>20</v>
      </c>
      <c r="F21" s="63" t="s">
        <v>18</v>
      </c>
      <c r="G21" s="63" t="s">
        <v>18</v>
      </c>
      <c r="H21" s="63"/>
      <c r="I21" s="63"/>
      <c r="J21" s="63"/>
      <c r="K21" s="63"/>
      <c r="L21" s="63"/>
      <c r="M21" s="60">
        <f t="shared" ref="M21:Q21" si="17">IF(TRIM(SUBSTITUTE(C21, "　", " "))=TRIM(SUBSTITUTE($B21, "　", " ")), 2, 0)</f>
        <v>0</v>
      </c>
      <c r="N21" s="60">
        <f t="shared" si="17"/>
        <v>0</v>
      </c>
      <c r="O21" s="60">
        <f t="shared" si="17"/>
        <v>0</v>
      </c>
      <c r="P21" s="60">
        <f t="shared" si="17"/>
        <v>2</v>
      </c>
      <c r="Q21" s="60">
        <f t="shared" si="17"/>
        <v>2</v>
      </c>
      <c r="R21" s="2"/>
    </row>
    <row r="22" spans="1:19" ht="15.75" customHeight="1">
      <c r="A22" s="58" t="s">
        <v>344</v>
      </c>
      <c r="B22" s="59" t="s">
        <v>162</v>
      </c>
      <c r="C22" s="63" t="s">
        <v>17</v>
      </c>
      <c r="D22" s="63" t="s">
        <v>17</v>
      </c>
      <c r="E22" s="63" t="s">
        <v>17</v>
      </c>
      <c r="F22" s="63" t="s">
        <v>17</v>
      </c>
      <c r="G22" s="63" t="s">
        <v>17</v>
      </c>
      <c r="H22" s="63"/>
      <c r="I22" s="63"/>
      <c r="J22" s="63"/>
      <c r="K22" s="63"/>
      <c r="L22" s="63"/>
      <c r="M22" s="60">
        <f t="shared" ref="M22:Q22" si="18">IF(TRIM(SUBSTITUTE(C22, "　", " "))=TRIM(SUBSTITUTE($B22, "　", " ")), 2, 0)</f>
        <v>2</v>
      </c>
      <c r="N22" s="60">
        <f t="shared" si="18"/>
        <v>2</v>
      </c>
      <c r="O22" s="60">
        <f t="shared" si="18"/>
        <v>2</v>
      </c>
      <c r="P22" s="60">
        <f t="shared" si="18"/>
        <v>2</v>
      </c>
      <c r="Q22" s="60">
        <f t="shared" si="18"/>
        <v>2</v>
      </c>
      <c r="R22" s="2"/>
    </row>
    <row r="23" spans="1:19" ht="15.75" customHeight="1">
      <c r="A23" s="62" t="s">
        <v>345</v>
      </c>
      <c r="B23" s="59"/>
      <c r="C23" s="63"/>
      <c r="D23" s="63"/>
      <c r="E23" s="63"/>
      <c r="F23" s="63"/>
      <c r="G23" s="63"/>
      <c r="H23" s="63"/>
      <c r="I23" s="63"/>
      <c r="J23" s="63"/>
      <c r="K23" s="63"/>
      <c r="L23" s="63"/>
      <c r="M23" s="60"/>
      <c r="N23" s="60"/>
      <c r="O23" s="60"/>
      <c r="P23" s="60"/>
      <c r="Q23" s="60"/>
      <c r="R23" s="11"/>
    </row>
    <row r="24" spans="1:19" ht="15.75" customHeight="1">
      <c r="A24" s="58" t="s">
        <v>346</v>
      </c>
      <c r="B24" s="59" t="s">
        <v>150</v>
      </c>
      <c r="C24" s="63" t="s">
        <v>18</v>
      </c>
      <c r="D24" s="63" t="s">
        <v>18</v>
      </c>
      <c r="E24" s="63" t="s">
        <v>23</v>
      </c>
      <c r="F24" s="63" t="s">
        <v>18</v>
      </c>
      <c r="G24" s="63" t="s">
        <v>18</v>
      </c>
      <c r="H24" s="63"/>
      <c r="I24" s="63"/>
      <c r="J24" s="63"/>
      <c r="K24" s="63"/>
      <c r="L24" s="63"/>
      <c r="M24" s="60">
        <f t="shared" ref="M24:Q24" si="19">IF(TRIM(SUBSTITUTE(C24, "　", " "))=TRIM(SUBSTITUTE($B24, "　", " ")), 2, 0)</f>
        <v>2</v>
      </c>
      <c r="N24" s="60">
        <f t="shared" si="19"/>
        <v>2</v>
      </c>
      <c r="O24" s="60">
        <f t="shared" si="19"/>
        <v>0</v>
      </c>
      <c r="P24" s="60">
        <f t="shared" si="19"/>
        <v>2</v>
      </c>
      <c r="Q24" s="60">
        <f t="shared" si="19"/>
        <v>2</v>
      </c>
      <c r="R24" s="11"/>
    </row>
    <row r="25" spans="1:19" ht="15.75" customHeight="1">
      <c r="A25" s="58" t="s">
        <v>347</v>
      </c>
      <c r="B25" s="59" t="s">
        <v>155</v>
      </c>
      <c r="C25" s="63" t="s">
        <v>17</v>
      </c>
      <c r="D25" s="63" t="s">
        <v>17</v>
      </c>
      <c r="E25" s="63" t="s">
        <v>23</v>
      </c>
      <c r="F25" s="63" t="s">
        <v>20</v>
      </c>
      <c r="G25" s="63" t="s">
        <v>17</v>
      </c>
      <c r="H25" s="63"/>
      <c r="I25" s="63"/>
      <c r="J25" s="63"/>
      <c r="K25" s="63"/>
      <c r="L25" s="63"/>
      <c r="M25" s="60">
        <f t="shared" ref="M25:Q25" si="20">IF(TRIM(SUBSTITUTE(C25, "　", " "))=TRIM(SUBSTITUTE($B25, "　", " ")), 2, 0)</f>
        <v>0</v>
      </c>
      <c r="N25" s="60">
        <f t="shared" si="20"/>
        <v>0</v>
      </c>
      <c r="O25" s="60">
        <f t="shared" si="20"/>
        <v>0</v>
      </c>
      <c r="P25" s="60">
        <f t="shared" si="20"/>
        <v>2</v>
      </c>
      <c r="Q25" s="60">
        <f t="shared" si="20"/>
        <v>0</v>
      </c>
      <c r="R25" s="11"/>
    </row>
    <row r="26" spans="1:19" ht="15.75" customHeight="1">
      <c r="A26" s="62" t="s">
        <v>348</v>
      </c>
      <c r="B26" s="59"/>
      <c r="C26" s="63"/>
      <c r="D26" s="63"/>
      <c r="E26" s="63" t="s">
        <v>83</v>
      </c>
      <c r="F26" s="63"/>
      <c r="G26" s="63"/>
      <c r="H26" s="63"/>
      <c r="I26" s="63"/>
      <c r="J26" s="63"/>
      <c r="K26" s="63"/>
      <c r="L26" s="63"/>
      <c r="M26" s="60"/>
      <c r="N26" s="60"/>
      <c r="O26" s="60"/>
      <c r="P26" s="60"/>
      <c r="Q26" s="60"/>
      <c r="R26" s="11"/>
    </row>
    <row r="27" spans="1:19" ht="15.75" customHeight="1">
      <c r="A27" s="58" t="s">
        <v>349</v>
      </c>
      <c r="B27" s="59" t="s">
        <v>155</v>
      </c>
      <c r="C27" s="63" t="s">
        <v>17</v>
      </c>
      <c r="D27" s="63" t="s">
        <v>20</v>
      </c>
      <c r="E27" s="63" t="s">
        <v>23</v>
      </c>
      <c r="F27" s="63" t="s">
        <v>23</v>
      </c>
      <c r="G27" s="63" t="s">
        <v>20</v>
      </c>
      <c r="H27" s="63"/>
      <c r="I27" s="63"/>
      <c r="J27" s="63"/>
      <c r="K27" s="63"/>
      <c r="L27" s="63"/>
      <c r="M27" s="60">
        <f t="shared" ref="M27:Q27" si="21">IF(TRIM(SUBSTITUTE(C27, "　", " "))=TRIM(SUBSTITUTE($B27, "　", " ")), 2, 0)</f>
        <v>0</v>
      </c>
      <c r="N27" s="60">
        <f t="shared" si="21"/>
        <v>2</v>
      </c>
      <c r="O27" s="60">
        <f t="shared" si="21"/>
        <v>0</v>
      </c>
      <c r="P27" s="60">
        <f t="shared" si="21"/>
        <v>0</v>
      </c>
      <c r="Q27" s="60">
        <f t="shared" si="21"/>
        <v>2</v>
      </c>
      <c r="R27" s="11"/>
    </row>
    <row r="28" spans="1:19" ht="15.75" customHeight="1">
      <c r="A28" s="58" t="s">
        <v>350</v>
      </c>
      <c r="B28" s="59" t="s">
        <v>155</v>
      </c>
      <c r="C28" s="59" t="s">
        <v>155</v>
      </c>
      <c r="D28" s="63" t="s">
        <v>20</v>
      </c>
      <c r="E28" s="63" t="s">
        <v>23</v>
      </c>
      <c r="F28" s="63" t="s">
        <v>20</v>
      </c>
      <c r="G28" s="63" t="s">
        <v>20</v>
      </c>
      <c r="H28" s="63"/>
      <c r="I28" s="63"/>
      <c r="J28" s="63"/>
      <c r="K28" s="63"/>
      <c r="L28" s="63"/>
      <c r="M28" s="60">
        <f t="shared" ref="M28:Q28" si="22">IF(TRIM(SUBSTITUTE(C28, "　", " "))=TRIM(SUBSTITUTE($B28, "　", " ")), 2, 0)</f>
        <v>2</v>
      </c>
      <c r="N28" s="60">
        <f t="shared" si="22"/>
        <v>2</v>
      </c>
      <c r="O28" s="60">
        <f t="shared" si="22"/>
        <v>0</v>
      </c>
      <c r="P28" s="60">
        <f t="shared" si="22"/>
        <v>2</v>
      </c>
      <c r="Q28" s="60">
        <f t="shared" si="22"/>
        <v>2</v>
      </c>
      <c r="R28" s="11"/>
    </row>
    <row r="29" spans="1:19" ht="15.75" customHeight="1">
      <c r="A29" s="62" t="s">
        <v>351</v>
      </c>
      <c r="B29" s="59"/>
      <c r="C29" s="59"/>
      <c r="D29" s="63"/>
      <c r="E29" s="63"/>
      <c r="F29" s="63"/>
      <c r="G29" s="63"/>
      <c r="H29" s="63"/>
      <c r="I29" s="63"/>
      <c r="J29" s="63"/>
      <c r="K29" s="63"/>
      <c r="L29" s="63"/>
      <c r="M29" s="60"/>
      <c r="N29" s="60"/>
      <c r="O29" s="60"/>
      <c r="P29" s="60"/>
      <c r="Q29" s="60"/>
      <c r="R29" s="11"/>
    </row>
    <row r="30" spans="1:19" ht="15.75" customHeight="1">
      <c r="A30" s="58" t="s">
        <v>352</v>
      </c>
      <c r="B30" s="59" t="s">
        <v>150</v>
      </c>
      <c r="C30" s="59" t="s">
        <v>150</v>
      </c>
      <c r="D30" s="63" t="s">
        <v>18</v>
      </c>
      <c r="E30" s="63" t="s">
        <v>23</v>
      </c>
      <c r="F30" s="63" t="s">
        <v>18</v>
      </c>
      <c r="G30" s="63" t="s">
        <v>18</v>
      </c>
      <c r="H30" s="63"/>
      <c r="I30" s="63"/>
      <c r="J30" s="63"/>
      <c r="K30" s="63"/>
      <c r="L30" s="63"/>
      <c r="M30" s="60">
        <f t="shared" ref="M30:Q30" si="23">IF(TRIM(SUBSTITUTE(C30, "　", " "))=TRIM(SUBSTITUTE($B30, "　", " ")), 2, 0)</f>
        <v>2</v>
      </c>
      <c r="N30" s="60">
        <f t="shared" si="23"/>
        <v>2</v>
      </c>
      <c r="O30" s="60">
        <f t="shared" si="23"/>
        <v>0</v>
      </c>
      <c r="P30" s="60">
        <f t="shared" si="23"/>
        <v>2</v>
      </c>
      <c r="Q30" s="60">
        <f t="shared" si="23"/>
        <v>2</v>
      </c>
      <c r="R30" s="11"/>
      <c r="S30" s="11"/>
    </row>
    <row r="31" spans="1:19" ht="15.75" customHeight="1">
      <c r="A31" s="58" t="s">
        <v>353</v>
      </c>
      <c r="B31" s="59" t="s">
        <v>162</v>
      </c>
      <c r="C31" s="59" t="s">
        <v>162</v>
      </c>
      <c r="D31" s="63" t="s">
        <v>17</v>
      </c>
      <c r="E31" s="63" t="s">
        <v>17</v>
      </c>
      <c r="F31" s="63" t="s">
        <v>17</v>
      </c>
      <c r="G31" s="63" t="s">
        <v>17</v>
      </c>
      <c r="H31" s="63"/>
      <c r="I31" s="63"/>
      <c r="J31" s="63"/>
      <c r="K31" s="63"/>
      <c r="L31" s="63"/>
      <c r="M31" s="60">
        <f t="shared" ref="M31:Q31" si="24">IF(TRIM(SUBSTITUTE(C31, "　", " "))=TRIM(SUBSTITUTE($B31, "　", " ")), 2, 0)</f>
        <v>2</v>
      </c>
      <c r="N31" s="60">
        <f t="shared" si="24"/>
        <v>2</v>
      </c>
      <c r="O31" s="60">
        <f t="shared" si="24"/>
        <v>2</v>
      </c>
      <c r="P31" s="60">
        <f t="shared" si="24"/>
        <v>2</v>
      </c>
      <c r="Q31" s="60">
        <f t="shared" si="24"/>
        <v>2</v>
      </c>
      <c r="R31" s="11"/>
      <c r="S31" s="11"/>
    </row>
    <row r="32" spans="1:19" ht="15.75" customHeight="1">
      <c r="A32" s="62" t="s">
        <v>354</v>
      </c>
      <c r="B32" s="59"/>
      <c r="C32" s="63"/>
      <c r="D32" s="63"/>
      <c r="E32" s="63"/>
      <c r="F32" s="63"/>
      <c r="G32" s="63"/>
      <c r="H32" s="63"/>
      <c r="I32" s="63"/>
      <c r="J32" s="63"/>
      <c r="K32" s="63"/>
      <c r="L32" s="63"/>
      <c r="M32" s="60"/>
      <c r="N32" s="60"/>
      <c r="O32" s="60"/>
      <c r="P32" s="60"/>
      <c r="Q32" s="60"/>
      <c r="R32" s="11"/>
      <c r="S32" s="11"/>
    </row>
    <row r="33" spans="1:37" ht="15.75" customHeight="1">
      <c r="A33" s="58" t="s">
        <v>355</v>
      </c>
      <c r="B33" s="59" t="s">
        <v>150</v>
      </c>
      <c r="C33" s="59" t="s">
        <v>150</v>
      </c>
      <c r="D33" s="63" t="s">
        <v>18</v>
      </c>
      <c r="E33" s="63" t="s">
        <v>23</v>
      </c>
      <c r="F33" s="63" t="s">
        <v>18</v>
      </c>
      <c r="G33" s="63" t="s">
        <v>18</v>
      </c>
      <c r="H33" s="63"/>
      <c r="I33" s="63"/>
      <c r="J33" s="63"/>
      <c r="K33" s="63"/>
      <c r="L33" s="63"/>
      <c r="M33" s="60">
        <f t="shared" ref="M33:Q33" si="25">IF(TRIM(SUBSTITUTE(C33, "　", " "))=TRIM(SUBSTITUTE($B33, "　", " ")), 2, 0)</f>
        <v>2</v>
      </c>
      <c r="N33" s="60">
        <f t="shared" si="25"/>
        <v>2</v>
      </c>
      <c r="O33" s="60">
        <f t="shared" si="25"/>
        <v>0</v>
      </c>
      <c r="P33" s="60">
        <f t="shared" si="25"/>
        <v>2</v>
      </c>
      <c r="Q33" s="60">
        <f t="shared" si="25"/>
        <v>2</v>
      </c>
      <c r="R33" s="11"/>
      <c r="S33" s="11"/>
    </row>
    <row r="34" spans="1:37" ht="15.75" customHeight="1">
      <c r="A34" s="58" t="s">
        <v>356</v>
      </c>
      <c r="B34" s="59" t="s">
        <v>155</v>
      </c>
      <c r="C34" s="59" t="s">
        <v>155</v>
      </c>
      <c r="D34" s="63" t="s">
        <v>20</v>
      </c>
      <c r="E34" s="63" t="s">
        <v>20</v>
      </c>
      <c r="F34" s="63" t="s">
        <v>20</v>
      </c>
      <c r="G34" s="63" t="s">
        <v>20</v>
      </c>
      <c r="H34" s="63"/>
      <c r="I34" s="63"/>
      <c r="J34" s="63"/>
      <c r="K34" s="63"/>
      <c r="L34" s="63"/>
      <c r="M34" s="60">
        <f t="shared" ref="M34:Q34" si="26">IF(TRIM(SUBSTITUTE(C34, "　", " "))=TRIM(SUBSTITUTE($B34, "　", " ")), 2, 0)</f>
        <v>2</v>
      </c>
      <c r="N34" s="60">
        <f t="shared" si="26"/>
        <v>2</v>
      </c>
      <c r="O34" s="60">
        <f t="shared" si="26"/>
        <v>2</v>
      </c>
      <c r="P34" s="60">
        <f t="shared" si="26"/>
        <v>2</v>
      </c>
      <c r="Q34" s="60">
        <f t="shared" si="26"/>
        <v>2</v>
      </c>
      <c r="R34" s="11"/>
      <c r="S34" s="11"/>
    </row>
    <row r="35" spans="1:37" ht="15.75" customHeight="1">
      <c r="A35" s="58" t="s">
        <v>357</v>
      </c>
      <c r="B35" s="59" t="s">
        <v>155</v>
      </c>
      <c r="C35" s="59" t="s">
        <v>155</v>
      </c>
      <c r="D35" s="63" t="s">
        <v>20</v>
      </c>
      <c r="E35" s="63" t="s">
        <v>20</v>
      </c>
      <c r="F35" s="63" t="s">
        <v>20</v>
      </c>
      <c r="G35" s="63" t="s">
        <v>20</v>
      </c>
      <c r="H35" s="63"/>
      <c r="I35" s="63"/>
      <c r="J35" s="63"/>
      <c r="K35" s="63"/>
      <c r="L35" s="63"/>
      <c r="M35" s="60">
        <f t="shared" ref="M35:Q35" si="27">IF(TRIM(SUBSTITUTE(C35, "　", " "))=TRIM(SUBSTITUTE($B35, "　", " ")), 2, 0)</f>
        <v>2</v>
      </c>
      <c r="N35" s="60">
        <f t="shared" si="27"/>
        <v>2</v>
      </c>
      <c r="O35" s="60">
        <f t="shared" si="27"/>
        <v>2</v>
      </c>
      <c r="P35" s="60">
        <f t="shared" si="27"/>
        <v>2</v>
      </c>
      <c r="Q35" s="60">
        <f t="shared" si="27"/>
        <v>2</v>
      </c>
      <c r="R35" s="11"/>
      <c r="S35" s="11"/>
      <c r="T35" s="11"/>
      <c r="U35" s="11"/>
      <c r="V35" s="11"/>
      <c r="W35" s="11"/>
      <c r="X35" s="11"/>
      <c r="Y35" s="11"/>
      <c r="Z35" s="11"/>
      <c r="AA35" s="11"/>
      <c r="AB35" s="11"/>
      <c r="AC35" s="11"/>
      <c r="AD35" s="11"/>
      <c r="AE35" s="11"/>
      <c r="AF35" s="11"/>
      <c r="AG35" s="11"/>
      <c r="AH35" s="11"/>
      <c r="AI35" s="11"/>
      <c r="AJ35" s="11"/>
      <c r="AK35" s="11"/>
    </row>
    <row r="36" spans="1:37" ht="15.75" customHeight="1">
      <c r="A36" s="64" t="s">
        <v>358</v>
      </c>
      <c r="B36" s="59"/>
      <c r="C36" s="59"/>
      <c r="D36" s="63"/>
      <c r="E36" s="63"/>
      <c r="F36" s="63"/>
      <c r="G36" s="63"/>
      <c r="H36" s="63"/>
      <c r="I36" s="63"/>
      <c r="J36" s="63"/>
      <c r="K36" s="63"/>
      <c r="L36" s="63"/>
      <c r="M36" s="60"/>
      <c r="N36" s="60"/>
      <c r="O36" s="60"/>
      <c r="P36" s="60"/>
      <c r="Q36" s="60"/>
      <c r="R36" s="11"/>
      <c r="S36" s="11"/>
      <c r="T36" s="11"/>
      <c r="U36" s="11"/>
      <c r="V36" s="11"/>
      <c r="W36" s="11"/>
      <c r="X36" s="11"/>
      <c r="Y36" s="11"/>
      <c r="Z36" s="11"/>
      <c r="AA36" s="11"/>
      <c r="AB36" s="11"/>
      <c r="AC36" s="11"/>
      <c r="AD36" s="11"/>
      <c r="AE36" s="11"/>
      <c r="AF36" s="11"/>
      <c r="AG36" s="11"/>
      <c r="AH36" s="11"/>
      <c r="AI36" s="11"/>
      <c r="AJ36" s="11"/>
      <c r="AK36" s="11"/>
    </row>
    <row r="37" spans="1:37" ht="15.75" customHeight="1">
      <c r="A37" s="58" t="s">
        <v>359</v>
      </c>
      <c r="B37" s="59" t="s">
        <v>155</v>
      </c>
      <c r="C37" s="59" t="s">
        <v>155</v>
      </c>
      <c r="D37" s="63" t="s">
        <v>20</v>
      </c>
      <c r="E37" s="63" t="s">
        <v>20</v>
      </c>
      <c r="F37" s="63" t="s">
        <v>20</v>
      </c>
      <c r="G37" s="63" t="s">
        <v>20</v>
      </c>
      <c r="H37" s="63"/>
      <c r="I37" s="63"/>
      <c r="J37" s="63"/>
      <c r="K37" s="63"/>
      <c r="L37" s="63"/>
      <c r="M37" s="60">
        <f t="shared" ref="M37:Q37" si="28">IF(TRIM(SUBSTITUTE(C37, "　", " "))=TRIM(SUBSTITUTE($B37, "　", " ")), 2, 0)</f>
        <v>2</v>
      </c>
      <c r="N37" s="60">
        <f t="shared" si="28"/>
        <v>2</v>
      </c>
      <c r="O37" s="60">
        <f t="shared" si="28"/>
        <v>2</v>
      </c>
      <c r="P37" s="60">
        <f t="shared" si="28"/>
        <v>2</v>
      </c>
      <c r="Q37" s="60">
        <f t="shared" si="28"/>
        <v>2</v>
      </c>
      <c r="R37" s="11"/>
      <c r="S37" s="11"/>
      <c r="T37" s="11"/>
      <c r="U37" s="11"/>
      <c r="V37" s="11"/>
      <c r="W37" s="11"/>
      <c r="X37" s="11"/>
      <c r="Y37" s="11"/>
      <c r="Z37" s="11"/>
      <c r="AA37" s="11"/>
      <c r="AB37" s="11"/>
      <c r="AC37" s="11"/>
      <c r="AD37" s="11"/>
      <c r="AE37" s="11"/>
      <c r="AF37" s="11"/>
      <c r="AG37" s="11"/>
      <c r="AH37" s="11"/>
      <c r="AI37" s="11"/>
      <c r="AJ37" s="11"/>
      <c r="AK37" s="11"/>
    </row>
    <row r="38" spans="1:37" ht="15.75" customHeight="1">
      <c r="A38" s="58" t="s">
        <v>360</v>
      </c>
      <c r="B38" s="59" t="s">
        <v>148</v>
      </c>
      <c r="C38" s="59" t="s">
        <v>148</v>
      </c>
      <c r="D38" s="63" t="s">
        <v>23</v>
      </c>
      <c r="E38" s="63" t="s">
        <v>23</v>
      </c>
      <c r="F38" s="63" t="s">
        <v>23</v>
      </c>
      <c r="G38" s="63" t="s">
        <v>23</v>
      </c>
      <c r="H38" s="63"/>
      <c r="I38" s="63"/>
      <c r="J38" s="63"/>
      <c r="K38" s="63"/>
      <c r="L38" s="63"/>
      <c r="M38" s="60">
        <f t="shared" ref="M38:Q38" si="29">IF(TRIM(SUBSTITUTE(C38, "　", " "))=TRIM(SUBSTITUTE($B38, "　", " ")), 2, 0)</f>
        <v>2</v>
      </c>
      <c r="N38" s="60">
        <f t="shared" si="29"/>
        <v>2</v>
      </c>
      <c r="O38" s="60">
        <f t="shared" si="29"/>
        <v>2</v>
      </c>
      <c r="P38" s="60">
        <f t="shared" si="29"/>
        <v>2</v>
      </c>
      <c r="Q38" s="60">
        <f t="shared" si="29"/>
        <v>2</v>
      </c>
      <c r="R38" s="11"/>
      <c r="S38" s="11"/>
      <c r="T38" s="11"/>
      <c r="U38" s="11"/>
      <c r="V38" s="11"/>
      <c r="W38" s="11"/>
      <c r="X38" s="11"/>
      <c r="Y38" s="11"/>
      <c r="Z38" s="11"/>
      <c r="AA38" s="11"/>
      <c r="AB38" s="11"/>
      <c r="AC38" s="11"/>
      <c r="AD38" s="11"/>
      <c r="AE38" s="11"/>
      <c r="AF38" s="11"/>
      <c r="AG38" s="11"/>
      <c r="AH38" s="11"/>
      <c r="AI38" s="11"/>
      <c r="AJ38" s="11"/>
      <c r="AK38" s="11"/>
    </row>
    <row r="39" spans="1:37" ht="15.75" customHeight="1">
      <c r="A39" s="64" t="s">
        <v>361</v>
      </c>
      <c r="B39" s="59"/>
      <c r="C39" s="63"/>
      <c r="D39" s="63"/>
      <c r="E39" s="63"/>
      <c r="F39" s="63"/>
      <c r="G39" s="63"/>
      <c r="H39" s="63"/>
      <c r="I39" s="63"/>
      <c r="J39" s="63"/>
      <c r="K39" s="63"/>
      <c r="L39" s="63"/>
      <c r="M39" s="60"/>
      <c r="N39" s="60"/>
      <c r="O39" s="60"/>
      <c r="P39" s="60"/>
      <c r="Q39" s="60"/>
      <c r="R39" s="11"/>
      <c r="S39" s="11"/>
      <c r="T39" s="11"/>
      <c r="U39" s="11"/>
      <c r="V39" s="11"/>
      <c r="W39" s="11"/>
      <c r="X39" s="11"/>
      <c r="Y39" s="11"/>
      <c r="Z39" s="11"/>
      <c r="AA39" s="11"/>
      <c r="AB39" s="11"/>
      <c r="AC39" s="11"/>
      <c r="AD39" s="11"/>
      <c r="AE39" s="11"/>
      <c r="AF39" s="11"/>
      <c r="AG39" s="11"/>
      <c r="AH39" s="11"/>
      <c r="AI39" s="11"/>
      <c r="AJ39" s="11"/>
      <c r="AK39" s="11"/>
    </row>
    <row r="40" spans="1:37" ht="15.75" customHeight="1">
      <c r="A40" s="58" t="s">
        <v>362</v>
      </c>
      <c r="B40" s="59" t="s">
        <v>162</v>
      </c>
      <c r="C40" s="59" t="s">
        <v>162</v>
      </c>
      <c r="D40" s="63" t="s">
        <v>17</v>
      </c>
      <c r="E40" s="63" t="s">
        <v>23</v>
      </c>
      <c r="F40" s="63" t="s">
        <v>17</v>
      </c>
      <c r="G40" s="63" t="s">
        <v>17</v>
      </c>
      <c r="H40" s="63"/>
      <c r="I40" s="63"/>
      <c r="J40" s="63"/>
      <c r="K40" s="63"/>
      <c r="L40" s="63"/>
      <c r="M40" s="60">
        <f t="shared" ref="M40:Q40" si="30">IF(TRIM(SUBSTITUTE(C40, "　", " "))=TRIM(SUBSTITUTE($B40, "　", " ")), 2, 0)</f>
        <v>2</v>
      </c>
      <c r="N40" s="60">
        <f t="shared" si="30"/>
        <v>2</v>
      </c>
      <c r="O40" s="60">
        <f t="shared" si="30"/>
        <v>0</v>
      </c>
      <c r="P40" s="60">
        <f t="shared" si="30"/>
        <v>2</v>
      </c>
      <c r="Q40" s="60">
        <f t="shared" si="30"/>
        <v>2</v>
      </c>
      <c r="R40" s="11"/>
      <c r="S40" s="11"/>
      <c r="T40" s="11"/>
      <c r="U40" s="11"/>
      <c r="V40" s="11"/>
      <c r="W40" s="11"/>
      <c r="X40" s="11"/>
      <c r="Y40" s="11"/>
      <c r="Z40" s="11"/>
      <c r="AA40" s="11"/>
      <c r="AB40" s="11"/>
      <c r="AC40" s="11"/>
      <c r="AD40" s="11"/>
      <c r="AE40" s="11"/>
      <c r="AF40" s="11"/>
      <c r="AG40" s="11"/>
      <c r="AH40" s="11"/>
      <c r="AI40" s="11"/>
      <c r="AJ40" s="11"/>
      <c r="AK40" s="11"/>
    </row>
    <row r="41" spans="1:37" ht="15.75" customHeight="1">
      <c r="A41" s="58" t="s">
        <v>363</v>
      </c>
      <c r="B41" s="59" t="s">
        <v>155</v>
      </c>
      <c r="C41" s="59" t="s">
        <v>155</v>
      </c>
      <c r="D41" s="63" t="s">
        <v>20</v>
      </c>
      <c r="E41" s="63" t="s">
        <v>20</v>
      </c>
      <c r="F41" s="63" t="s">
        <v>20</v>
      </c>
      <c r="G41" s="63" t="s">
        <v>20</v>
      </c>
      <c r="H41" s="63"/>
      <c r="I41" s="63"/>
      <c r="J41" s="63"/>
      <c r="K41" s="63"/>
      <c r="L41" s="63"/>
      <c r="M41" s="60">
        <f t="shared" ref="M41:Q41" si="31">IF(TRIM(SUBSTITUTE(C41, "　", " "))=TRIM(SUBSTITUTE($B41, "　", " ")), 2, 0)</f>
        <v>2</v>
      </c>
      <c r="N41" s="60">
        <f t="shared" si="31"/>
        <v>2</v>
      </c>
      <c r="O41" s="60">
        <f t="shared" si="31"/>
        <v>2</v>
      </c>
      <c r="P41" s="60">
        <f t="shared" si="31"/>
        <v>2</v>
      </c>
      <c r="Q41" s="60">
        <f t="shared" si="31"/>
        <v>2</v>
      </c>
      <c r="R41" s="11"/>
      <c r="S41" s="11"/>
      <c r="T41" s="11"/>
      <c r="U41" s="11"/>
      <c r="V41" s="11"/>
      <c r="W41" s="11"/>
      <c r="X41" s="11"/>
      <c r="Y41" s="11"/>
      <c r="Z41" s="11"/>
      <c r="AA41" s="11"/>
      <c r="AB41" s="11"/>
      <c r="AC41" s="11"/>
      <c r="AD41" s="11"/>
      <c r="AE41" s="11"/>
      <c r="AF41" s="11"/>
      <c r="AG41" s="11"/>
      <c r="AH41" s="11"/>
      <c r="AI41" s="11"/>
      <c r="AJ41" s="11"/>
      <c r="AK41" s="11"/>
    </row>
    <row r="42" spans="1:37" ht="15.75" customHeight="1">
      <c r="A42" s="64" t="s">
        <v>364</v>
      </c>
      <c r="B42" s="59"/>
      <c r="C42" s="59"/>
      <c r="D42" s="63"/>
      <c r="E42" s="63"/>
      <c r="F42" s="63"/>
      <c r="G42" s="63"/>
      <c r="H42" s="63"/>
      <c r="I42" s="63"/>
      <c r="J42" s="63"/>
      <c r="K42" s="63"/>
      <c r="L42" s="63"/>
      <c r="M42" s="60"/>
      <c r="N42" s="60"/>
      <c r="O42" s="60"/>
      <c r="P42" s="60"/>
      <c r="Q42" s="60"/>
      <c r="R42" s="11"/>
      <c r="S42" s="11"/>
      <c r="T42" s="11"/>
      <c r="U42" s="11"/>
      <c r="V42" s="11"/>
      <c r="W42" s="11"/>
      <c r="X42" s="11"/>
      <c r="Y42" s="11"/>
      <c r="Z42" s="11"/>
      <c r="AA42" s="11"/>
      <c r="AB42" s="11"/>
      <c r="AC42" s="11"/>
      <c r="AD42" s="11"/>
      <c r="AE42" s="11"/>
      <c r="AF42" s="11"/>
      <c r="AG42" s="11"/>
      <c r="AH42" s="11"/>
      <c r="AI42" s="11"/>
      <c r="AJ42" s="11"/>
      <c r="AK42" s="11"/>
    </row>
    <row r="43" spans="1:37" ht="15.75" customHeight="1">
      <c r="A43" s="58" t="s">
        <v>365</v>
      </c>
      <c r="B43" s="59" t="s">
        <v>148</v>
      </c>
      <c r="C43" s="59" t="s">
        <v>148</v>
      </c>
      <c r="D43" s="63" t="s">
        <v>23</v>
      </c>
      <c r="E43" s="63" t="s">
        <v>20</v>
      </c>
      <c r="F43" s="63" t="s">
        <v>23</v>
      </c>
      <c r="G43" s="63" t="s">
        <v>23</v>
      </c>
      <c r="H43" s="63"/>
      <c r="I43" s="63"/>
      <c r="J43" s="63"/>
      <c r="K43" s="63"/>
      <c r="L43" s="63"/>
      <c r="M43" s="60">
        <f t="shared" ref="M43:Q43" si="32">IF(TRIM(SUBSTITUTE(C43, "　", " "))=TRIM(SUBSTITUTE($B43, "　", " ")), 2, 0)</f>
        <v>2</v>
      </c>
      <c r="N43" s="60">
        <f t="shared" si="32"/>
        <v>2</v>
      </c>
      <c r="O43" s="60">
        <f t="shared" si="32"/>
        <v>0</v>
      </c>
      <c r="P43" s="60">
        <f t="shared" si="32"/>
        <v>2</v>
      </c>
      <c r="Q43" s="60">
        <f t="shared" si="32"/>
        <v>2</v>
      </c>
      <c r="R43" s="11"/>
      <c r="S43" s="11"/>
      <c r="T43" s="11"/>
      <c r="U43" s="11"/>
      <c r="V43" s="11"/>
      <c r="W43" s="11"/>
      <c r="X43" s="11"/>
      <c r="Y43" s="11"/>
      <c r="Z43" s="11"/>
      <c r="AA43" s="11"/>
      <c r="AB43" s="11"/>
      <c r="AC43" s="11"/>
      <c r="AD43" s="11"/>
      <c r="AE43" s="11"/>
      <c r="AF43" s="11"/>
      <c r="AG43" s="11"/>
      <c r="AH43" s="11"/>
      <c r="AI43" s="11"/>
      <c r="AJ43" s="11"/>
      <c r="AK43" s="11"/>
    </row>
    <row r="44" spans="1:37" ht="15.75" customHeight="1">
      <c r="A44" s="58" t="s">
        <v>366</v>
      </c>
      <c r="B44" s="59" t="s">
        <v>148</v>
      </c>
      <c r="C44" s="59" t="s">
        <v>148</v>
      </c>
      <c r="D44" s="63" t="s">
        <v>23</v>
      </c>
      <c r="E44" s="63" t="s">
        <v>18</v>
      </c>
      <c r="F44" s="63" t="s">
        <v>23</v>
      </c>
      <c r="G44" s="63" t="s">
        <v>23</v>
      </c>
      <c r="H44" s="63"/>
      <c r="I44" s="63"/>
      <c r="J44" s="63"/>
      <c r="K44" s="63"/>
      <c r="L44" s="63"/>
      <c r="M44" s="60">
        <f t="shared" ref="M44:Q44" si="33">IF(TRIM(SUBSTITUTE(C44, "　", " "))=TRIM(SUBSTITUTE($B44, "　", " ")), 2, 0)</f>
        <v>2</v>
      </c>
      <c r="N44" s="60">
        <f t="shared" si="33"/>
        <v>2</v>
      </c>
      <c r="O44" s="60">
        <f t="shared" si="33"/>
        <v>0</v>
      </c>
      <c r="P44" s="60">
        <f t="shared" si="33"/>
        <v>2</v>
      </c>
      <c r="Q44" s="60">
        <f t="shared" si="33"/>
        <v>2</v>
      </c>
      <c r="R44" s="11"/>
      <c r="S44" s="11"/>
      <c r="T44" s="11"/>
      <c r="U44" s="11"/>
      <c r="V44" s="11"/>
      <c r="W44" s="11"/>
      <c r="X44" s="11"/>
      <c r="Y44" s="11"/>
      <c r="Z44" s="11"/>
      <c r="AA44" s="11"/>
      <c r="AB44" s="11"/>
      <c r="AC44" s="11"/>
      <c r="AD44" s="11"/>
      <c r="AE44" s="11"/>
      <c r="AF44" s="11"/>
      <c r="AG44" s="11"/>
      <c r="AH44" s="11"/>
      <c r="AI44" s="11"/>
      <c r="AJ44" s="11"/>
      <c r="AK44" s="11"/>
    </row>
    <row r="45" spans="1:37" ht="15.75" customHeight="1">
      <c r="A45" s="64" t="s">
        <v>193</v>
      </c>
      <c r="B45" s="59"/>
      <c r="C45" s="59"/>
      <c r="D45" s="63"/>
      <c r="E45" s="63"/>
      <c r="F45" s="63"/>
      <c r="G45" s="63"/>
      <c r="H45" s="63"/>
      <c r="I45" s="63"/>
      <c r="J45" s="63"/>
      <c r="K45" s="63"/>
      <c r="L45" s="63"/>
      <c r="M45" s="60"/>
      <c r="N45" s="60"/>
      <c r="O45" s="60"/>
      <c r="P45" s="60"/>
      <c r="Q45" s="60"/>
      <c r="R45" s="11"/>
      <c r="S45" s="11"/>
      <c r="T45" s="11"/>
      <c r="U45" s="11"/>
      <c r="V45" s="11"/>
      <c r="W45" s="11"/>
      <c r="X45" s="11"/>
      <c r="Y45" s="11"/>
      <c r="Z45" s="11"/>
      <c r="AA45" s="11"/>
      <c r="AB45" s="11"/>
      <c r="AC45" s="11"/>
      <c r="AD45" s="11"/>
      <c r="AE45" s="11"/>
      <c r="AF45" s="11"/>
      <c r="AG45" s="11"/>
      <c r="AH45" s="11"/>
      <c r="AI45" s="11"/>
      <c r="AJ45" s="11"/>
      <c r="AK45" s="11"/>
    </row>
    <row r="46" spans="1:37" ht="15.75" customHeight="1">
      <c r="A46" s="58" t="s">
        <v>367</v>
      </c>
      <c r="B46" s="59" t="s">
        <v>200</v>
      </c>
      <c r="C46" s="59" t="s">
        <v>200</v>
      </c>
      <c r="D46" s="63" t="s">
        <v>40</v>
      </c>
      <c r="E46" s="63" t="s">
        <v>47</v>
      </c>
      <c r="F46" s="63" t="s">
        <v>101</v>
      </c>
      <c r="G46" s="63" t="s">
        <v>40</v>
      </c>
      <c r="H46" s="65" cm="1">
        <f t="array" ref="H46">_xlfn.LET(
_xlpm.opts,{"A","B","C","D","E"},
_xlpm.ans,UPPER(SUBSTITUTE(SUBSTITUTE(SUBSTITUTE(SUBSTITUTE(SUBSTITUTE(TRIM($B46),"　","")," ",""),",",""),"，",""),"、","")),
_xlpm.resp,UPPER(SUBSTITUTE(SUBSTITUTE(SUBSTITUTE(SUBSTITUTE(SUBSTITUTE(TRIM(C46),"　","")," ",""),",",""),"，",""),"、","")),
IF(_xlpm.resp="",99,
SUMPRODUCT(--(ISNUMBER(SEARCH(_xlpm.opts,_xlpm.ans))&lt;&gt;ISNUMBER(SEARCH(_xlpm.opts,_xlpm.resp)))))
)</f>
        <v>0</v>
      </c>
      <c r="I46" s="65" cm="1">
        <f t="array" ref="I46">_xlfn.LET(
_xlpm.opts,{"A","B","C","D","E"},
_xlpm.ans,UPPER(SUBSTITUTE(SUBSTITUTE(SUBSTITUTE(SUBSTITUTE(SUBSTITUTE(TRIM($B46),"　","")," ",""),",",""),"，",""),"、","")),
_xlpm.resp,UPPER(SUBSTITUTE(SUBSTITUTE(SUBSTITUTE(SUBSTITUTE(SUBSTITUTE(TRIM(D46),"　","")," ",""),",",""),"，",""),"、","")),
IF(_xlpm.resp="",99,
SUMPRODUCT(--(ISNUMBER(SEARCH(_xlpm.opts,_xlpm.ans))&lt;&gt;ISNUMBER(SEARCH(_xlpm.opts,_xlpm.resp)))))
)</f>
        <v>0</v>
      </c>
      <c r="J46" s="65" cm="1">
        <f t="array" ref="J46">_xlfn.LET(
_xlpm.opts,{"A","B","C","D","E"},
_xlpm.ans,UPPER(SUBSTITUTE(SUBSTITUTE(SUBSTITUTE(SUBSTITUTE(SUBSTITUTE(TRIM($B46),"　","")," ",""),",",""),"，",""),"、","")),
_xlpm.resp,UPPER(SUBSTITUTE(SUBSTITUTE(SUBSTITUTE(SUBSTITUTE(SUBSTITUTE(TRIM(E46),"　","")," ",""),",",""),"，",""),"、","")),
IF(_xlpm.resp="",99,
SUMPRODUCT(--(ISNUMBER(SEARCH(_xlpm.opts,_xlpm.ans))&lt;&gt;ISNUMBER(SEARCH(_xlpm.opts,_xlpm.resp)))))
)</f>
        <v>1</v>
      </c>
      <c r="K46" s="65" cm="1">
        <f t="array" ref="K46">_xlfn.LET(
_xlpm.opts,{"A","B","C","D","E"},
_xlpm.ans,UPPER(SUBSTITUTE(SUBSTITUTE(SUBSTITUTE(SUBSTITUTE(SUBSTITUTE(TRIM($B46),"　","")," ",""),",",""),"，",""),"、","")),
_xlpm.resp,UPPER(SUBSTITUTE(SUBSTITUTE(SUBSTITUTE(SUBSTITUTE(SUBSTITUTE(TRIM(F46),"　","")," ",""),",",""),"，",""),"、","")),
IF(_xlpm.resp="",99,
SUMPRODUCT(--(ISNUMBER(SEARCH(_xlpm.opts,_xlpm.ans))&lt;&gt;ISNUMBER(SEARCH(_xlpm.opts,_xlpm.resp)))))
)</f>
        <v>2</v>
      </c>
      <c r="L46" s="65" cm="1">
        <f t="array" ref="L46">_xlfn.LET(
_xlpm.opts,{"A","B","C","D","E"},
_xlpm.ans,UPPER(SUBSTITUTE(SUBSTITUTE(SUBSTITUTE(SUBSTITUTE(SUBSTITUTE(TRIM($B46),"　","")," ",""),",",""),"，",""),"、","")),
_xlpm.resp,UPPER(SUBSTITUTE(SUBSTITUTE(SUBSTITUTE(SUBSTITUTE(SUBSTITUTE(TRIM(G46),"　","")," ",""),",",""),"，",""),"、","")),
IF(_xlpm.resp="",99,
SUMPRODUCT(--(ISNUMBER(SEARCH(_xlpm.opts,_xlpm.ans))&lt;&gt;ISNUMBER(SEARCH(_xlpm.opts,_xlpm.resp)))))
)</f>
        <v>0</v>
      </c>
      <c r="M46" s="54">
        <f>IF(H46=0,3,IF(H46=1,1.8,IF(H46=2,0.6,0)))</f>
        <v>3</v>
      </c>
      <c r="N46" s="54">
        <f t="shared" ref="N46:Q53" si="34">IF(I46=0,3,IF(I46=1,1.8,IF(I46=2,0.6,0)))</f>
        <v>3</v>
      </c>
      <c r="O46" s="54">
        <f t="shared" si="34"/>
        <v>1.8</v>
      </c>
      <c r="P46" s="54">
        <f t="shared" si="34"/>
        <v>0.6</v>
      </c>
      <c r="Q46" s="54">
        <f t="shared" si="34"/>
        <v>3</v>
      </c>
      <c r="R46" s="11"/>
      <c r="S46" s="11"/>
      <c r="T46" s="11"/>
      <c r="U46" s="11"/>
      <c r="V46" s="11"/>
      <c r="W46" s="11"/>
      <c r="X46" s="11"/>
      <c r="Y46" s="11"/>
      <c r="Z46" s="11"/>
      <c r="AA46" s="11"/>
      <c r="AB46" s="11"/>
      <c r="AC46" s="11"/>
      <c r="AD46" s="11"/>
      <c r="AE46" s="11"/>
      <c r="AF46" s="11"/>
      <c r="AG46" s="11"/>
      <c r="AH46" s="11"/>
      <c r="AI46" s="11"/>
      <c r="AJ46" s="11"/>
      <c r="AK46" s="11"/>
    </row>
    <row r="47" spans="1:37" ht="15.75" customHeight="1">
      <c r="A47" s="58" t="s">
        <v>368</v>
      </c>
      <c r="B47" s="59" t="s">
        <v>266</v>
      </c>
      <c r="C47" s="63" t="s">
        <v>53</v>
      </c>
      <c r="D47" s="63" t="s">
        <v>53</v>
      </c>
      <c r="E47" s="63" t="s">
        <v>17</v>
      </c>
      <c r="F47" s="63" t="s">
        <v>89</v>
      </c>
      <c r="G47" s="63" t="s">
        <v>53</v>
      </c>
      <c r="H47" s="65" cm="1">
        <f t="array" ref="H47">_xlfn.LET(
_xlpm.opts,{"A","B","C","D","E"},
_xlpm.ans,UPPER(SUBSTITUTE(SUBSTITUTE(SUBSTITUTE(SUBSTITUTE(SUBSTITUTE(TRIM($B47),"　","")," ",""),",",""),"，",""),"、","")),
_xlpm.resp,UPPER(SUBSTITUTE(SUBSTITUTE(SUBSTITUTE(SUBSTITUTE(SUBSTITUTE(TRIM(C47),"　","")," ",""),",",""),"，",""),"、","")),
IF(_xlpm.resp="",99,
SUMPRODUCT(--(ISNUMBER(SEARCH(_xlpm.opts,_xlpm.ans))&lt;&gt;ISNUMBER(SEARCH(_xlpm.opts,_xlpm.resp)))))
)</f>
        <v>1</v>
      </c>
      <c r="I47" s="65" cm="1">
        <f t="array" ref="I47">_xlfn.LET(
_xlpm.opts,{"A","B","C","D","E"},
_xlpm.ans,UPPER(SUBSTITUTE(SUBSTITUTE(SUBSTITUTE(SUBSTITUTE(SUBSTITUTE(TRIM($B47),"　","")," ",""),",",""),"，",""),"、","")),
_xlpm.resp,UPPER(SUBSTITUTE(SUBSTITUTE(SUBSTITUTE(SUBSTITUTE(SUBSTITUTE(TRIM(D47),"　","")," ",""),",",""),"，",""),"、","")),
IF(_xlpm.resp="",99,
SUMPRODUCT(--(ISNUMBER(SEARCH(_xlpm.opts,_xlpm.ans))&lt;&gt;ISNUMBER(SEARCH(_xlpm.opts,_xlpm.resp)))))
)</f>
        <v>1</v>
      </c>
      <c r="J47" s="65" cm="1">
        <f t="array" ref="J47">_xlfn.LET(
_xlpm.opts,{"A","B","C","D","E"},
_xlpm.ans,UPPER(SUBSTITUTE(SUBSTITUTE(SUBSTITUTE(SUBSTITUTE(SUBSTITUTE(TRIM($B47),"　","")," ",""),",",""),"，",""),"、","")),
_xlpm.resp,UPPER(SUBSTITUTE(SUBSTITUTE(SUBSTITUTE(SUBSTITUTE(SUBSTITUTE(TRIM(E47),"　","")," ",""),",",""),"，",""),"、","")),
IF(_xlpm.resp="",99,
SUMPRODUCT(--(ISNUMBER(SEARCH(_xlpm.opts,_xlpm.ans))&lt;&gt;ISNUMBER(SEARCH(_xlpm.opts,_xlpm.resp)))))
)</f>
        <v>2</v>
      </c>
      <c r="K47" s="65" cm="1">
        <f t="array" ref="K47">_xlfn.LET(
_xlpm.opts,{"A","B","C","D","E"},
_xlpm.ans,UPPER(SUBSTITUTE(SUBSTITUTE(SUBSTITUTE(SUBSTITUTE(SUBSTITUTE(TRIM($B47),"　","")," ",""),",",""),"，",""),"、","")),
_xlpm.resp,UPPER(SUBSTITUTE(SUBSTITUTE(SUBSTITUTE(SUBSTITUTE(SUBSTITUTE(TRIM(F47),"　","")," ",""),",",""),"，",""),"、","")),
IF(_xlpm.resp="",99,
SUMPRODUCT(--(ISNUMBER(SEARCH(_xlpm.opts,_xlpm.ans))&lt;&gt;ISNUMBER(SEARCH(_xlpm.opts,_xlpm.resp)))))
)</f>
        <v>0</v>
      </c>
      <c r="L47" s="65" cm="1">
        <f t="array" ref="L47">_xlfn.LET(
_xlpm.opts,{"A","B","C","D","E"},
_xlpm.ans,UPPER(SUBSTITUTE(SUBSTITUTE(SUBSTITUTE(SUBSTITUTE(SUBSTITUTE(TRIM($B47),"　","")," ",""),",",""),"，",""),"、","")),
_xlpm.resp,UPPER(SUBSTITUTE(SUBSTITUTE(SUBSTITUTE(SUBSTITUTE(SUBSTITUTE(TRIM(G47),"　","")," ",""),",",""),"，",""),"、","")),
IF(_xlpm.resp="",99,
SUMPRODUCT(--(ISNUMBER(SEARCH(_xlpm.opts,_xlpm.ans))&lt;&gt;ISNUMBER(SEARCH(_xlpm.opts,_xlpm.resp)))))
)</f>
        <v>1</v>
      </c>
      <c r="M47" s="54">
        <f t="shared" ref="M47:M53" si="35">IF(H47=0,3,IF(H47=1,1.8,IF(H47=2,0.6,0)))</f>
        <v>1.8</v>
      </c>
      <c r="N47" s="54">
        <f t="shared" si="34"/>
        <v>1.8</v>
      </c>
      <c r="O47" s="54">
        <f t="shared" si="34"/>
        <v>0.6</v>
      </c>
      <c r="P47" s="54">
        <f t="shared" si="34"/>
        <v>3</v>
      </c>
      <c r="Q47" s="54">
        <f t="shared" si="34"/>
        <v>1.8</v>
      </c>
      <c r="R47" s="11"/>
      <c r="S47" s="11"/>
      <c r="T47" s="11"/>
      <c r="U47" s="11"/>
      <c r="V47" s="11"/>
      <c r="W47" s="11"/>
      <c r="X47" s="11"/>
      <c r="Y47" s="11"/>
      <c r="Z47" s="11"/>
      <c r="AA47" s="11"/>
      <c r="AB47" s="11"/>
      <c r="AC47" s="11"/>
      <c r="AD47" s="11"/>
      <c r="AE47" s="11"/>
      <c r="AF47" s="11"/>
      <c r="AG47" s="11"/>
      <c r="AH47" s="11"/>
      <c r="AI47" s="11"/>
      <c r="AJ47" s="11"/>
      <c r="AK47" s="11"/>
    </row>
    <row r="48" spans="1:37" ht="15.75" customHeight="1">
      <c r="A48" s="58" t="s">
        <v>369</v>
      </c>
      <c r="B48" s="59" t="s">
        <v>370</v>
      </c>
      <c r="C48" s="63" t="s">
        <v>51</v>
      </c>
      <c r="D48" s="63" t="s">
        <v>99</v>
      </c>
      <c r="E48" s="63" t="s">
        <v>99</v>
      </c>
      <c r="F48" s="63" t="s">
        <v>99</v>
      </c>
      <c r="G48" s="63" t="s">
        <v>99</v>
      </c>
      <c r="H48" s="65" cm="1">
        <f t="array" ref="H48">_xlfn.LET(
_xlpm.opts,{"A","B","C","D","E"},
_xlpm.ans,UPPER(SUBSTITUTE(SUBSTITUTE(SUBSTITUTE(SUBSTITUTE(SUBSTITUTE(TRIM($B48),"　","")," ",""),",",""),"，",""),"、","")),
_xlpm.resp,UPPER(SUBSTITUTE(SUBSTITUTE(SUBSTITUTE(SUBSTITUTE(SUBSTITUTE(TRIM(C48),"　","")," ",""),",",""),"，",""),"、","")),
IF(_xlpm.resp="",99,
SUMPRODUCT(--(ISNUMBER(SEARCH(_xlpm.opts,_xlpm.ans))&lt;&gt;ISNUMBER(SEARCH(_xlpm.opts,_xlpm.resp)))))
)</f>
        <v>1</v>
      </c>
      <c r="I48" s="65" cm="1">
        <f t="array" ref="I48">_xlfn.LET(
_xlpm.opts,{"A","B","C","D","E"},
_xlpm.ans,UPPER(SUBSTITUTE(SUBSTITUTE(SUBSTITUTE(SUBSTITUTE(SUBSTITUTE(TRIM($B48),"　","")," ",""),",",""),"，",""),"、","")),
_xlpm.resp,UPPER(SUBSTITUTE(SUBSTITUTE(SUBSTITUTE(SUBSTITUTE(SUBSTITUTE(TRIM(D48),"　","")," ",""),",",""),"，",""),"、","")),
IF(_xlpm.resp="",99,
SUMPRODUCT(--(ISNUMBER(SEARCH(_xlpm.opts,_xlpm.ans))&lt;&gt;ISNUMBER(SEARCH(_xlpm.opts,_xlpm.resp)))))
)</f>
        <v>0</v>
      </c>
      <c r="J48" s="65" cm="1">
        <f t="array" ref="J48">_xlfn.LET(
_xlpm.opts,{"A","B","C","D","E"},
_xlpm.ans,UPPER(SUBSTITUTE(SUBSTITUTE(SUBSTITUTE(SUBSTITUTE(SUBSTITUTE(TRIM($B48),"　","")," ",""),",",""),"，",""),"、","")),
_xlpm.resp,UPPER(SUBSTITUTE(SUBSTITUTE(SUBSTITUTE(SUBSTITUTE(SUBSTITUTE(TRIM(E48),"　","")," ",""),",",""),"，",""),"、","")),
IF(_xlpm.resp="",99,
SUMPRODUCT(--(ISNUMBER(SEARCH(_xlpm.opts,_xlpm.ans))&lt;&gt;ISNUMBER(SEARCH(_xlpm.opts,_xlpm.resp)))))
)</f>
        <v>0</v>
      </c>
      <c r="K48" s="65" cm="1">
        <f t="array" ref="K48">_xlfn.LET(
_xlpm.opts,{"A","B","C","D","E"},
_xlpm.ans,UPPER(SUBSTITUTE(SUBSTITUTE(SUBSTITUTE(SUBSTITUTE(SUBSTITUTE(TRIM($B48),"　","")," ",""),",",""),"，",""),"、","")),
_xlpm.resp,UPPER(SUBSTITUTE(SUBSTITUTE(SUBSTITUTE(SUBSTITUTE(SUBSTITUTE(TRIM(F48),"　","")," ",""),",",""),"，",""),"、","")),
IF(_xlpm.resp="",99,
SUMPRODUCT(--(ISNUMBER(SEARCH(_xlpm.opts,_xlpm.ans))&lt;&gt;ISNUMBER(SEARCH(_xlpm.opts,_xlpm.resp)))))
)</f>
        <v>0</v>
      </c>
      <c r="L48" s="65" cm="1">
        <f t="array" ref="L48">_xlfn.LET(
_xlpm.opts,{"A","B","C","D","E"},
_xlpm.ans,UPPER(SUBSTITUTE(SUBSTITUTE(SUBSTITUTE(SUBSTITUTE(SUBSTITUTE(TRIM($B48),"　","")," ",""),",",""),"，",""),"、","")),
_xlpm.resp,UPPER(SUBSTITUTE(SUBSTITUTE(SUBSTITUTE(SUBSTITUTE(SUBSTITUTE(TRIM(G48),"　","")," ",""),",",""),"，",""),"、","")),
IF(_xlpm.resp="",99,
SUMPRODUCT(--(ISNUMBER(SEARCH(_xlpm.opts,_xlpm.ans))&lt;&gt;ISNUMBER(SEARCH(_xlpm.opts,_xlpm.resp)))))
)</f>
        <v>0</v>
      </c>
      <c r="M48" s="54">
        <f t="shared" si="35"/>
        <v>1.8</v>
      </c>
      <c r="N48" s="54">
        <f t="shared" si="34"/>
        <v>3</v>
      </c>
      <c r="O48" s="54">
        <f t="shared" si="34"/>
        <v>3</v>
      </c>
      <c r="P48" s="54">
        <f t="shared" si="34"/>
        <v>3</v>
      </c>
      <c r="Q48" s="54">
        <f t="shared" si="34"/>
        <v>3</v>
      </c>
      <c r="R48" s="11"/>
      <c r="S48" s="11"/>
      <c r="T48" s="11"/>
      <c r="U48" s="11"/>
      <c r="V48" s="11"/>
      <c r="W48" s="11"/>
      <c r="X48" s="11"/>
      <c r="Y48" s="11"/>
      <c r="Z48" s="11"/>
      <c r="AA48" s="11"/>
      <c r="AB48" s="11"/>
      <c r="AC48" s="11"/>
      <c r="AD48" s="11"/>
      <c r="AE48" s="11"/>
      <c r="AF48" s="11"/>
      <c r="AG48" s="11"/>
      <c r="AH48" s="11"/>
      <c r="AI48" s="11"/>
      <c r="AJ48" s="11"/>
      <c r="AK48" s="11"/>
    </row>
    <row r="49" spans="1:37" ht="15.75" customHeight="1">
      <c r="A49" s="58" t="s">
        <v>371</v>
      </c>
      <c r="B49" s="59" t="s">
        <v>195</v>
      </c>
      <c r="C49" s="59" t="s">
        <v>195</v>
      </c>
      <c r="D49" s="63" t="s">
        <v>57</v>
      </c>
      <c r="E49" s="63" t="s">
        <v>42</v>
      </c>
      <c r="F49" s="63" t="s">
        <v>45</v>
      </c>
      <c r="G49" s="63" t="s">
        <v>57</v>
      </c>
      <c r="H49" s="65" cm="1">
        <f t="array" ref="H49">_xlfn.LET(
_xlpm.opts,{"A","B","C","D","E"},
_xlpm.ans,UPPER(SUBSTITUTE(SUBSTITUTE(SUBSTITUTE(SUBSTITUTE(SUBSTITUTE(TRIM($B49),"　","")," ",""),",",""),"，",""),"、","")),
_xlpm.resp,UPPER(SUBSTITUTE(SUBSTITUTE(SUBSTITUTE(SUBSTITUTE(SUBSTITUTE(TRIM(C49),"　","")," ",""),",",""),"，",""),"、","")),
IF(_xlpm.resp="",99,
SUMPRODUCT(--(ISNUMBER(SEARCH(_xlpm.opts,_xlpm.ans))&lt;&gt;ISNUMBER(SEARCH(_xlpm.opts,_xlpm.resp)))))
)</f>
        <v>0</v>
      </c>
      <c r="I49" s="65" cm="1">
        <f t="array" ref="I49">_xlfn.LET(
_xlpm.opts,{"A","B","C","D","E"},
_xlpm.ans,UPPER(SUBSTITUTE(SUBSTITUTE(SUBSTITUTE(SUBSTITUTE(SUBSTITUTE(TRIM($B49),"　","")," ",""),",",""),"，",""),"、","")),
_xlpm.resp,UPPER(SUBSTITUTE(SUBSTITUTE(SUBSTITUTE(SUBSTITUTE(SUBSTITUTE(TRIM(D49),"　","")," ",""),",",""),"，",""),"、","")),
IF(_xlpm.resp="",99,
SUMPRODUCT(--(ISNUMBER(SEARCH(_xlpm.opts,_xlpm.ans))&lt;&gt;ISNUMBER(SEARCH(_xlpm.opts,_xlpm.resp)))))
)</f>
        <v>1</v>
      </c>
      <c r="J49" s="65" cm="1">
        <f t="array" ref="J49">_xlfn.LET(
_xlpm.opts,{"A","B","C","D","E"},
_xlpm.ans,UPPER(SUBSTITUTE(SUBSTITUTE(SUBSTITUTE(SUBSTITUTE(SUBSTITUTE(TRIM($B49),"　","")," ",""),",",""),"，",""),"、","")),
_xlpm.resp,UPPER(SUBSTITUTE(SUBSTITUTE(SUBSTITUTE(SUBSTITUTE(SUBSTITUTE(TRIM(E49),"　","")," ",""),",",""),"，",""),"、","")),
IF(_xlpm.resp="",99,
SUMPRODUCT(--(ISNUMBER(SEARCH(_xlpm.opts,_xlpm.ans))&lt;&gt;ISNUMBER(SEARCH(_xlpm.opts,_xlpm.resp)))))
)</f>
        <v>2</v>
      </c>
      <c r="K49" s="65" cm="1">
        <f t="array" ref="K49">_xlfn.LET(
_xlpm.opts,{"A","B","C","D","E"},
_xlpm.ans,UPPER(SUBSTITUTE(SUBSTITUTE(SUBSTITUTE(SUBSTITUTE(SUBSTITUTE(TRIM($B49),"　","")," ",""),",",""),"，",""),"、","")),
_xlpm.resp,UPPER(SUBSTITUTE(SUBSTITUTE(SUBSTITUTE(SUBSTITUTE(SUBSTITUTE(TRIM(F49),"　","")," ",""),",",""),"，",""),"、","")),
IF(_xlpm.resp="",99,
SUMPRODUCT(--(ISNUMBER(SEARCH(_xlpm.opts,_xlpm.ans))&lt;&gt;ISNUMBER(SEARCH(_xlpm.opts,_xlpm.resp)))))
)</f>
        <v>0</v>
      </c>
      <c r="L49" s="65" cm="1">
        <f t="array" ref="L49">_xlfn.LET(
_xlpm.opts,{"A","B","C","D","E"},
_xlpm.ans,UPPER(SUBSTITUTE(SUBSTITUTE(SUBSTITUTE(SUBSTITUTE(SUBSTITUTE(TRIM($B49),"　","")," ",""),",",""),"，",""),"、","")),
_xlpm.resp,UPPER(SUBSTITUTE(SUBSTITUTE(SUBSTITUTE(SUBSTITUTE(SUBSTITUTE(TRIM(G49),"　","")," ",""),",",""),"，",""),"、","")),
IF(_xlpm.resp="",99,
SUMPRODUCT(--(ISNUMBER(SEARCH(_xlpm.opts,_xlpm.ans))&lt;&gt;ISNUMBER(SEARCH(_xlpm.opts,_xlpm.resp)))))
)</f>
        <v>1</v>
      </c>
      <c r="M49" s="54">
        <f t="shared" si="35"/>
        <v>3</v>
      </c>
      <c r="N49" s="54">
        <f t="shared" si="34"/>
        <v>1.8</v>
      </c>
      <c r="O49" s="54">
        <f t="shared" si="34"/>
        <v>0.6</v>
      </c>
      <c r="P49" s="54">
        <f t="shared" si="34"/>
        <v>3</v>
      </c>
      <c r="Q49" s="54">
        <f t="shared" si="34"/>
        <v>1.8</v>
      </c>
      <c r="R49" s="11"/>
      <c r="S49" s="11"/>
      <c r="T49" s="11"/>
      <c r="U49" s="11"/>
      <c r="V49" s="11"/>
      <c r="W49" s="11"/>
      <c r="X49" s="11"/>
      <c r="Y49" s="11"/>
      <c r="Z49" s="11"/>
      <c r="AA49" s="11"/>
      <c r="AB49" s="11"/>
      <c r="AC49" s="11"/>
      <c r="AD49" s="11"/>
      <c r="AE49" s="11"/>
      <c r="AF49" s="11"/>
      <c r="AG49" s="11"/>
      <c r="AH49" s="11"/>
      <c r="AI49" s="11"/>
      <c r="AJ49" s="11"/>
      <c r="AK49" s="11"/>
    </row>
    <row r="50" spans="1:37" ht="15.75" customHeight="1">
      <c r="A50" s="58" t="s">
        <v>372</v>
      </c>
      <c r="B50" s="59" t="s">
        <v>195</v>
      </c>
      <c r="C50" s="59" t="s">
        <v>195</v>
      </c>
      <c r="D50" s="63" t="s">
        <v>44</v>
      </c>
      <c r="E50" s="63" t="s">
        <v>57</v>
      </c>
      <c r="F50" s="63" t="s">
        <v>45</v>
      </c>
      <c r="G50" s="63" t="s">
        <v>45</v>
      </c>
      <c r="H50" s="65" cm="1">
        <f t="array" ref="H50">_xlfn.LET(
_xlpm.opts,{"A","B","C","D","E"},
_xlpm.ans,UPPER(SUBSTITUTE(SUBSTITUTE(SUBSTITUTE(SUBSTITUTE(SUBSTITUTE(TRIM($B50),"　","")," ",""),",",""),"，",""),"、","")),
_xlpm.resp,UPPER(SUBSTITUTE(SUBSTITUTE(SUBSTITUTE(SUBSTITUTE(SUBSTITUTE(TRIM(C50),"　","")," ",""),",",""),"，",""),"、","")),
IF(_xlpm.resp="",99,
SUMPRODUCT(--(ISNUMBER(SEARCH(_xlpm.opts,_xlpm.ans))&lt;&gt;ISNUMBER(SEARCH(_xlpm.opts,_xlpm.resp)))))
)</f>
        <v>0</v>
      </c>
      <c r="I50" s="65" cm="1">
        <f t="array" ref="I50">_xlfn.LET(
_xlpm.opts,{"A","B","C","D","E"},
_xlpm.ans,UPPER(SUBSTITUTE(SUBSTITUTE(SUBSTITUTE(SUBSTITUTE(SUBSTITUTE(TRIM($B50),"　","")," ",""),",",""),"，",""),"、","")),
_xlpm.resp,UPPER(SUBSTITUTE(SUBSTITUTE(SUBSTITUTE(SUBSTITUTE(SUBSTITUTE(TRIM(D50),"　","")," ",""),",",""),"，",""),"、","")),
IF(_xlpm.resp="",99,
SUMPRODUCT(--(ISNUMBER(SEARCH(_xlpm.opts,_xlpm.ans))&lt;&gt;ISNUMBER(SEARCH(_xlpm.opts,_xlpm.resp)))))
)</f>
        <v>2</v>
      </c>
      <c r="J50" s="65" cm="1">
        <f t="array" ref="J50">_xlfn.LET(
_xlpm.opts,{"A","B","C","D","E"},
_xlpm.ans,UPPER(SUBSTITUTE(SUBSTITUTE(SUBSTITUTE(SUBSTITUTE(SUBSTITUTE(TRIM($B50),"　","")," ",""),",",""),"，",""),"、","")),
_xlpm.resp,UPPER(SUBSTITUTE(SUBSTITUTE(SUBSTITUTE(SUBSTITUTE(SUBSTITUTE(TRIM(E50),"　","")," ",""),",",""),"，",""),"、","")),
IF(_xlpm.resp="",99,
SUMPRODUCT(--(ISNUMBER(SEARCH(_xlpm.opts,_xlpm.ans))&lt;&gt;ISNUMBER(SEARCH(_xlpm.opts,_xlpm.resp)))))
)</f>
        <v>1</v>
      </c>
      <c r="K50" s="65" cm="1">
        <f t="array" ref="K50">_xlfn.LET(
_xlpm.opts,{"A","B","C","D","E"},
_xlpm.ans,UPPER(SUBSTITUTE(SUBSTITUTE(SUBSTITUTE(SUBSTITUTE(SUBSTITUTE(TRIM($B50),"　","")," ",""),",",""),"，",""),"、","")),
_xlpm.resp,UPPER(SUBSTITUTE(SUBSTITUTE(SUBSTITUTE(SUBSTITUTE(SUBSTITUTE(TRIM(F50),"　","")," ",""),",",""),"，",""),"、","")),
IF(_xlpm.resp="",99,
SUMPRODUCT(--(ISNUMBER(SEARCH(_xlpm.opts,_xlpm.ans))&lt;&gt;ISNUMBER(SEARCH(_xlpm.opts,_xlpm.resp)))))
)</f>
        <v>0</v>
      </c>
      <c r="L50" s="65" cm="1">
        <f t="array" ref="L50">_xlfn.LET(
_xlpm.opts,{"A","B","C","D","E"},
_xlpm.ans,UPPER(SUBSTITUTE(SUBSTITUTE(SUBSTITUTE(SUBSTITUTE(SUBSTITUTE(TRIM($B50),"　","")," ",""),",",""),"，",""),"、","")),
_xlpm.resp,UPPER(SUBSTITUTE(SUBSTITUTE(SUBSTITUTE(SUBSTITUTE(SUBSTITUTE(TRIM(G50),"　","")," ",""),",",""),"，",""),"、","")),
IF(_xlpm.resp="",99,
SUMPRODUCT(--(ISNUMBER(SEARCH(_xlpm.opts,_xlpm.ans))&lt;&gt;ISNUMBER(SEARCH(_xlpm.opts,_xlpm.resp)))))
)</f>
        <v>0</v>
      </c>
      <c r="M50" s="54">
        <f t="shared" si="35"/>
        <v>3</v>
      </c>
      <c r="N50" s="54">
        <f t="shared" si="34"/>
        <v>0.6</v>
      </c>
      <c r="O50" s="54">
        <f t="shared" si="34"/>
        <v>1.8</v>
      </c>
      <c r="P50" s="54">
        <f t="shared" si="34"/>
        <v>3</v>
      </c>
      <c r="Q50" s="54">
        <f t="shared" si="34"/>
        <v>3</v>
      </c>
      <c r="R50" s="11"/>
      <c r="S50" s="11"/>
      <c r="T50" s="11"/>
      <c r="U50" s="11"/>
      <c r="V50" s="11"/>
      <c r="W50" s="11"/>
      <c r="X50" s="11"/>
      <c r="Y50" s="11"/>
      <c r="Z50" s="11"/>
      <c r="AA50" s="11"/>
      <c r="AB50" s="11"/>
      <c r="AC50" s="11"/>
      <c r="AD50" s="11"/>
      <c r="AE50" s="11"/>
      <c r="AF50" s="11"/>
      <c r="AG50" s="11"/>
      <c r="AH50" s="11"/>
      <c r="AI50" s="11"/>
      <c r="AJ50" s="11"/>
      <c r="AK50" s="11"/>
    </row>
    <row r="51" spans="1:37" ht="15.75" customHeight="1">
      <c r="A51" s="58" t="s">
        <v>373</v>
      </c>
      <c r="B51" s="59" t="s">
        <v>268</v>
      </c>
      <c r="C51" s="59" t="s">
        <v>54</v>
      </c>
      <c r="D51" s="63" t="s">
        <v>102</v>
      </c>
      <c r="E51" s="63" t="s">
        <v>89</v>
      </c>
      <c r="F51" s="63" t="s">
        <v>102</v>
      </c>
      <c r="G51" s="63" t="s">
        <v>102</v>
      </c>
      <c r="H51" s="65" cm="1">
        <f t="array" ref="H51">_xlfn.LET(
_xlpm.opts,{"A","B","C","D","E"},
_xlpm.ans,UPPER(SUBSTITUTE(SUBSTITUTE(SUBSTITUTE(SUBSTITUTE(SUBSTITUTE(TRIM($B51),"　","")," ",""),",",""),"，",""),"、","")),
_xlpm.resp,UPPER(SUBSTITUTE(SUBSTITUTE(SUBSTITUTE(SUBSTITUTE(SUBSTITUTE(TRIM(C51),"　","")," ",""),",",""),"，",""),"、","")),
IF(_xlpm.resp="",99,
SUMPRODUCT(--(ISNUMBER(SEARCH(_xlpm.opts,_xlpm.ans))&lt;&gt;ISNUMBER(SEARCH(_xlpm.opts,_xlpm.resp)))))
)</f>
        <v>1</v>
      </c>
      <c r="I51" s="65" cm="1">
        <f t="array" ref="I51">_xlfn.LET(
_xlpm.opts,{"A","B","C","D","E"},
_xlpm.ans,UPPER(SUBSTITUTE(SUBSTITUTE(SUBSTITUTE(SUBSTITUTE(SUBSTITUTE(TRIM($B51),"　","")," ",""),",",""),"，",""),"、","")),
_xlpm.resp,UPPER(SUBSTITUTE(SUBSTITUTE(SUBSTITUTE(SUBSTITUTE(SUBSTITUTE(TRIM(D51),"　","")," ",""),",",""),"，",""),"、","")),
IF(_xlpm.resp="",99,
SUMPRODUCT(--(ISNUMBER(SEARCH(_xlpm.opts,_xlpm.ans))&lt;&gt;ISNUMBER(SEARCH(_xlpm.opts,_xlpm.resp)))))
)</f>
        <v>0</v>
      </c>
      <c r="J51" s="65" cm="1">
        <f t="array" ref="J51">_xlfn.LET(
_xlpm.opts,{"A","B","C","D","E"},
_xlpm.ans,UPPER(SUBSTITUTE(SUBSTITUTE(SUBSTITUTE(SUBSTITUTE(SUBSTITUTE(TRIM($B51),"　","")," ",""),",",""),"，",""),"、","")),
_xlpm.resp,UPPER(SUBSTITUTE(SUBSTITUTE(SUBSTITUTE(SUBSTITUTE(SUBSTITUTE(TRIM(E51),"　","")," ",""),",",""),"，",""),"、","")),
IF(_xlpm.resp="",99,
SUMPRODUCT(--(ISNUMBER(SEARCH(_xlpm.opts,_xlpm.ans))&lt;&gt;ISNUMBER(SEARCH(_xlpm.opts,_xlpm.resp)))))
)</f>
        <v>3</v>
      </c>
      <c r="K51" s="65" cm="1">
        <f t="array" ref="K51">_xlfn.LET(
_xlpm.opts,{"A","B","C","D","E"},
_xlpm.ans,UPPER(SUBSTITUTE(SUBSTITUTE(SUBSTITUTE(SUBSTITUTE(SUBSTITUTE(TRIM($B51),"　","")," ",""),",",""),"，",""),"、","")),
_xlpm.resp,UPPER(SUBSTITUTE(SUBSTITUTE(SUBSTITUTE(SUBSTITUTE(SUBSTITUTE(TRIM(F51),"　","")," ",""),",",""),"，",""),"、","")),
IF(_xlpm.resp="",99,
SUMPRODUCT(--(ISNUMBER(SEARCH(_xlpm.opts,_xlpm.ans))&lt;&gt;ISNUMBER(SEARCH(_xlpm.opts,_xlpm.resp)))))
)</f>
        <v>0</v>
      </c>
      <c r="L51" s="65" cm="1">
        <f t="array" ref="L51">_xlfn.LET(
_xlpm.opts,{"A","B","C","D","E"},
_xlpm.ans,UPPER(SUBSTITUTE(SUBSTITUTE(SUBSTITUTE(SUBSTITUTE(SUBSTITUTE(TRIM($B51),"　","")," ",""),",",""),"，",""),"、","")),
_xlpm.resp,UPPER(SUBSTITUTE(SUBSTITUTE(SUBSTITUTE(SUBSTITUTE(SUBSTITUTE(TRIM(G51),"　","")," ",""),",",""),"，",""),"、","")),
IF(_xlpm.resp="",99,
SUMPRODUCT(--(ISNUMBER(SEARCH(_xlpm.opts,_xlpm.ans))&lt;&gt;ISNUMBER(SEARCH(_xlpm.opts,_xlpm.resp)))))
)</f>
        <v>0</v>
      </c>
      <c r="M51" s="54">
        <f t="shared" si="35"/>
        <v>1.8</v>
      </c>
      <c r="N51" s="54">
        <f t="shared" si="34"/>
        <v>3</v>
      </c>
      <c r="O51" s="54">
        <f t="shared" si="34"/>
        <v>0</v>
      </c>
      <c r="P51" s="54">
        <f t="shared" si="34"/>
        <v>3</v>
      </c>
      <c r="Q51" s="54">
        <f t="shared" si="34"/>
        <v>3</v>
      </c>
      <c r="R51" s="11"/>
      <c r="S51" s="11"/>
      <c r="T51" s="11"/>
      <c r="U51" s="11"/>
      <c r="V51" s="11"/>
      <c r="W51" s="11"/>
      <c r="X51" s="11"/>
      <c r="Y51" s="11"/>
      <c r="Z51" s="11"/>
      <c r="AA51" s="11"/>
      <c r="AB51" s="11"/>
      <c r="AC51" s="11"/>
      <c r="AD51" s="11"/>
      <c r="AE51" s="11"/>
      <c r="AF51" s="11"/>
      <c r="AG51" s="11"/>
      <c r="AH51" s="11"/>
      <c r="AI51" s="11"/>
      <c r="AJ51" s="11"/>
      <c r="AK51" s="11"/>
    </row>
    <row r="52" spans="1:37" ht="15.75" customHeight="1">
      <c r="A52" s="58" t="s">
        <v>374</v>
      </c>
      <c r="B52" s="59" t="s">
        <v>370</v>
      </c>
      <c r="C52" s="63" t="s">
        <v>132</v>
      </c>
      <c r="D52" s="63" t="s">
        <v>51</v>
      </c>
      <c r="E52" s="63" t="s">
        <v>94</v>
      </c>
      <c r="F52" s="63" t="s">
        <v>99</v>
      </c>
      <c r="G52" s="63" t="s">
        <v>99</v>
      </c>
      <c r="H52" s="65" cm="1">
        <f t="array" ref="H52">_xlfn.LET(
_xlpm.opts,{"A","B","C","D","E"},
_xlpm.ans,UPPER(SUBSTITUTE(SUBSTITUTE(SUBSTITUTE(SUBSTITUTE(SUBSTITUTE(TRIM($B52),"　","")," ",""),",",""),"，",""),"、","")),
_xlpm.resp,UPPER(SUBSTITUTE(SUBSTITUTE(SUBSTITUTE(SUBSTITUTE(SUBSTITUTE(TRIM(C52),"　","")," ",""),",",""),"，",""),"、","")),
IF(_xlpm.resp="",99,
SUMPRODUCT(--(ISNUMBER(SEARCH(_xlpm.opts,_xlpm.ans))&lt;&gt;ISNUMBER(SEARCH(_xlpm.opts,_xlpm.resp)))))
)</f>
        <v>1</v>
      </c>
      <c r="I52" s="65" cm="1">
        <f t="array" ref="I52">_xlfn.LET(
_xlpm.opts,{"A","B","C","D","E"},
_xlpm.ans,UPPER(SUBSTITUTE(SUBSTITUTE(SUBSTITUTE(SUBSTITUTE(SUBSTITUTE(TRIM($B52),"　","")," ",""),",",""),"，",""),"、","")),
_xlpm.resp,UPPER(SUBSTITUTE(SUBSTITUTE(SUBSTITUTE(SUBSTITUTE(SUBSTITUTE(TRIM(D52),"　","")," ",""),",",""),"，",""),"、","")),
IF(_xlpm.resp="",99,
SUMPRODUCT(--(ISNUMBER(SEARCH(_xlpm.opts,_xlpm.ans))&lt;&gt;ISNUMBER(SEARCH(_xlpm.opts,_xlpm.resp)))))
)</f>
        <v>1</v>
      </c>
      <c r="J52" s="65" cm="1">
        <f t="array" ref="J52">_xlfn.LET(
_xlpm.opts,{"A","B","C","D","E"},
_xlpm.ans,UPPER(SUBSTITUTE(SUBSTITUTE(SUBSTITUTE(SUBSTITUTE(SUBSTITUTE(TRIM($B52),"　","")," ",""),",",""),"，",""),"、","")),
_xlpm.resp,UPPER(SUBSTITUTE(SUBSTITUTE(SUBSTITUTE(SUBSTITUTE(SUBSTITUTE(TRIM(E52),"　","")," ",""),",",""),"，",""),"、","")),
IF(_xlpm.resp="",99,
SUMPRODUCT(--(ISNUMBER(SEARCH(_xlpm.opts,_xlpm.ans))&lt;&gt;ISNUMBER(SEARCH(_xlpm.opts,_xlpm.resp)))))
)</f>
        <v>2</v>
      </c>
      <c r="K52" s="65" cm="1">
        <f t="array" ref="K52">_xlfn.LET(
_xlpm.opts,{"A","B","C","D","E"},
_xlpm.ans,UPPER(SUBSTITUTE(SUBSTITUTE(SUBSTITUTE(SUBSTITUTE(SUBSTITUTE(TRIM($B52),"　","")," ",""),",",""),"，",""),"、","")),
_xlpm.resp,UPPER(SUBSTITUTE(SUBSTITUTE(SUBSTITUTE(SUBSTITUTE(SUBSTITUTE(TRIM(F52),"　","")," ",""),",",""),"，",""),"、","")),
IF(_xlpm.resp="",99,
SUMPRODUCT(--(ISNUMBER(SEARCH(_xlpm.opts,_xlpm.ans))&lt;&gt;ISNUMBER(SEARCH(_xlpm.opts,_xlpm.resp)))))
)</f>
        <v>0</v>
      </c>
      <c r="L52" s="65" cm="1">
        <f t="array" ref="L52">_xlfn.LET(
_xlpm.opts,{"A","B","C","D","E"},
_xlpm.ans,UPPER(SUBSTITUTE(SUBSTITUTE(SUBSTITUTE(SUBSTITUTE(SUBSTITUTE(TRIM($B52),"　","")," ",""),",",""),"，",""),"、","")),
_xlpm.resp,UPPER(SUBSTITUTE(SUBSTITUTE(SUBSTITUTE(SUBSTITUTE(SUBSTITUTE(TRIM(G52),"　","")," ",""),",",""),"，",""),"、","")),
IF(_xlpm.resp="",99,
SUMPRODUCT(--(ISNUMBER(SEARCH(_xlpm.opts,_xlpm.ans))&lt;&gt;ISNUMBER(SEARCH(_xlpm.opts,_xlpm.resp)))))
)</f>
        <v>0</v>
      </c>
      <c r="M52" s="54">
        <f t="shared" si="35"/>
        <v>1.8</v>
      </c>
      <c r="N52" s="54">
        <f t="shared" si="34"/>
        <v>1.8</v>
      </c>
      <c r="O52" s="54">
        <f t="shared" si="34"/>
        <v>0.6</v>
      </c>
      <c r="P52" s="54">
        <f t="shared" si="34"/>
        <v>3</v>
      </c>
      <c r="Q52" s="54">
        <f t="shared" si="34"/>
        <v>3</v>
      </c>
      <c r="R52" s="11"/>
      <c r="S52" s="11"/>
      <c r="T52" s="11"/>
      <c r="U52" s="11"/>
      <c r="V52" s="11"/>
      <c r="W52" s="11"/>
      <c r="X52" s="11"/>
      <c r="Y52" s="11"/>
      <c r="Z52" s="11"/>
      <c r="AA52" s="11"/>
      <c r="AB52" s="11"/>
      <c r="AC52" s="11"/>
      <c r="AD52" s="11"/>
      <c r="AE52" s="11"/>
      <c r="AF52" s="11"/>
      <c r="AG52" s="11"/>
      <c r="AH52" s="11"/>
      <c r="AI52" s="11"/>
      <c r="AJ52" s="11"/>
      <c r="AK52" s="11"/>
    </row>
    <row r="53" spans="1:37" ht="15.75" customHeight="1">
      <c r="A53" s="58" t="s">
        <v>375</v>
      </c>
      <c r="B53" s="59" t="s">
        <v>376</v>
      </c>
      <c r="C53" s="59" t="s">
        <v>376</v>
      </c>
      <c r="D53" s="63" t="s">
        <v>57</v>
      </c>
      <c r="E53" s="63" t="s">
        <v>39</v>
      </c>
      <c r="F53" s="63" t="s">
        <v>90</v>
      </c>
      <c r="G53" s="63" t="s">
        <v>57</v>
      </c>
      <c r="H53" s="65" cm="1">
        <f t="array" ref="H53">_xlfn.LET(
_xlpm.opts,{"A","B","C","D","E"},
_xlpm.ans,UPPER(SUBSTITUTE(SUBSTITUTE(SUBSTITUTE(SUBSTITUTE(SUBSTITUTE(TRIM($B53),"　","")," ",""),",",""),"，",""),"、","")),
_xlpm.resp,UPPER(SUBSTITUTE(SUBSTITUTE(SUBSTITUTE(SUBSTITUTE(SUBSTITUTE(TRIM(C53),"　","")," ",""),",",""),"，",""),"、","")),
IF(_xlpm.resp="",99,
SUMPRODUCT(--(ISNUMBER(SEARCH(_xlpm.opts,_xlpm.ans))&lt;&gt;ISNUMBER(SEARCH(_xlpm.opts,_xlpm.resp)))))
)</f>
        <v>0</v>
      </c>
      <c r="I53" s="65" cm="1">
        <f t="array" ref="I53">_xlfn.LET(
_xlpm.opts,{"A","B","C","D","E"},
_xlpm.ans,UPPER(SUBSTITUTE(SUBSTITUTE(SUBSTITUTE(SUBSTITUTE(SUBSTITUTE(TRIM($B53),"　","")," ",""),",",""),"，",""),"、","")),
_xlpm.resp,UPPER(SUBSTITUTE(SUBSTITUTE(SUBSTITUTE(SUBSTITUTE(SUBSTITUTE(TRIM(D53),"　","")," ",""),",",""),"，",""),"、","")),
IF(_xlpm.resp="",99,
SUMPRODUCT(--(ISNUMBER(SEARCH(_xlpm.opts,_xlpm.ans))&lt;&gt;ISNUMBER(SEARCH(_xlpm.opts,_xlpm.resp)))))
)</f>
        <v>0</v>
      </c>
      <c r="J53" s="65" cm="1">
        <f t="array" ref="J53">_xlfn.LET(
_xlpm.opts,{"A","B","C","D","E"},
_xlpm.ans,UPPER(SUBSTITUTE(SUBSTITUTE(SUBSTITUTE(SUBSTITUTE(SUBSTITUTE(TRIM($B53),"　","")," ",""),",",""),"，",""),"、","")),
_xlpm.resp,UPPER(SUBSTITUTE(SUBSTITUTE(SUBSTITUTE(SUBSTITUTE(SUBSTITUTE(TRIM(E53),"　","")," ",""),",",""),"，",""),"、","")),
IF(_xlpm.resp="",99,
SUMPRODUCT(--(ISNUMBER(SEARCH(_xlpm.opts,_xlpm.ans))&lt;&gt;ISNUMBER(SEARCH(_xlpm.opts,_xlpm.resp)))))
)</f>
        <v>1</v>
      </c>
      <c r="K53" s="65" cm="1">
        <f t="array" ref="K53">_xlfn.LET(
_xlpm.opts,{"A","B","C","D","E"},
_xlpm.ans,UPPER(SUBSTITUTE(SUBSTITUTE(SUBSTITUTE(SUBSTITUTE(SUBSTITUTE(TRIM($B53),"　","")," ",""),",",""),"，",""),"、","")),
_xlpm.resp,UPPER(SUBSTITUTE(SUBSTITUTE(SUBSTITUTE(SUBSTITUTE(SUBSTITUTE(TRIM(F53),"　","")," ",""),",",""),"，",""),"、","")),
IF(_xlpm.resp="",99,
SUMPRODUCT(--(ISNUMBER(SEARCH(_xlpm.opts,_xlpm.ans))&lt;&gt;ISNUMBER(SEARCH(_xlpm.opts,_xlpm.resp)))))
)</f>
        <v>1</v>
      </c>
      <c r="L53" s="65" cm="1">
        <f t="array" ref="L53">_xlfn.LET(
_xlpm.opts,{"A","B","C","D","E"},
_xlpm.ans,UPPER(SUBSTITUTE(SUBSTITUTE(SUBSTITUTE(SUBSTITUTE(SUBSTITUTE(TRIM($B53),"　","")," ",""),",",""),"，",""),"、","")),
_xlpm.resp,UPPER(SUBSTITUTE(SUBSTITUTE(SUBSTITUTE(SUBSTITUTE(SUBSTITUTE(TRIM(G53),"　","")," ",""),",",""),"，",""),"、","")),
IF(_xlpm.resp="",99,
SUMPRODUCT(--(ISNUMBER(SEARCH(_xlpm.opts,_xlpm.ans))&lt;&gt;ISNUMBER(SEARCH(_xlpm.opts,_xlpm.resp)))))
)</f>
        <v>0</v>
      </c>
      <c r="M53" s="54">
        <f t="shared" si="35"/>
        <v>3</v>
      </c>
      <c r="N53" s="54">
        <f t="shared" si="34"/>
        <v>3</v>
      </c>
      <c r="O53" s="54">
        <f t="shared" si="34"/>
        <v>1.8</v>
      </c>
      <c r="P53" s="54">
        <f t="shared" si="34"/>
        <v>1.8</v>
      </c>
      <c r="Q53" s="54">
        <f t="shared" si="34"/>
        <v>3</v>
      </c>
      <c r="R53" s="11"/>
      <c r="S53" s="11"/>
      <c r="T53" s="11"/>
      <c r="U53" s="11"/>
      <c r="V53" s="11"/>
      <c r="W53" s="11"/>
      <c r="X53" s="11"/>
      <c r="Y53" s="11"/>
      <c r="Z53" s="11"/>
      <c r="AA53" s="11"/>
      <c r="AB53" s="11"/>
      <c r="AC53" s="11"/>
      <c r="AD53" s="11"/>
      <c r="AE53" s="11"/>
      <c r="AF53" s="11"/>
      <c r="AG53" s="11"/>
      <c r="AH53" s="11"/>
      <c r="AI53" s="11"/>
      <c r="AJ53" s="11"/>
      <c r="AK53" s="11"/>
    </row>
    <row r="54" spans="1:37" ht="15.75" customHeight="1">
      <c r="A54" s="24"/>
      <c r="B54" s="25"/>
      <c r="C54" s="26"/>
      <c r="D54" s="26"/>
      <c r="E54" s="26"/>
      <c r="F54" s="26"/>
      <c r="G54" s="26"/>
      <c r="H54" s="26"/>
      <c r="I54" s="26"/>
      <c r="J54" s="26"/>
      <c r="K54" s="26"/>
      <c r="L54" s="26"/>
      <c r="M54" s="27"/>
      <c r="N54" s="27"/>
      <c r="O54" s="27"/>
      <c r="P54" s="27"/>
      <c r="Q54" s="27"/>
      <c r="R54" s="11"/>
      <c r="S54" s="11"/>
      <c r="T54" s="11"/>
      <c r="U54" s="11"/>
      <c r="V54" s="11"/>
      <c r="W54" s="11"/>
      <c r="X54" s="11"/>
      <c r="Y54" s="11"/>
      <c r="Z54" s="11"/>
      <c r="AA54" s="11"/>
      <c r="AB54" s="11"/>
      <c r="AC54" s="11"/>
      <c r="AD54" s="11"/>
      <c r="AE54" s="11"/>
      <c r="AF54" s="11"/>
      <c r="AG54" s="11"/>
      <c r="AH54" s="11"/>
      <c r="AI54" s="11"/>
      <c r="AJ54" s="11"/>
      <c r="AK54" s="11"/>
    </row>
    <row r="55" spans="1:37" ht="15.75" customHeight="1">
      <c r="A55" s="24"/>
      <c r="B55" s="25"/>
      <c r="C55" s="26"/>
      <c r="D55" s="26"/>
      <c r="E55" s="26"/>
      <c r="F55" s="26"/>
      <c r="G55" s="26"/>
      <c r="H55" s="26"/>
      <c r="I55" s="26"/>
      <c r="J55" s="26"/>
      <c r="K55" s="26"/>
      <c r="L55" s="26"/>
      <c r="M55" s="27"/>
      <c r="N55" s="27"/>
      <c r="O55" s="27"/>
      <c r="P55" s="27"/>
      <c r="Q55" s="27"/>
      <c r="R55" s="11"/>
      <c r="S55" s="11"/>
      <c r="T55" s="11"/>
      <c r="U55" s="11"/>
      <c r="V55" s="11"/>
      <c r="W55" s="11"/>
      <c r="X55" s="11"/>
      <c r="Y55" s="11"/>
      <c r="Z55" s="11"/>
      <c r="AA55" s="11"/>
      <c r="AB55" s="11"/>
      <c r="AC55" s="11"/>
      <c r="AD55" s="11"/>
      <c r="AE55" s="11"/>
      <c r="AF55" s="11"/>
      <c r="AG55" s="11"/>
      <c r="AH55" s="11"/>
      <c r="AI55" s="11"/>
      <c r="AJ55" s="11"/>
      <c r="AK55" s="11"/>
    </row>
    <row r="56" spans="1:37" ht="15.75" customHeight="1">
      <c r="A56" s="24"/>
      <c r="B56" s="25"/>
      <c r="C56" s="26"/>
      <c r="D56" s="26"/>
      <c r="E56" s="26"/>
      <c r="F56" s="26"/>
      <c r="G56" s="26"/>
      <c r="H56" s="26"/>
      <c r="I56" s="26"/>
      <c r="J56" s="26"/>
      <c r="K56" s="26"/>
      <c r="L56" s="26"/>
      <c r="M56" s="27"/>
      <c r="N56" s="27"/>
      <c r="O56" s="27"/>
      <c r="P56" s="27"/>
      <c r="Q56" s="27"/>
      <c r="R56" s="11"/>
      <c r="S56" s="11"/>
      <c r="T56" s="11"/>
      <c r="U56" s="11"/>
      <c r="V56" s="11"/>
      <c r="W56" s="11"/>
      <c r="X56" s="11"/>
      <c r="Y56" s="11"/>
      <c r="Z56" s="11"/>
      <c r="AA56" s="11"/>
      <c r="AB56" s="11"/>
      <c r="AC56" s="11"/>
      <c r="AD56" s="11"/>
      <c r="AE56" s="11"/>
      <c r="AF56" s="11"/>
      <c r="AG56" s="11"/>
      <c r="AH56" s="11"/>
      <c r="AI56" s="11"/>
      <c r="AJ56" s="11"/>
      <c r="AK56" s="11"/>
    </row>
    <row r="57" spans="1:37" ht="15.75" customHeight="1">
      <c r="A57" s="24"/>
      <c r="B57" s="25"/>
      <c r="C57" s="26"/>
      <c r="D57" s="26"/>
      <c r="E57" s="26"/>
      <c r="F57" s="26"/>
      <c r="G57" s="26"/>
      <c r="H57" s="26"/>
      <c r="I57" s="26"/>
      <c r="J57" s="26"/>
      <c r="K57" s="26"/>
      <c r="L57" s="26"/>
      <c r="M57" s="27"/>
      <c r="N57" s="27"/>
      <c r="O57" s="27"/>
      <c r="P57" s="27"/>
      <c r="Q57" s="27"/>
      <c r="R57" s="11"/>
      <c r="S57" s="11"/>
      <c r="T57" s="11"/>
      <c r="U57" s="11"/>
      <c r="V57" s="11"/>
      <c r="W57" s="11"/>
      <c r="X57" s="11"/>
      <c r="Y57" s="11"/>
      <c r="Z57" s="11"/>
      <c r="AA57" s="11"/>
      <c r="AB57" s="11"/>
      <c r="AC57" s="11"/>
      <c r="AD57" s="11"/>
      <c r="AE57" s="11"/>
      <c r="AF57" s="11"/>
      <c r="AG57" s="11"/>
      <c r="AH57" s="11"/>
      <c r="AI57" s="11"/>
      <c r="AJ57" s="11"/>
      <c r="AK57" s="11"/>
    </row>
    <row r="58" spans="1:37" ht="15.75" customHeight="1">
      <c r="A58" s="24"/>
      <c r="B58" s="25"/>
      <c r="C58" s="26"/>
      <c r="D58" s="26"/>
      <c r="E58" s="26"/>
      <c r="F58" s="26"/>
      <c r="G58" s="26"/>
      <c r="H58" s="26"/>
      <c r="I58" s="26"/>
      <c r="J58" s="26"/>
      <c r="K58" s="26"/>
      <c r="L58" s="26"/>
      <c r="M58" s="27"/>
      <c r="N58" s="27"/>
      <c r="O58" s="27"/>
      <c r="P58" s="27"/>
      <c r="Q58" s="27"/>
      <c r="R58" s="11"/>
      <c r="S58" s="11"/>
      <c r="T58" s="11"/>
      <c r="U58" s="11"/>
      <c r="V58" s="11"/>
      <c r="W58" s="11"/>
      <c r="X58" s="11"/>
      <c r="Y58" s="11"/>
      <c r="Z58" s="11"/>
      <c r="AA58" s="11"/>
      <c r="AB58" s="11"/>
      <c r="AC58" s="11"/>
      <c r="AD58" s="11"/>
      <c r="AE58" s="11"/>
      <c r="AF58" s="11"/>
      <c r="AG58" s="11"/>
      <c r="AH58" s="11"/>
      <c r="AI58" s="11"/>
      <c r="AJ58" s="11"/>
      <c r="AK58" s="11"/>
    </row>
    <row r="59" spans="1:37" ht="15.75" customHeight="1">
      <c r="A59" s="24"/>
      <c r="B59" s="25"/>
      <c r="C59" s="26"/>
      <c r="D59" s="26"/>
      <c r="E59" s="26"/>
      <c r="F59" s="26"/>
      <c r="G59" s="26"/>
      <c r="H59" s="26"/>
      <c r="I59" s="26"/>
      <c r="J59" s="26"/>
      <c r="K59" s="26"/>
      <c r="L59" s="26"/>
      <c r="M59" s="27"/>
      <c r="N59" s="27"/>
      <c r="O59" s="27"/>
      <c r="P59" s="27"/>
      <c r="Q59" s="27"/>
      <c r="R59" s="11"/>
      <c r="S59" s="11"/>
      <c r="T59" s="11"/>
      <c r="U59" s="11"/>
      <c r="V59" s="11"/>
      <c r="W59" s="11"/>
      <c r="X59" s="11"/>
      <c r="Y59" s="11"/>
      <c r="Z59" s="11"/>
      <c r="AA59" s="11"/>
      <c r="AB59" s="11"/>
      <c r="AC59" s="11"/>
      <c r="AD59" s="11"/>
      <c r="AE59" s="11"/>
      <c r="AF59" s="11"/>
      <c r="AG59" s="11"/>
      <c r="AH59" s="11"/>
      <c r="AI59" s="11"/>
      <c r="AJ59" s="11"/>
      <c r="AK59" s="11"/>
    </row>
    <row r="60" spans="1:37" ht="15.75" customHeight="1">
      <c r="A60" s="24"/>
      <c r="B60" s="25"/>
      <c r="C60" s="26"/>
      <c r="D60" s="26"/>
      <c r="E60" s="26"/>
      <c r="F60" s="26"/>
      <c r="G60" s="26"/>
      <c r="H60" s="26"/>
      <c r="I60" s="26"/>
      <c r="J60" s="26"/>
      <c r="K60" s="26"/>
      <c r="L60" s="26"/>
      <c r="M60" s="27"/>
      <c r="N60" s="27"/>
      <c r="O60" s="27"/>
      <c r="P60" s="27"/>
      <c r="Q60" s="27"/>
      <c r="R60" s="11"/>
      <c r="S60" s="24"/>
      <c r="T60" s="11"/>
      <c r="U60" s="11"/>
      <c r="V60" s="11"/>
      <c r="W60" s="11"/>
      <c r="X60" s="11"/>
      <c r="Y60" s="11"/>
      <c r="Z60" s="11"/>
      <c r="AA60" s="11"/>
      <c r="AB60" s="11"/>
      <c r="AC60" s="11"/>
      <c r="AD60" s="11"/>
      <c r="AE60" s="11"/>
      <c r="AF60" s="11"/>
      <c r="AG60" s="11"/>
      <c r="AH60" s="11"/>
      <c r="AI60" s="11"/>
      <c r="AJ60" s="11"/>
      <c r="AK60" s="11"/>
    </row>
    <row r="61" spans="1:37" ht="15.75" customHeight="1">
      <c r="A61" s="24"/>
      <c r="B61" s="25"/>
      <c r="C61" s="26"/>
      <c r="D61" s="26"/>
      <c r="E61" s="26"/>
      <c r="F61" s="26"/>
      <c r="G61" s="26"/>
      <c r="H61" s="26"/>
      <c r="I61" s="26"/>
      <c r="J61" s="26"/>
      <c r="K61" s="26"/>
      <c r="L61" s="26"/>
      <c r="M61" s="27"/>
      <c r="N61" s="27"/>
      <c r="O61" s="27"/>
      <c r="P61" s="27"/>
      <c r="Q61" s="27"/>
      <c r="R61" s="11"/>
      <c r="S61" s="11"/>
      <c r="T61" s="11"/>
      <c r="U61" s="11"/>
      <c r="V61" s="11"/>
      <c r="W61" s="11"/>
      <c r="X61" s="11"/>
      <c r="Y61" s="11"/>
      <c r="Z61" s="11"/>
      <c r="AA61" s="11"/>
      <c r="AB61" s="11"/>
      <c r="AC61" s="11"/>
      <c r="AD61" s="11"/>
      <c r="AE61" s="11"/>
      <c r="AF61" s="11"/>
      <c r="AG61" s="11"/>
      <c r="AH61" s="11"/>
      <c r="AI61" s="11"/>
      <c r="AJ61" s="11"/>
      <c r="AK61" s="11"/>
    </row>
    <row r="62" spans="1:37" ht="15.75" customHeight="1">
      <c r="A62" s="24"/>
      <c r="B62" s="25"/>
      <c r="C62" s="26"/>
      <c r="D62" s="26"/>
      <c r="E62" s="26"/>
      <c r="F62" s="26"/>
      <c r="G62" s="26"/>
      <c r="H62" s="26"/>
      <c r="I62" s="26"/>
      <c r="J62" s="26"/>
      <c r="K62" s="26"/>
      <c r="L62" s="26"/>
      <c r="M62" s="27"/>
      <c r="N62" s="27"/>
      <c r="O62" s="27"/>
      <c r="P62" s="27"/>
      <c r="Q62" s="27"/>
      <c r="R62" s="11"/>
      <c r="S62" s="11"/>
      <c r="T62" s="11"/>
      <c r="U62" s="11"/>
      <c r="V62" s="11"/>
      <c r="W62" s="11"/>
      <c r="X62" s="11"/>
      <c r="Y62" s="11"/>
      <c r="Z62" s="11"/>
      <c r="AA62" s="11"/>
      <c r="AB62" s="11"/>
      <c r="AC62" s="11"/>
      <c r="AD62" s="11"/>
      <c r="AE62" s="11"/>
      <c r="AF62" s="11"/>
      <c r="AG62" s="11"/>
      <c r="AH62" s="11"/>
      <c r="AI62" s="11"/>
      <c r="AJ62" s="11"/>
      <c r="AK62" s="11"/>
    </row>
    <row r="63" spans="1:37" ht="15.75" customHeight="1">
      <c r="A63" s="24"/>
      <c r="B63" s="25"/>
      <c r="C63" s="26"/>
      <c r="D63" s="26"/>
      <c r="E63" s="26"/>
      <c r="F63" s="26"/>
      <c r="G63" s="26"/>
      <c r="H63" s="26"/>
      <c r="I63" s="26"/>
      <c r="J63" s="26"/>
      <c r="K63" s="26"/>
      <c r="L63" s="26"/>
      <c r="M63" s="27"/>
      <c r="N63" s="27"/>
      <c r="O63" s="27"/>
      <c r="P63" s="27"/>
      <c r="Q63" s="27"/>
      <c r="R63" s="11"/>
      <c r="S63" s="11"/>
      <c r="T63" s="11"/>
      <c r="U63" s="11"/>
      <c r="V63" s="11"/>
      <c r="W63" s="11"/>
      <c r="X63" s="11"/>
      <c r="Y63" s="11"/>
      <c r="Z63" s="11"/>
      <c r="AA63" s="11"/>
      <c r="AB63" s="11"/>
      <c r="AC63" s="11"/>
      <c r="AD63" s="11"/>
      <c r="AE63" s="11"/>
      <c r="AF63" s="11"/>
      <c r="AG63" s="11"/>
      <c r="AH63" s="11"/>
      <c r="AI63" s="11"/>
      <c r="AJ63" s="11"/>
      <c r="AK63" s="11"/>
    </row>
    <row r="64" spans="1:37" ht="15.75" customHeight="1">
      <c r="A64" s="24"/>
      <c r="B64" s="25"/>
      <c r="C64" s="26"/>
      <c r="D64" s="26"/>
      <c r="E64" s="26"/>
      <c r="F64" s="26"/>
      <c r="G64" s="26"/>
      <c r="H64" s="26"/>
      <c r="I64" s="26"/>
      <c r="J64" s="26"/>
      <c r="K64" s="26"/>
      <c r="L64" s="26"/>
      <c r="M64" s="27"/>
      <c r="N64" s="27"/>
      <c r="O64" s="27"/>
      <c r="P64" s="27"/>
      <c r="Q64" s="27"/>
      <c r="R64" s="11"/>
      <c r="S64" s="11"/>
      <c r="T64" s="11"/>
      <c r="U64" s="11"/>
      <c r="V64" s="11"/>
      <c r="W64" s="11"/>
      <c r="X64" s="11"/>
      <c r="Y64" s="11"/>
      <c r="Z64" s="11"/>
      <c r="AA64" s="11"/>
      <c r="AB64" s="11"/>
      <c r="AC64" s="11"/>
      <c r="AD64" s="11"/>
      <c r="AE64" s="11"/>
      <c r="AF64" s="11"/>
      <c r="AG64" s="11"/>
      <c r="AH64" s="11"/>
      <c r="AI64" s="11"/>
      <c r="AJ64" s="11"/>
      <c r="AK64" s="11"/>
    </row>
    <row r="65" spans="1:37" ht="15.75" customHeight="1">
      <c r="A65" s="24"/>
      <c r="B65" s="25"/>
      <c r="C65" s="26"/>
      <c r="D65" s="26"/>
      <c r="E65" s="26"/>
      <c r="F65" s="26"/>
      <c r="G65" s="26"/>
      <c r="H65" s="26"/>
      <c r="I65" s="26"/>
      <c r="J65" s="26"/>
      <c r="K65" s="26"/>
      <c r="L65" s="26"/>
      <c r="M65" s="27"/>
      <c r="N65" s="27"/>
      <c r="O65" s="27"/>
      <c r="P65" s="27"/>
      <c r="Q65" s="27"/>
      <c r="R65" s="24"/>
      <c r="S65" s="11"/>
      <c r="T65" s="24"/>
      <c r="U65" s="24"/>
      <c r="V65" s="24"/>
      <c r="W65" s="24"/>
      <c r="X65" s="24"/>
      <c r="Y65" s="24"/>
      <c r="Z65" s="24"/>
      <c r="AA65" s="24"/>
      <c r="AB65" s="24"/>
      <c r="AC65" s="24"/>
      <c r="AD65" s="24"/>
      <c r="AE65" s="24"/>
      <c r="AF65" s="24"/>
      <c r="AG65" s="24"/>
      <c r="AH65" s="24"/>
      <c r="AI65" s="24"/>
      <c r="AJ65" s="24"/>
      <c r="AK65" s="24"/>
    </row>
    <row r="66" spans="1:37" ht="15.75" customHeight="1">
      <c r="A66" s="24"/>
      <c r="B66" s="25"/>
      <c r="C66" s="26"/>
      <c r="D66" s="26"/>
      <c r="E66" s="26"/>
      <c r="F66" s="26"/>
      <c r="G66" s="26"/>
      <c r="H66" s="26"/>
      <c r="I66" s="26"/>
      <c r="J66" s="26"/>
      <c r="K66" s="26"/>
      <c r="L66" s="26"/>
      <c r="M66" s="27"/>
      <c r="N66" s="27"/>
      <c r="O66" s="27"/>
      <c r="P66" s="27"/>
      <c r="Q66" s="27"/>
      <c r="R66" s="11"/>
      <c r="S66" s="11"/>
      <c r="T66" s="11"/>
      <c r="U66" s="11"/>
      <c r="V66" s="11"/>
      <c r="W66" s="11"/>
      <c r="X66" s="11"/>
      <c r="Y66" s="11"/>
      <c r="Z66" s="11"/>
      <c r="AA66" s="11"/>
      <c r="AB66" s="11"/>
      <c r="AC66" s="11"/>
      <c r="AD66" s="11"/>
      <c r="AE66" s="11"/>
      <c r="AF66" s="11"/>
      <c r="AG66" s="11"/>
      <c r="AH66" s="11"/>
      <c r="AI66" s="11"/>
      <c r="AJ66" s="11"/>
      <c r="AK66" s="11"/>
    </row>
    <row r="67" spans="1:37" ht="15.75" customHeight="1">
      <c r="A67" s="24"/>
      <c r="B67" s="25"/>
      <c r="C67" s="25"/>
      <c r="D67" s="25"/>
      <c r="E67" s="25"/>
      <c r="F67" s="25"/>
      <c r="G67" s="25"/>
      <c r="H67" s="25"/>
      <c r="I67" s="25"/>
      <c r="J67" s="25"/>
      <c r="K67" s="25"/>
      <c r="L67" s="25"/>
      <c r="M67" s="27"/>
      <c r="N67" s="27"/>
      <c r="O67" s="27"/>
      <c r="P67" s="27"/>
      <c r="Q67" s="27"/>
      <c r="R67" s="11"/>
      <c r="S67" s="11"/>
      <c r="T67" s="11"/>
      <c r="U67" s="11"/>
      <c r="V67" s="11"/>
      <c r="W67" s="11"/>
      <c r="X67" s="11"/>
      <c r="Y67" s="11"/>
      <c r="Z67" s="11"/>
      <c r="AA67" s="11"/>
      <c r="AB67" s="11"/>
      <c r="AC67" s="11"/>
      <c r="AD67" s="11"/>
      <c r="AE67" s="11"/>
      <c r="AF67" s="11"/>
      <c r="AG67" s="11"/>
      <c r="AH67" s="11"/>
      <c r="AI67" s="11"/>
      <c r="AJ67" s="11"/>
      <c r="AK67" s="11"/>
    </row>
    <row r="68" spans="1:37" ht="15.75" customHeight="1">
      <c r="A68" s="24"/>
      <c r="B68" s="25"/>
      <c r="C68" s="26"/>
      <c r="D68" s="26"/>
      <c r="E68" s="26"/>
      <c r="F68" s="26"/>
      <c r="G68" s="26"/>
      <c r="H68" s="26"/>
      <c r="I68" s="26"/>
      <c r="J68" s="26"/>
      <c r="K68" s="26"/>
      <c r="L68" s="26"/>
      <c r="M68" s="13"/>
      <c r="N68" s="13"/>
      <c r="O68" s="13"/>
      <c r="P68" s="26"/>
      <c r="Q68" s="26"/>
      <c r="R68" s="11"/>
      <c r="S68" s="11"/>
      <c r="T68" s="11"/>
      <c r="U68" s="11"/>
      <c r="V68" s="11"/>
      <c r="W68" s="11"/>
      <c r="X68" s="11"/>
      <c r="Y68" s="11"/>
      <c r="Z68" s="11"/>
      <c r="AA68" s="11"/>
      <c r="AB68" s="11"/>
      <c r="AC68" s="11"/>
      <c r="AD68" s="11"/>
      <c r="AE68" s="11"/>
      <c r="AF68" s="11"/>
      <c r="AG68" s="11"/>
      <c r="AH68" s="11"/>
      <c r="AI68" s="11"/>
      <c r="AJ68" s="11"/>
      <c r="AK68" s="11"/>
    </row>
    <row r="69" spans="1:37" ht="15.75" customHeight="1">
      <c r="A69" s="24"/>
      <c r="B69" s="25"/>
      <c r="C69" s="26"/>
      <c r="D69" s="26"/>
      <c r="E69" s="26"/>
      <c r="F69" s="26"/>
      <c r="G69" s="26"/>
      <c r="H69" s="26"/>
      <c r="I69" s="26"/>
      <c r="J69" s="26"/>
      <c r="K69" s="26"/>
      <c r="L69" s="26"/>
      <c r="M69" s="29"/>
      <c r="N69" s="29"/>
      <c r="O69" s="29"/>
      <c r="P69" s="29"/>
      <c r="Q69" s="29"/>
      <c r="R69" s="11"/>
      <c r="S69" s="11"/>
      <c r="T69" s="11"/>
      <c r="U69" s="11"/>
      <c r="V69" s="11"/>
      <c r="W69" s="11"/>
      <c r="X69" s="11"/>
      <c r="Y69" s="11"/>
      <c r="Z69" s="11"/>
      <c r="AA69" s="11"/>
      <c r="AB69" s="11"/>
      <c r="AC69" s="11"/>
      <c r="AD69" s="11"/>
      <c r="AE69" s="11"/>
      <c r="AF69" s="11"/>
      <c r="AG69" s="11"/>
      <c r="AH69" s="11"/>
      <c r="AI69" s="11"/>
      <c r="AJ69" s="11"/>
      <c r="AK69" s="11"/>
    </row>
    <row r="70" spans="1:37" ht="15.75" customHeight="1">
      <c r="A70" s="24"/>
      <c r="B70" s="25"/>
      <c r="C70" s="26"/>
      <c r="D70" s="26"/>
      <c r="E70" s="26"/>
      <c r="F70" s="26"/>
      <c r="G70" s="26"/>
      <c r="H70" s="26"/>
      <c r="I70" s="26"/>
      <c r="J70" s="26"/>
      <c r="K70" s="26"/>
      <c r="L70" s="26"/>
      <c r="M70" s="29"/>
      <c r="N70" s="29"/>
      <c r="O70" s="29"/>
      <c r="P70" s="29"/>
      <c r="Q70" s="29"/>
      <c r="R70" s="11"/>
      <c r="S70" s="11"/>
      <c r="T70" s="11"/>
      <c r="U70" s="11"/>
      <c r="V70" s="11"/>
      <c r="W70" s="11"/>
      <c r="X70" s="11"/>
      <c r="Y70" s="11"/>
      <c r="Z70" s="11"/>
      <c r="AA70" s="11"/>
      <c r="AB70" s="11"/>
      <c r="AC70" s="11"/>
      <c r="AD70" s="11"/>
      <c r="AE70" s="11"/>
      <c r="AF70" s="11"/>
      <c r="AG70" s="11"/>
      <c r="AH70" s="11"/>
      <c r="AI70" s="11"/>
      <c r="AJ70" s="11"/>
      <c r="AK70" s="11"/>
    </row>
    <row r="71" spans="1:37" ht="15.75" customHeight="1">
      <c r="A71" s="24"/>
      <c r="B71" s="25"/>
      <c r="C71" s="26"/>
      <c r="D71" s="26"/>
      <c r="E71" s="26"/>
      <c r="F71" s="26"/>
      <c r="G71" s="26"/>
      <c r="H71" s="26"/>
      <c r="I71" s="26"/>
      <c r="J71" s="26"/>
      <c r="K71" s="26"/>
      <c r="L71" s="26"/>
      <c r="M71" s="29"/>
      <c r="N71" s="29"/>
      <c r="O71" s="29"/>
      <c r="P71" s="29"/>
      <c r="Q71" s="29"/>
      <c r="R71" s="11"/>
      <c r="S71" s="11"/>
      <c r="T71" s="11"/>
      <c r="U71" s="11"/>
      <c r="V71" s="11"/>
      <c r="W71" s="11"/>
      <c r="X71" s="11"/>
      <c r="Y71" s="11"/>
      <c r="Z71" s="11"/>
      <c r="AA71" s="11"/>
      <c r="AB71" s="11"/>
      <c r="AC71" s="11"/>
      <c r="AD71" s="11"/>
      <c r="AE71" s="11"/>
      <c r="AF71" s="11"/>
      <c r="AG71" s="11"/>
      <c r="AH71" s="11"/>
      <c r="AI71" s="11"/>
      <c r="AJ71" s="11"/>
      <c r="AK71" s="11"/>
    </row>
    <row r="72" spans="1:37" ht="15.75" customHeight="1">
      <c r="A72" s="24"/>
      <c r="B72" s="25"/>
      <c r="C72" s="26"/>
      <c r="D72" s="26"/>
      <c r="E72" s="26"/>
      <c r="F72" s="26"/>
      <c r="G72" s="26"/>
      <c r="H72" s="26"/>
      <c r="I72" s="26"/>
      <c r="J72" s="26"/>
      <c r="K72" s="26"/>
      <c r="L72" s="26"/>
      <c r="M72" s="29"/>
      <c r="N72" s="29"/>
      <c r="O72" s="29"/>
      <c r="P72" s="29"/>
      <c r="Q72" s="29"/>
      <c r="R72" s="11"/>
      <c r="S72" s="11"/>
      <c r="T72" s="11"/>
      <c r="U72" s="11"/>
      <c r="V72" s="11"/>
      <c r="W72" s="11"/>
      <c r="X72" s="11"/>
      <c r="Y72" s="11"/>
      <c r="Z72" s="11"/>
      <c r="AA72" s="11"/>
      <c r="AB72" s="11"/>
      <c r="AC72" s="11"/>
      <c r="AD72" s="11"/>
      <c r="AE72" s="11"/>
      <c r="AF72" s="11"/>
      <c r="AG72" s="11"/>
      <c r="AH72" s="11"/>
      <c r="AI72" s="11"/>
      <c r="AJ72" s="11"/>
      <c r="AK72" s="11"/>
    </row>
    <row r="73" spans="1:37" ht="15.75" customHeight="1">
      <c r="A73" s="24"/>
      <c r="B73" s="25"/>
      <c r="C73" s="26"/>
      <c r="D73" s="26"/>
      <c r="E73" s="26"/>
      <c r="F73" s="26"/>
      <c r="G73" s="26"/>
      <c r="H73" s="26"/>
      <c r="I73" s="26"/>
      <c r="J73" s="26"/>
      <c r="K73" s="26"/>
      <c r="L73" s="26"/>
      <c r="M73" s="29"/>
      <c r="N73" s="29"/>
      <c r="O73" s="29"/>
      <c r="P73" s="29"/>
      <c r="Q73" s="29"/>
      <c r="R73" s="11"/>
      <c r="S73" s="11"/>
      <c r="T73" s="11"/>
      <c r="U73" s="11"/>
      <c r="V73" s="11"/>
      <c r="W73" s="11"/>
      <c r="X73" s="11"/>
      <c r="Y73" s="11"/>
      <c r="Z73" s="11"/>
      <c r="AA73" s="11"/>
      <c r="AB73" s="11"/>
      <c r="AC73" s="11"/>
      <c r="AD73" s="11"/>
      <c r="AE73" s="11"/>
      <c r="AF73" s="11"/>
      <c r="AG73" s="11"/>
      <c r="AH73" s="11"/>
      <c r="AI73" s="11"/>
      <c r="AJ73" s="11"/>
      <c r="AK73" s="11"/>
    </row>
    <row r="74" spans="1:37" ht="15.75" customHeight="1">
      <c r="A74" s="24"/>
      <c r="B74" s="25"/>
      <c r="C74" s="26"/>
      <c r="D74" s="26"/>
      <c r="E74" s="26"/>
      <c r="F74" s="26"/>
      <c r="G74" s="26"/>
      <c r="H74" s="26"/>
      <c r="I74" s="26"/>
      <c r="J74" s="26"/>
      <c r="K74" s="26"/>
      <c r="L74" s="26"/>
      <c r="M74" s="29"/>
      <c r="N74" s="29"/>
      <c r="O74" s="29"/>
      <c r="P74" s="29"/>
      <c r="Q74" s="29"/>
      <c r="R74" s="11"/>
      <c r="S74" s="11"/>
      <c r="T74" s="11"/>
      <c r="U74" s="11"/>
      <c r="V74" s="11"/>
      <c r="W74" s="11"/>
      <c r="X74" s="11"/>
      <c r="Y74" s="11"/>
      <c r="Z74" s="11"/>
      <c r="AA74" s="11"/>
      <c r="AB74" s="11"/>
      <c r="AC74" s="11"/>
      <c r="AD74" s="11"/>
      <c r="AE74" s="11"/>
      <c r="AF74" s="11"/>
      <c r="AG74" s="11"/>
      <c r="AH74" s="11"/>
      <c r="AI74" s="11"/>
      <c r="AJ74" s="11"/>
      <c r="AK74" s="11"/>
    </row>
    <row r="75" spans="1:37" ht="15.75" customHeight="1">
      <c r="A75" s="24"/>
      <c r="B75" s="25"/>
      <c r="C75" s="26"/>
      <c r="D75" s="26"/>
      <c r="E75" s="26"/>
      <c r="F75" s="26"/>
      <c r="G75" s="26"/>
      <c r="H75" s="26"/>
      <c r="I75" s="26"/>
      <c r="J75" s="26"/>
      <c r="K75" s="26"/>
      <c r="L75" s="26"/>
      <c r="M75" s="29"/>
      <c r="N75" s="29"/>
      <c r="O75" s="29"/>
      <c r="P75" s="29"/>
      <c r="Q75" s="29"/>
      <c r="R75" s="11"/>
      <c r="S75" s="11"/>
      <c r="T75" s="11"/>
      <c r="U75" s="11"/>
      <c r="V75" s="11"/>
      <c r="W75" s="11"/>
      <c r="X75" s="11"/>
      <c r="Y75" s="11"/>
      <c r="Z75" s="11"/>
      <c r="AA75" s="11"/>
      <c r="AB75" s="11"/>
      <c r="AC75" s="11"/>
      <c r="AD75" s="11"/>
      <c r="AE75" s="11"/>
      <c r="AF75" s="11"/>
      <c r="AG75" s="11"/>
      <c r="AH75" s="11"/>
      <c r="AI75" s="11"/>
      <c r="AJ75" s="11"/>
      <c r="AK75" s="11"/>
    </row>
    <row r="76" spans="1:37" ht="15.75" customHeight="1">
      <c r="A76" s="42"/>
      <c r="B76" s="25"/>
      <c r="C76" s="26"/>
      <c r="D76" s="26"/>
      <c r="E76" s="26"/>
      <c r="F76" s="26"/>
      <c r="G76" s="26"/>
      <c r="H76" s="26"/>
      <c r="I76" s="26"/>
      <c r="J76" s="26"/>
      <c r="K76" s="26"/>
      <c r="L76" s="26"/>
      <c r="M76" s="29"/>
      <c r="N76" s="29"/>
      <c r="O76" s="29"/>
      <c r="P76" s="29"/>
      <c r="Q76" s="29"/>
      <c r="R76" s="11"/>
      <c r="S76" s="11"/>
      <c r="T76" s="11"/>
      <c r="U76" s="11"/>
      <c r="V76" s="11"/>
      <c r="W76" s="11"/>
      <c r="X76" s="11"/>
      <c r="Y76" s="11"/>
      <c r="Z76" s="11"/>
      <c r="AA76" s="11"/>
      <c r="AB76" s="11"/>
      <c r="AC76" s="11"/>
      <c r="AD76" s="11"/>
      <c r="AE76" s="11"/>
      <c r="AF76" s="11"/>
      <c r="AG76" s="11"/>
      <c r="AH76" s="11"/>
      <c r="AI76" s="11"/>
      <c r="AJ76" s="11"/>
      <c r="AK76" s="11"/>
    </row>
    <row r="77" spans="1:37" ht="15.75" customHeight="1">
      <c r="A77" s="24"/>
      <c r="B77" s="25"/>
      <c r="C77" s="26"/>
      <c r="D77" s="26"/>
      <c r="E77" s="26"/>
      <c r="F77" s="26"/>
      <c r="G77" s="26"/>
      <c r="H77" s="26"/>
      <c r="I77" s="26"/>
      <c r="J77" s="26"/>
      <c r="K77" s="26"/>
      <c r="L77" s="26"/>
      <c r="M77" s="29"/>
      <c r="N77" s="29"/>
      <c r="O77" s="29"/>
      <c r="P77" s="29"/>
      <c r="Q77" s="29"/>
      <c r="R77" s="11"/>
      <c r="S77" s="11"/>
      <c r="T77" s="11"/>
      <c r="U77" s="11"/>
      <c r="V77" s="11"/>
      <c r="W77" s="11"/>
      <c r="X77" s="11"/>
      <c r="Y77" s="11"/>
      <c r="Z77" s="11"/>
      <c r="AA77" s="11"/>
      <c r="AB77" s="11"/>
      <c r="AC77" s="11"/>
      <c r="AD77" s="11"/>
      <c r="AE77" s="11"/>
      <c r="AF77" s="11"/>
      <c r="AG77" s="11"/>
      <c r="AH77" s="11"/>
      <c r="AI77" s="11"/>
      <c r="AJ77" s="11"/>
      <c r="AK77" s="11"/>
    </row>
    <row r="78" spans="1:37" ht="15.75" customHeight="1">
      <c r="A78" s="24"/>
      <c r="B78" s="25"/>
      <c r="C78" s="26"/>
      <c r="D78" s="26"/>
      <c r="E78" s="26"/>
      <c r="F78" s="26"/>
      <c r="G78" s="26"/>
      <c r="H78" s="26"/>
      <c r="I78" s="26"/>
      <c r="J78" s="26"/>
      <c r="K78" s="26"/>
      <c r="L78" s="26"/>
      <c r="M78" s="29"/>
      <c r="N78" s="29"/>
      <c r="O78" s="29"/>
      <c r="P78" s="29"/>
      <c r="Q78" s="29"/>
      <c r="R78" s="11"/>
      <c r="S78" s="11"/>
      <c r="T78" s="11"/>
      <c r="U78" s="11"/>
      <c r="V78" s="11"/>
      <c r="W78" s="11"/>
      <c r="X78" s="11"/>
      <c r="Y78" s="11"/>
      <c r="Z78" s="11"/>
      <c r="AA78" s="11"/>
      <c r="AB78" s="11"/>
      <c r="AC78" s="11"/>
      <c r="AD78" s="11"/>
      <c r="AE78" s="11"/>
      <c r="AF78" s="11"/>
      <c r="AG78" s="11"/>
      <c r="AH78" s="11"/>
      <c r="AI78" s="11"/>
      <c r="AJ78" s="11"/>
      <c r="AK78" s="11"/>
    </row>
    <row r="79" spans="1:37" ht="15.75" customHeight="1">
      <c r="A79" s="24"/>
      <c r="B79" s="25"/>
      <c r="C79" s="26"/>
      <c r="D79" s="26"/>
      <c r="E79" s="26"/>
      <c r="F79" s="26"/>
      <c r="G79" s="26"/>
      <c r="H79" s="26"/>
      <c r="I79" s="26"/>
      <c r="J79" s="26"/>
      <c r="K79" s="26"/>
      <c r="L79" s="26"/>
      <c r="M79" s="29"/>
      <c r="N79" s="29"/>
      <c r="O79" s="29"/>
      <c r="P79" s="29"/>
      <c r="Q79" s="29"/>
      <c r="R79" s="11"/>
      <c r="S79" s="11"/>
      <c r="T79" s="11"/>
      <c r="U79" s="11"/>
      <c r="V79" s="11"/>
      <c r="W79" s="11"/>
      <c r="X79" s="11"/>
      <c r="Y79" s="11"/>
      <c r="Z79" s="11"/>
      <c r="AA79" s="11"/>
      <c r="AB79" s="11"/>
      <c r="AC79" s="11"/>
      <c r="AD79" s="11"/>
      <c r="AE79" s="11"/>
      <c r="AF79" s="11"/>
      <c r="AG79" s="11"/>
      <c r="AH79" s="11"/>
      <c r="AI79" s="11"/>
      <c r="AJ79" s="11"/>
      <c r="AK79" s="11"/>
    </row>
    <row r="80" spans="1:37" ht="15.75" customHeight="1">
      <c r="A80" s="41"/>
      <c r="B80" s="25"/>
      <c r="C80" s="26"/>
      <c r="D80" s="26"/>
      <c r="E80" s="26"/>
      <c r="F80" s="26"/>
      <c r="G80" s="26"/>
      <c r="H80" s="26"/>
      <c r="I80" s="26"/>
      <c r="J80" s="26"/>
      <c r="K80" s="26"/>
      <c r="L80" s="26"/>
      <c r="M80" s="29"/>
      <c r="N80" s="29"/>
      <c r="O80" s="29"/>
      <c r="P80" s="29"/>
      <c r="Q80" s="29"/>
      <c r="R80" s="11"/>
      <c r="S80" s="11"/>
      <c r="T80" s="11"/>
      <c r="U80" s="11"/>
      <c r="V80" s="11"/>
      <c r="W80" s="11"/>
      <c r="X80" s="11"/>
      <c r="Y80" s="11"/>
      <c r="Z80" s="11"/>
      <c r="AA80" s="11"/>
      <c r="AB80" s="11"/>
      <c r="AC80" s="11"/>
      <c r="AD80" s="11"/>
      <c r="AE80" s="11"/>
      <c r="AF80" s="11"/>
      <c r="AG80" s="11"/>
      <c r="AH80" s="11"/>
      <c r="AI80" s="11"/>
      <c r="AJ80" s="11"/>
      <c r="AK80" s="11"/>
    </row>
    <row r="81" spans="1:37" ht="15.75" customHeight="1">
      <c r="A81" s="41"/>
      <c r="B81" s="25"/>
      <c r="C81" s="26"/>
      <c r="D81" s="26"/>
      <c r="E81" s="26"/>
      <c r="F81" s="26"/>
      <c r="G81" s="26"/>
      <c r="H81" s="26"/>
      <c r="I81" s="26"/>
      <c r="J81" s="26"/>
      <c r="K81" s="26"/>
      <c r="L81" s="26"/>
      <c r="M81" s="29"/>
      <c r="N81" s="29"/>
      <c r="O81" s="29"/>
      <c r="P81" s="29"/>
      <c r="Q81" s="29"/>
      <c r="R81" s="11"/>
      <c r="S81" s="11"/>
      <c r="T81" s="11"/>
      <c r="U81" s="11"/>
      <c r="V81" s="11"/>
      <c r="W81" s="11"/>
      <c r="X81" s="11"/>
      <c r="Y81" s="11"/>
      <c r="Z81" s="11"/>
      <c r="AA81" s="11"/>
      <c r="AB81" s="11"/>
      <c r="AC81" s="11"/>
      <c r="AD81" s="11"/>
      <c r="AE81" s="11"/>
      <c r="AF81" s="11"/>
      <c r="AG81" s="11"/>
      <c r="AH81" s="11"/>
      <c r="AI81" s="11"/>
      <c r="AJ81" s="11"/>
      <c r="AK81" s="11"/>
    </row>
    <row r="82" spans="1:37" ht="15.75" customHeight="1">
      <c r="A82" s="41"/>
      <c r="B82" s="25"/>
      <c r="C82" s="26"/>
      <c r="D82" s="26"/>
      <c r="E82" s="26"/>
      <c r="F82" s="26"/>
      <c r="G82" s="26"/>
      <c r="H82" s="26"/>
      <c r="I82" s="26"/>
      <c r="J82" s="26"/>
      <c r="K82" s="26"/>
      <c r="L82" s="26"/>
      <c r="M82" s="29"/>
      <c r="N82" s="29"/>
      <c r="O82" s="29"/>
      <c r="P82" s="29"/>
      <c r="Q82" s="29"/>
      <c r="R82" s="11"/>
      <c r="S82" s="11"/>
      <c r="T82" s="11"/>
      <c r="U82" s="11"/>
      <c r="V82" s="11"/>
      <c r="W82" s="11"/>
      <c r="X82" s="11"/>
      <c r="Y82" s="11"/>
      <c r="Z82" s="11"/>
      <c r="AA82" s="11"/>
      <c r="AB82" s="11"/>
      <c r="AC82" s="11"/>
      <c r="AD82" s="11"/>
      <c r="AE82" s="11"/>
      <c r="AF82" s="11"/>
      <c r="AG82" s="11"/>
      <c r="AH82" s="11"/>
      <c r="AI82" s="11"/>
      <c r="AJ82" s="11"/>
      <c r="AK82" s="11"/>
    </row>
    <row r="83" spans="1:37" ht="15.75" customHeight="1">
      <c r="A83" s="41"/>
      <c r="B83" s="25"/>
      <c r="C83" s="26"/>
      <c r="D83" s="26"/>
      <c r="E83" s="26"/>
      <c r="F83" s="26"/>
      <c r="G83" s="26"/>
      <c r="H83" s="26"/>
      <c r="I83" s="26"/>
      <c r="J83" s="26"/>
      <c r="K83" s="26"/>
      <c r="L83" s="26"/>
      <c r="M83" s="29"/>
      <c r="N83" s="29"/>
      <c r="O83" s="29"/>
      <c r="P83" s="29"/>
      <c r="Q83" s="29"/>
      <c r="R83" s="11"/>
      <c r="S83" s="11"/>
      <c r="T83" s="11"/>
      <c r="U83" s="11"/>
      <c r="V83" s="11"/>
      <c r="W83" s="11"/>
      <c r="X83" s="11"/>
      <c r="Y83" s="11"/>
      <c r="Z83" s="11"/>
      <c r="AA83" s="11"/>
      <c r="AB83" s="11"/>
      <c r="AC83" s="11"/>
      <c r="AD83" s="11"/>
      <c r="AE83" s="11"/>
      <c r="AF83" s="11"/>
      <c r="AG83" s="11"/>
      <c r="AH83" s="11"/>
      <c r="AI83" s="11"/>
      <c r="AJ83" s="11"/>
      <c r="AK83" s="11"/>
    </row>
    <row r="84" spans="1:37" ht="15.75" customHeight="1">
      <c r="A84" s="41"/>
      <c r="B84" s="25"/>
      <c r="C84" s="26"/>
      <c r="D84" s="26"/>
      <c r="E84" s="26"/>
      <c r="F84" s="26"/>
      <c r="G84" s="26"/>
      <c r="H84" s="26"/>
      <c r="I84" s="26"/>
      <c r="J84" s="26"/>
      <c r="K84" s="26"/>
      <c r="L84" s="26"/>
      <c r="M84" s="29"/>
      <c r="N84" s="29"/>
      <c r="O84" s="29"/>
      <c r="P84" s="29"/>
      <c r="Q84" s="29"/>
      <c r="R84" s="11"/>
      <c r="S84" s="11"/>
      <c r="T84" s="11"/>
      <c r="U84" s="11"/>
      <c r="V84" s="11"/>
      <c r="W84" s="11"/>
      <c r="X84" s="11"/>
      <c r="Y84" s="11"/>
      <c r="Z84" s="11"/>
      <c r="AA84" s="11"/>
      <c r="AB84" s="11"/>
      <c r="AC84" s="11"/>
      <c r="AD84" s="11"/>
      <c r="AE84" s="11"/>
      <c r="AF84" s="11"/>
      <c r="AG84" s="11"/>
      <c r="AH84" s="11"/>
      <c r="AI84" s="11"/>
      <c r="AJ84" s="11"/>
      <c r="AK84" s="11"/>
    </row>
    <row r="85" spans="1:37" ht="15.75" customHeight="1">
      <c r="A85" s="41"/>
      <c r="B85" s="25"/>
      <c r="C85" s="26"/>
      <c r="D85" s="26"/>
      <c r="E85" s="26"/>
      <c r="F85" s="26"/>
      <c r="G85" s="26"/>
      <c r="H85" s="26"/>
      <c r="I85" s="26"/>
      <c r="J85" s="26"/>
      <c r="K85" s="26"/>
      <c r="L85" s="26"/>
      <c r="M85" s="29"/>
      <c r="N85" s="29"/>
      <c r="O85" s="29"/>
      <c r="P85" s="29"/>
      <c r="Q85" s="29"/>
      <c r="R85" s="11"/>
      <c r="S85" s="11"/>
      <c r="T85" s="11"/>
      <c r="U85" s="11"/>
      <c r="V85" s="11"/>
      <c r="W85" s="11"/>
      <c r="X85" s="11"/>
      <c r="Y85" s="11"/>
      <c r="Z85" s="11"/>
      <c r="AA85" s="11"/>
      <c r="AB85" s="11"/>
      <c r="AC85" s="11"/>
      <c r="AD85" s="11"/>
      <c r="AE85" s="11"/>
      <c r="AF85" s="11"/>
      <c r="AG85" s="11"/>
      <c r="AH85" s="11"/>
      <c r="AI85" s="11"/>
      <c r="AJ85" s="11"/>
      <c r="AK85" s="11"/>
    </row>
    <row r="86" spans="1:37" ht="15.75" customHeight="1">
      <c r="A86" s="41"/>
      <c r="B86" s="25"/>
      <c r="C86" s="26"/>
      <c r="D86" s="26"/>
      <c r="E86" s="26"/>
      <c r="F86" s="26"/>
      <c r="G86" s="26"/>
      <c r="H86" s="26"/>
      <c r="I86" s="26"/>
      <c r="J86" s="26"/>
      <c r="K86" s="26"/>
      <c r="L86" s="26"/>
      <c r="M86" s="29"/>
      <c r="N86" s="29"/>
      <c r="O86" s="29"/>
      <c r="P86" s="29"/>
      <c r="Q86" s="29"/>
      <c r="R86" s="11"/>
      <c r="S86" s="11"/>
      <c r="T86" s="11"/>
      <c r="U86" s="11"/>
      <c r="V86" s="11"/>
      <c r="W86" s="11"/>
      <c r="X86" s="11"/>
      <c r="Y86" s="11"/>
      <c r="Z86" s="11"/>
      <c r="AA86" s="11"/>
      <c r="AB86" s="11"/>
      <c r="AC86" s="11"/>
      <c r="AD86" s="11"/>
      <c r="AE86" s="11"/>
      <c r="AF86" s="11"/>
      <c r="AG86" s="11"/>
      <c r="AH86" s="11"/>
      <c r="AI86" s="11"/>
      <c r="AJ86" s="11"/>
      <c r="AK86" s="11"/>
    </row>
    <row r="87" spans="1:37" ht="15.75" customHeight="1">
      <c r="A87" s="41"/>
      <c r="B87" s="25"/>
      <c r="C87" s="26"/>
      <c r="D87" s="26"/>
      <c r="E87" s="26"/>
      <c r="F87" s="26"/>
      <c r="G87" s="26"/>
      <c r="H87" s="26"/>
      <c r="I87" s="26"/>
      <c r="J87" s="26"/>
      <c r="K87" s="26"/>
      <c r="L87" s="26"/>
      <c r="M87" s="29"/>
      <c r="N87" s="29"/>
      <c r="O87" s="29"/>
      <c r="P87" s="29"/>
      <c r="Q87" s="29"/>
      <c r="R87" s="11"/>
      <c r="S87" s="11"/>
      <c r="T87" s="11"/>
      <c r="U87" s="11"/>
      <c r="V87" s="11"/>
      <c r="W87" s="11"/>
      <c r="X87" s="11"/>
      <c r="Y87" s="11"/>
      <c r="Z87" s="11"/>
      <c r="AA87" s="11"/>
      <c r="AB87" s="11"/>
      <c r="AC87" s="11"/>
      <c r="AD87" s="11"/>
      <c r="AE87" s="11"/>
      <c r="AF87" s="11"/>
      <c r="AG87" s="11"/>
      <c r="AH87" s="11"/>
      <c r="AI87" s="11"/>
      <c r="AJ87" s="11"/>
      <c r="AK87" s="11"/>
    </row>
    <row r="88" spans="1:37" ht="15.75" customHeight="1">
      <c r="A88" s="41"/>
      <c r="B88" s="25"/>
      <c r="C88" s="26"/>
      <c r="D88" s="26"/>
      <c r="E88" s="26"/>
      <c r="F88" s="26"/>
      <c r="G88" s="26"/>
      <c r="H88" s="26"/>
      <c r="I88" s="26"/>
      <c r="J88" s="26"/>
      <c r="K88" s="26"/>
      <c r="L88" s="26"/>
      <c r="M88" s="29"/>
      <c r="N88" s="29"/>
      <c r="O88" s="29"/>
      <c r="P88" s="29"/>
      <c r="Q88" s="29"/>
      <c r="R88" s="11"/>
      <c r="S88" s="11"/>
      <c r="T88" s="11"/>
      <c r="U88" s="11"/>
      <c r="V88" s="11"/>
      <c r="W88" s="11"/>
      <c r="X88" s="11"/>
      <c r="Y88" s="11"/>
      <c r="Z88" s="11"/>
      <c r="AA88" s="11"/>
      <c r="AB88" s="11"/>
      <c r="AC88" s="11"/>
      <c r="AD88" s="11"/>
      <c r="AE88" s="11"/>
      <c r="AF88" s="11"/>
      <c r="AG88" s="11"/>
      <c r="AH88" s="11"/>
      <c r="AI88" s="11"/>
      <c r="AJ88" s="11"/>
      <c r="AK88" s="11"/>
    </row>
    <row r="89" spans="1:37" ht="15.75" customHeight="1">
      <c r="A89" s="41"/>
      <c r="B89" s="25"/>
      <c r="C89" s="26"/>
      <c r="D89" s="26"/>
      <c r="E89" s="26"/>
      <c r="F89" s="26"/>
      <c r="G89" s="26"/>
      <c r="H89" s="26"/>
      <c r="I89" s="26"/>
      <c r="J89" s="26"/>
      <c r="K89" s="26"/>
      <c r="L89" s="26"/>
      <c r="M89" s="29"/>
      <c r="N89" s="29"/>
      <c r="O89" s="29"/>
      <c r="P89" s="29"/>
      <c r="Q89" s="29"/>
      <c r="R89" s="11"/>
      <c r="S89" s="11"/>
      <c r="T89" s="11"/>
      <c r="U89" s="11"/>
      <c r="V89" s="11"/>
      <c r="W89" s="11"/>
      <c r="X89" s="11"/>
      <c r="Y89" s="11"/>
      <c r="Z89" s="11"/>
      <c r="AA89" s="11"/>
      <c r="AB89" s="11"/>
      <c r="AC89" s="11"/>
      <c r="AD89" s="11"/>
      <c r="AE89" s="11"/>
      <c r="AF89" s="11"/>
      <c r="AG89" s="11"/>
      <c r="AH89" s="11"/>
      <c r="AI89" s="11"/>
      <c r="AJ89" s="11"/>
      <c r="AK89" s="11"/>
    </row>
    <row r="90" spans="1:37" ht="15.75" customHeight="1">
      <c r="A90" s="41"/>
      <c r="B90" s="25"/>
      <c r="C90" s="26"/>
      <c r="D90" s="26"/>
      <c r="E90" s="26"/>
      <c r="F90" s="26"/>
      <c r="G90" s="26"/>
      <c r="H90" s="26"/>
      <c r="I90" s="26"/>
      <c r="J90" s="26"/>
      <c r="K90" s="26"/>
      <c r="L90" s="26"/>
      <c r="M90" s="29"/>
      <c r="N90" s="29"/>
      <c r="O90" s="29"/>
      <c r="P90" s="29"/>
      <c r="Q90" s="29"/>
      <c r="R90" s="11"/>
      <c r="T90" s="11"/>
      <c r="U90" s="11"/>
      <c r="V90" s="11"/>
      <c r="W90" s="11"/>
      <c r="X90" s="11"/>
      <c r="Y90" s="11"/>
      <c r="Z90" s="11"/>
      <c r="AA90" s="11"/>
      <c r="AB90" s="11"/>
      <c r="AC90" s="11"/>
      <c r="AD90" s="11"/>
      <c r="AE90" s="11"/>
      <c r="AF90" s="11"/>
      <c r="AG90" s="11"/>
      <c r="AH90" s="11"/>
      <c r="AI90" s="11"/>
      <c r="AJ90" s="11"/>
      <c r="AK90" s="11"/>
    </row>
    <row r="91" spans="1:37" ht="15.75" customHeight="1">
      <c r="A91" s="42"/>
      <c r="B91" s="25"/>
      <c r="C91" s="26"/>
      <c r="D91" s="26"/>
      <c r="E91" s="26"/>
      <c r="F91" s="26"/>
      <c r="G91" s="26"/>
      <c r="H91" s="26"/>
      <c r="I91" s="26"/>
      <c r="J91" s="26"/>
      <c r="K91" s="26"/>
      <c r="L91" s="26"/>
      <c r="M91" s="29"/>
      <c r="N91" s="29"/>
      <c r="O91" s="29"/>
      <c r="P91" s="29"/>
      <c r="Q91" s="29"/>
      <c r="R91" s="11"/>
      <c r="T91" s="11"/>
      <c r="U91" s="11"/>
      <c r="V91" s="11"/>
      <c r="W91" s="11"/>
      <c r="X91" s="11"/>
      <c r="Y91" s="11"/>
      <c r="Z91" s="11"/>
      <c r="AA91" s="11"/>
      <c r="AB91" s="11"/>
      <c r="AC91" s="11"/>
      <c r="AD91" s="11"/>
      <c r="AE91" s="11"/>
      <c r="AF91" s="11"/>
      <c r="AG91" s="11"/>
      <c r="AH91" s="11"/>
      <c r="AI91" s="11"/>
      <c r="AJ91" s="11"/>
      <c r="AK91" s="11"/>
    </row>
    <row r="92" spans="1:37" ht="15.75" customHeight="1">
      <c r="A92" s="28"/>
      <c r="B92" s="25"/>
      <c r="C92" s="26"/>
      <c r="D92" s="26"/>
      <c r="E92" s="26"/>
      <c r="F92" s="26"/>
      <c r="G92" s="26"/>
      <c r="H92" s="26"/>
      <c r="I92" s="26"/>
      <c r="J92" s="26"/>
      <c r="K92" s="26"/>
      <c r="L92" s="26"/>
      <c r="M92" s="29"/>
      <c r="N92" s="29"/>
      <c r="O92" s="29"/>
      <c r="P92" s="29"/>
      <c r="Q92" s="29"/>
      <c r="R92" s="11"/>
      <c r="T92" s="11"/>
      <c r="U92" s="11"/>
      <c r="V92" s="11"/>
      <c r="W92" s="11"/>
      <c r="X92" s="11"/>
      <c r="Y92" s="11"/>
      <c r="Z92" s="11"/>
      <c r="AA92" s="11"/>
      <c r="AB92" s="11"/>
      <c r="AC92" s="11"/>
      <c r="AD92" s="11"/>
      <c r="AE92" s="11"/>
      <c r="AF92" s="11"/>
      <c r="AG92" s="11"/>
      <c r="AH92" s="11"/>
      <c r="AI92" s="11"/>
      <c r="AJ92" s="11"/>
      <c r="AK92" s="11"/>
    </row>
    <row r="93" spans="1:37" ht="15.75" customHeight="1">
      <c r="A93" s="28"/>
      <c r="B93" s="25"/>
      <c r="C93" s="26"/>
      <c r="D93" s="26"/>
      <c r="E93" s="26"/>
      <c r="F93" s="26"/>
      <c r="G93" s="26"/>
      <c r="H93" s="26"/>
      <c r="I93" s="26"/>
      <c r="J93" s="26"/>
      <c r="K93" s="26"/>
      <c r="L93" s="26"/>
      <c r="M93" s="29"/>
      <c r="N93" s="29"/>
      <c r="O93" s="29"/>
      <c r="P93" s="29"/>
      <c r="Q93" s="29"/>
      <c r="R93" s="11"/>
      <c r="T93" s="11"/>
      <c r="U93" s="11"/>
      <c r="V93" s="11"/>
      <c r="W93" s="11"/>
      <c r="X93" s="11"/>
      <c r="Y93" s="11"/>
      <c r="Z93" s="11"/>
      <c r="AA93" s="11"/>
      <c r="AB93" s="11"/>
      <c r="AC93" s="11"/>
      <c r="AD93" s="11"/>
      <c r="AE93" s="11"/>
      <c r="AF93" s="11"/>
      <c r="AG93" s="11"/>
      <c r="AH93" s="11"/>
      <c r="AI93" s="11"/>
      <c r="AJ93" s="11"/>
      <c r="AK93" s="11"/>
    </row>
    <row r="94" spans="1:37" ht="15.75" customHeight="1">
      <c r="A94" s="28"/>
      <c r="B94" s="25"/>
      <c r="C94" s="26"/>
      <c r="D94" s="26"/>
      <c r="E94" s="26"/>
      <c r="F94" s="26"/>
      <c r="G94" s="26"/>
      <c r="H94" s="26"/>
      <c r="I94" s="26"/>
      <c r="J94" s="26"/>
      <c r="K94" s="26"/>
      <c r="L94" s="26"/>
      <c r="M94" s="29"/>
      <c r="N94" s="29"/>
      <c r="O94" s="29"/>
      <c r="P94" s="29"/>
      <c r="Q94" s="29"/>
      <c r="R94" s="11"/>
      <c r="T94" s="11"/>
      <c r="U94" s="11"/>
      <c r="V94" s="11"/>
      <c r="W94" s="11"/>
      <c r="X94" s="11"/>
      <c r="Y94" s="11"/>
      <c r="Z94" s="11"/>
      <c r="AA94" s="11"/>
      <c r="AB94" s="11"/>
      <c r="AC94" s="11"/>
      <c r="AD94" s="11"/>
      <c r="AE94" s="11"/>
      <c r="AF94" s="11"/>
      <c r="AG94" s="11"/>
      <c r="AH94" s="11"/>
      <c r="AI94" s="11"/>
      <c r="AJ94" s="11"/>
      <c r="AK94" s="11"/>
    </row>
    <row r="95" spans="1:37" ht="15.75" customHeight="1">
      <c r="A95" s="28"/>
      <c r="B95" s="25"/>
      <c r="C95" s="26"/>
      <c r="D95" s="26"/>
      <c r="E95" s="26"/>
      <c r="F95" s="26"/>
      <c r="G95" s="26"/>
      <c r="H95" s="26"/>
      <c r="I95" s="26"/>
      <c r="J95" s="26"/>
      <c r="K95" s="26"/>
      <c r="L95" s="26"/>
      <c r="M95" s="29"/>
      <c r="N95" s="29"/>
      <c r="O95" s="29"/>
      <c r="P95" s="29"/>
      <c r="Q95" s="29"/>
      <c r="R95" s="11"/>
    </row>
    <row r="96" spans="1:37" ht="15.75" customHeight="1">
      <c r="A96" s="28"/>
      <c r="B96" s="25"/>
      <c r="C96" s="26"/>
      <c r="D96" s="26"/>
      <c r="E96" s="26"/>
      <c r="F96" s="26"/>
      <c r="G96" s="26"/>
      <c r="H96" s="26"/>
      <c r="I96" s="26"/>
      <c r="J96" s="26"/>
      <c r="K96" s="26"/>
      <c r="L96" s="26"/>
      <c r="M96" s="29"/>
      <c r="N96" s="29"/>
      <c r="O96" s="29"/>
      <c r="P96" s="29"/>
      <c r="Q96" s="29"/>
      <c r="R96" s="11"/>
    </row>
    <row r="97" spans="1:18" ht="15.75" customHeight="1">
      <c r="A97" s="28"/>
      <c r="B97" s="25"/>
      <c r="C97" s="26"/>
      <c r="D97" s="26"/>
      <c r="E97" s="26"/>
      <c r="F97" s="26"/>
      <c r="G97" s="26"/>
      <c r="H97" s="26"/>
      <c r="I97" s="26"/>
      <c r="J97" s="26"/>
      <c r="K97" s="26"/>
      <c r="L97" s="26"/>
      <c r="M97" s="29"/>
      <c r="N97" s="29"/>
      <c r="O97" s="29"/>
      <c r="P97" s="29"/>
      <c r="Q97" s="29"/>
      <c r="R97" s="11"/>
    </row>
    <row r="98" spans="1:18" ht="15.75" customHeight="1">
      <c r="A98" s="28"/>
      <c r="B98" s="25"/>
      <c r="C98" s="26"/>
      <c r="D98" s="26"/>
      <c r="E98" s="26"/>
      <c r="F98" s="26"/>
      <c r="G98" s="26"/>
      <c r="H98" s="26"/>
      <c r="I98" s="26"/>
      <c r="J98" s="26"/>
      <c r="K98" s="26"/>
      <c r="L98" s="26"/>
      <c r="M98" s="29"/>
      <c r="N98" s="29"/>
      <c r="O98" s="29"/>
      <c r="P98" s="29"/>
      <c r="Q98" s="29"/>
      <c r="R98" s="11"/>
    </row>
    <row r="99" spans="1:18" ht="15.75" customHeight="1">
      <c r="A99" s="28"/>
      <c r="B99" s="25"/>
      <c r="C99" s="26"/>
      <c r="D99" s="26"/>
      <c r="E99" s="26"/>
      <c r="F99" s="26"/>
      <c r="G99" s="26"/>
      <c r="H99" s="26"/>
      <c r="I99" s="26"/>
      <c r="J99" s="26"/>
      <c r="K99" s="26"/>
      <c r="L99" s="26"/>
      <c r="M99" s="29"/>
      <c r="N99" s="29"/>
      <c r="O99" s="29"/>
      <c r="P99" s="29"/>
      <c r="Q99" s="29"/>
      <c r="R99" s="11"/>
    </row>
    <row r="100" spans="1:18" ht="15.75" customHeight="1">
      <c r="A100" s="28"/>
      <c r="B100" s="25"/>
      <c r="C100" s="26"/>
      <c r="D100" s="26"/>
      <c r="E100" s="26"/>
      <c r="F100" s="26"/>
      <c r="G100" s="26"/>
      <c r="H100" s="26"/>
      <c r="I100" s="26"/>
      <c r="J100" s="26"/>
      <c r="K100" s="26"/>
      <c r="L100" s="26"/>
      <c r="M100" s="29"/>
      <c r="N100" s="29"/>
      <c r="O100" s="29"/>
      <c r="P100" s="29"/>
      <c r="Q100" s="29"/>
      <c r="R100" s="11"/>
    </row>
    <row r="101" spans="1:18" ht="15.75" customHeight="1">
      <c r="A101" s="28"/>
      <c r="B101" s="25"/>
      <c r="C101" s="26"/>
      <c r="D101" s="26"/>
      <c r="E101" s="26"/>
      <c r="F101" s="26"/>
      <c r="G101" s="26"/>
      <c r="H101" s="26"/>
      <c r="I101" s="26"/>
      <c r="J101" s="26"/>
      <c r="K101" s="26"/>
      <c r="L101" s="26"/>
      <c r="M101" s="29"/>
      <c r="N101" s="29"/>
      <c r="O101" s="29"/>
      <c r="P101" s="29"/>
      <c r="Q101" s="29"/>
      <c r="R101" s="11"/>
    </row>
    <row r="102" spans="1:18" ht="15.75" customHeight="1">
      <c r="A102" s="28"/>
      <c r="B102" s="25"/>
      <c r="C102" s="26"/>
      <c r="D102" s="26"/>
      <c r="E102" s="26"/>
      <c r="F102" s="26"/>
      <c r="G102" s="26"/>
      <c r="H102" s="26"/>
      <c r="I102" s="26"/>
      <c r="J102" s="26"/>
      <c r="K102" s="26"/>
      <c r="L102" s="26"/>
      <c r="M102" s="29"/>
      <c r="N102" s="29"/>
      <c r="O102" s="29"/>
      <c r="P102" s="29"/>
      <c r="Q102" s="29"/>
      <c r="R102" s="11"/>
    </row>
    <row r="103" spans="1:18" ht="15.75" customHeight="1">
      <c r="A103" s="28"/>
      <c r="B103" s="25"/>
      <c r="C103" s="26"/>
      <c r="D103" s="26"/>
      <c r="E103" s="26"/>
      <c r="F103" s="26"/>
      <c r="G103" s="26"/>
      <c r="H103" s="26"/>
      <c r="I103" s="26"/>
      <c r="J103" s="26"/>
      <c r="K103" s="26"/>
      <c r="L103" s="26"/>
      <c r="M103" s="29"/>
      <c r="N103" s="29"/>
      <c r="O103" s="29"/>
      <c r="P103" s="29"/>
      <c r="Q103" s="29"/>
      <c r="R103" s="11"/>
    </row>
    <row r="104" spans="1:18" ht="15.75" customHeight="1">
      <c r="A104" s="28"/>
      <c r="B104" s="25"/>
      <c r="C104" s="26"/>
      <c r="D104" s="26"/>
      <c r="E104" s="26"/>
      <c r="F104" s="26"/>
      <c r="G104" s="26"/>
      <c r="H104" s="26"/>
      <c r="I104" s="26"/>
      <c r="J104" s="26"/>
      <c r="K104" s="26"/>
      <c r="L104" s="26"/>
      <c r="M104" s="29"/>
      <c r="N104" s="29"/>
      <c r="O104" s="29"/>
      <c r="P104" s="29"/>
      <c r="Q104" s="29"/>
      <c r="R104" s="11"/>
    </row>
    <row r="105" spans="1:18" ht="15.75" customHeight="1">
      <c r="A105" s="28"/>
      <c r="B105" s="25"/>
      <c r="C105" s="26"/>
      <c r="D105" s="26"/>
      <c r="E105" s="26"/>
      <c r="F105" s="26"/>
      <c r="G105" s="26"/>
      <c r="H105" s="26"/>
      <c r="I105" s="26"/>
      <c r="J105" s="26"/>
      <c r="K105" s="26"/>
      <c r="L105" s="26"/>
      <c r="M105" s="29"/>
      <c r="N105" s="29"/>
      <c r="O105" s="29"/>
      <c r="P105" s="29"/>
      <c r="Q105" s="29"/>
      <c r="R105" s="11"/>
    </row>
    <row r="106" spans="1:18" ht="15.75" customHeight="1">
      <c r="A106" s="28"/>
      <c r="B106" s="25"/>
      <c r="C106" s="26"/>
      <c r="D106" s="26"/>
      <c r="E106" s="26"/>
      <c r="F106" s="26"/>
      <c r="G106" s="26"/>
      <c r="H106" s="26"/>
      <c r="I106" s="26"/>
      <c r="J106" s="26"/>
      <c r="K106" s="26"/>
      <c r="L106" s="26"/>
      <c r="M106" s="29"/>
      <c r="N106" s="29"/>
      <c r="O106" s="29"/>
      <c r="P106" s="29"/>
      <c r="Q106" s="29"/>
      <c r="R106" s="11"/>
    </row>
    <row r="107" spans="1:18" ht="15.75" customHeight="1">
      <c r="A107" s="28"/>
      <c r="B107" s="25"/>
      <c r="C107" s="26"/>
      <c r="D107" s="26"/>
      <c r="E107" s="26"/>
      <c r="F107" s="26"/>
      <c r="G107" s="26"/>
      <c r="H107" s="26"/>
      <c r="I107" s="26"/>
      <c r="J107" s="26"/>
      <c r="K107" s="26"/>
      <c r="L107" s="26"/>
      <c r="M107" s="29"/>
      <c r="N107" s="29"/>
      <c r="O107" s="29"/>
      <c r="P107" s="29"/>
      <c r="Q107" s="29"/>
      <c r="R107" s="11"/>
    </row>
    <row r="108" spans="1:18" ht="15.75" customHeight="1">
      <c r="A108" s="28"/>
      <c r="B108" s="25"/>
      <c r="C108" s="26"/>
      <c r="D108" s="26"/>
      <c r="E108" s="26"/>
      <c r="F108" s="26"/>
      <c r="G108" s="26"/>
      <c r="H108" s="26"/>
      <c r="I108" s="26"/>
      <c r="J108" s="26"/>
      <c r="K108" s="26"/>
      <c r="L108" s="26"/>
      <c r="M108" s="29"/>
      <c r="N108" s="29"/>
      <c r="O108" s="29"/>
      <c r="P108" s="29"/>
      <c r="Q108" s="29"/>
      <c r="R108" s="11"/>
    </row>
    <row r="109" spans="1:18" ht="15.75" customHeight="1">
      <c r="A109" s="28"/>
      <c r="B109" s="25"/>
      <c r="C109" s="26"/>
      <c r="D109" s="26"/>
      <c r="E109" s="26"/>
      <c r="F109" s="26"/>
      <c r="G109" s="26"/>
      <c r="H109" s="26"/>
      <c r="I109" s="26"/>
      <c r="J109" s="26"/>
      <c r="K109" s="26"/>
      <c r="L109" s="26"/>
      <c r="M109" s="29"/>
      <c r="N109" s="29"/>
      <c r="O109" s="29"/>
      <c r="P109" s="29"/>
      <c r="Q109" s="29"/>
      <c r="R109" s="11"/>
    </row>
    <row r="110" spans="1:18" ht="15.75" customHeight="1">
      <c r="A110" s="28"/>
      <c r="B110" s="25"/>
      <c r="C110" s="26"/>
      <c r="D110" s="26"/>
      <c r="E110" s="26"/>
      <c r="F110" s="26"/>
      <c r="G110" s="26"/>
      <c r="H110" s="26"/>
      <c r="I110" s="26"/>
      <c r="J110" s="26"/>
      <c r="K110" s="26"/>
      <c r="L110" s="26"/>
      <c r="M110" s="29"/>
      <c r="N110" s="29"/>
      <c r="O110" s="29"/>
      <c r="P110" s="29"/>
      <c r="Q110" s="29"/>
      <c r="R110" s="11"/>
    </row>
    <row r="111" spans="1:18" ht="15.75" customHeight="1">
      <c r="A111" s="28"/>
      <c r="B111" s="25"/>
      <c r="C111" s="26"/>
      <c r="D111" s="26"/>
      <c r="E111" s="26"/>
      <c r="F111" s="26"/>
      <c r="G111" s="26"/>
      <c r="H111" s="26"/>
      <c r="I111" s="26"/>
      <c r="J111" s="26"/>
      <c r="K111" s="26"/>
      <c r="L111" s="26"/>
      <c r="M111" s="29"/>
      <c r="N111" s="29"/>
      <c r="O111" s="29"/>
      <c r="P111" s="29"/>
      <c r="Q111" s="29"/>
      <c r="R111" s="11"/>
    </row>
    <row r="112" spans="1:18" ht="15.75" customHeight="1">
      <c r="A112" s="28"/>
      <c r="B112" s="25"/>
      <c r="C112" s="26"/>
      <c r="D112" s="26"/>
      <c r="E112" s="26"/>
      <c r="F112" s="26"/>
      <c r="G112" s="26"/>
      <c r="H112" s="26"/>
      <c r="I112" s="26"/>
      <c r="J112" s="26"/>
      <c r="K112" s="26"/>
      <c r="L112" s="26"/>
      <c r="M112" s="29"/>
      <c r="N112" s="29"/>
      <c r="O112" s="29"/>
      <c r="P112" s="29"/>
      <c r="Q112" s="29"/>
      <c r="R112" s="11"/>
    </row>
    <row r="113" spans="1:18" ht="15.75" customHeight="1">
      <c r="A113" s="28"/>
      <c r="B113" s="25"/>
      <c r="C113" s="26"/>
      <c r="D113" s="26"/>
      <c r="E113" s="26"/>
      <c r="F113" s="26"/>
      <c r="G113" s="26"/>
      <c r="H113" s="26"/>
      <c r="I113" s="26"/>
      <c r="J113" s="26"/>
      <c r="K113" s="26"/>
      <c r="L113" s="26"/>
      <c r="M113" s="29"/>
      <c r="N113" s="29"/>
      <c r="O113" s="29"/>
      <c r="P113" s="29"/>
      <c r="Q113" s="29"/>
      <c r="R113" s="11"/>
    </row>
    <row r="114" spans="1:18" ht="15.75" customHeight="1">
      <c r="A114" s="28"/>
      <c r="B114" s="25"/>
      <c r="C114" s="26"/>
      <c r="D114" s="26"/>
      <c r="E114" s="26"/>
      <c r="F114" s="26"/>
      <c r="G114" s="26"/>
      <c r="H114" s="26"/>
      <c r="I114" s="26"/>
      <c r="J114" s="26"/>
      <c r="K114" s="26"/>
      <c r="L114" s="26"/>
      <c r="M114" s="29"/>
      <c r="N114" s="29"/>
      <c r="O114" s="29"/>
      <c r="P114" s="29"/>
      <c r="Q114" s="29"/>
      <c r="R114" s="11"/>
    </row>
    <row r="115" spans="1:18" ht="15.75" customHeight="1">
      <c r="A115" s="28"/>
      <c r="B115" s="25"/>
      <c r="C115" s="26"/>
      <c r="D115" s="26"/>
      <c r="E115" s="26"/>
      <c r="F115" s="26"/>
      <c r="G115" s="26"/>
      <c r="H115" s="26"/>
      <c r="I115" s="26"/>
      <c r="J115" s="26"/>
      <c r="K115" s="26"/>
      <c r="L115" s="26"/>
      <c r="M115" s="29"/>
      <c r="N115" s="29"/>
      <c r="O115" s="29"/>
      <c r="P115" s="29"/>
      <c r="Q115" s="29"/>
      <c r="R115" s="11"/>
    </row>
    <row r="116" spans="1:18" ht="15.75" customHeight="1">
      <c r="A116" s="28"/>
      <c r="B116" s="25"/>
      <c r="C116" s="26"/>
      <c r="D116" s="26"/>
      <c r="E116" s="26"/>
      <c r="F116" s="26"/>
      <c r="G116" s="26"/>
      <c r="H116" s="26"/>
      <c r="I116" s="26"/>
      <c r="J116" s="26"/>
      <c r="K116" s="26"/>
      <c r="L116" s="26"/>
      <c r="M116" s="29"/>
      <c r="N116" s="29"/>
      <c r="O116" s="29"/>
      <c r="P116" s="29"/>
      <c r="Q116" s="29"/>
      <c r="R116" s="11"/>
    </row>
    <row r="117" spans="1:18" ht="15.75" customHeight="1">
      <c r="A117" s="28"/>
      <c r="B117" s="25"/>
      <c r="C117" s="26"/>
      <c r="D117" s="26"/>
      <c r="E117" s="26"/>
      <c r="F117" s="26"/>
      <c r="G117" s="26"/>
      <c r="H117" s="26"/>
      <c r="I117" s="26"/>
      <c r="J117" s="26"/>
      <c r="K117" s="26"/>
      <c r="L117" s="26"/>
      <c r="M117" s="29"/>
      <c r="N117" s="29"/>
      <c r="O117" s="29"/>
      <c r="P117" s="29"/>
      <c r="Q117" s="29"/>
      <c r="R117" s="11"/>
    </row>
    <row r="118" spans="1:18" ht="15.75" customHeight="1">
      <c r="A118" s="28"/>
      <c r="B118" s="25"/>
      <c r="C118" s="26"/>
      <c r="D118" s="26"/>
      <c r="E118" s="26"/>
      <c r="F118" s="26"/>
      <c r="G118" s="26"/>
      <c r="H118" s="26"/>
      <c r="I118" s="26"/>
      <c r="J118" s="26"/>
      <c r="K118" s="26"/>
      <c r="L118" s="26"/>
      <c r="M118" s="29"/>
      <c r="N118" s="29"/>
      <c r="O118" s="29"/>
      <c r="P118" s="29"/>
      <c r="Q118" s="29"/>
      <c r="R118" s="11"/>
    </row>
    <row r="119" spans="1:18" ht="15.75" customHeight="1">
      <c r="A119" s="28"/>
      <c r="B119" s="25"/>
      <c r="C119" s="26"/>
      <c r="D119" s="26"/>
      <c r="E119" s="26"/>
      <c r="F119" s="26"/>
      <c r="G119" s="26"/>
      <c r="H119" s="26"/>
      <c r="I119" s="26"/>
      <c r="J119" s="26"/>
      <c r="K119" s="26"/>
      <c r="L119" s="26"/>
      <c r="M119" s="29"/>
      <c r="N119" s="29"/>
      <c r="O119" s="29"/>
      <c r="P119" s="29"/>
      <c r="Q119" s="29"/>
      <c r="R119" s="11"/>
    </row>
    <row r="120" spans="1:18" ht="15.75" customHeight="1">
      <c r="A120" s="28"/>
      <c r="B120" s="25"/>
      <c r="C120" s="26"/>
      <c r="D120" s="26"/>
      <c r="E120" s="26"/>
      <c r="F120" s="26"/>
      <c r="G120" s="26"/>
      <c r="H120" s="26"/>
      <c r="I120" s="26"/>
      <c r="J120" s="26"/>
      <c r="K120" s="26"/>
      <c r="L120" s="26"/>
      <c r="M120" s="29"/>
      <c r="N120" s="29"/>
      <c r="O120" s="29"/>
      <c r="P120" s="29"/>
      <c r="Q120" s="29"/>
      <c r="R120" s="11"/>
    </row>
    <row r="121" spans="1:18" ht="15.75" customHeight="1">
      <c r="A121" s="28"/>
      <c r="B121" s="25"/>
      <c r="C121" s="26"/>
      <c r="D121" s="26"/>
      <c r="E121" s="26"/>
      <c r="F121" s="26"/>
      <c r="G121" s="26"/>
      <c r="H121" s="26"/>
      <c r="I121" s="26"/>
      <c r="J121" s="26"/>
      <c r="K121" s="26"/>
      <c r="L121" s="26"/>
      <c r="M121" s="29"/>
      <c r="N121" s="29"/>
      <c r="O121" s="29"/>
      <c r="P121" s="29"/>
      <c r="Q121" s="29"/>
      <c r="R121" s="11"/>
    </row>
    <row r="122" spans="1:18" ht="15.75" customHeight="1">
      <c r="A122" s="28"/>
      <c r="B122" s="25"/>
      <c r="C122" s="26"/>
      <c r="D122" s="26"/>
      <c r="E122" s="26"/>
      <c r="F122" s="26"/>
      <c r="G122" s="26"/>
      <c r="H122" s="26"/>
      <c r="I122" s="26"/>
      <c r="J122" s="26"/>
      <c r="K122" s="26"/>
      <c r="L122" s="26"/>
      <c r="M122" s="29"/>
      <c r="N122" s="29"/>
      <c r="O122" s="29"/>
      <c r="P122" s="29"/>
      <c r="Q122" s="29"/>
      <c r="R122" s="11"/>
    </row>
    <row r="123" spans="1:18" ht="15.75" customHeight="1">
      <c r="A123" s="28"/>
      <c r="B123" s="25"/>
      <c r="C123" s="26"/>
      <c r="D123" s="26"/>
      <c r="E123" s="26"/>
      <c r="F123" s="26"/>
      <c r="G123" s="26"/>
      <c r="H123" s="26"/>
      <c r="I123" s="26"/>
      <c r="J123" s="26"/>
      <c r="K123" s="26"/>
      <c r="L123" s="26"/>
      <c r="M123" s="29"/>
      <c r="N123" s="29"/>
      <c r="O123" s="29"/>
      <c r="P123" s="29"/>
      <c r="Q123" s="29"/>
      <c r="R123" s="11"/>
    </row>
    <row r="124" spans="1:18" ht="15.75" customHeight="1">
      <c r="A124" s="28"/>
      <c r="B124" s="25"/>
      <c r="C124" s="26"/>
      <c r="D124" s="26"/>
      <c r="E124" s="26"/>
      <c r="F124" s="26"/>
      <c r="G124" s="26"/>
      <c r="H124" s="26"/>
      <c r="I124" s="26"/>
      <c r="J124" s="26"/>
      <c r="K124" s="26"/>
      <c r="L124" s="26"/>
      <c r="M124" s="29"/>
      <c r="N124" s="29"/>
      <c r="O124" s="29"/>
      <c r="P124" s="29"/>
      <c r="Q124" s="29"/>
      <c r="R124" s="11"/>
    </row>
    <row r="125" spans="1:18" ht="15.75" customHeight="1">
      <c r="A125" s="28"/>
      <c r="B125" s="25"/>
      <c r="C125" s="26"/>
      <c r="D125" s="26"/>
      <c r="E125" s="26"/>
      <c r="F125" s="26"/>
      <c r="G125" s="26"/>
      <c r="H125" s="26"/>
      <c r="I125" s="26"/>
      <c r="J125" s="26"/>
      <c r="K125" s="26"/>
      <c r="L125" s="26"/>
      <c r="M125" s="29"/>
      <c r="N125" s="29"/>
      <c r="O125" s="29"/>
      <c r="P125" s="29"/>
      <c r="Q125" s="29"/>
      <c r="R125" s="11"/>
    </row>
    <row r="126" spans="1:18" ht="15.75" customHeight="1">
      <c r="A126" s="28"/>
      <c r="B126" s="25"/>
      <c r="C126" s="26"/>
      <c r="D126" s="26"/>
      <c r="E126" s="26"/>
      <c r="F126" s="26"/>
      <c r="G126" s="26"/>
      <c r="H126" s="26"/>
      <c r="I126" s="26"/>
      <c r="J126" s="26"/>
      <c r="K126" s="26"/>
      <c r="L126" s="26"/>
      <c r="M126" s="29"/>
      <c r="N126" s="29"/>
      <c r="O126" s="29"/>
      <c r="P126" s="29"/>
      <c r="Q126" s="29"/>
      <c r="R126" s="11"/>
    </row>
    <row r="127" spans="1:18" ht="15.75" customHeight="1">
      <c r="A127" s="28"/>
      <c r="B127" s="25"/>
      <c r="C127" s="26"/>
      <c r="D127" s="26"/>
      <c r="E127" s="26"/>
      <c r="F127" s="26"/>
      <c r="G127" s="26"/>
      <c r="H127" s="26"/>
      <c r="I127" s="26"/>
      <c r="J127" s="26"/>
      <c r="K127" s="26"/>
      <c r="L127" s="26"/>
      <c r="M127" s="29"/>
      <c r="N127" s="29"/>
      <c r="O127" s="29"/>
      <c r="P127" s="29"/>
      <c r="Q127" s="29"/>
      <c r="R127" s="11"/>
    </row>
    <row r="128" spans="1:18" ht="15.75" customHeight="1">
      <c r="A128" s="28"/>
      <c r="B128" s="25"/>
      <c r="C128" s="26"/>
      <c r="D128" s="26"/>
      <c r="E128" s="26"/>
      <c r="F128" s="26"/>
      <c r="G128" s="26"/>
      <c r="H128" s="26"/>
      <c r="I128" s="26"/>
      <c r="J128" s="26"/>
      <c r="K128" s="26"/>
      <c r="L128" s="26"/>
      <c r="M128" s="29"/>
      <c r="N128" s="29"/>
      <c r="O128" s="29"/>
      <c r="P128" s="29"/>
      <c r="Q128" s="29"/>
      <c r="R128" s="11"/>
    </row>
    <row r="129" spans="1:18" ht="15.75" customHeight="1">
      <c r="A129" s="28"/>
      <c r="B129" s="25"/>
      <c r="C129" s="26"/>
      <c r="D129" s="26"/>
      <c r="E129" s="26"/>
      <c r="F129" s="26"/>
      <c r="G129" s="26"/>
      <c r="H129" s="26"/>
      <c r="I129" s="26"/>
      <c r="J129" s="26"/>
      <c r="K129" s="26"/>
      <c r="L129" s="26"/>
      <c r="M129" s="29"/>
      <c r="N129" s="29"/>
      <c r="O129" s="29"/>
      <c r="P129" s="29"/>
      <c r="Q129" s="29"/>
      <c r="R129" s="11"/>
    </row>
    <row r="130" spans="1:18" ht="15.75" customHeight="1">
      <c r="A130" s="28"/>
      <c r="B130" s="25"/>
      <c r="C130" s="26"/>
      <c r="D130" s="26"/>
      <c r="E130" s="26"/>
      <c r="F130" s="26"/>
      <c r="G130" s="26"/>
      <c r="H130" s="26"/>
      <c r="I130" s="26"/>
      <c r="J130" s="26"/>
      <c r="K130" s="26"/>
      <c r="L130" s="26"/>
      <c r="M130" s="29"/>
      <c r="N130" s="29"/>
      <c r="O130" s="29"/>
      <c r="P130" s="29"/>
      <c r="Q130" s="29"/>
      <c r="R130" s="11"/>
    </row>
    <row r="131" spans="1:18" ht="15.75" customHeight="1">
      <c r="A131" s="28"/>
      <c r="B131" s="25"/>
      <c r="C131" s="26"/>
      <c r="D131" s="26"/>
      <c r="E131" s="26"/>
      <c r="F131" s="26"/>
      <c r="G131" s="26"/>
      <c r="H131" s="26"/>
      <c r="I131" s="26"/>
      <c r="J131" s="26"/>
      <c r="K131" s="26"/>
      <c r="L131" s="26"/>
      <c r="M131" s="29"/>
      <c r="N131" s="29"/>
      <c r="O131" s="29"/>
      <c r="P131" s="29"/>
      <c r="Q131" s="29"/>
      <c r="R131" s="11"/>
    </row>
    <row r="132" spans="1:18" ht="15.75" customHeight="1">
      <c r="A132" s="28"/>
      <c r="B132" s="25"/>
      <c r="C132" s="26"/>
      <c r="D132" s="26"/>
      <c r="E132" s="26"/>
      <c r="F132" s="26"/>
      <c r="G132" s="26"/>
      <c r="H132" s="26"/>
      <c r="I132" s="26"/>
      <c r="J132" s="26"/>
      <c r="K132" s="26"/>
      <c r="L132" s="26"/>
      <c r="M132" s="29"/>
      <c r="N132" s="29"/>
      <c r="O132" s="29"/>
      <c r="P132" s="29"/>
      <c r="Q132" s="29"/>
      <c r="R132" s="11"/>
    </row>
    <row r="133" spans="1:18" ht="15.75" customHeight="1">
      <c r="A133" s="28"/>
      <c r="B133" s="25"/>
      <c r="C133" s="26"/>
      <c r="D133" s="26"/>
      <c r="E133" s="26"/>
      <c r="F133" s="26"/>
      <c r="G133" s="26"/>
      <c r="H133" s="26"/>
      <c r="I133" s="26"/>
      <c r="J133" s="26"/>
      <c r="K133" s="26"/>
      <c r="L133" s="26"/>
      <c r="M133" s="29"/>
      <c r="N133" s="29"/>
      <c r="O133" s="29"/>
      <c r="P133" s="29"/>
      <c r="Q133" s="29"/>
      <c r="R133" s="11"/>
    </row>
    <row r="134" spans="1:18" ht="15.75" customHeight="1">
      <c r="A134" s="28"/>
      <c r="B134" s="25"/>
      <c r="C134" s="26"/>
      <c r="D134" s="26"/>
      <c r="E134" s="26"/>
      <c r="F134" s="26"/>
      <c r="G134" s="26"/>
      <c r="H134" s="26"/>
      <c r="I134" s="26"/>
      <c r="J134" s="26"/>
      <c r="K134" s="26"/>
      <c r="L134" s="26"/>
      <c r="M134" s="29"/>
      <c r="N134" s="29"/>
      <c r="O134" s="29"/>
      <c r="P134" s="29"/>
      <c r="Q134" s="29"/>
      <c r="R134" s="11"/>
    </row>
    <row r="135" spans="1:18" ht="15.75" customHeight="1">
      <c r="A135" s="28"/>
      <c r="B135" s="25"/>
      <c r="C135" s="26"/>
      <c r="D135" s="26"/>
      <c r="E135" s="26"/>
      <c r="F135" s="26"/>
      <c r="G135" s="26"/>
      <c r="H135" s="26"/>
      <c r="I135" s="26"/>
      <c r="J135" s="26"/>
      <c r="K135" s="26"/>
      <c r="L135" s="26"/>
      <c r="M135" s="29"/>
      <c r="N135" s="29"/>
      <c r="O135" s="29"/>
      <c r="P135" s="29"/>
      <c r="Q135" s="29"/>
      <c r="R135" s="11"/>
    </row>
    <row r="136" spans="1:18" ht="15.75" customHeight="1">
      <c r="A136" s="28"/>
      <c r="B136" s="25"/>
      <c r="C136" s="26"/>
      <c r="D136" s="26"/>
      <c r="E136" s="26"/>
      <c r="F136" s="26"/>
      <c r="G136" s="26"/>
      <c r="H136" s="26"/>
      <c r="I136" s="26"/>
      <c r="J136" s="26"/>
      <c r="K136" s="26"/>
      <c r="L136" s="26"/>
      <c r="M136" s="29"/>
      <c r="N136" s="29"/>
      <c r="O136" s="29"/>
      <c r="P136" s="29"/>
      <c r="Q136" s="29"/>
      <c r="R136" s="11"/>
    </row>
    <row r="137" spans="1:18" ht="15.75" customHeight="1">
      <c r="A137" s="28"/>
      <c r="B137" s="25"/>
      <c r="C137" s="26"/>
      <c r="D137" s="26"/>
      <c r="E137" s="26"/>
      <c r="F137" s="26"/>
      <c r="G137" s="26"/>
      <c r="H137" s="26"/>
      <c r="I137" s="26"/>
      <c r="J137" s="26"/>
      <c r="K137" s="26"/>
      <c r="L137" s="26"/>
      <c r="M137" s="29"/>
      <c r="N137" s="29"/>
      <c r="O137" s="29"/>
      <c r="P137" s="29"/>
      <c r="Q137" s="29"/>
      <c r="R137" s="11"/>
    </row>
    <row r="138" spans="1:18" ht="15.75" customHeight="1">
      <c r="A138" s="28"/>
      <c r="B138" s="25"/>
      <c r="C138" s="26"/>
      <c r="D138" s="26"/>
      <c r="E138" s="26"/>
      <c r="F138" s="26"/>
      <c r="G138" s="26"/>
      <c r="H138" s="26"/>
      <c r="I138" s="26"/>
      <c r="J138" s="26"/>
      <c r="K138" s="26"/>
      <c r="L138" s="26"/>
      <c r="M138" s="29"/>
      <c r="N138" s="29"/>
      <c r="O138" s="29"/>
      <c r="P138" s="29"/>
      <c r="Q138" s="29"/>
      <c r="R138" s="11"/>
    </row>
    <row r="139" spans="1:18" ht="15.75" customHeight="1">
      <c r="A139" s="28"/>
      <c r="B139" s="25"/>
      <c r="C139" s="26"/>
      <c r="D139" s="26"/>
      <c r="E139" s="26"/>
      <c r="F139" s="26"/>
      <c r="G139" s="26"/>
      <c r="H139" s="26"/>
      <c r="I139" s="26"/>
      <c r="J139" s="26"/>
      <c r="K139" s="26"/>
      <c r="L139" s="26"/>
      <c r="M139" s="29"/>
      <c r="N139" s="29"/>
      <c r="O139" s="29"/>
      <c r="P139" s="29"/>
      <c r="Q139" s="29"/>
      <c r="R139" s="11"/>
    </row>
    <row r="140" spans="1:18" ht="15.75" customHeight="1">
      <c r="A140" s="28"/>
      <c r="B140" s="25"/>
      <c r="C140" s="26"/>
      <c r="D140" s="26"/>
      <c r="E140" s="26"/>
      <c r="F140" s="26"/>
      <c r="G140" s="26"/>
      <c r="H140" s="26"/>
      <c r="I140" s="26"/>
      <c r="J140" s="26"/>
      <c r="K140" s="26"/>
      <c r="L140" s="26"/>
      <c r="M140" s="29"/>
      <c r="N140" s="29"/>
      <c r="O140" s="29"/>
      <c r="P140" s="29"/>
      <c r="Q140" s="29"/>
      <c r="R140" s="11"/>
    </row>
    <row r="141" spans="1:18" ht="15.75" customHeight="1">
      <c r="A141" s="28"/>
      <c r="B141" s="25"/>
      <c r="C141" s="26"/>
      <c r="D141" s="26"/>
      <c r="E141" s="26"/>
      <c r="F141" s="26"/>
      <c r="G141" s="26"/>
      <c r="H141" s="26"/>
      <c r="I141" s="26"/>
      <c r="J141" s="26"/>
      <c r="K141" s="26"/>
      <c r="L141" s="26"/>
      <c r="M141" s="29"/>
      <c r="N141" s="29"/>
      <c r="O141" s="29"/>
      <c r="P141" s="29"/>
      <c r="Q141" s="29"/>
      <c r="R141" s="11"/>
    </row>
    <row r="142" spans="1:18" ht="15.75" customHeight="1">
      <c r="A142" s="28"/>
      <c r="B142" s="25"/>
      <c r="C142" s="26"/>
      <c r="D142" s="26"/>
      <c r="E142" s="26"/>
      <c r="F142" s="26"/>
      <c r="G142" s="26"/>
      <c r="H142" s="26"/>
      <c r="I142" s="26"/>
      <c r="J142" s="26"/>
      <c r="K142" s="26"/>
      <c r="L142" s="26"/>
      <c r="M142" s="29"/>
      <c r="N142" s="29"/>
      <c r="O142" s="29"/>
      <c r="P142" s="29"/>
      <c r="Q142" s="29"/>
      <c r="R142" s="11"/>
    </row>
    <row r="143" spans="1:18" ht="15.75" customHeight="1">
      <c r="A143" s="28"/>
      <c r="B143" s="25"/>
      <c r="C143" s="26"/>
      <c r="D143" s="26"/>
      <c r="E143" s="26"/>
      <c r="F143" s="26"/>
      <c r="G143" s="26"/>
      <c r="H143" s="26"/>
      <c r="I143" s="26"/>
      <c r="J143" s="26"/>
      <c r="K143" s="26"/>
      <c r="L143" s="26"/>
      <c r="M143" s="29"/>
      <c r="N143" s="29"/>
      <c r="O143" s="29"/>
      <c r="P143" s="29"/>
      <c r="Q143" s="29"/>
      <c r="R143" s="11"/>
    </row>
    <row r="144" spans="1:18" ht="15.75" customHeight="1">
      <c r="A144" s="28"/>
      <c r="B144" s="25"/>
      <c r="C144" s="26"/>
      <c r="D144" s="26"/>
      <c r="E144" s="26"/>
      <c r="F144" s="26"/>
      <c r="G144" s="26"/>
      <c r="H144" s="26"/>
      <c r="I144" s="26"/>
      <c r="J144" s="26"/>
      <c r="K144" s="26"/>
      <c r="L144" s="26"/>
      <c r="M144" s="29"/>
      <c r="N144" s="29"/>
      <c r="O144" s="29"/>
      <c r="P144" s="29"/>
      <c r="Q144" s="29"/>
      <c r="R144" s="11"/>
    </row>
    <row r="145" spans="1:18" ht="15.75" customHeight="1">
      <c r="A145" s="28"/>
      <c r="B145" s="25"/>
      <c r="C145" s="26"/>
      <c r="D145" s="26"/>
      <c r="E145" s="26"/>
      <c r="F145" s="26"/>
      <c r="G145" s="26"/>
      <c r="H145" s="26"/>
      <c r="I145" s="26"/>
      <c r="J145" s="26"/>
      <c r="K145" s="26"/>
      <c r="L145" s="26"/>
      <c r="M145" s="29"/>
      <c r="N145" s="29"/>
      <c r="O145" s="29"/>
      <c r="P145" s="29"/>
      <c r="Q145" s="29"/>
      <c r="R145" s="11"/>
    </row>
    <row r="146" spans="1:18" ht="15.75" customHeight="1">
      <c r="A146" s="28"/>
      <c r="B146" s="25"/>
      <c r="C146" s="26"/>
      <c r="D146" s="26"/>
      <c r="E146" s="26"/>
      <c r="F146" s="26"/>
      <c r="G146" s="26"/>
      <c r="H146" s="26"/>
      <c r="I146" s="26"/>
      <c r="J146" s="26"/>
      <c r="K146" s="26"/>
      <c r="L146" s="26"/>
      <c r="M146" s="29"/>
      <c r="N146" s="29"/>
      <c r="O146" s="29"/>
      <c r="P146" s="29"/>
      <c r="Q146" s="29"/>
      <c r="R146" s="11"/>
    </row>
    <row r="147" spans="1:18" ht="15.75" customHeight="1">
      <c r="A147" s="28"/>
      <c r="B147" s="25"/>
      <c r="C147" s="26"/>
      <c r="D147" s="26"/>
      <c r="E147" s="26"/>
      <c r="F147" s="26"/>
      <c r="G147" s="26"/>
      <c r="H147" s="26"/>
      <c r="I147" s="26"/>
      <c r="J147" s="26"/>
      <c r="K147" s="26"/>
      <c r="L147" s="26"/>
      <c r="M147" s="29"/>
      <c r="N147" s="29"/>
      <c r="O147" s="29"/>
      <c r="P147" s="29"/>
      <c r="Q147" s="29"/>
      <c r="R147" s="11"/>
    </row>
    <row r="148" spans="1:18" ht="15.75" customHeight="1">
      <c r="A148" s="28"/>
      <c r="B148" s="25"/>
      <c r="C148" s="26"/>
      <c r="D148" s="26"/>
      <c r="E148" s="26"/>
      <c r="F148" s="26"/>
      <c r="G148" s="26"/>
      <c r="H148" s="26"/>
      <c r="I148" s="26"/>
      <c r="J148" s="26"/>
      <c r="K148" s="26"/>
      <c r="L148" s="26"/>
      <c r="M148" s="29"/>
      <c r="N148" s="29"/>
      <c r="O148" s="29"/>
      <c r="P148" s="29"/>
      <c r="Q148" s="29"/>
      <c r="R148" s="11"/>
    </row>
    <row r="149" spans="1:18" ht="15.75" customHeight="1">
      <c r="A149" s="28"/>
      <c r="B149" s="25"/>
      <c r="C149" s="26"/>
      <c r="D149" s="26"/>
      <c r="E149" s="26"/>
      <c r="F149" s="26"/>
      <c r="G149" s="26"/>
      <c r="H149" s="26"/>
      <c r="I149" s="26"/>
      <c r="J149" s="26"/>
      <c r="K149" s="26"/>
      <c r="L149" s="26"/>
      <c r="M149" s="29"/>
      <c r="N149" s="29"/>
      <c r="O149" s="29"/>
      <c r="P149" s="29"/>
      <c r="Q149" s="29"/>
      <c r="R149" s="11"/>
    </row>
    <row r="150" spans="1:18" ht="15.75" customHeight="1">
      <c r="A150" s="28"/>
      <c r="B150" s="25"/>
      <c r="C150" s="26"/>
      <c r="D150" s="26"/>
      <c r="E150" s="26"/>
      <c r="F150" s="26"/>
      <c r="G150" s="26"/>
      <c r="H150" s="26"/>
      <c r="I150" s="26"/>
      <c r="J150" s="26"/>
      <c r="K150" s="26"/>
      <c r="L150" s="26"/>
      <c r="M150" s="29"/>
      <c r="N150" s="29"/>
      <c r="O150" s="29"/>
      <c r="P150" s="29"/>
      <c r="Q150" s="29"/>
      <c r="R150" s="11"/>
    </row>
    <row r="151" spans="1:18" ht="15.75" customHeight="1">
      <c r="A151" s="28"/>
      <c r="B151" s="25"/>
      <c r="C151" s="26"/>
      <c r="D151" s="26"/>
      <c r="E151" s="26"/>
      <c r="F151" s="26"/>
      <c r="G151" s="26"/>
      <c r="H151" s="26"/>
      <c r="I151" s="26"/>
      <c r="J151" s="26"/>
      <c r="K151" s="26"/>
      <c r="L151" s="26"/>
      <c r="M151" s="29"/>
      <c r="N151" s="29"/>
      <c r="O151" s="29"/>
      <c r="P151" s="29"/>
      <c r="Q151" s="29"/>
      <c r="R151" s="11"/>
    </row>
    <row r="152" spans="1:18" ht="15.75" customHeight="1">
      <c r="A152" s="28"/>
      <c r="B152" s="25"/>
      <c r="C152" s="26"/>
      <c r="D152" s="26"/>
      <c r="E152" s="26"/>
      <c r="F152" s="26"/>
      <c r="G152" s="26"/>
      <c r="H152" s="26"/>
      <c r="I152" s="26"/>
      <c r="J152" s="26"/>
      <c r="K152" s="26"/>
      <c r="L152" s="26"/>
      <c r="M152" s="29"/>
      <c r="N152" s="29"/>
      <c r="O152" s="29"/>
      <c r="P152" s="29"/>
      <c r="Q152" s="29"/>
      <c r="R152" s="11"/>
    </row>
    <row r="153" spans="1:18" ht="15.75" customHeight="1">
      <c r="A153" s="28"/>
      <c r="B153" s="25"/>
      <c r="C153" s="26"/>
      <c r="D153" s="26"/>
      <c r="E153" s="26"/>
      <c r="F153" s="26"/>
      <c r="G153" s="26"/>
      <c r="H153" s="26"/>
      <c r="I153" s="26"/>
      <c r="J153" s="26"/>
      <c r="K153" s="26"/>
      <c r="L153" s="26"/>
      <c r="M153" s="29"/>
      <c r="N153" s="29"/>
      <c r="O153" s="29"/>
      <c r="P153" s="29"/>
      <c r="Q153" s="29"/>
      <c r="R153" s="11"/>
    </row>
    <row r="154" spans="1:18" ht="15.75" customHeight="1">
      <c r="A154" s="28"/>
      <c r="B154" s="25"/>
      <c r="C154" s="26"/>
      <c r="D154" s="26"/>
      <c r="E154" s="26"/>
      <c r="F154" s="26"/>
      <c r="G154" s="26"/>
      <c r="H154" s="26"/>
      <c r="I154" s="26"/>
      <c r="J154" s="26"/>
      <c r="K154" s="26"/>
      <c r="L154" s="26"/>
      <c r="M154" s="29"/>
      <c r="N154" s="29"/>
      <c r="O154" s="29"/>
      <c r="P154" s="29"/>
      <c r="Q154" s="29"/>
      <c r="R154" s="11"/>
    </row>
    <row r="155" spans="1:18" ht="15.75" customHeight="1">
      <c r="A155" s="28"/>
      <c r="B155" s="25"/>
      <c r="C155" s="26"/>
      <c r="D155" s="26"/>
      <c r="E155" s="26"/>
      <c r="F155" s="26"/>
      <c r="G155" s="26"/>
      <c r="H155" s="26"/>
      <c r="I155" s="26"/>
      <c r="J155" s="26"/>
      <c r="K155" s="26"/>
      <c r="L155" s="26"/>
      <c r="M155" s="29"/>
      <c r="N155" s="29"/>
      <c r="O155" s="29"/>
      <c r="P155" s="29"/>
      <c r="Q155" s="29"/>
      <c r="R155" s="11"/>
    </row>
    <row r="156" spans="1:18" ht="15.75" customHeight="1">
      <c r="A156" s="28"/>
      <c r="B156" s="25"/>
      <c r="C156" s="26"/>
      <c r="D156" s="26"/>
      <c r="E156" s="26"/>
      <c r="F156" s="26"/>
      <c r="G156" s="26"/>
      <c r="H156" s="26"/>
      <c r="I156" s="26"/>
      <c r="J156" s="26"/>
      <c r="K156" s="26"/>
      <c r="L156" s="26"/>
      <c r="M156" s="29"/>
      <c r="N156" s="29"/>
      <c r="O156" s="29"/>
      <c r="P156" s="29"/>
      <c r="Q156" s="29"/>
      <c r="R156" s="11"/>
    </row>
    <row r="157" spans="1:18" ht="15.75" customHeight="1">
      <c r="A157" s="28"/>
      <c r="B157" s="25"/>
      <c r="C157" s="26"/>
      <c r="D157" s="26"/>
      <c r="E157" s="26"/>
      <c r="F157" s="26"/>
      <c r="G157" s="26"/>
      <c r="H157" s="26"/>
      <c r="I157" s="26"/>
      <c r="J157" s="26"/>
      <c r="K157" s="26"/>
      <c r="L157" s="26"/>
      <c r="M157" s="29"/>
      <c r="N157" s="29"/>
      <c r="O157" s="29"/>
      <c r="P157" s="29"/>
      <c r="Q157" s="29"/>
      <c r="R157" s="11"/>
    </row>
    <row r="158" spans="1:18" ht="15.75" customHeight="1">
      <c r="A158" s="28"/>
      <c r="B158" s="25"/>
      <c r="C158" s="26"/>
      <c r="D158" s="26"/>
      <c r="E158" s="26"/>
      <c r="F158" s="26"/>
      <c r="G158" s="26"/>
      <c r="H158" s="26"/>
      <c r="I158" s="26"/>
      <c r="J158" s="26"/>
      <c r="K158" s="26"/>
      <c r="L158" s="26"/>
      <c r="M158" s="29"/>
      <c r="N158" s="29"/>
      <c r="O158" s="29"/>
      <c r="P158" s="29"/>
      <c r="Q158" s="29"/>
      <c r="R158" s="11"/>
    </row>
    <row r="159" spans="1:18" ht="15.75" customHeight="1">
      <c r="A159" s="28"/>
      <c r="B159" s="25"/>
      <c r="C159" s="26"/>
      <c r="D159" s="26"/>
      <c r="E159" s="26"/>
      <c r="F159" s="26"/>
      <c r="G159" s="26"/>
      <c r="H159" s="26"/>
      <c r="I159" s="26"/>
      <c r="J159" s="26"/>
      <c r="K159" s="26"/>
      <c r="L159" s="26"/>
      <c r="M159" s="29"/>
      <c r="N159" s="29"/>
      <c r="O159" s="29"/>
      <c r="P159" s="29"/>
      <c r="Q159" s="29"/>
      <c r="R159" s="11"/>
    </row>
    <row r="160" spans="1:18" ht="15.75" customHeight="1">
      <c r="A160" s="28"/>
      <c r="B160" s="25"/>
      <c r="C160" s="26"/>
      <c r="D160" s="26"/>
      <c r="E160" s="26"/>
      <c r="F160" s="26"/>
      <c r="G160" s="26"/>
      <c r="H160" s="26"/>
      <c r="I160" s="26"/>
      <c r="J160" s="26"/>
      <c r="K160" s="26"/>
      <c r="L160" s="26"/>
      <c r="M160" s="29"/>
      <c r="N160" s="29"/>
      <c r="O160" s="29"/>
      <c r="P160" s="29"/>
      <c r="Q160" s="29"/>
      <c r="R160" s="11"/>
    </row>
    <row r="161" spans="1:18" ht="15.75" customHeight="1">
      <c r="A161" s="28"/>
      <c r="B161" s="25"/>
      <c r="C161" s="26"/>
      <c r="D161" s="26"/>
      <c r="E161" s="26"/>
      <c r="F161" s="26"/>
      <c r="G161" s="26"/>
      <c r="H161" s="26"/>
      <c r="I161" s="26"/>
      <c r="J161" s="26"/>
      <c r="K161" s="26"/>
      <c r="L161" s="26"/>
      <c r="M161" s="29"/>
      <c r="N161" s="29"/>
      <c r="O161" s="29"/>
      <c r="P161" s="29"/>
      <c r="Q161" s="29"/>
      <c r="R161" s="11"/>
    </row>
    <row r="162" spans="1:18" ht="15.75" customHeight="1">
      <c r="A162" s="28"/>
      <c r="B162" s="25"/>
      <c r="C162" s="26"/>
      <c r="D162" s="26"/>
      <c r="E162" s="26"/>
      <c r="F162" s="26"/>
      <c r="G162" s="26"/>
      <c r="H162" s="26"/>
      <c r="I162" s="26"/>
      <c r="J162" s="26"/>
      <c r="K162" s="26"/>
      <c r="L162" s="26"/>
      <c r="M162" s="29"/>
      <c r="N162" s="29"/>
      <c r="O162" s="29"/>
      <c r="P162" s="29"/>
      <c r="Q162" s="29"/>
      <c r="R162" s="11"/>
    </row>
    <row r="163" spans="1:18" ht="15.75" customHeight="1">
      <c r="A163" s="28"/>
      <c r="B163" s="25"/>
      <c r="C163" s="26"/>
      <c r="D163" s="26"/>
      <c r="E163" s="26"/>
      <c r="F163" s="26"/>
      <c r="G163" s="26"/>
      <c r="H163" s="26"/>
      <c r="I163" s="26"/>
      <c r="J163" s="26"/>
      <c r="K163" s="26"/>
      <c r="L163" s="26"/>
      <c r="M163" s="29"/>
      <c r="N163" s="29"/>
      <c r="O163" s="29"/>
      <c r="P163" s="29"/>
      <c r="Q163" s="29"/>
      <c r="R163" s="11"/>
    </row>
    <row r="164" spans="1:18" ht="15.75" customHeight="1">
      <c r="A164" s="28"/>
      <c r="B164" s="25"/>
      <c r="C164" s="26"/>
      <c r="D164" s="26"/>
      <c r="E164" s="26"/>
      <c r="F164" s="26"/>
      <c r="G164" s="26"/>
      <c r="H164" s="26"/>
      <c r="I164" s="26"/>
      <c r="J164" s="26"/>
      <c r="K164" s="26"/>
      <c r="L164" s="26"/>
      <c r="M164" s="29"/>
      <c r="N164" s="29"/>
      <c r="O164" s="29"/>
      <c r="P164" s="29"/>
      <c r="Q164" s="29"/>
      <c r="R164" s="11"/>
    </row>
    <row r="165" spans="1:18" ht="15.75" customHeight="1">
      <c r="A165" s="28"/>
      <c r="B165" s="25"/>
      <c r="C165" s="26"/>
      <c r="D165" s="26"/>
      <c r="E165" s="26"/>
      <c r="F165" s="26"/>
      <c r="G165" s="26"/>
      <c r="H165" s="26"/>
      <c r="I165" s="26"/>
      <c r="J165" s="26"/>
      <c r="K165" s="26"/>
      <c r="L165" s="26"/>
      <c r="M165" s="29"/>
      <c r="N165" s="29"/>
      <c r="O165" s="29"/>
      <c r="P165" s="29"/>
      <c r="Q165" s="29"/>
      <c r="R165" s="11"/>
    </row>
    <row r="166" spans="1:18" ht="15.75" customHeight="1">
      <c r="A166" s="28"/>
      <c r="B166" s="25"/>
      <c r="C166" s="26"/>
      <c r="D166" s="26"/>
      <c r="E166" s="26"/>
      <c r="F166" s="26"/>
      <c r="G166" s="26"/>
      <c r="H166" s="26"/>
      <c r="I166" s="26"/>
      <c r="J166" s="26"/>
      <c r="K166" s="26"/>
      <c r="L166" s="26"/>
      <c r="M166" s="29"/>
      <c r="N166" s="29"/>
      <c r="O166" s="29"/>
      <c r="P166" s="29"/>
      <c r="Q166" s="29"/>
      <c r="R166" s="11"/>
    </row>
    <row r="167" spans="1:18" ht="15.75" customHeight="1">
      <c r="A167" s="28"/>
      <c r="B167" s="25"/>
      <c r="C167" s="26"/>
      <c r="D167" s="26"/>
      <c r="E167" s="26"/>
      <c r="F167" s="26"/>
      <c r="G167" s="26"/>
      <c r="H167" s="26"/>
      <c r="I167" s="26"/>
      <c r="J167" s="26"/>
      <c r="K167" s="26"/>
      <c r="L167" s="26"/>
      <c r="M167" s="29"/>
      <c r="N167" s="29"/>
      <c r="O167" s="29"/>
      <c r="P167" s="29"/>
      <c r="Q167" s="29"/>
      <c r="R167" s="11"/>
    </row>
    <row r="168" spans="1:18" ht="15.75" customHeight="1">
      <c r="A168" s="28"/>
      <c r="B168" s="25"/>
      <c r="C168" s="26"/>
      <c r="D168" s="26"/>
      <c r="E168" s="26"/>
      <c r="F168" s="26"/>
      <c r="G168" s="26"/>
      <c r="H168" s="26"/>
      <c r="I168" s="26"/>
      <c r="J168" s="26"/>
      <c r="K168" s="26"/>
      <c r="L168" s="26"/>
      <c r="M168" s="29"/>
      <c r="N168" s="29"/>
      <c r="O168" s="29"/>
      <c r="P168" s="29"/>
      <c r="Q168" s="29"/>
      <c r="R168" s="11"/>
    </row>
    <row r="169" spans="1:18" ht="15.75" customHeight="1">
      <c r="A169" s="28"/>
      <c r="B169" s="25"/>
      <c r="C169" s="26"/>
      <c r="D169" s="26"/>
      <c r="E169" s="26"/>
      <c r="F169" s="26"/>
      <c r="G169" s="26"/>
      <c r="H169" s="26"/>
      <c r="I169" s="26"/>
      <c r="J169" s="26"/>
      <c r="K169" s="26"/>
      <c r="L169" s="26"/>
      <c r="M169" s="29"/>
      <c r="N169" s="29"/>
      <c r="O169" s="29"/>
      <c r="P169" s="29"/>
      <c r="Q169" s="29"/>
      <c r="R169" s="11"/>
    </row>
    <row r="170" spans="1:18" ht="15.75" customHeight="1">
      <c r="A170" s="28"/>
      <c r="B170" s="25"/>
      <c r="C170" s="26"/>
      <c r="D170" s="26"/>
      <c r="E170" s="26"/>
      <c r="F170" s="26"/>
      <c r="G170" s="26"/>
      <c r="H170" s="26"/>
      <c r="I170" s="26"/>
      <c r="J170" s="26"/>
      <c r="K170" s="26"/>
      <c r="L170" s="26"/>
      <c r="M170" s="29"/>
      <c r="N170" s="29"/>
      <c r="O170" s="29"/>
      <c r="P170" s="29"/>
      <c r="Q170" s="29"/>
      <c r="R170" s="11"/>
    </row>
    <row r="171" spans="1:18" ht="15.75" customHeight="1">
      <c r="A171" s="28"/>
      <c r="B171" s="25"/>
      <c r="C171" s="26"/>
      <c r="D171" s="26"/>
      <c r="E171" s="26"/>
      <c r="F171" s="26"/>
      <c r="G171" s="26"/>
      <c r="H171" s="26"/>
      <c r="I171" s="26"/>
      <c r="J171" s="26"/>
      <c r="K171" s="26"/>
      <c r="L171" s="26"/>
      <c r="M171" s="29"/>
      <c r="N171" s="29"/>
      <c r="O171" s="29"/>
      <c r="P171" s="29"/>
      <c r="Q171" s="29"/>
      <c r="R171" s="11"/>
    </row>
    <row r="172" spans="1:18" ht="15.75" customHeight="1">
      <c r="A172" s="28"/>
      <c r="B172" s="25"/>
      <c r="C172" s="26"/>
      <c r="D172" s="26"/>
      <c r="E172" s="26"/>
      <c r="F172" s="26"/>
      <c r="G172" s="26"/>
      <c r="H172" s="26"/>
      <c r="I172" s="26"/>
      <c r="J172" s="26"/>
      <c r="K172" s="26"/>
      <c r="L172" s="26"/>
      <c r="M172" s="29"/>
      <c r="N172" s="29"/>
      <c r="O172" s="29"/>
      <c r="P172" s="29"/>
      <c r="Q172" s="29"/>
      <c r="R172" s="11"/>
    </row>
    <row r="173" spans="1:18" ht="15.75" customHeight="1">
      <c r="A173" s="28"/>
      <c r="B173" s="25"/>
      <c r="C173" s="26"/>
      <c r="D173" s="26"/>
      <c r="E173" s="26"/>
      <c r="F173" s="26"/>
      <c r="G173" s="26"/>
      <c r="H173" s="26"/>
      <c r="I173" s="26"/>
      <c r="J173" s="26"/>
      <c r="K173" s="26"/>
      <c r="L173" s="26"/>
      <c r="M173" s="29"/>
      <c r="N173" s="29"/>
      <c r="O173" s="29"/>
      <c r="P173" s="29"/>
      <c r="Q173" s="29"/>
      <c r="R173" s="11"/>
    </row>
    <row r="174" spans="1:18" ht="15.75" customHeight="1">
      <c r="A174" s="28"/>
      <c r="B174" s="25"/>
      <c r="C174" s="26"/>
      <c r="D174" s="26"/>
      <c r="E174" s="26"/>
      <c r="F174" s="26"/>
      <c r="G174" s="26"/>
      <c r="H174" s="26"/>
      <c r="I174" s="26"/>
      <c r="J174" s="26"/>
      <c r="K174" s="26"/>
      <c r="L174" s="26"/>
      <c r="M174" s="29"/>
      <c r="N174" s="29"/>
      <c r="O174" s="29"/>
      <c r="P174" s="29"/>
      <c r="Q174" s="29"/>
      <c r="R174" s="11"/>
    </row>
    <row r="175" spans="1:18" ht="15.75" customHeight="1">
      <c r="A175" s="28"/>
      <c r="B175" s="25"/>
      <c r="C175" s="26"/>
      <c r="D175" s="26"/>
      <c r="E175" s="26"/>
      <c r="F175" s="26"/>
      <c r="G175" s="26"/>
      <c r="H175" s="26"/>
      <c r="I175" s="26"/>
      <c r="J175" s="26"/>
      <c r="K175" s="26"/>
      <c r="L175" s="26"/>
      <c r="M175" s="29"/>
      <c r="N175" s="29"/>
      <c r="O175" s="29"/>
      <c r="P175" s="29"/>
      <c r="Q175" s="29"/>
      <c r="R175" s="11"/>
    </row>
    <row r="176" spans="1:18" ht="15.75" customHeight="1">
      <c r="A176" s="28"/>
      <c r="B176" s="25"/>
      <c r="C176" s="26"/>
      <c r="D176" s="26"/>
      <c r="E176" s="26"/>
      <c r="F176" s="26"/>
      <c r="G176" s="26"/>
      <c r="H176" s="26"/>
      <c r="I176" s="26"/>
      <c r="J176" s="26"/>
      <c r="K176" s="26"/>
      <c r="L176" s="26"/>
      <c r="M176" s="29"/>
      <c r="N176" s="29"/>
      <c r="O176" s="29"/>
      <c r="P176" s="29"/>
      <c r="Q176" s="29"/>
      <c r="R176" s="11"/>
    </row>
    <row r="177" spans="1:18" ht="15.75" customHeight="1">
      <c r="A177" s="28"/>
      <c r="B177" s="25"/>
      <c r="C177" s="26"/>
      <c r="D177" s="26"/>
      <c r="E177" s="26"/>
      <c r="F177" s="26"/>
      <c r="G177" s="26"/>
      <c r="H177" s="26"/>
      <c r="I177" s="26"/>
      <c r="J177" s="26"/>
      <c r="K177" s="26"/>
      <c r="L177" s="26"/>
      <c r="M177" s="29"/>
      <c r="N177" s="29"/>
      <c r="O177" s="29"/>
      <c r="P177" s="29"/>
      <c r="Q177" s="29"/>
      <c r="R177" s="11"/>
    </row>
    <row r="178" spans="1:18" ht="15.75" customHeight="1">
      <c r="A178" s="28"/>
      <c r="B178" s="25"/>
      <c r="C178" s="26"/>
      <c r="D178" s="26"/>
      <c r="E178" s="26"/>
      <c r="F178" s="26"/>
      <c r="G178" s="26"/>
      <c r="H178" s="26"/>
      <c r="I178" s="26"/>
      <c r="J178" s="26"/>
      <c r="K178" s="26"/>
      <c r="L178" s="26"/>
      <c r="M178" s="29"/>
      <c r="N178" s="29"/>
      <c r="O178" s="29"/>
      <c r="P178" s="29"/>
      <c r="Q178" s="29"/>
      <c r="R178" s="11"/>
    </row>
    <row r="179" spans="1:18" ht="15.75" customHeight="1">
      <c r="A179" s="28"/>
      <c r="B179" s="25"/>
      <c r="C179" s="26"/>
      <c r="D179" s="26"/>
      <c r="E179" s="26"/>
      <c r="F179" s="26"/>
      <c r="G179" s="26"/>
      <c r="H179" s="26"/>
      <c r="I179" s="26"/>
      <c r="J179" s="26"/>
      <c r="K179" s="26"/>
      <c r="L179" s="26"/>
      <c r="M179" s="29"/>
      <c r="N179" s="29"/>
      <c r="O179" s="29"/>
      <c r="P179" s="29"/>
      <c r="Q179" s="29"/>
      <c r="R179" s="11"/>
    </row>
    <row r="180" spans="1:18" ht="15.75" customHeight="1">
      <c r="A180" s="28"/>
      <c r="B180" s="25"/>
      <c r="C180" s="26"/>
      <c r="D180" s="26"/>
      <c r="E180" s="26"/>
      <c r="F180" s="26"/>
      <c r="G180" s="26"/>
      <c r="H180" s="26"/>
      <c r="I180" s="26"/>
      <c r="J180" s="26"/>
      <c r="K180" s="26"/>
      <c r="L180" s="26"/>
      <c r="M180" s="29"/>
      <c r="N180" s="29"/>
      <c r="O180" s="29"/>
      <c r="P180" s="29"/>
      <c r="Q180" s="29"/>
      <c r="R180" s="11"/>
    </row>
    <row r="181" spans="1:18" ht="15.75" customHeight="1">
      <c r="A181" s="28"/>
      <c r="B181" s="25"/>
      <c r="C181" s="26"/>
      <c r="D181" s="26"/>
      <c r="E181" s="26"/>
      <c r="F181" s="26"/>
      <c r="G181" s="26"/>
      <c r="H181" s="26"/>
      <c r="I181" s="26"/>
      <c r="J181" s="26"/>
      <c r="K181" s="26"/>
      <c r="L181" s="26"/>
      <c r="M181" s="29"/>
      <c r="N181" s="29"/>
      <c r="O181" s="29"/>
      <c r="P181" s="29"/>
      <c r="Q181" s="29"/>
      <c r="R181" s="11"/>
    </row>
    <row r="182" spans="1:18" ht="15.75" customHeight="1">
      <c r="A182" s="28"/>
      <c r="B182" s="25"/>
      <c r="C182" s="26"/>
      <c r="D182" s="26"/>
      <c r="E182" s="26"/>
      <c r="F182" s="26"/>
      <c r="G182" s="26"/>
      <c r="H182" s="26"/>
      <c r="I182" s="26"/>
      <c r="J182" s="26"/>
      <c r="K182" s="26"/>
      <c r="L182" s="26"/>
      <c r="M182" s="29"/>
      <c r="N182" s="29"/>
      <c r="O182" s="29"/>
      <c r="P182" s="29"/>
      <c r="Q182" s="29"/>
      <c r="R182" s="11"/>
    </row>
    <row r="183" spans="1:18" ht="15.75" customHeight="1">
      <c r="A183" s="28"/>
      <c r="B183" s="25"/>
      <c r="C183" s="26"/>
      <c r="D183" s="26"/>
      <c r="E183" s="26"/>
      <c r="F183" s="26"/>
      <c r="G183" s="26"/>
      <c r="H183" s="26"/>
      <c r="I183" s="26"/>
      <c r="J183" s="26"/>
      <c r="K183" s="26"/>
      <c r="L183" s="26"/>
      <c r="M183" s="29"/>
      <c r="N183" s="29"/>
      <c r="O183" s="29"/>
      <c r="P183" s="29"/>
      <c r="Q183" s="29"/>
      <c r="R183" s="11"/>
    </row>
    <row r="184" spans="1:18" ht="15.75" customHeight="1">
      <c r="A184" s="28"/>
      <c r="B184" s="25"/>
      <c r="C184" s="26"/>
      <c r="D184" s="26"/>
      <c r="E184" s="26"/>
      <c r="F184" s="26"/>
      <c r="G184" s="26"/>
      <c r="H184" s="26"/>
      <c r="I184" s="26"/>
      <c r="J184" s="26"/>
      <c r="K184" s="26"/>
      <c r="L184" s="26"/>
      <c r="M184" s="29"/>
      <c r="N184" s="29"/>
      <c r="O184" s="29"/>
      <c r="P184" s="29"/>
      <c r="Q184" s="29"/>
      <c r="R184" s="11"/>
    </row>
    <row r="185" spans="1:18" ht="15.75" customHeight="1">
      <c r="A185" s="28"/>
      <c r="B185" s="25"/>
      <c r="C185" s="26"/>
      <c r="D185" s="26"/>
      <c r="E185" s="26"/>
      <c r="F185" s="26"/>
      <c r="G185" s="26"/>
      <c r="H185" s="26"/>
      <c r="I185" s="26"/>
      <c r="J185" s="26"/>
      <c r="K185" s="26"/>
      <c r="L185" s="26"/>
      <c r="M185" s="29"/>
      <c r="N185" s="29"/>
      <c r="O185" s="29"/>
      <c r="P185" s="29"/>
      <c r="Q185" s="29"/>
      <c r="R185" s="11"/>
    </row>
    <row r="186" spans="1:18" ht="15.75" customHeight="1">
      <c r="A186" s="28"/>
      <c r="B186" s="25"/>
      <c r="C186" s="26"/>
      <c r="D186" s="26"/>
      <c r="E186" s="26"/>
      <c r="F186" s="26"/>
      <c r="G186" s="26"/>
      <c r="H186" s="26"/>
      <c r="I186" s="26"/>
      <c r="J186" s="26"/>
      <c r="K186" s="26"/>
      <c r="L186" s="26"/>
      <c r="M186" s="29"/>
      <c r="N186" s="29"/>
      <c r="O186" s="29"/>
      <c r="P186" s="29"/>
      <c r="Q186" s="29"/>
      <c r="R186" s="11"/>
    </row>
    <row r="187" spans="1:18" ht="15.75" customHeight="1">
      <c r="A187" s="28"/>
      <c r="B187" s="25"/>
      <c r="C187" s="26"/>
      <c r="D187" s="26"/>
      <c r="E187" s="26"/>
      <c r="F187" s="26"/>
      <c r="G187" s="26"/>
      <c r="H187" s="26"/>
      <c r="I187" s="26"/>
      <c r="J187" s="26"/>
      <c r="K187" s="26"/>
      <c r="L187" s="26"/>
      <c r="M187" s="29"/>
      <c r="N187" s="29"/>
      <c r="O187" s="29"/>
      <c r="P187" s="29"/>
      <c r="Q187" s="29"/>
      <c r="R187" s="11"/>
    </row>
    <row r="188" spans="1:18" ht="15.75" customHeight="1">
      <c r="A188" s="28"/>
      <c r="B188" s="25"/>
      <c r="C188" s="26"/>
      <c r="D188" s="26"/>
      <c r="E188" s="26"/>
      <c r="F188" s="26"/>
      <c r="G188" s="26"/>
      <c r="H188" s="26"/>
      <c r="I188" s="26"/>
      <c r="J188" s="26"/>
      <c r="K188" s="26"/>
      <c r="L188" s="26"/>
      <c r="M188" s="29"/>
      <c r="N188" s="29"/>
      <c r="O188" s="29"/>
      <c r="P188" s="29"/>
      <c r="Q188" s="29"/>
      <c r="R188" s="11"/>
    </row>
    <row r="189" spans="1:18" ht="15.75" customHeight="1">
      <c r="A189" s="28"/>
      <c r="B189" s="25"/>
      <c r="C189" s="26"/>
      <c r="D189" s="26"/>
      <c r="E189" s="26"/>
      <c r="F189" s="26"/>
      <c r="G189" s="26"/>
      <c r="H189" s="26"/>
      <c r="I189" s="26"/>
      <c r="J189" s="26"/>
      <c r="K189" s="26"/>
      <c r="L189" s="26"/>
      <c r="M189" s="29"/>
      <c r="N189" s="29"/>
      <c r="O189" s="29"/>
      <c r="P189" s="29"/>
      <c r="Q189" s="29"/>
      <c r="R189" s="11"/>
    </row>
    <row r="190" spans="1:18" ht="15.75" customHeight="1">
      <c r="A190" s="28"/>
      <c r="B190" s="25"/>
      <c r="C190" s="26"/>
      <c r="D190" s="26"/>
      <c r="E190" s="26"/>
      <c r="F190" s="26"/>
      <c r="G190" s="26"/>
      <c r="H190" s="26"/>
      <c r="I190" s="26"/>
      <c r="J190" s="26"/>
      <c r="K190" s="26"/>
      <c r="L190" s="26"/>
      <c r="M190" s="29"/>
      <c r="N190" s="29"/>
      <c r="O190" s="29"/>
      <c r="P190" s="29"/>
      <c r="Q190" s="29"/>
      <c r="R190" s="11"/>
    </row>
    <row r="191" spans="1:18" ht="15.75" customHeight="1">
      <c r="A191" s="28"/>
      <c r="B191" s="25"/>
      <c r="C191" s="26"/>
      <c r="D191" s="26"/>
      <c r="E191" s="26"/>
      <c r="F191" s="26"/>
      <c r="G191" s="26"/>
      <c r="H191" s="26"/>
      <c r="I191" s="26"/>
      <c r="J191" s="26"/>
      <c r="K191" s="26"/>
      <c r="L191" s="26"/>
      <c r="M191" s="29"/>
      <c r="N191" s="29"/>
      <c r="O191" s="29"/>
      <c r="P191" s="29"/>
      <c r="Q191" s="29"/>
      <c r="R191" s="11"/>
    </row>
    <row r="192" spans="1:18" ht="15.75" customHeight="1">
      <c r="A192" s="28"/>
      <c r="B192" s="25"/>
      <c r="C192" s="26"/>
      <c r="D192" s="26"/>
      <c r="E192" s="26"/>
      <c r="F192" s="26"/>
      <c r="G192" s="26"/>
      <c r="H192" s="26"/>
      <c r="I192" s="26"/>
      <c r="J192" s="26"/>
      <c r="K192" s="26"/>
      <c r="L192" s="26"/>
      <c r="M192" s="29"/>
      <c r="N192" s="29"/>
      <c r="O192" s="29"/>
      <c r="P192" s="29"/>
      <c r="Q192" s="29"/>
      <c r="R192" s="11"/>
    </row>
    <row r="193" spans="1:18" ht="15.75" customHeight="1">
      <c r="A193" s="28"/>
      <c r="B193" s="25"/>
      <c r="C193" s="26"/>
      <c r="D193" s="26"/>
      <c r="E193" s="26"/>
      <c r="F193" s="26"/>
      <c r="G193" s="26"/>
      <c r="H193" s="26"/>
      <c r="I193" s="26"/>
      <c r="J193" s="26"/>
      <c r="K193" s="26"/>
      <c r="L193" s="26"/>
      <c r="M193" s="29"/>
      <c r="N193" s="29"/>
      <c r="O193" s="29"/>
      <c r="P193" s="29"/>
      <c r="Q193" s="29"/>
      <c r="R193" s="11"/>
    </row>
    <row r="194" spans="1:18" ht="15.75" customHeight="1">
      <c r="A194" s="28"/>
      <c r="B194" s="25"/>
      <c r="C194" s="26"/>
      <c r="D194" s="26"/>
      <c r="E194" s="26"/>
      <c r="F194" s="26"/>
      <c r="G194" s="26"/>
      <c r="H194" s="26"/>
      <c r="I194" s="26"/>
      <c r="J194" s="26"/>
      <c r="K194" s="26"/>
      <c r="L194" s="26"/>
      <c r="M194" s="29"/>
      <c r="N194" s="29"/>
      <c r="O194" s="29"/>
      <c r="P194" s="29"/>
      <c r="Q194" s="29"/>
      <c r="R194" s="11"/>
    </row>
    <row r="195" spans="1:18" ht="15.75" customHeight="1">
      <c r="A195" s="28"/>
      <c r="B195" s="25"/>
      <c r="C195" s="26"/>
      <c r="D195" s="26"/>
      <c r="E195" s="26"/>
      <c r="F195" s="26"/>
      <c r="G195" s="26"/>
      <c r="H195" s="26"/>
      <c r="I195" s="26"/>
      <c r="J195" s="26"/>
      <c r="K195" s="26"/>
      <c r="L195" s="26"/>
      <c r="M195" s="29"/>
      <c r="N195" s="29"/>
      <c r="O195" s="29"/>
      <c r="P195" s="29"/>
      <c r="Q195" s="29"/>
      <c r="R195" s="11"/>
    </row>
    <row r="196" spans="1:18" ht="15.75" customHeight="1">
      <c r="A196" s="28"/>
      <c r="B196" s="25"/>
      <c r="C196" s="26"/>
      <c r="D196" s="26"/>
      <c r="E196" s="26"/>
      <c r="F196" s="26"/>
      <c r="G196" s="26"/>
      <c r="H196" s="26"/>
      <c r="I196" s="26"/>
      <c r="J196" s="26"/>
      <c r="K196" s="26"/>
      <c r="L196" s="26"/>
      <c r="M196" s="29"/>
      <c r="N196" s="29"/>
      <c r="O196" s="29"/>
      <c r="P196" s="29"/>
      <c r="Q196" s="29"/>
      <c r="R196" s="11"/>
    </row>
    <row r="197" spans="1:18" ht="15.75" customHeight="1">
      <c r="A197" s="28"/>
      <c r="B197" s="25"/>
      <c r="C197" s="26"/>
      <c r="D197" s="26"/>
      <c r="E197" s="26"/>
      <c r="F197" s="26"/>
      <c r="G197" s="26"/>
      <c r="H197" s="26"/>
      <c r="I197" s="26"/>
      <c r="J197" s="26"/>
      <c r="K197" s="26"/>
      <c r="L197" s="26"/>
      <c r="M197" s="29"/>
      <c r="N197" s="29"/>
      <c r="O197" s="29"/>
      <c r="P197" s="29"/>
      <c r="Q197" s="29"/>
      <c r="R197" s="11"/>
    </row>
    <row r="198" spans="1:18" ht="15.75" customHeight="1">
      <c r="A198" s="28"/>
      <c r="B198" s="25"/>
      <c r="C198" s="26"/>
      <c r="D198" s="26"/>
      <c r="E198" s="26"/>
      <c r="F198" s="26"/>
      <c r="G198" s="26"/>
      <c r="H198" s="26"/>
      <c r="I198" s="26"/>
      <c r="J198" s="26"/>
      <c r="K198" s="26"/>
      <c r="L198" s="26"/>
      <c r="M198" s="29"/>
      <c r="N198" s="29"/>
      <c r="O198" s="29"/>
      <c r="P198" s="29"/>
      <c r="Q198" s="29"/>
      <c r="R198" s="11"/>
    </row>
    <row r="199" spans="1:18" ht="15.75" customHeight="1">
      <c r="A199" s="28"/>
      <c r="B199" s="25"/>
      <c r="C199" s="26"/>
      <c r="D199" s="26"/>
      <c r="E199" s="26"/>
      <c r="F199" s="26"/>
      <c r="G199" s="26"/>
      <c r="H199" s="26"/>
      <c r="I199" s="26"/>
      <c r="J199" s="26"/>
      <c r="K199" s="26"/>
      <c r="L199" s="26"/>
      <c r="M199" s="29"/>
      <c r="N199" s="29"/>
      <c r="O199" s="29"/>
      <c r="P199" s="29"/>
      <c r="Q199" s="29"/>
      <c r="R199" s="11"/>
    </row>
    <row r="200" spans="1:18" ht="15.75" customHeight="1">
      <c r="A200" s="28"/>
      <c r="B200" s="25"/>
      <c r="C200" s="26"/>
      <c r="D200" s="26"/>
      <c r="E200" s="26"/>
      <c r="F200" s="26"/>
      <c r="G200" s="26"/>
      <c r="H200" s="26"/>
      <c r="I200" s="26"/>
      <c r="J200" s="26"/>
      <c r="K200" s="26"/>
      <c r="L200" s="26"/>
      <c r="M200" s="29"/>
      <c r="N200" s="29"/>
      <c r="O200" s="29"/>
      <c r="P200" s="29"/>
      <c r="Q200" s="29"/>
      <c r="R200" s="11"/>
    </row>
    <row r="201" spans="1:18" ht="15.75" customHeight="1">
      <c r="A201" s="28"/>
      <c r="B201" s="25"/>
      <c r="C201" s="26"/>
      <c r="D201" s="26"/>
      <c r="E201" s="26"/>
      <c r="F201" s="26"/>
      <c r="G201" s="26"/>
      <c r="H201" s="26"/>
      <c r="I201" s="26"/>
      <c r="J201" s="26"/>
      <c r="K201" s="26"/>
      <c r="L201" s="26"/>
      <c r="M201" s="29"/>
      <c r="N201" s="29"/>
      <c r="O201" s="29"/>
      <c r="P201" s="29"/>
      <c r="Q201" s="29"/>
      <c r="R201" s="11"/>
    </row>
    <row r="202" spans="1:18" ht="15.75" customHeight="1">
      <c r="A202" s="28"/>
      <c r="B202" s="25"/>
      <c r="C202" s="26"/>
      <c r="D202" s="26"/>
      <c r="E202" s="26"/>
      <c r="F202" s="26"/>
      <c r="G202" s="26"/>
      <c r="H202" s="26"/>
      <c r="I202" s="26"/>
      <c r="J202" s="26"/>
      <c r="K202" s="26"/>
      <c r="L202" s="26"/>
      <c r="M202" s="29"/>
      <c r="N202" s="29"/>
      <c r="O202" s="29"/>
      <c r="P202" s="29"/>
      <c r="Q202" s="29"/>
      <c r="R202" s="11"/>
    </row>
    <row r="203" spans="1:18" ht="15.75" customHeight="1">
      <c r="A203" s="28"/>
      <c r="B203" s="25"/>
      <c r="C203" s="26"/>
      <c r="D203" s="26"/>
      <c r="E203" s="26"/>
      <c r="F203" s="26"/>
      <c r="G203" s="26"/>
      <c r="H203" s="26"/>
      <c r="I203" s="26"/>
      <c r="J203" s="26"/>
      <c r="K203" s="26"/>
      <c r="L203" s="26"/>
      <c r="M203" s="29"/>
      <c r="N203" s="29"/>
      <c r="O203" s="29"/>
      <c r="P203" s="29"/>
      <c r="Q203" s="29"/>
      <c r="R203" s="11"/>
    </row>
    <row r="204" spans="1:18" ht="15.75" customHeight="1">
      <c r="A204" s="28"/>
      <c r="B204" s="25"/>
      <c r="C204" s="26"/>
      <c r="D204" s="26"/>
      <c r="E204" s="26"/>
      <c r="F204" s="26"/>
      <c r="G204" s="26"/>
      <c r="H204" s="26"/>
      <c r="I204" s="26"/>
      <c r="J204" s="26"/>
      <c r="K204" s="26"/>
      <c r="L204" s="26"/>
      <c r="M204" s="29"/>
      <c r="N204" s="29"/>
      <c r="O204" s="29"/>
      <c r="P204" s="29"/>
      <c r="Q204" s="29"/>
      <c r="R204" s="11"/>
    </row>
    <row r="205" spans="1:18" ht="15.75" customHeight="1">
      <c r="A205" s="28"/>
      <c r="B205" s="25"/>
      <c r="C205" s="26"/>
      <c r="D205" s="26"/>
      <c r="E205" s="26"/>
      <c r="F205" s="26"/>
      <c r="G205" s="26"/>
      <c r="H205" s="26"/>
      <c r="I205" s="26"/>
      <c r="J205" s="26"/>
      <c r="K205" s="26"/>
      <c r="L205" s="26"/>
      <c r="M205" s="29"/>
      <c r="N205" s="29"/>
      <c r="O205" s="29"/>
      <c r="P205" s="29"/>
      <c r="Q205" s="29"/>
      <c r="R205" s="11"/>
    </row>
    <row r="206" spans="1:18" ht="15.75" customHeight="1">
      <c r="A206" s="28"/>
      <c r="B206" s="25"/>
      <c r="C206" s="26"/>
      <c r="D206" s="26"/>
      <c r="E206" s="26"/>
      <c r="F206" s="26"/>
      <c r="G206" s="26"/>
      <c r="H206" s="26"/>
      <c r="I206" s="26"/>
      <c r="J206" s="26"/>
      <c r="K206" s="26"/>
      <c r="L206" s="26"/>
      <c r="M206" s="29"/>
      <c r="N206" s="29"/>
      <c r="O206" s="29"/>
      <c r="P206" s="29"/>
      <c r="Q206" s="29"/>
      <c r="R206" s="11"/>
    </row>
    <row r="207" spans="1:18" ht="15.75" customHeight="1">
      <c r="A207" s="28"/>
      <c r="B207" s="25"/>
      <c r="C207" s="26"/>
      <c r="D207" s="26"/>
      <c r="E207" s="26"/>
      <c r="F207" s="26"/>
      <c r="G207" s="26"/>
      <c r="H207" s="26"/>
      <c r="I207" s="26"/>
      <c r="J207" s="26"/>
      <c r="K207" s="26"/>
      <c r="L207" s="26"/>
      <c r="M207" s="29"/>
      <c r="N207" s="29"/>
      <c r="O207" s="29"/>
      <c r="P207" s="29"/>
      <c r="Q207" s="29"/>
      <c r="R207" s="11"/>
    </row>
    <row r="208" spans="1:18" ht="15.75" customHeight="1">
      <c r="A208" s="28"/>
      <c r="B208" s="25"/>
      <c r="C208" s="26"/>
      <c r="D208" s="26"/>
      <c r="E208" s="26"/>
      <c r="F208" s="26"/>
      <c r="G208" s="26"/>
      <c r="H208" s="26"/>
      <c r="I208" s="26"/>
      <c r="J208" s="26"/>
      <c r="K208" s="26"/>
      <c r="L208" s="26"/>
      <c r="M208" s="29"/>
      <c r="N208" s="29"/>
      <c r="O208" s="29"/>
      <c r="P208" s="29"/>
      <c r="Q208" s="29"/>
      <c r="R208" s="11"/>
    </row>
    <row r="209" spans="1:18" ht="15.75" customHeight="1">
      <c r="A209" s="28"/>
      <c r="B209" s="25"/>
      <c r="C209" s="26"/>
      <c r="D209" s="26"/>
      <c r="E209" s="26"/>
      <c r="F209" s="26"/>
      <c r="G209" s="26"/>
      <c r="H209" s="26"/>
      <c r="I209" s="26"/>
      <c r="J209" s="26"/>
      <c r="K209" s="26"/>
      <c r="L209" s="26"/>
      <c r="M209" s="29"/>
      <c r="N209" s="29"/>
      <c r="O209" s="29"/>
      <c r="P209" s="29"/>
      <c r="Q209" s="29"/>
      <c r="R209" s="11"/>
    </row>
    <row r="210" spans="1:18" ht="15.75" customHeight="1">
      <c r="A210" s="28"/>
      <c r="B210" s="25"/>
      <c r="C210" s="26"/>
      <c r="D210" s="26"/>
      <c r="E210" s="26"/>
      <c r="F210" s="26"/>
      <c r="G210" s="26"/>
      <c r="H210" s="26"/>
      <c r="I210" s="26"/>
      <c r="J210" s="26"/>
      <c r="K210" s="26"/>
      <c r="L210" s="26"/>
      <c r="M210" s="29"/>
      <c r="N210" s="29"/>
      <c r="O210" s="29"/>
      <c r="P210" s="29"/>
      <c r="Q210" s="29"/>
      <c r="R210" s="11"/>
    </row>
    <row r="211" spans="1:18" ht="15.75" customHeight="1">
      <c r="A211" s="28"/>
      <c r="B211" s="25"/>
      <c r="C211" s="26"/>
      <c r="D211" s="26"/>
      <c r="E211" s="26"/>
      <c r="F211" s="26"/>
      <c r="G211" s="26"/>
      <c r="H211" s="26"/>
      <c r="I211" s="26"/>
      <c r="J211" s="26"/>
      <c r="K211" s="26"/>
      <c r="L211" s="26"/>
      <c r="M211" s="29"/>
      <c r="N211" s="29"/>
      <c r="O211" s="29"/>
      <c r="P211" s="29"/>
      <c r="Q211" s="29"/>
      <c r="R211" s="11"/>
    </row>
    <row r="212" spans="1:18" ht="15.75" customHeight="1">
      <c r="A212" s="28"/>
      <c r="B212" s="25"/>
      <c r="C212" s="26"/>
      <c r="D212" s="26"/>
      <c r="E212" s="26"/>
      <c r="F212" s="26"/>
      <c r="G212" s="26"/>
      <c r="H212" s="26"/>
      <c r="I212" s="26"/>
      <c r="J212" s="26"/>
      <c r="K212" s="26"/>
      <c r="L212" s="26"/>
      <c r="M212" s="29"/>
      <c r="N212" s="29"/>
      <c r="O212" s="29"/>
      <c r="P212" s="29"/>
      <c r="Q212" s="29"/>
      <c r="R212" s="11"/>
    </row>
    <row r="213" spans="1:18" ht="15.75" customHeight="1">
      <c r="A213" s="28"/>
      <c r="B213" s="25"/>
      <c r="C213" s="26"/>
      <c r="D213" s="26"/>
      <c r="E213" s="26"/>
      <c r="F213" s="26"/>
      <c r="G213" s="26"/>
      <c r="H213" s="26"/>
      <c r="I213" s="26"/>
      <c r="J213" s="26"/>
      <c r="K213" s="26"/>
      <c r="L213" s="26"/>
      <c r="M213" s="29"/>
      <c r="N213" s="29"/>
      <c r="O213" s="29"/>
      <c r="P213" s="29"/>
      <c r="Q213" s="29"/>
      <c r="R213" s="11"/>
    </row>
    <row r="214" spans="1:18" ht="15.75" customHeight="1">
      <c r="A214" s="28"/>
      <c r="B214" s="25"/>
      <c r="C214" s="26"/>
      <c r="D214" s="26"/>
      <c r="E214" s="26"/>
      <c r="F214" s="26"/>
      <c r="G214" s="26"/>
      <c r="H214" s="26"/>
      <c r="I214" s="26"/>
      <c r="J214" s="26"/>
      <c r="K214" s="26"/>
      <c r="L214" s="26"/>
      <c r="M214" s="29"/>
      <c r="N214" s="29"/>
      <c r="O214" s="29"/>
      <c r="P214" s="29"/>
      <c r="Q214" s="29"/>
      <c r="R214" s="11"/>
    </row>
    <row r="215" spans="1:18" ht="15.75" customHeight="1">
      <c r="A215" s="28"/>
      <c r="B215" s="25"/>
      <c r="C215" s="26"/>
      <c r="D215" s="26"/>
      <c r="E215" s="26"/>
      <c r="F215" s="26"/>
      <c r="G215" s="26"/>
      <c r="H215" s="26"/>
      <c r="I215" s="26"/>
      <c r="J215" s="26"/>
      <c r="K215" s="26"/>
      <c r="L215" s="26"/>
      <c r="M215" s="29"/>
      <c r="N215" s="29"/>
      <c r="O215" s="29"/>
      <c r="P215" s="29"/>
      <c r="Q215" s="29"/>
      <c r="R215" s="11"/>
    </row>
    <row r="216" spans="1:18" ht="15.75" customHeight="1">
      <c r="A216" s="28"/>
      <c r="B216" s="25"/>
      <c r="C216" s="26"/>
      <c r="D216" s="26"/>
      <c r="E216" s="26"/>
      <c r="F216" s="26"/>
      <c r="G216" s="26"/>
      <c r="H216" s="26"/>
      <c r="I216" s="26"/>
      <c r="J216" s="26"/>
      <c r="K216" s="26"/>
      <c r="L216" s="26"/>
      <c r="M216" s="29"/>
      <c r="N216" s="29"/>
      <c r="O216" s="29"/>
      <c r="P216" s="29"/>
      <c r="Q216" s="29"/>
      <c r="R216" s="11"/>
    </row>
    <row r="217" spans="1:18" ht="15.75" customHeight="1">
      <c r="A217" s="28"/>
      <c r="B217" s="25"/>
      <c r="C217" s="26"/>
      <c r="D217" s="26"/>
      <c r="E217" s="26"/>
      <c r="F217" s="26"/>
      <c r="G217" s="26"/>
      <c r="H217" s="26"/>
      <c r="I217" s="26"/>
      <c r="J217" s="26"/>
      <c r="K217" s="26"/>
      <c r="L217" s="26"/>
      <c r="M217" s="29"/>
      <c r="N217" s="29"/>
      <c r="O217" s="29"/>
      <c r="P217" s="29"/>
      <c r="Q217" s="29"/>
      <c r="R217" s="11"/>
    </row>
    <row r="218" spans="1:18" ht="15.75" customHeight="1">
      <c r="A218" s="28"/>
      <c r="B218" s="25"/>
      <c r="C218" s="26"/>
      <c r="D218" s="26"/>
      <c r="E218" s="26"/>
      <c r="F218" s="26"/>
      <c r="G218" s="26"/>
      <c r="H218" s="26"/>
      <c r="I218" s="26"/>
      <c r="J218" s="26"/>
      <c r="K218" s="26"/>
      <c r="L218" s="26"/>
      <c r="M218" s="29"/>
      <c r="N218" s="29"/>
      <c r="O218" s="29"/>
      <c r="P218" s="29"/>
      <c r="Q218" s="29"/>
      <c r="R218" s="11"/>
    </row>
    <row r="219" spans="1:18" ht="15.75" customHeight="1">
      <c r="A219" s="28"/>
      <c r="B219" s="25"/>
      <c r="C219" s="26"/>
      <c r="D219" s="26"/>
      <c r="E219" s="26"/>
      <c r="F219" s="26"/>
      <c r="G219" s="26"/>
      <c r="H219" s="26"/>
      <c r="I219" s="26"/>
      <c r="J219" s="26"/>
      <c r="K219" s="26"/>
      <c r="L219" s="26"/>
      <c r="M219" s="29"/>
      <c r="N219" s="29"/>
      <c r="O219" s="29"/>
      <c r="P219" s="29"/>
      <c r="Q219" s="29"/>
      <c r="R219" s="11"/>
    </row>
    <row r="220" spans="1:18" ht="15.75" customHeight="1">
      <c r="A220" s="28"/>
      <c r="B220" s="25"/>
      <c r="C220" s="26"/>
      <c r="D220" s="26"/>
      <c r="E220" s="26"/>
      <c r="F220" s="26"/>
      <c r="G220" s="26"/>
      <c r="H220" s="26"/>
      <c r="I220" s="26"/>
      <c r="J220" s="26"/>
      <c r="K220" s="26"/>
      <c r="L220" s="26"/>
      <c r="M220" s="29"/>
      <c r="N220" s="29"/>
      <c r="O220" s="29"/>
      <c r="P220" s="29"/>
      <c r="Q220" s="29"/>
      <c r="R220" s="11"/>
    </row>
    <row r="221" spans="1:18" ht="15.75" customHeight="1">
      <c r="A221" s="28"/>
      <c r="B221" s="25"/>
      <c r="C221" s="26"/>
      <c r="D221" s="26"/>
      <c r="E221" s="26"/>
      <c r="F221" s="26"/>
      <c r="G221" s="26"/>
      <c r="H221" s="26"/>
      <c r="I221" s="26"/>
      <c r="J221" s="26"/>
      <c r="K221" s="26"/>
      <c r="L221" s="26"/>
      <c r="M221" s="29"/>
      <c r="N221" s="29"/>
      <c r="O221" s="29"/>
      <c r="P221" s="29"/>
      <c r="Q221" s="29"/>
      <c r="R221" s="11"/>
    </row>
    <row r="222" spans="1:18" ht="15.75" customHeight="1">
      <c r="A222" s="28"/>
      <c r="B222" s="25"/>
      <c r="C222" s="26"/>
      <c r="D222" s="26"/>
      <c r="E222" s="26"/>
      <c r="F222" s="26"/>
      <c r="G222" s="26"/>
      <c r="H222" s="26"/>
      <c r="I222" s="26"/>
      <c r="J222" s="26"/>
      <c r="K222" s="26"/>
      <c r="L222" s="26"/>
      <c r="M222" s="29"/>
      <c r="N222" s="29"/>
      <c r="O222" s="29"/>
      <c r="P222" s="29"/>
      <c r="Q222" s="29"/>
      <c r="R222" s="11"/>
    </row>
    <row r="223" spans="1:18" ht="15.75" customHeight="1">
      <c r="A223" s="28"/>
      <c r="B223" s="25"/>
      <c r="C223" s="26"/>
      <c r="D223" s="26"/>
      <c r="E223" s="26"/>
      <c r="F223" s="26"/>
      <c r="G223" s="26"/>
      <c r="H223" s="26"/>
      <c r="I223" s="26"/>
      <c r="J223" s="26"/>
      <c r="K223" s="26"/>
      <c r="L223" s="26"/>
      <c r="M223" s="29"/>
      <c r="N223" s="29"/>
      <c r="O223" s="29"/>
      <c r="P223" s="29"/>
      <c r="Q223" s="29"/>
      <c r="R223" s="11"/>
    </row>
    <row r="224" spans="1:18" ht="15.75" customHeight="1">
      <c r="A224" s="28"/>
      <c r="B224" s="25"/>
      <c r="C224" s="26"/>
      <c r="D224" s="26"/>
      <c r="E224" s="26"/>
      <c r="F224" s="26"/>
      <c r="G224" s="26"/>
      <c r="H224" s="26"/>
      <c r="I224" s="26"/>
      <c r="J224" s="26"/>
      <c r="K224" s="26"/>
      <c r="L224" s="26"/>
      <c r="M224" s="29"/>
      <c r="N224" s="29"/>
      <c r="O224" s="29"/>
      <c r="P224" s="29"/>
      <c r="Q224" s="29"/>
      <c r="R224" s="11"/>
    </row>
    <row r="225" spans="1:18" ht="15.75" customHeight="1">
      <c r="A225" s="28"/>
      <c r="B225" s="25"/>
      <c r="C225" s="26"/>
      <c r="D225" s="26"/>
      <c r="E225" s="26"/>
      <c r="F225" s="26"/>
      <c r="G225" s="26"/>
      <c r="H225" s="26"/>
      <c r="I225" s="26"/>
      <c r="J225" s="26"/>
      <c r="K225" s="26"/>
      <c r="L225" s="26"/>
      <c r="M225" s="29"/>
      <c r="N225" s="29"/>
      <c r="O225" s="29"/>
      <c r="P225" s="29"/>
      <c r="Q225" s="29"/>
      <c r="R225" s="11"/>
    </row>
    <row r="226" spans="1:18" ht="15.75" customHeight="1">
      <c r="A226" s="28"/>
      <c r="B226" s="25"/>
      <c r="C226" s="26"/>
      <c r="D226" s="26"/>
      <c r="E226" s="26"/>
      <c r="F226" s="26"/>
      <c r="G226" s="26"/>
      <c r="H226" s="26"/>
      <c r="I226" s="26"/>
      <c r="J226" s="26"/>
      <c r="K226" s="26"/>
      <c r="L226" s="26"/>
      <c r="M226" s="29"/>
      <c r="N226" s="29"/>
      <c r="O226" s="29"/>
      <c r="P226" s="29"/>
      <c r="Q226" s="29"/>
      <c r="R226" s="11"/>
    </row>
    <row r="227" spans="1:18" ht="15.75" customHeight="1">
      <c r="A227" s="28"/>
      <c r="B227" s="25"/>
      <c r="C227" s="26"/>
      <c r="D227" s="26"/>
      <c r="E227" s="26"/>
      <c r="F227" s="26"/>
      <c r="G227" s="26"/>
      <c r="H227" s="26"/>
      <c r="I227" s="26"/>
      <c r="J227" s="26"/>
      <c r="K227" s="26"/>
      <c r="L227" s="26"/>
      <c r="M227" s="29"/>
      <c r="N227" s="29"/>
      <c r="O227" s="29"/>
      <c r="P227" s="29"/>
      <c r="Q227" s="29"/>
      <c r="R227" s="11"/>
    </row>
    <row r="228" spans="1:18" ht="15.75" customHeight="1">
      <c r="A228" s="28"/>
      <c r="B228" s="25"/>
      <c r="C228" s="26"/>
      <c r="D228" s="26"/>
      <c r="E228" s="26"/>
      <c r="F228" s="26"/>
      <c r="G228" s="26"/>
      <c r="H228" s="26"/>
      <c r="I228" s="26"/>
      <c r="J228" s="26"/>
      <c r="K228" s="26"/>
      <c r="L228" s="26"/>
      <c r="M228" s="29"/>
      <c r="N228" s="29"/>
      <c r="O228" s="29"/>
      <c r="P228" s="29"/>
      <c r="Q228" s="29"/>
      <c r="R228" s="11"/>
    </row>
    <row r="229" spans="1:18" ht="15.75" customHeight="1">
      <c r="A229" s="28"/>
      <c r="B229" s="25"/>
      <c r="C229" s="26"/>
      <c r="D229" s="26"/>
      <c r="E229" s="26"/>
      <c r="F229" s="26"/>
      <c r="G229" s="26"/>
      <c r="H229" s="26"/>
      <c r="I229" s="26"/>
      <c r="J229" s="26"/>
      <c r="K229" s="26"/>
      <c r="L229" s="26"/>
      <c r="M229" s="29"/>
      <c r="N229" s="29"/>
      <c r="O229" s="29"/>
      <c r="P229" s="29"/>
      <c r="Q229" s="29"/>
      <c r="R229" s="11"/>
    </row>
    <row r="230" spans="1:18" ht="15.75" customHeight="1">
      <c r="A230" s="28"/>
      <c r="B230" s="25"/>
      <c r="C230" s="26"/>
      <c r="D230" s="26"/>
      <c r="E230" s="26"/>
      <c r="F230" s="26"/>
      <c r="G230" s="26"/>
      <c r="H230" s="26"/>
      <c r="I230" s="26"/>
      <c r="J230" s="26"/>
      <c r="K230" s="26"/>
      <c r="L230" s="26"/>
      <c r="M230" s="29"/>
      <c r="N230" s="29"/>
      <c r="O230" s="29"/>
      <c r="P230" s="29"/>
      <c r="Q230" s="29"/>
      <c r="R230" s="11"/>
    </row>
    <row r="231" spans="1:18" ht="15.75" customHeight="1">
      <c r="A231" s="28"/>
      <c r="B231" s="25"/>
      <c r="C231" s="26"/>
      <c r="D231" s="26"/>
      <c r="E231" s="26"/>
      <c r="F231" s="26"/>
      <c r="G231" s="26"/>
      <c r="H231" s="26"/>
      <c r="I231" s="26"/>
      <c r="J231" s="26"/>
      <c r="K231" s="26"/>
      <c r="L231" s="26"/>
      <c r="M231" s="29"/>
      <c r="N231" s="29"/>
      <c r="O231" s="29"/>
      <c r="P231" s="29"/>
      <c r="Q231" s="29"/>
      <c r="R231" s="11"/>
    </row>
    <row r="232" spans="1:18" ht="15.75" customHeight="1">
      <c r="A232" s="28"/>
      <c r="B232" s="25"/>
      <c r="C232" s="26"/>
      <c r="D232" s="26"/>
      <c r="E232" s="26"/>
      <c r="F232" s="26"/>
      <c r="G232" s="26"/>
      <c r="H232" s="26"/>
      <c r="I232" s="26"/>
      <c r="J232" s="26"/>
      <c r="K232" s="26"/>
      <c r="L232" s="26"/>
      <c r="M232" s="29"/>
      <c r="N232" s="29"/>
      <c r="O232" s="29"/>
      <c r="P232" s="29"/>
      <c r="Q232" s="29"/>
      <c r="R232" s="11"/>
    </row>
    <row r="233" spans="1:18" ht="15.75" customHeight="1">
      <c r="A233" s="28"/>
      <c r="B233" s="25"/>
      <c r="C233" s="26"/>
      <c r="D233" s="26"/>
      <c r="E233" s="26"/>
      <c r="F233" s="26"/>
      <c r="G233" s="26"/>
      <c r="H233" s="26"/>
      <c r="I233" s="26"/>
      <c r="J233" s="26"/>
      <c r="K233" s="26"/>
      <c r="L233" s="26"/>
      <c r="M233" s="29"/>
      <c r="N233" s="29"/>
      <c r="O233" s="29"/>
      <c r="P233" s="29"/>
      <c r="Q233" s="29"/>
      <c r="R233" s="11"/>
    </row>
    <row r="234" spans="1:18" ht="15.75" customHeight="1">
      <c r="A234" s="28"/>
      <c r="B234" s="25"/>
      <c r="C234" s="26"/>
      <c r="D234" s="26"/>
      <c r="E234" s="26"/>
      <c r="F234" s="26"/>
      <c r="G234" s="26"/>
      <c r="H234" s="26"/>
      <c r="I234" s="26"/>
      <c r="J234" s="26"/>
      <c r="K234" s="26"/>
      <c r="L234" s="26"/>
      <c r="M234" s="29"/>
      <c r="N234" s="29"/>
      <c r="O234" s="29"/>
      <c r="P234" s="29"/>
      <c r="Q234" s="29"/>
      <c r="R234" s="11"/>
    </row>
    <row r="235" spans="1:18" ht="15.75" customHeight="1">
      <c r="A235" s="28"/>
      <c r="B235" s="25"/>
      <c r="C235" s="26"/>
      <c r="D235" s="26"/>
      <c r="E235" s="26"/>
      <c r="F235" s="26"/>
      <c r="G235" s="26"/>
      <c r="H235" s="26"/>
      <c r="I235" s="26"/>
      <c r="J235" s="26"/>
      <c r="K235" s="26"/>
      <c r="L235" s="26"/>
      <c r="M235" s="29"/>
      <c r="N235" s="29"/>
      <c r="O235" s="29"/>
      <c r="P235" s="29"/>
      <c r="Q235" s="29"/>
      <c r="R235" s="11"/>
    </row>
    <row r="236" spans="1:18" ht="15.75" customHeight="1">
      <c r="A236" s="28"/>
      <c r="B236" s="25"/>
      <c r="C236" s="26"/>
      <c r="D236" s="26"/>
      <c r="E236" s="26"/>
      <c r="F236" s="26"/>
      <c r="G236" s="26"/>
      <c r="H236" s="26"/>
      <c r="I236" s="26"/>
      <c r="J236" s="26"/>
      <c r="K236" s="26"/>
      <c r="L236" s="26"/>
      <c r="M236" s="29"/>
      <c r="N236" s="29"/>
      <c r="O236" s="29"/>
      <c r="P236" s="29"/>
      <c r="Q236" s="29"/>
      <c r="R236" s="11"/>
    </row>
    <row r="237" spans="1:18" ht="15.75" customHeight="1">
      <c r="A237" s="28"/>
      <c r="B237" s="25"/>
      <c r="C237" s="26"/>
      <c r="D237" s="26"/>
      <c r="E237" s="26"/>
      <c r="F237" s="26"/>
      <c r="G237" s="26"/>
      <c r="H237" s="26"/>
      <c r="I237" s="26"/>
      <c r="J237" s="26"/>
      <c r="K237" s="26"/>
      <c r="L237" s="26"/>
      <c r="M237" s="29"/>
      <c r="N237" s="29"/>
      <c r="O237" s="29"/>
      <c r="P237" s="29"/>
      <c r="Q237" s="29"/>
      <c r="R237" s="11"/>
    </row>
    <row r="238" spans="1:18" ht="15.75" customHeight="1">
      <c r="A238" s="28"/>
      <c r="B238" s="25"/>
      <c r="C238" s="26"/>
      <c r="D238" s="26"/>
      <c r="E238" s="26"/>
      <c r="F238" s="26"/>
      <c r="G238" s="26"/>
      <c r="H238" s="26"/>
      <c r="I238" s="26"/>
      <c r="J238" s="26"/>
      <c r="K238" s="26"/>
      <c r="L238" s="26"/>
      <c r="M238" s="29"/>
      <c r="N238" s="29"/>
      <c r="O238" s="29"/>
      <c r="P238" s="29"/>
      <c r="Q238" s="29"/>
      <c r="R238" s="11"/>
    </row>
    <row r="239" spans="1:18" ht="15.75" customHeight="1">
      <c r="A239" s="28"/>
      <c r="B239" s="25"/>
      <c r="C239" s="26"/>
      <c r="D239" s="26"/>
      <c r="E239" s="26"/>
      <c r="F239" s="26"/>
      <c r="G239" s="26"/>
      <c r="H239" s="26"/>
      <c r="I239" s="26"/>
      <c r="J239" s="26"/>
      <c r="K239" s="26"/>
      <c r="L239" s="26"/>
      <c r="M239" s="29"/>
      <c r="N239" s="29"/>
      <c r="O239" s="29"/>
      <c r="P239" s="29"/>
      <c r="Q239" s="29"/>
      <c r="R239" s="11"/>
    </row>
    <row r="240" spans="1:18" ht="15.75" customHeight="1">
      <c r="A240" s="28"/>
      <c r="B240" s="25"/>
      <c r="C240" s="26"/>
      <c r="D240" s="26"/>
      <c r="E240" s="26"/>
      <c r="F240" s="26"/>
      <c r="G240" s="26"/>
      <c r="H240" s="26"/>
      <c r="I240" s="26"/>
      <c r="J240" s="26"/>
      <c r="K240" s="26"/>
      <c r="L240" s="26"/>
      <c r="M240" s="29"/>
      <c r="N240" s="29"/>
      <c r="O240" s="29"/>
      <c r="P240" s="29"/>
      <c r="Q240" s="29"/>
      <c r="R240" s="11"/>
    </row>
    <row r="241" spans="1:18" ht="15.75" customHeight="1">
      <c r="A241" s="28"/>
      <c r="B241" s="25"/>
      <c r="C241" s="26"/>
      <c r="D241" s="26"/>
      <c r="E241" s="26"/>
      <c r="F241" s="26"/>
      <c r="G241" s="26"/>
      <c r="H241" s="26"/>
      <c r="I241" s="26"/>
      <c r="J241" s="26"/>
      <c r="K241" s="26"/>
      <c r="L241" s="26"/>
      <c r="M241" s="29"/>
      <c r="N241" s="29"/>
      <c r="O241" s="29"/>
      <c r="P241" s="29"/>
      <c r="Q241" s="29"/>
      <c r="R241" s="11"/>
    </row>
    <row r="242" spans="1:18" ht="15.75" customHeight="1">
      <c r="A242" s="28"/>
      <c r="B242" s="25"/>
      <c r="C242" s="26"/>
      <c r="D242" s="26"/>
      <c r="E242" s="26"/>
      <c r="F242" s="26"/>
      <c r="G242" s="26"/>
      <c r="H242" s="26"/>
      <c r="I242" s="26"/>
      <c r="J242" s="26"/>
      <c r="K242" s="26"/>
      <c r="L242" s="26"/>
      <c r="M242" s="29"/>
      <c r="N242" s="29"/>
      <c r="O242" s="29"/>
      <c r="P242" s="29"/>
      <c r="Q242" s="29"/>
      <c r="R242" s="11"/>
    </row>
    <row r="243" spans="1:18" ht="15.75" customHeight="1">
      <c r="A243" s="28"/>
      <c r="B243" s="25"/>
      <c r="C243" s="26"/>
      <c r="D243" s="26"/>
      <c r="E243" s="26"/>
      <c r="F243" s="26"/>
      <c r="G243" s="26"/>
      <c r="H243" s="26"/>
      <c r="I243" s="26"/>
      <c r="J243" s="26"/>
      <c r="K243" s="26"/>
      <c r="L243" s="26"/>
      <c r="M243" s="29"/>
      <c r="N243" s="29"/>
      <c r="O243" s="29"/>
      <c r="P243" s="29"/>
      <c r="Q243" s="29"/>
      <c r="R243" s="11"/>
    </row>
    <row r="244" spans="1:18" ht="15.75" customHeight="1">
      <c r="A244" s="28"/>
      <c r="B244" s="25"/>
      <c r="C244" s="26"/>
      <c r="D244" s="26"/>
      <c r="E244" s="26"/>
      <c r="F244" s="26"/>
      <c r="G244" s="26"/>
      <c r="H244" s="26"/>
      <c r="I244" s="26"/>
      <c r="J244" s="26"/>
      <c r="K244" s="26"/>
      <c r="L244" s="26"/>
      <c r="M244" s="29"/>
      <c r="N244" s="29"/>
      <c r="O244" s="29"/>
      <c r="P244" s="29"/>
      <c r="Q244" s="29"/>
      <c r="R244" s="11"/>
    </row>
    <row r="245" spans="1:18" ht="15.75" customHeight="1">
      <c r="A245" s="28"/>
      <c r="B245" s="25"/>
      <c r="C245" s="26"/>
      <c r="D245" s="26"/>
      <c r="E245" s="26"/>
      <c r="F245" s="26"/>
      <c r="G245" s="26"/>
      <c r="H245" s="26"/>
      <c r="I245" s="26"/>
      <c r="J245" s="26"/>
      <c r="K245" s="26"/>
      <c r="L245" s="26"/>
      <c r="M245" s="29"/>
      <c r="N245" s="29"/>
      <c r="O245" s="29"/>
      <c r="P245" s="29"/>
      <c r="Q245" s="29"/>
      <c r="R245" s="11"/>
    </row>
    <row r="246" spans="1:18" ht="15.75" customHeight="1">
      <c r="A246" s="28"/>
      <c r="B246" s="25"/>
      <c r="C246" s="26"/>
      <c r="D246" s="26"/>
      <c r="E246" s="26"/>
      <c r="F246" s="26"/>
      <c r="G246" s="26"/>
      <c r="H246" s="26"/>
      <c r="I246" s="26"/>
      <c r="J246" s="26"/>
      <c r="K246" s="26"/>
      <c r="L246" s="26"/>
      <c r="M246" s="29"/>
      <c r="N246" s="29"/>
      <c r="O246" s="29"/>
      <c r="P246" s="29"/>
      <c r="Q246" s="29"/>
      <c r="R246" s="11"/>
    </row>
    <row r="247" spans="1:18" ht="15.75" customHeight="1">
      <c r="A247" s="28"/>
      <c r="B247" s="25"/>
      <c r="C247" s="26"/>
      <c r="D247" s="26"/>
      <c r="E247" s="26"/>
      <c r="F247" s="26"/>
      <c r="G247" s="26"/>
      <c r="H247" s="26"/>
      <c r="I247" s="26"/>
      <c r="J247" s="26"/>
      <c r="K247" s="26"/>
      <c r="L247" s="26"/>
      <c r="M247" s="29"/>
      <c r="N247" s="29"/>
      <c r="O247" s="29"/>
      <c r="P247" s="29"/>
      <c r="Q247" s="29"/>
      <c r="R247" s="11"/>
    </row>
    <row r="248" spans="1:18" ht="15.75" customHeight="1">
      <c r="A248" s="28"/>
      <c r="B248" s="25"/>
      <c r="C248" s="26"/>
      <c r="D248" s="26"/>
      <c r="E248" s="26"/>
      <c r="F248" s="26"/>
      <c r="G248" s="26"/>
      <c r="H248" s="26"/>
      <c r="I248" s="26"/>
      <c r="J248" s="26"/>
      <c r="K248" s="26"/>
      <c r="L248" s="26"/>
      <c r="M248" s="29"/>
      <c r="N248" s="29"/>
      <c r="O248" s="29"/>
      <c r="P248" s="29"/>
      <c r="Q248" s="29"/>
      <c r="R248" s="11"/>
    </row>
    <row r="249" spans="1:18" ht="15.75" customHeight="1">
      <c r="A249" s="28"/>
      <c r="B249" s="25"/>
      <c r="C249" s="26"/>
      <c r="D249" s="26"/>
      <c r="E249" s="26"/>
      <c r="F249" s="26"/>
      <c r="G249" s="26"/>
      <c r="H249" s="26"/>
      <c r="I249" s="26"/>
      <c r="J249" s="26"/>
      <c r="K249" s="26"/>
      <c r="L249" s="26"/>
      <c r="M249" s="29"/>
      <c r="N249" s="29"/>
      <c r="O249" s="29"/>
      <c r="P249" s="29"/>
      <c r="Q249" s="29"/>
      <c r="R249" s="11"/>
    </row>
    <row r="250" spans="1:18" ht="15.75" customHeight="1">
      <c r="A250" s="28"/>
      <c r="B250" s="25"/>
      <c r="C250" s="26"/>
      <c r="D250" s="26"/>
      <c r="E250" s="26"/>
      <c r="F250" s="26"/>
      <c r="G250" s="26"/>
      <c r="H250" s="26"/>
      <c r="I250" s="26"/>
      <c r="J250" s="26"/>
      <c r="K250" s="26"/>
      <c r="L250" s="26"/>
      <c r="M250" s="29"/>
      <c r="N250" s="29"/>
      <c r="O250" s="29"/>
      <c r="P250" s="29"/>
      <c r="Q250" s="29"/>
      <c r="R250" s="11"/>
    </row>
    <row r="251" spans="1:18" ht="15.75" customHeight="1">
      <c r="A251" s="28"/>
      <c r="B251" s="25"/>
      <c r="C251" s="26"/>
      <c r="D251" s="26"/>
      <c r="E251" s="26"/>
      <c r="F251" s="26"/>
      <c r="G251" s="26"/>
      <c r="H251" s="26"/>
      <c r="I251" s="26"/>
      <c r="J251" s="26"/>
      <c r="K251" s="26"/>
      <c r="L251" s="26"/>
      <c r="M251" s="29"/>
      <c r="N251" s="29"/>
      <c r="O251" s="29"/>
      <c r="P251" s="29"/>
      <c r="Q251" s="29"/>
      <c r="R251" s="11"/>
    </row>
    <row r="252" spans="1:18" ht="15.75" customHeight="1">
      <c r="A252" s="28"/>
      <c r="B252" s="25"/>
      <c r="C252" s="26"/>
      <c r="D252" s="26"/>
      <c r="E252" s="26"/>
      <c r="F252" s="26"/>
      <c r="G252" s="26"/>
      <c r="H252" s="26"/>
      <c r="I252" s="26"/>
      <c r="J252" s="26"/>
      <c r="K252" s="26"/>
      <c r="L252" s="26"/>
      <c r="M252" s="29"/>
      <c r="N252" s="29"/>
      <c r="O252" s="29"/>
      <c r="P252" s="29"/>
      <c r="Q252" s="29"/>
      <c r="R252" s="11"/>
    </row>
    <row r="253" spans="1:18" ht="15.75" customHeight="1">
      <c r="A253" s="28"/>
      <c r="B253" s="25"/>
      <c r="C253" s="26"/>
      <c r="D253" s="26"/>
      <c r="E253" s="26"/>
      <c r="F253" s="26"/>
      <c r="G253" s="26"/>
      <c r="H253" s="26"/>
      <c r="I253" s="26"/>
      <c r="J253" s="26"/>
      <c r="K253" s="26"/>
      <c r="L253" s="26"/>
      <c r="M253" s="29"/>
      <c r="N253" s="29"/>
      <c r="O253" s="29"/>
      <c r="P253" s="29"/>
      <c r="Q253" s="29"/>
      <c r="R253" s="11"/>
    </row>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1"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999"/>
  <sheetViews>
    <sheetView workbookViewId="0">
      <pane ySplit="1" topLeftCell="A26" activePane="bottomLeft" state="frozen"/>
      <selection pane="bottomLeft" activeCell="A49" sqref="A49:XFD49"/>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36" width="8.7109375" customWidth="1"/>
  </cols>
  <sheetData>
    <row r="1" spans="1:18" ht="15.75" customHeight="1">
      <c r="A1" s="45" t="s">
        <v>377</v>
      </c>
      <c r="B1" s="4" t="s">
        <v>4</v>
      </c>
      <c r="C1" s="5" t="s">
        <v>0</v>
      </c>
      <c r="D1" s="6" t="s">
        <v>1</v>
      </c>
      <c r="E1" s="6" t="s">
        <v>2</v>
      </c>
      <c r="F1" s="6" t="s">
        <v>5</v>
      </c>
      <c r="G1" s="66" t="s">
        <v>3</v>
      </c>
      <c r="H1" s="7" t="s">
        <v>6</v>
      </c>
      <c r="I1" s="7" t="s">
        <v>7</v>
      </c>
      <c r="J1" s="7" t="s">
        <v>8</v>
      </c>
      <c r="K1" s="7" t="s">
        <v>9</v>
      </c>
      <c r="L1" s="7" t="s">
        <v>10</v>
      </c>
      <c r="M1" s="8" t="s">
        <v>11</v>
      </c>
      <c r="N1" s="9" t="s">
        <v>12</v>
      </c>
      <c r="O1" s="9" t="s">
        <v>13</v>
      </c>
      <c r="P1" s="9" t="s">
        <v>14</v>
      </c>
      <c r="Q1" s="9" t="s">
        <v>15</v>
      </c>
      <c r="R1" s="2"/>
    </row>
    <row r="2" spans="1:18" ht="15.75" customHeight="1">
      <c r="A2" s="46" t="s">
        <v>378</v>
      </c>
      <c r="B2" s="47" t="s">
        <v>162</v>
      </c>
      <c r="C2" s="67" t="s">
        <v>17</v>
      </c>
      <c r="D2" s="67" t="s">
        <v>17</v>
      </c>
      <c r="E2" s="48" t="s">
        <v>20</v>
      </c>
      <c r="F2" s="48" t="s">
        <v>17</v>
      </c>
      <c r="G2" s="67" t="s">
        <v>17</v>
      </c>
      <c r="H2" s="48"/>
      <c r="I2" s="48"/>
      <c r="J2" s="48"/>
      <c r="K2" s="48"/>
      <c r="L2" s="48"/>
      <c r="M2" s="48">
        <f t="shared" ref="M2:Q2" si="0">IF(TRIM(SUBSTITUTE(C2, "　", " "))=TRIM(SUBSTITUTE($B2, "　", " ")), 2, 0)</f>
        <v>2</v>
      </c>
      <c r="N2" s="48">
        <f t="shared" si="0"/>
        <v>2</v>
      </c>
      <c r="O2" s="48">
        <f t="shared" si="0"/>
        <v>0</v>
      </c>
      <c r="P2" s="48">
        <f t="shared" si="0"/>
        <v>2</v>
      </c>
      <c r="Q2" s="48">
        <f t="shared" si="0"/>
        <v>2</v>
      </c>
      <c r="R2" s="2"/>
    </row>
    <row r="3" spans="1:18" ht="15.75" customHeight="1">
      <c r="A3" s="46" t="s">
        <v>379</v>
      </c>
      <c r="B3" s="47" t="s">
        <v>150</v>
      </c>
      <c r="C3" s="67" t="s">
        <v>18</v>
      </c>
      <c r="D3" s="67" t="s">
        <v>18</v>
      </c>
      <c r="E3" s="48" t="s">
        <v>18</v>
      </c>
      <c r="F3" s="48" t="s">
        <v>18</v>
      </c>
      <c r="G3" s="67" t="s">
        <v>18</v>
      </c>
      <c r="H3" s="48"/>
      <c r="I3" s="48"/>
      <c r="J3" s="48"/>
      <c r="K3" s="48"/>
      <c r="L3" s="48"/>
      <c r="M3" s="48">
        <f t="shared" ref="M3:Q3" si="1">IF(TRIM(SUBSTITUTE(C3, "　", " "))=TRIM(SUBSTITUTE($B3, "　", " ")), 2, 0)</f>
        <v>2</v>
      </c>
      <c r="N3" s="48">
        <f t="shared" si="1"/>
        <v>2</v>
      </c>
      <c r="O3" s="48">
        <f t="shared" si="1"/>
        <v>2</v>
      </c>
      <c r="P3" s="48">
        <f t="shared" si="1"/>
        <v>2</v>
      </c>
      <c r="Q3" s="48">
        <f t="shared" si="1"/>
        <v>2</v>
      </c>
      <c r="R3" s="11"/>
    </row>
    <row r="4" spans="1:18" ht="15.75" customHeight="1">
      <c r="A4" s="46" t="s">
        <v>380</v>
      </c>
      <c r="B4" s="47" t="s">
        <v>162</v>
      </c>
      <c r="C4" s="67" t="s">
        <v>23</v>
      </c>
      <c r="D4" s="67" t="s">
        <v>23</v>
      </c>
      <c r="E4" s="48" t="s">
        <v>23</v>
      </c>
      <c r="F4" s="48" t="s">
        <v>17</v>
      </c>
      <c r="G4" s="67" t="s">
        <v>17</v>
      </c>
      <c r="H4" s="48"/>
      <c r="I4" s="48"/>
      <c r="J4" s="48"/>
      <c r="K4" s="48"/>
      <c r="L4" s="48"/>
      <c r="M4" s="48">
        <f t="shared" ref="M4:Q4" si="2">IF(TRIM(SUBSTITUTE(C4, "　", " "))=TRIM(SUBSTITUTE($B4, "　", " ")), 2, 0)</f>
        <v>0</v>
      </c>
      <c r="N4" s="48">
        <f t="shared" si="2"/>
        <v>0</v>
      </c>
      <c r="O4" s="48">
        <f t="shared" si="2"/>
        <v>0</v>
      </c>
      <c r="P4" s="48">
        <f t="shared" si="2"/>
        <v>2</v>
      </c>
      <c r="Q4" s="48">
        <f t="shared" si="2"/>
        <v>2</v>
      </c>
      <c r="R4" s="11"/>
    </row>
    <row r="5" spans="1:18" ht="15.75" customHeight="1">
      <c r="A5" s="46" t="s">
        <v>381</v>
      </c>
      <c r="B5" s="47" t="s">
        <v>148</v>
      </c>
      <c r="C5" s="67" t="s">
        <v>23</v>
      </c>
      <c r="D5" s="67" t="s">
        <v>23</v>
      </c>
      <c r="E5" s="48" t="s">
        <v>23</v>
      </c>
      <c r="F5" s="48" t="s">
        <v>23</v>
      </c>
      <c r="G5" s="67" t="s">
        <v>23</v>
      </c>
      <c r="H5" s="48"/>
      <c r="I5" s="48"/>
      <c r="J5" s="48"/>
      <c r="K5" s="48"/>
      <c r="L5" s="48"/>
      <c r="M5" s="48">
        <f t="shared" ref="M5:Q5" si="3">IF(TRIM(SUBSTITUTE(C5, "　", " "))=TRIM(SUBSTITUTE($B5, "　", " ")), 2, 0)</f>
        <v>2</v>
      </c>
      <c r="N5" s="48">
        <f t="shared" si="3"/>
        <v>2</v>
      </c>
      <c r="O5" s="48">
        <f t="shared" si="3"/>
        <v>2</v>
      </c>
      <c r="P5" s="48">
        <f t="shared" si="3"/>
        <v>2</v>
      </c>
      <c r="Q5" s="48">
        <f t="shared" si="3"/>
        <v>2</v>
      </c>
      <c r="R5" s="2"/>
    </row>
    <row r="6" spans="1:18" ht="15.75" customHeight="1">
      <c r="A6" s="46" t="s">
        <v>382</v>
      </c>
      <c r="B6" s="47" t="s">
        <v>162</v>
      </c>
      <c r="C6" s="67" t="s">
        <v>17</v>
      </c>
      <c r="D6" s="67" t="s">
        <v>17</v>
      </c>
      <c r="E6" s="48" t="s">
        <v>17</v>
      </c>
      <c r="F6" s="48" t="s">
        <v>17</v>
      </c>
      <c r="G6" s="67" t="s">
        <v>17</v>
      </c>
      <c r="H6" s="48"/>
      <c r="I6" s="48"/>
      <c r="J6" s="48"/>
      <c r="K6" s="48"/>
      <c r="L6" s="48"/>
      <c r="M6" s="48">
        <f t="shared" ref="M6:Q6" si="4">IF(TRIM(SUBSTITUTE(C6, "　", " "))=TRIM(SUBSTITUTE($B6, "　", " ")), 2, 0)</f>
        <v>2</v>
      </c>
      <c r="N6" s="48">
        <f t="shared" si="4"/>
        <v>2</v>
      </c>
      <c r="O6" s="48">
        <f t="shared" si="4"/>
        <v>2</v>
      </c>
      <c r="P6" s="48">
        <f t="shared" si="4"/>
        <v>2</v>
      </c>
      <c r="Q6" s="48">
        <f t="shared" si="4"/>
        <v>2</v>
      </c>
      <c r="R6" s="2"/>
    </row>
    <row r="7" spans="1:18" ht="15.75" customHeight="1">
      <c r="A7" s="46" t="s">
        <v>383</v>
      </c>
      <c r="B7" s="47" t="s">
        <v>150</v>
      </c>
      <c r="C7" s="67" t="s">
        <v>17</v>
      </c>
      <c r="D7" s="67" t="s">
        <v>17</v>
      </c>
      <c r="E7" s="48" t="s">
        <v>20</v>
      </c>
      <c r="F7" s="48" t="s">
        <v>18</v>
      </c>
      <c r="G7" s="67" t="s">
        <v>18</v>
      </c>
      <c r="H7" s="48"/>
      <c r="I7" s="48"/>
      <c r="J7" s="48"/>
      <c r="K7" s="48"/>
      <c r="L7" s="48"/>
      <c r="M7" s="48">
        <f t="shared" ref="M7:Q7" si="5">IF(TRIM(SUBSTITUTE(C7, "　", " "))=TRIM(SUBSTITUTE($B7, "　", " ")), 2, 0)</f>
        <v>0</v>
      </c>
      <c r="N7" s="48">
        <f t="shared" si="5"/>
        <v>0</v>
      </c>
      <c r="O7" s="48">
        <f t="shared" si="5"/>
        <v>0</v>
      </c>
      <c r="P7" s="48">
        <f t="shared" si="5"/>
        <v>2</v>
      </c>
      <c r="Q7" s="48">
        <f t="shared" si="5"/>
        <v>2</v>
      </c>
      <c r="R7" s="2"/>
    </row>
    <row r="8" spans="1:18" ht="15.75" customHeight="1">
      <c r="A8" s="46" t="s">
        <v>384</v>
      </c>
      <c r="B8" s="47" t="s">
        <v>150</v>
      </c>
      <c r="C8" s="67" t="s">
        <v>18</v>
      </c>
      <c r="D8" s="67" t="s">
        <v>18</v>
      </c>
      <c r="E8" s="48" t="s">
        <v>20</v>
      </c>
      <c r="F8" s="48" t="s">
        <v>18</v>
      </c>
      <c r="G8" s="67" t="s">
        <v>18</v>
      </c>
      <c r="H8" s="48"/>
      <c r="I8" s="48"/>
      <c r="J8" s="48"/>
      <c r="K8" s="48"/>
      <c r="L8" s="48"/>
      <c r="M8" s="48">
        <f t="shared" ref="M8:Q8" si="6">IF(TRIM(SUBSTITUTE(C8, "　", " "))=TRIM(SUBSTITUTE($B8, "　", " ")), 2, 0)</f>
        <v>2</v>
      </c>
      <c r="N8" s="48">
        <f t="shared" si="6"/>
        <v>2</v>
      </c>
      <c r="O8" s="48">
        <f t="shared" si="6"/>
        <v>0</v>
      </c>
      <c r="P8" s="48">
        <f t="shared" si="6"/>
        <v>2</v>
      </c>
      <c r="Q8" s="48">
        <f t="shared" si="6"/>
        <v>2</v>
      </c>
      <c r="R8" s="2"/>
    </row>
    <row r="9" spans="1:18" ht="15.75" customHeight="1">
      <c r="A9" s="46" t="s">
        <v>385</v>
      </c>
      <c r="B9" s="47" t="s">
        <v>150</v>
      </c>
      <c r="C9" s="67" t="s">
        <v>18</v>
      </c>
      <c r="D9" s="67" t="s">
        <v>18</v>
      </c>
      <c r="E9" s="48" t="s">
        <v>18</v>
      </c>
      <c r="F9" s="48" t="s">
        <v>18</v>
      </c>
      <c r="G9" s="67" t="s">
        <v>18</v>
      </c>
      <c r="H9" s="48"/>
      <c r="I9" s="48"/>
      <c r="J9" s="48"/>
      <c r="K9" s="48"/>
      <c r="L9" s="48"/>
      <c r="M9" s="48">
        <f t="shared" ref="M9:Q9" si="7">IF(TRIM(SUBSTITUTE(C9, "　", " "))=TRIM(SUBSTITUTE($B9, "　", " ")), 2, 0)</f>
        <v>2</v>
      </c>
      <c r="N9" s="48">
        <f t="shared" si="7"/>
        <v>2</v>
      </c>
      <c r="O9" s="48">
        <f t="shared" si="7"/>
        <v>2</v>
      </c>
      <c r="P9" s="48">
        <f t="shared" si="7"/>
        <v>2</v>
      </c>
      <c r="Q9" s="48">
        <f t="shared" si="7"/>
        <v>2</v>
      </c>
      <c r="R9" s="2"/>
    </row>
    <row r="10" spans="1:18" ht="15.75" customHeight="1">
      <c r="A10" s="49" t="s">
        <v>386</v>
      </c>
      <c r="B10" s="47"/>
      <c r="C10" s="67"/>
      <c r="D10" s="67"/>
      <c r="E10" s="47"/>
      <c r="F10" s="47"/>
      <c r="G10" s="47"/>
      <c r="H10" s="47"/>
      <c r="I10" s="47"/>
      <c r="J10" s="47"/>
      <c r="K10" s="47"/>
      <c r="L10" s="47"/>
      <c r="M10" s="48"/>
      <c r="N10" s="48"/>
      <c r="O10" s="48"/>
      <c r="P10" s="48"/>
      <c r="Q10" s="48"/>
      <c r="R10" s="2"/>
    </row>
    <row r="11" spans="1:18" ht="15.75" customHeight="1">
      <c r="A11" s="46" t="s">
        <v>387</v>
      </c>
      <c r="B11" s="47" t="s">
        <v>148</v>
      </c>
      <c r="C11" s="67" t="s">
        <v>23</v>
      </c>
      <c r="D11" s="67" t="s">
        <v>23</v>
      </c>
      <c r="E11" s="47" t="s">
        <v>23</v>
      </c>
      <c r="F11" s="47" t="s">
        <v>23</v>
      </c>
      <c r="G11" s="47" t="s">
        <v>23</v>
      </c>
      <c r="H11" s="47"/>
      <c r="I11" s="47"/>
      <c r="J11" s="47"/>
      <c r="K11" s="47"/>
      <c r="L11" s="47"/>
      <c r="M11" s="48">
        <f t="shared" ref="M11:Q11" si="8">IF(TRIM(SUBSTITUTE(C11, "　", " "))=TRIM(SUBSTITUTE($B11, "　", " ")), 2, 0)</f>
        <v>2</v>
      </c>
      <c r="N11" s="48">
        <f t="shared" si="8"/>
        <v>2</v>
      </c>
      <c r="O11" s="48">
        <f t="shared" si="8"/>
        <v>2</v>
      </c>
      <c r="P11" s="48">
        <f t="shared" si="8"/>
        <v>2</v>
      </c>
      <c r="Q11" s="48">
        <f t="shared" si="8"/>
        <v>2</v>
      </c>
      <c r="R11" s="2"/>
    </row>
    <row r="12" spans="1:18" ht="15.75" customHeight="1">
      <c r="A12" s="46" t="s">
        <v>388</v>
      </c>
      <c r="B12" s="47" t="s">
        <v>150</v>
      </c>
      <c r="C12" s="67" t="s">
        <v>17</v>
      </c>
      <c r="D12" s="67" t="s">
        <v>20</v>
      </c>
      <c r="E12" s="47" t="s">
        <v>20</v>
      </c>
      <c r="F12" s="47" t="s">
        <v>18</v>
      </c>
      <c r="G12" s="47" t="s">
        <v>18</v>
      </c>
      <c r="H12" s="47"/>
      <c r="I12" s="47"/>
      <c r="J12" s="47"/>
      <c r="K12" s="47"/>
      <c r="L12" s="47"/>
      <c r="M12" s="48">
        <f t="shared" ref="M12:Q12" si="9">IF(TRIM(SUBSTITUTE(C12, "　", " "))=TRIM(SUBSTITUTE($B12, "　", " ")), 2, 0)</f>
        <v>0</v>
      </c>
      <c r="N12" s="48">
        <f t="shared" si="9"/>
        <v>0</v>
      </c>
      <c r="O12" s="48">
        <f t="shared" si="9"/>
        <v>0</v>
      </c>
      <c r="P12" s="48">
        <f t="shared" si="9"/>
        <v>2</v>
      </c>
      <c r="Q12" s="48">
        <f t="shared" si="9"/>
        <v>2</v>
      </c>
      <c r="R12" s="2"/>
    </row>
    <row r="13" spans="1:18" ht="15.75" customHeight="1">
      <c r="A13" s="46" t="s">
        <v>389</v>
      </c>
      <c r="B13" s="47" t="s">
        <v>150</v>
      </c>
      <c r="C13" s="67" t="s">
        <v>18</v>
      </c>
      <c r="D13" s="67" t="s">
        <v>17</v>
      </c>
      <c r="E13" s="48" t="s">
        <v>23</v>
      </c>
      <c r="F13" s="48" t="s">
        <v>17</v>
      </c>
      <c r="G13" s="67" t="s">
        <v>17</v>
      </c>
      <c r="H13" s="48"/>
      <c r="I13" s="48"/>
      <c r="J13" s="48"/>
      <c r="K13" s="48"/>
      <c r="L13" s="48"/>
      <c r="M13" s="48">
        <f t="shared" ref="M13:Q13" si="10">IF(TRIM(SUBSTITUTE(C13, "　", " "))=TRIM(SUBSTITUTE($B13, "　", " ")), 2, 0)</f>
        <v>2</v>
      </c>
      <c r="N13" s="48">
        <f t="shared" si="10"/>
        <v>0</v>
      </c>
      <c r="O13" s="48">
        <f t="shared" si="10"/>
        <v>0</v>
      </c>
      <c r="P13" s="48">
        <f t="shared" si="10"/>
        <v>0</v>
      </c>
      <c r="Q13" s="48">
        <f t="shared" si="10"/>
        <v>0</v>
      </c>
      <c r="R13" s="2"/>
    </row>
    <row r="14" spans="1:18" ht="15.75" customHeight="1">
      <c r="A14" s="49" t="s">
        <v>390</v>
      </c>
      <c r="B14" s="47"/>
      <c r="C14" s="67"/>
      <c r="D14" s="67"/>
      <c r="E14" s="48"/>
      <c r="F14" s="48"/>
      <c r="G14" s="67"/>
      <c r="H14" s="48"/>
      <c r="I14" s="48"/>
      <c r="J14" s="48"/>
      <c r="K14" s="48"/>
      <c r="L14" s="48"/>
      <c r="M14" s="48"/>
      <c r="N14" s="48"/>
      <c r="O14" s="48"/>
      <c r="P14" s="48"/>
      <c r="Q14" s="48"/>
      <c r="R14" s="2"/>
    </row>
    <row r="15" spans="1:18" ht="15.75" customHeight="1">
      <c r="A15" s="46" t="s">
        <v>391</v>
      </c>
      <c r="B15" s="47" t="s">
        <v>162</v>
      </c>
      <c r="C15" s="67" t="s">
        <v>18</v>
      </c>
      <c r="D15" s="67" t="s">
        <v>17</v>
      </c>
      <c r="E15" s="48" t="s">
        <v>18</v>
      </c>
      <c r="F15" s="48" t="s">
        <v>18</v>
      </c>
      <c r="G15" s="67" t="s">
        <v>17</v>
      </c>
      <c r="H15" s="48"/>
      <c r="I15" s="48"/>
      <c r="J15" s="48"/>
      <c r="K15" s="48"/>
      <c r="L15" s="48"/>
      <c r="M15" s="48">
        <f t="shared" ref="M15:Q15" si="11">IF(TRIM(SUBSTITUTE(C15, "　", " "))=TRIM(SUBSTITUTE($B15, "　", " ")), 2, 0)</f>
        <v>0</v>
      </c>
      <c r="N15" s="48">
        <f t="shared" si="11"/>
        <v>2</v>
      </c>
      <c r="O15" s="48">
        <f t="shared" si="11"/>
        <v>0</v>
      </c>
      <c r="P15" s="48">
        <f t="shared" si="11"/>
        <v>0</v>
      </c>
      <c r="Q15" s="48">
        <f t="shared" si="11"/>
        <v>2</v>
      </c>
      <c r="R15" s="2"/>
    </row>
    <row r="16" spans="1:18" ht="15.75" customHeight="1">
      <c r="A16" s="46" t="s">
        <v>392</v>
      </c>
      <c r="B16" s="47" t="s">
        <v>148</v>
      </c>
      <c r="C16" s="67" t="s">
        <v>23</v>
      </c>
      <c r="D16" s="67" t="s">
        <v>23</v>
      </c>
      <c r="E16" s="48" t="s">
        <v>23</v>
      </c>
      <c r="F16" s="48" t="s">
        <v>23</v>
      </c>
      <c r="G16" s="67" t="s">
        <v>23</v>
      </c>
      <c r="H16" s="48"/>
      <c r="I16" s="48"/>
      <c r="J16" s="48"/>
      <c r="K16" s="48"/>
      <c r="L16" s="48"/>
      <c r="M16" s="48">
        <f t="shared" ref="M16:O16" si="12">IF(C16=$B16,2,0)</f>
        <v>0</v>
      </c>
      <c r="N16" s="48">
        <f t="shared" si="12"/>
        <v>0</v>
      </c>
      <c r="O16" s="48">
        <f t="shared" si="12"/>
        <v>0</v>
      </c>
      <c r="P16" s="48">
        <f t="shared" ref="P16:Q16" si="13">IF(TRIM(SUBSTITUTE(F16, "　", " "))=TRIM(SUBSTITUTE($B16, "　", " ")), 2, 0)</f>
        <v>2</v>
      </c>
      <c r="Q16" s="48">
        <f t="shared" si="13"/>
        <v>2</v>
      </c>
      <c r="R16" s="2"/>
    </row>
    <row r="17" spans="1:18" ht="15.75" customHeight="1">
      <c r="A17" s="49" t="s">
        <v>393</v>
      </c>
      <c r="B17" s="47"/>
      <c r="C17" s="67"/>
      <c r="D17" s="67"/>
      <c r="E17" s="48"/>
      <c r="F17" s="48"/>
      <c r="G17" s="67"/>
      <c r="H17" s="50"/>
      <c r="I17" s="50"/>
      <c r="J17" s="50"/>
      <c r="K17" s="50"/>
      <c r="L17" s="50"/>
      <c r="M17" s="48"/>
      <c r="N17" s="48"/>
      <c r="O17" s="48"/>
      <c r="P17" s="48"/>
      <c r="Q17" s="48"/>
      <c r="R17" s="2"/>
    </row>
    <row r="18" spans="1:18" ht="15.75" customHeight="1">
      <c r="A18" s="46" t="s">
        <v>394</v>
      </c>
      <c r="B18" s="47" t="s">
        <v>162</v>
      </c>
      <c r="C18" s="68" t="s">
        <v>20</v>
      </c>
      <c r="D18" s="68" t="s">
        <v>17</v>
      </c>
      <c r="E18" s="50" t="s">
        <v>20</v>
      </c>
      <c r="F18" s="50" t="s">
        <v>17</v>
      </c>
      <c r="G18" s="68" t="s">
        <v>17</v>
      </c>
      <c r="H18" s="50"/>
      <c r="I18" s="50"/>
      <c r="J18" s="50"/>
      <c r="K18" s="50"/>
      <c r="L18" s="50"/>
      <c r="M18" s="48">
        <f t="shared" ref="M18:Q18" si="14">IF(TRIM(SUBSTITUTE(C18, "　", " "))=TRIM(SUBSTITUTE($B18, "　", " ")), 2, 0)</f>
        <v>0</v>
      </c>
      <c r="N18" s="48">
        <f t="shared" si="14"/>
        <v>2</v>
      </c>
      <c r="O18" s="48">
        <f t="shared" si="14"/>
        <v>0</v>
      </c>
      <c r="P18" s="48">
        <f t="shared" si="14"/>
        <v>2</v>
      </c>
      <c r="Q18" s="48">
        <f t="shared" si="14"/>
        <v>2</v>
      </c>
      <c r="R18" s="2"/>
    </row>
    <row r="19" spans="1:18" ht="15.75" customHeight="1">
      <c r="A19" s="46" t="s">
        <v>395</v>
      </c>
      <c r="B19" s="47" t="s">
        <v>155</v>
      </c>
      <c r="C19" s="68" t="s">
        <v>23</v>
      </c>
      <c r="D19" s="68" t="s">
        <v>20</v>
      </c>
      <c r="E19" s="50" t="s">
        <v>20</v>
      </c>
      <c r="F19" s="50" t="s">
        <v>20</v>
      </c>
      <c r="G19" s="68" t="s">
        <v>20</v>
      </c>
      <c r="H19" s="50"/>
      <c r="I19" s="50"/>
      <c r="J19" s="50"/>
      <c r="K19" s="50"/>
      <c r="L19" s="50"/>
      <c r="M19" s="48">
        <f t="shared" ref="M19:Q19" si="15">IF(TRIM(SUBSTITUTE(C19, "　", " "))=TRIM(SUBSTITUTE($B19, "　", " ")), 2, 0)</f>
        <v>0</v>
      </c>
      <c r="N19" s="48">
        <f t="shared" si="15"/>
        <v>2</v>
      </c>
      <c r="O19" s="48">
        <f t="shared" si="15"/>
        <v>2</v>
      </c>
      <c r="P19" s="48">
        <f t="shared" si="15"/>
        <v>2</v>
      </c>
      <c r="Q19" s="48">
        <f t="shared" si="15"/>
        <v>2</v>
      </c>
      <c r="R19" s="2"/>
    </row>
    <row r="20" spans="1:18" ht="15.75" customHeight="1">
      <c r="A20" s="46" t="s">
        <v>396</v>
      </c>
      <c r="B20" s="47" t="s">
        <v>148</v>
      </c>
      <c r="C20" s="68" t="s">
        <v>20</v>
      </c>
      <c r="D20" s="68" t="s">
        <v>23</v>
      </c>
      <c r="E20" s="50" t="s">
        <v>23</v>
      </c>
      <c r="F20" s="50" t="s">
        <v>23</v>
      </c>
      <c r="G20" s="68" t="s">
        <v>23</v>
      </c>
      <c r="H20" s="50"/>
      <c r="I20" s="50"/>
      <c r="J20" s="50"/>
      <c r="K20" s="50"/>
      <c r="L20" s="50"/>
      <c r="M20" s="48">
        <f t="shared" ref="M20:Q20" si="16">IF(TRIM(SUBSTITUTE(C20, "　", " "))=TRIM(SUBSTITUTE($B20, "　", " ")), 2, 0)</f>
        <v>0</v>
      </c>
      <c r="N20" s="48">
        <f t="shared" si="16"/>
        <v>2</v>
      </c>
      <c r="O20" s="48">
        <f t="shared" si="16"/>
        <v>2</v>
      </c>
      <c r="P20" s="48">
        <f t="shared" si="16"/>
        <v>2</v>
      </c>
      <c r="Q20" s="48">
        <f t="shared" si="16"/>
        <v>2</v>
      </c>
      <c r="R20" s="2"/>
    </row>
    <row r="21" spans="1:18" ht="15.75" customHeight="1">
      <c r="A21" s="46" t="s">
        <v>397</v>
      </c>
      <c r="B21" s="47" t="s">
        <v>150</v>
      </c>
      <c r="C21" s="68" t="s">
        <v>18</v>
      </c>
      <c r="D21" s="68" t="s">
        <v>18</v>
      </c>
      <c r="E21" s="50" t="s">
        <v>18</v>
      </c>
      <c r="F21" s="50" t="s">
        <v>18</v>
      </c>
      <c r="G21" s="68" t="s">
        <v>18</v>
      </c>
      <c r="H21" s="50"/>
      <c r="I21" s="50"/>
      <c r="J21" s="50"/>
      <c r="K21" s="50"/>
      <c r="L21" s="50"/>
      <c r="M21" s="48">
        <f t="shared" ref="M21:Q21" si="17">IF(TRIM(SUBSTITUTE(C21, "　", " "))=TRIM(SUBSTITUTE($B21, "　", " ")), 2, 0)</f>
        <v>2</v>
      </c>
      <c r="N21" s="48">
        <f t="shared" si="17"/>
        <v>2</v>
      </c>
      <c r="O21" s="48">
        <f t="shared" si="17"/>
        <v>2</v>
      </c>
      <c r="P21" s="48">
        <f t="shared" si="17"/>
        <v>2</v>
      </c>
      <c r="Q21" s="48">
        <f t="shared" si="17"/>
        <v>2</v>
      </c>
      <c r="R21" s="2"/>
    </row>
    <row r="22" spans="1:18" ht="15.75" customHeight="1">
      <c r="A22" s="49" t="s">
        <v>398</v>
      </c>
      <c r="B22" s="47"/>
      <c r="C22" s="68"/>
      <c r="D22" s="68"/>
      <c r="E22" s="50"/>
      <c r="F22" s="50"/>
      <c r="G22" s="68"/>
      <c r="H22" s="50"/>
      <c r="I22" s="50"/>
      <c r="J22" s="50"/>
      <c r="K22" s="50"/>
      <c r="L22" s="50"/>
      <c r="M22" s="48"/>
      <c r="N22" s="48"/>
      <c r="O22" s="48"/>
      <c r="P22" s="48"/>
      <c r="Q22" s="48"/>
      <c r="R22" s="2"/>
    </row>
    <row r="23" spans="1:18" ht="15.75" customHeight="1">
      <c r="A23" s="46" t="s">
        <v>399</v>
      </c>
      <c r="B23" s="47" t="s">
        <v>162</v>
      </c>
      <c r="C23" s="68" t="s">
        <v>20</v>
      </c>
      <c r="D23" s="68" t="s">
        <v>17</v>
      </c>
      <c r="E23" s="50" t="s">
        <v>23</v>
      </c>
      <c r="F23" s="50" t="s">
        <v>17</v>
      </c>
      <c r="G23" s="68" t="s">
        <v>17</v>
      </c>
      <c r="H23" s="50"/>
      <c r="I23" s="50"/>
      <c r="J23" s="50"/>
      <c r="K23" s="50"/>
      <c r="L23" s="50"/>
      <c r="M23" s="48">
        <f t="shared" ref="M23:Q23" si="18">IF(TRIM(SUBSTITUTE(C23, "　", " "))=TRIM(SUBSTITUTE($B23, "　", " ")), 2, 0)</f>
        <v>0</v>
      </c>
      <c r="N23" s="48">
        <f t="shared" si="18"/>
        <v>2</v>
      </c>
      <c r="O23" s="48">
        <f t="shared" si="18"/>
        <v>0</v>
      </c>
      <c r="P23" s="48">
        <f t="shared" si="18"/>
        <v>2</v>
      </c>
      <c r="Q23" s="48">
        <f t="shared" si="18"/>
        <v>2</v>
      </c>
      <c r="R23" s="11"/>
    </row>
    <row r="24" spans="1:18" ht="15.75" customHeight="1">
      <c r="A24" s="49" t="s">
        <v>400</v>
      </c>
      <c r="B24" s="47" t="s">
        <v>155</v>
      </c>
      <c r="C24" s="68" t="s">
        <v>23</v>
      </c>
      <c r="D24" s="68" t="s">
        <v>20</v>
      </c>
      <c r="E24" s="50" t="s">
        <v>20</v>
      </c>
      <c r="F24" s="50" t="s">
        <v>20</v>
      </c>
      <c r="G24" s="68" t="s">
        <v>20</v>
      </c>
      <c r="H24" s="50"/>
      <c r="I24" s="50"/>
      <c r="J24" s="50"/>
      <c r="K24" s="50"/>
      <c r="L24" s="50"/>
      <c r="M24" s="48">
        <f t="shared" ref="M24:Q24" si="19">IF(TRIM(SUBSTITUTE(C24, "　", " "))=TRIM(SUBSTITUTE($B24, "　", " ")), 2, 0)</f>
        <v>0</v>
      </c>
      <c r="N24" s="48">
        <f t="shared" si="19"/>
        <v>2</v>
      </c>
      <c r="O24" s="48">
        <f t="shared" si="19"/>
        <v>2</v>
      </c>
      <c r="P24" s="48">
        <f t="shared" si="19"/>
        <v>2</v>
      </c>
      <c r="Q24" s="48">
        <f t="shared" si="19"/>
        <v>2</v>
      </c>
      <c r="R24" s="11"/>
    </row>
    <row r="25" spans="1:18" ht="15.75" customHeight="1">
      <c r="A25" s="51" t="s">
        <v>401</v>
      </c>
      <c r="B25" s="47"/>
      <c r="C25" s="68"/>
      <c r="D25" s="68" t="s">
        <v>83</v>
      </c>
      <c r="E25" s="50"/>
      <c r="F25" s="50"/>
      <c r="G25" s="68"/>
      <c r="H25" s="50"/>
      <c r="I25" s="50"/>
      <c r="J25" s="50"/>
      <c r="K25" s="50"/>
      <c r="L25" s="50"/>
      <c r="M25" s="48"/>
      <c r="N25" s="48"/>
      <c r="O25" s="48"/>
      <c r="P25" s="48"/>
      <c r="Q25" s="48"/>
      <c r="R25" s="11"/>
    </row>
    <row r="26" spans="1:18" ht="15.75" customHeight="1">
      <c r="A26" s="46" t="s">
        <v>402</v>
      </c>
      <c r="B26" s="47" t="s">
        <v>148</v>
      </c>
      <c r="C26" s="68" t="s">
        <v>403</v>
      </c>
      <c r="D26" s="68" t="s">
        <v>20</v>
      </c>
      <c r="E26" s="50" t="s">
        <v>20</v>
      </c>
      <c r="F26" s="50" t="s">
        <v>23</v>
      </c>
      <c r="G26" s="68" t="s">
        <v>23</v>
      </c>
      <c r="H26" s="50"/>
      <c r="I26" s="50"/>
      <c r="J26" s="50"/>
      <c r="K26" s="50"/>
      <c r="L26" s="50"/>
      <c r="M26" s="48">
        <f t="shared" ref="M26:Q26" si="20">IF(TRIM(SUBSTITUTE(C26, "　", " "))=TRIM(SUBSTITUTE($B26, "　", " ")), 2, 0)</f>
        <v>0</v>
      </c>
      <c r="N26" s="48">
        <f t="shared" si="20"/>
        <v>0</v>
      </c>
      <c r="O26" s="48">
        <f t="shared" si="20"/>
        <v>0</v>
      </c>
      <c r="P26" s="48">
        <f t="shared" si="20"/>
        <v>2</v>
      </c>
      <c r="Q26" s="48">
        <f t="shared" si="20"/>
        <v>2</v>
      </c>
      <c r="R26" s="11"/>
    </row>
    <row r="27" spans="1:18" ht="15.75" customHeight="1">
      <c r="A27" s="46" t="s">
        <v>404</v>
      </c>
      <c r="B27" s="47" t="s">
        <v>155</v>
      </c>
      <c r="C27" s="68" t="s">
        <v>17</v>
      </c>
      <c r="D27" s="68" t="s">
        <v>20</v>
      </c>
      <c r="E27" s="50" t="s">
        <v>23</v>
      </c>
      <c r="F27" s="50" t="s">
        <v>20</v>
      </c>
      <c r="G27" s="68" t="s">
        <v>20</v>
      </c>
      <c r="H27" s="50"/>
      <c r="I27" s="50"/>
      <c r="J27" s="50"/>
      <c r="K27" s="50"/>
      <c r="L27" s="50"/>
      <c r="M27" s="48">
        <f t="shared" ref="M27:Q27" si="21">IF(TRIM(SUBSTITUTE(C27, "　", " "))=TRIM(SUBSTITUTE($B27, "　", " ")), 2, 0)</f>
        <v>0</v>
      </c>
      <c r="N27" s="48">
        <f t="shared" si="21"/>
        <v>2</v>
      </c>
      <c r="O27" s="48">
        <f t="shared" si="21"/>
        <v>0</v>
      </c>
      <c r="P27" s="48">
        <f t="shared" si="21"/>
        <v>2</v>
      </c>
      <c r="Q27" s="48">
        <f t="shared" si="21"/>
        <v>2</v>
      </c>
      <c r="R27" s="11"/>
    </row>
    <row r="28" spans="1:18" ht="15.75" customHeight="1">
      <c r="A28" s="46" t="s">
        <v>405</v>
      </c>
      <c r="B28" s="47" t="s">
        <v>155</v>
      </c>
      <c r="C28" s="47" t="s">
        <v>155</v>
      </c>
      <c r="D28" s="68" t="s">
        <v>20</v>
      </c>
      <c r="E28" s="50" t="s">
        <v>17</v>
      </c>
      <c r="F28" s="50" t="s">
        <v>20</v>
      </c>
      <c r="G28" s="68" t="s">
        <v>20</v>
      </c>
      <c r="H28" s="50"/>
      <c r="I28" s="50"/>
      <c r="J28" s="50"/>
      <c r="K28" s="50"/>
      <c r="L28" s="50"/>
      <c r="M28" s="48">
        <f t="shared" ref="M28:Q28" si="22">IF(TRIM(SUBSTITUTE(C28, "　", " "))=TRIM(SUBSTITUTE($B28, "　", " ")), 2, 0)</f>
        <v>2</v>
      </c>
      <c r="N28" s="48">
        <f t="shared" si="22"/>
        <v>2</v>
      </c>
      <c r="O28" s="48">
        <f t="shared" si="22"/>
        <v>0</v>
      </c>
      <c r="P28" s="48">
        <f t="shared" si="22"/>
        <v>2</v>
      </c>
      <c r="Q28" s="48">
        <f t="shared" si="22"/>
        <v>2</v>
      </c>
      <c r="R28" s="11"/>
    </row>
    <row r="29" spans="1:18" ht="15.75" customHeight="1">
      <c r="A29" s="51" t="s">
        <v>406</v>
      </c>
      <c r="B29" s="47"/>
      <c r="C29" s="47"/>
      <c r="D29" s="68"/>
      <c r="E29" s="50"/>
      <c r="F29" s="50"/>
      <c r="G29" s="68"/>
      <c r="H29" s="50"/>
      <c r="I29" s="50"/>
      <c r="J29" s="50"/>
      <c r="K29" s="50"/>
      <c r="L29" s="50"/>
      <c r="M29" s="48"/>
      <c r="N29" s="48"/>
      <c r="O29" s="48"/>
      <c r="P29" s="48"/>
      <c r="Q29" s="48"/>
      <c r="R29" s="11"/>
    </row>
    <row r="30" spans="1:18" ht="15.75" customHeight="1">
      <c r="A30" s="46" t="s">
        <v>407</v>
      </c>
      <c r="B30" s="47" t="s">
        <v>148</v>
      </c>
      <c r="C30" s="47" t="s">
        <v>148</v>
      </c>
      <c r="D30" s="68" t="s">
        <v>23</v>
      </c>
      <c r="E30" s="50" t="s">
        <v>23</v>
      </c>
      <c r="F30" s="50" t="s">
        <v>23</v>
      </c>
      <c r="G30" s="68" t="s">
        <v>23</v>
      </c>
      <c r="H30" s="50"/>
      <c r="I30" s="50"/>
      <c r="J30" s="50"/>
      <c r="K30" s="50"/>
      <c r="L30" s="50"/>
      <c r="M30" s="48">
        <f t="shared" ref="M30:Q30" si="23">IF(TRIM(SUBSTITUTE(C30, "　", " "))=TRIM(SUBSTITUTE($B30, "　", " ")), 2, 0)</f>
        <v>2</v>
      </c>
      <c r="N30" s="48">
        <f t="shared" si="23"/>
        <v>2</v>
      </c>
      <c r="O30" s="48">
        <f t="shared" si="23"/>
        <v>2</v>
      </c>
      <c r="P30" s="48">
        <f t="shared" si="23"/>
        <v>2</v>
      </c>
      <c r="Q30" s="48">
        <f t="shared" si="23"/>
        <v>2</v>
      </c>
      <c r="R30" s="11"/>
    </row>
    <row r="31" spans="1:18" ht="15.75" customHeight="1">
      <c r="A31" s="46" t="s">
        <v>408</v>
      </c>
      <c r="B31" s="47" t="s">
        <v>155</v>
      </c>
      <c r="C31" s="47" t="s">
        <v>155</v>
      </c>
      <c r="D31" s="68" t="s">
        <v>20</v>
      </c>
      <c r="E31" s="50" t="s">
        <v>20</v>
      </c>
      <c r="F31" s="50" t="s">
        <v>20</v>
      </c>
      <c r="G31" s="68" t="s">
        <v>20</v>
      </c>
      <c r="H31" s="50"/>
      <c r="I31" s="50"/>
      <c r="J31" s="50"/>
      <c r="K31" s="50"/>
      <c r="L31" s="50"/>
      <c r="M31" s="48">
        <f t="shared" ref="M31:Q31" si="24">IF(TRIM(SUBSTITUTE(C31, "　", " "))=TRIM(SUBSTITUTE($B31, "　", " ")), 2, 0)</f>
        <v>2</v>
      </c>
      <c r="N31" s="48">
        <f t="shared" si="24"/>
        <v>2</v>
      </c>
      <c r="O31" s="48">
        <f t="shared" si="24"/>
        <v>2</v>
      </c>
      <c r="P31" s="48">
        <f t="shared" si="24"/>
        <v>2</v>
      </c>
      <c r="Q31" s="48">
        <f t="shared" si="24"/>
        <v>2</v>
      </c>
      <c r="R31" s="11"/>
    </row>
    <row r="32" spans="1:18" ht="15.75" customHeight="1">
      <c r="A32" s="46" t="s">
        <v>409</v>
      </c>
      <c r="B32" s="47" t="s">
        <v>148</v>
      </c>
      <c r="C32" s="47" t="s">
        <v>148</v>
      </c>
      <c r="D32" s="68" t="s">
        <v>23</v>
      </c>
      <c r="E32" s="50" t="s">
        <v>23</v>
      </c>
      <c r="F32" s="50" t="s">
        <v>23</v>
      </c>
      <c r="G32" s="68" t="s">
        <v>23</v>
      </c>
      <c r="H32" s="50"/>
      <c r="I32" s="50"/>
      <c r="J32" s="50"/>
      <c r="K32" s="50"/>
      <c r="L32" s="50"/>
      <c r="M32" s="48">
        <f t="shared" ref="M32:Q32" si="25">IF(TRIM(SUBSTITUTE(C32, "　", " "))=TRIM(SUBSTITUTE($B32, "　", " ")), 2, 0)</f>
        <v>2</v>
      </c>
      <c r="N32" s="48">
        <f t="shared" si="25"/>
        <v>2</v>
      </c>
      <c r="O32" s="48">
        <f t="shared" si="25"/>
        <v>2</v>
      </c>
      <c r="P32" s="48">
        <f t="shared" si="25"/>
        <v>2</v>
      </c>
      <c r="Q32" s="48">
        <f t="shared" si="25"/>
        <v>2</v>
      </c>
      <c r="R32" s="11"/>
    </row>
    <row r="33" spans="1:36" ht="15.75" customHeight="1">
      <c r="A33" s="51" t="s">
        <v>410</v>
      </c>
      <c r="B33" s="47"/>
      <c r="C33" s="68"/>
      <c r="D33" s="68"/>
      <c r="E33" s="50"/>
      <c r="F33" s="50"/>
      <c r="G33" s="68"/>
      <c r="H33" s="50"/>
      <c r="I33" s="50"/>
      <c r="J33" s="50"/>
      <c r="K33" s="50"/>
      <c r="L33" s="50"/>
      <c r="M33" s="48"/>
      <c r="N33" s="48"/>
      <c r="O33" s="48"/>
      <c r="P33" s="48"/>
      <c r="Q33" s="48"/>
      <c r="R33" s="11"/>
    </row>
    <row r="34" spans="1:36" ht="15.75" customHeight="1">
      <c r="A34" s="46" t="s">
        <v>411</v>
      </c>
      <c r="B34" s="47" t="s">
        <v>412</v>
      </c>
      <c r="C34" s="68" t="s">
        <v>44</v>
      </c>
      <c r="D34" s="68" t="s">
        <v>94</v>
      </c>
      <c r="E34" s="50" t="s">
        <v>90</v>
      </c>
      <c r="F34" s="50" t="s">
        <v>44</v>
      </c>
      <c r="G34" s="68" t="s">
        <v>44</v>
      </c>
      <c r="H34" s="53" cm="1">
        <f t="array" ref="H34">_xlfn.LET(
_xlpm.opts,{"A","B","C","D","E"},
_xlpm.ans,UPPER(SUBSTITUTE(SUBSTITUTE(SUBSTITUTE(SUBSTITUTE(SUBSTITUTE(TRIM($B34),"　","")," ",""),",",""),"，",""),"、","")),
_xlpm.resp,UPPER(SUBSTITUTE(SUBSTITUTE(SUBSTITUTE(SUBSTITUTE(SUBSTITUTE(TRIM(C34),"　","")," ",""),",",""),"，",""),"、","")),
IF(_xlpm.resp="",99,
SUMPRODUCT(--(ISNUMBER(SEARCH(_xlpm.opts,_xlpm.ans))&lt;&gt;ISNUMBER(SEARCH(_xlpm.opts,_xlpm.resp)))))
)</f>
        <v>0</v>
      </c>
      <c r="I34" s="53" cm="1">
        <f t="array" ref="I34">_xlfn.LET(
_xlpm.opts,{"A","B","C","D","E"},
_xlpm.ans,UPPER(SUBSTITUTE(SUBSTITUTE(SUBSTITUTE(SUBSTITUTE(SUBSTITUTE(TRIM($B34),"　","")," ",""),",",""),"，",""),"、","")),
_xlpm.resp,UPPER(SUBSTITUTE(SUBSTITUTE(SUBSTITUTE(SUBSTITUTE(SUBSTITUTE(TRIM(D34),"　","")," ",""),",",""),"，",""),"、","")),
IF(_xlpm.resp="",99,
SUMPRODUCT(--(ISNUMBER(SEARCH(_xlpm.opts,_xlpm.ans))&lt;&gt;ISNUMBER(SEARCH(_xlpm.opts,_xlpm.resp)))))
)</f>
        <v>2</v>
      </c>
      <c r="J34" s="53" cm="1">
        <f t="array" ref="J34">_xlfn.LET(
_xlpm.opts,{"A","B","C","D","E"},
_xlpm.ans,UPPER(SUBSTITUTE(SUBSTITUTE(SUBSTITUTE(SUBSTITUTE(SUBSTITUTE(TRIM($B34),"　","")," ",""),",",""),"，",""),"、","")),
_xlpm.resp,UPPER(SUBSTITUTE(SUBSTITUTE(SUBSTITUTE(SUBSTITUTE(SUBSTITUTE(TRIM(E34),"　","")," ",""),",",""),"，",""),"、","")),
IF(_xlpm.resp="",99,
SUMPRODUCT(--(ISNUMBER(SEARCH(_xlpm.opts,_xlpm.ans))&lt;&gt;ISNUMBER(SEARCH(_xlpm.opts,_xlpm.resp)))))
)</f>
        <v>2</v>
      </c>
      <c r="K34" s="53" cm="1">
        <f t="array" ref="K34">_xlfn.LET(
_xlpm.opts,{"A","B","C","D","E"},
_xlpm.ans,UPPER(SUBSTITUTE(SUBSTITUTE(SUBSTITUTE(SUBSTITUTE(SUBSTITUTE(TRIM($B34),"　","")," ",""),",",""),"，",""),"、","")),
_xlpm.resp,UPPER(SUBSTITUTE(SUBSTITUTE(SUBSTITUTE(SUBSTITUTE(SUBSTITUTE(TRIM(F34),"　","")," ",""),",",""),"，",""),"、","")),
IF(_xlpm.resp="",99,
SUMPRODUCT(--(ISNUMBER(SEARCH(_xlpm.opts,_xlpm.ans))&lt;&gt;ISNUMBER(SEARCH(_xlpm.opts,_xlpm.resp)))))
)</f>
        <v>0</v>
      </c>
      <c r="L34" s="53" cm="1">
        <f t="array" ref="L34">_xlfn.LET(
_xlpm.opts,{"A","B","C","D","E"},
_xlpm.ans,UPPER(SUBSTITUTE(SUBSTITUTE(SUBSTITUTE(SUBSTITUTE(SUBSTITUTE(TRIM($B34),"　","")," ",""),",",""),"，",""),"、","")),
_xlpm.resp,UPPER(SUBSTITUTE(SUBSTITUTE(SUBSTITUTE(SUBSTITUTE(SUBSTITUTE(TRIM(G34),"　","")," ",""),",",""),"，",""),"、","")),
IF(_xlpm.resp="",99,
SUMPRODUCT(--(ISNUMBER(SEARCH(_xlpm.opts,_xlpm.ans))&lt;&gt;ISNUMBER(SEARCH(_xlpm.opts,_xlpm.resp)))))
)</f>
        <v>0</v>
      </c>
      <c r="M34" s="54">
        <f>IF(H34=0,3,IF(H34=1,1.8,IF(H34=2,0.6,0)))</f>
        <v>3</v>
      </c>
      <c r="N34" s="54">
        <f t="shared" ref="N34:Q38" si="26">IF(I34=0,3,IF(I34=1,1.8,IF(I34=2,0.6,0)))</f>
        <v>0.6</v>
      </c>
      <c r="O34" s="54">
        <f t="shared" si="26"/>
        <v>0.6</v>
      </c>
      <c r="P34" s="54">
        <f t="shared" si="26"/>
        <v>3</v>
      </c>
      <c r="Q34" s="54">
        <f t="shared" si="26"/>
        <v>3</v>
      </c>
      <c r="R34" s="11"/>
    </row>
    <row r="35" spans="1:36" ht="15.75" customHeight="1">
      <c r="A35" s="46" t="s">
        <v>413</v>
      </c>
      <c r="B35" s="47" t="s">
        <v>414</v>
      </c>
      <c r="C35" s="68" t="s">
        <v>97</v>
      </c>
      <c r="D35" s="68" t="s">
        <v>89</v>
      </c>
      <c r="E35" s="50" t="s">
        <v>97</v>
      </c>
      <c r="F35" s="50" t="s">
        <v>53</v>
      </c>
      <c r="G35" s="68" t="s">
        <v>89</v>
      </c>
      <c r="H35" s="53" cm="1">
        <f t="array" ref="H35">_xlfn.LET(
_xlpm.opts,{"A","B","C","D","E"},
_xlpm.ans,UPPER(SUBSTITUTE(SUBSTITUTE(SUBSTITUTE(SUBSTITUTE(SUBSTITUTE(TRIM($B35),"　","")," ",""),",",""),"，",""),"、","")),
_xlpm.resp,UPPER(SUBSTITUTE(SUBSTITUTE(SUBSTITUTE(SUBSTITUTE(SUBSTITUTE(TRIM(C35),"　","")," ",""),",",""),"，",""),"、","")),
IF(_xlpm.resp="",99,
SUMPRODUCT(--(ISNUMBER(SEARCH(_xlpm.opts,_xlpm.ans))&lt;&gt;ISNUMBER(SEARCH(_xlpm.opts,_xlpm.resp)))))
)</f>
        <v>1</v>
      </c>
      <c r="I35" s="53" cm="1">
        <f t="array" ref="I35">_xlfn.LET(
_xlpm.opts,{"A","B","C","D","E"},
_xlpm.ans,UPPER(SUBSTITUTE(SUBSTITUTE(SUBSTITUTE(SUBSTITUTE(SUBSTITUTE(TRIM($B35),"　","")," ",""),",",""),"，",""),"、","")),
_xlpm.resp,UPPER(SUBSTITUTE(SUBSTITUTE(SUBSTITUTE(SUBSTITUTE(SUBSTITUTE(TRIM(D35),"　","")," ",""),",",""),"，",""),"、","")),
IF(_xlpm.resp="",99,
SUMPRODUCT(--(ISNUMBER(SEARCH(_xlpm.opts,_xlpm.ans))&lt;&gt;ISNUMBER(SEARCH(_xlpm.opts,_xlpm.resp)))))
)</f>
        <v>2</v>
      </c>
      <c r="J35" s="53" cm="1">
        <f t="array" ref="J35">_xlfn.LET(
_xlpm.opts,{"A","B","C","D","E"},
_xlpm.ans,UPPER(SUBSTITUTE(SUBSTITUTE(SUBSTITUTE(SUBSTITUTE(SUBSTITUTE(TRIM($B35),"　","")," ",""),",",""),"，",""),"、","")),
_xlpm.resp,UPPER(SUBSTITUTE(SUBSTITUTE(SUBSTITUTE(SUBSTITUTE(SUBSTITUTE(TRIM(E35),"　","")," ",""),",",""),"，",""),"、","")),
IF(_xlpm.resp="",99,
SUMPRODUCT(--(ISNUMBER(SEARCH(_xlpm.opts,_xlpm.ans))&lt;&gt;ISNUMBER(SEARCH(_xlpm.opts,_xlpm.resp)))))
)</f>
        <v>1</v>
      </c>
      <c r="K35" s="53" cm="1">
        <f t="array" ref="K35">_xlfn.LET(
_xlpm.opts,{"A","B","C","D","E"},
_xlpm.ans,UPPER(SUBSTITUTE(SUBSTITUTE(SUBSTITUTE(SUBSTITUTE(SUBSTITUTE(TRIM($B35),"　","")," ",""),",",""),"，",""),"、","")),
_xlpm.resp,UPPER(SUBSTITUTE(SUBSTITUTE(SUBSTITUTE(SUBSTITUTE(SUBSTITUTE(TRIM(F35),"　","")," ",""),",",""),"，",""),"、","")),
IF(_xlpm.resp="",99,
SUMPRODUCT(--(ISNUMBER(SEARCH(_xlpm.opts,_xlpm.ans))&lt;&gt;ISNUMBER(SEARCH(_xlpm.opts,_xlpm.resp)))))
)</f>
        <v>1</v>
      </c>
      <c r="L35" s="53" cm="1">
        <f t="array" ref="L35">_xlfn.LET(
_xlpm.opts,{"A","B","C","D","E"},
_xlpm.ans,UPPER(SUBSTITUTE(SUBSTITUTE(SUBSTITUTE(SUBSTITUTE(SUBSTITUTE(TRIM($B35),"　","")," ",""),",",""),"，",""),"、","")),
_xlpm.resp,UPPER(SUBSTITUTE(SUBSTITUTE(SUBSTITUTE(SUBSTITUTE(SUBSTITUTE(TRIM(G35),"　","")," ",""),",",""),"，",""),"、","")),
IF(_xlpm.resp="",99,
SUMPRODUCT(--(ISNUMBER(SEARCH(_xlpm.opts,_xlpm.ans))&lt;&gt;ISNUMBER(SEARCH(_xlpm.opts,_xlpm.resp)))))
)</f>
        <v>2</v>
      </c>
      <c r="M35" s="54">
        <f t="shared" ref="M35:M38" si="27">IF(H35=0,3,IF(H35=1,1.8,IF(H35=2,0.6,0)))</f>
        <v>1.8</v>
      </c>
      <c r="N35" s="54">
        <f t="shared" si="26"/>
        <v>0.6</v>
      </c>
      <c r="O35" s="54">
        <f t="shared" si="26"/>
        <v>1.8</v>
      </c>
      <c r="P35" s="54">
        <f t="shared" si="26"/>
        <v>1.8</v>
      </c>
      <c r="Q35" s="54">
        <f t="shared" si="26"/>
        <v>0.6</v>
      </c>
      <c r="R35" s="11"/>
      <c r="S35" s="11"/>
      <c r="T35" s="11"/>
      <c r="U35" s="11"/>
      <c r="V35" s="11"/>
      <c r="W35" s="11"/>
      <c r="X35" s="11"/>
      <c r="Y35" s="11"/>
      <c r="Z35" s="11"/>
      <c r="AA35" s="11"/>
      <c r="AB35" s="11"/>
      <c r="AC35" s="11"/>
      <c r="AD35" s="11"/>
      <c r="AE35" s="11"/>
      <c r="AF35" s="11"/>
      <c r="AG35" s="11"/>
      <c r="AH35" s="11"/>
      <c r="AI35" s="11"/>
      <c r="AJ35" s="11"/>
    </row>
    <row r="36" spans="1:36" ht="15.75" customHeight="1">
      <c r="A36" s="46" t="s">
        <v>415</v>
      </c>
      <c r="B36" s="47" t="s">
        <v>200</v>
      </c>
      <c r="C36" s="68" t="s">
        <v>40</v>
      </c>
      <c r="D36" s="68" t="s">
        <v>40</v>
      </c>
      <c r="E36" s="50" t="s">
        <v>40</v>
      </c>
      <c r="F36" s="50" t="s">
        <v>40</v>
      </c>
      <c r="G36" s="68" t="s">
        <v>40</v>
      </c>
      <c r="H36" s="53" cm="1">
        <f t="array" ref="H36">_xlfn.LET(
_xlpm.opts,{"A","B","C","D","E"},
_xlpm.ans,UPPER(SUBSTITUTE(SUBSTITUTE(SUBSTITUTE(SUBSTITUTE(SUBSTITUTE(TRIM($B36),"　","")," ",""),",",""),"，",""),"、","")),
_xlpm.resp,UPPER(SUBSTITUTE(SUBSTITUTE(SUBSTITUTE(SUBSTITUTE(SUBSTITUTE(TRIM(C36),"　","")," ",""),",",""),"，",""),"、","")),
IF(_xlpm.resp="",99,
SUMPRODUCT(--(ISNUMBER(SEARCH(_xlpm.opts,_xlpm.ans))&lt;&gt;ISNUMBER(SEARCH(_xlpm.opts,_xlpm.resp)))))
)</f>
        <v>0</v>
      </c>
      <c r="I36" s="53" cm="1">
        <f t="array" ref="I36">_xlfn.LET(
_xlpm.opts,{"A","B","C","D","E"},
_xlpm.ans,UPPER(SUBSTITUTE(SUBSTITUTE(SUBSTITUTE(SUBSTITUTE(SUBSTITUTE(TRIM($B36),"　","")," ",""),",",""),"，",""),"、","")),
_xlpm.resp,UPPER(SUBSTITUTE(SUBSTITUTE(SUBSTITUTE(SUBSTITUTE(SUBSTITUTE(TRIM(D36),"　","")," ",""),",",""),"，",""),"、","")),
IF(_xlpm.resp="",99,
SUMPRODUCT(--(ISNUMBER(SEARCH(_xlpm.opts,_xlpm.ans))&lt;&gt;ISNUMBER(SEARCH(_xlpm.opts,_xlpm.resp)))))
)</f>
        <v>0</v>
      </c>
      <c r="J36" s="53" cm="1">
        <f t="array" ref="J36">_xlfn.LET(
_xlpm.opts,{"A","B","C","D","E"},
_xlpm.ans,UPPER(SUBSTITUTE(SUBSTITUTE(SUBSTITUTE(SUBSTITUTE(SUBSTITUTE(TRIM($B36),"　","")," ",""),",",""),"，",""),"、","")),
_xlpm.resp,UPPER(SUBSTITUTE(SUBSTITUTE(SUBSTITUTE(SUBSTITUTE(SUBSTITUTE(TRIM(E36),"　","")," ",""),",",""),"，",""),"、","")),
IF(_xlpm.resp="",99,
SUMPRODUCT(--(ISNUMBER(SEARCH(_xlpm.opts,_xlpm.ans))&lt;&gt;ISNUMBER(SEARCH(_xlpm.opts,_xlpm.resp)))))
)</f>
        <v>0</v>
      </c>
      <c r="K36" s="53" cm="1">
        <f t="array" ref="K36">_xlfn.LET(
_xlpm.opts,{"A","B","C","D","E"},
_xlpm.ans,UPPER(SUBSTITUTE(SUBSTITUTE(SUBSTITUTE(SUBSTITUTE(SUBSTITUTE(TRIM($B36),"　","")," ",""),",",""),"，",""),"、","")),
_xlpm.resp,UPPER(SUBSTITUTE(SUBSTITUTE(SUBSTITUTE(SUBSTITUTE(SUBSTITUTE(TRIM(F36),"　","")," ",""),",",""),"，",""),"、","")),
IF(_xlpm.resp="",99,
SUMPRODUCT(--(ISNUMBER(SEARCH(_xlpm.opts,_xlpm.ans))&lt;&gt;ISNUMBER(SEARCH(_xlpm.opts,_xlpm.resp)))))
)</f>
        <v>0</v>
      </c>
      <c r="L36" s="53" cm="1">
        <f t="array" ref="L36">_xlfn.LET(
_xlpm.opts,{"A","B","C","D","E"},
_xlpm.ans,UPPER(SUBSTITUTE(SUBSTITUTE(SUBSTITUTE(SUBSTITUTE(SUBSTITUTE(TRIM($B36),"　","")," ",""),",",""),"，",""),"、","")),
_xlpm.resp,UPPER(SUBSTITUTE(SUBSTITUTE(SUBSTITUTE(SUBSTITUTE(SUBSTITUTE(TRIM(G36),"　","")," ",""),",",""),"，",""),"、","")),
IF(_xlpm.resp="",99,
SUMPRODUCT(--(ISNUMBER(SEARCH(_xlpm.opts,_xlpm.ans))&lt;&gt;ISNUMBER(SEARCH(_xlpm.opts,_xlpm.resp)))))
)</f>
        <v>0</v>
      </c>
      <c r="M36" s="54">
        <f t="shared" si="27"/>
        <v>3</v>
      </c>
      <c r="N36" s="54">
        <f t="shared" si="26"/>
        <v>3</v>
      </c>
      <c r="O36" s="54">
        <f t="shared" si="26"/>
        <v>3</v>
      </c>
      <c r="P36" s="54">
        <f t="shared" si="26"/>
        <v>3</v>
      </c>
      <c r="Q36" s="54">
        <f t="shared" si="26"/>
        <v>3</v>
      </c>
      <c r="R36" s="11"/>
      <c r="S36" s="11"/>
      <c r="T36" s="11"/>
      <c r="U36" s="11"/>
      <c r="V36" s="11"/>
      <c r="W36" s="11"/>
      <c r="X36" s="11"/>
      <c r="Y36" s="11"/>
      <c r="Z36" s="11"/>
      <c r="AA36" s="11"/>
      <c r="AB36" s="11"/>
      <c r="AC36" s="11"/>
      <c r="AD36" s="11"/>
      <c r="AE36" s="11"/>
      <c r="AF36" s="11"/>
      <c r="AG36" s="11"/>
      <c r="AH36" s="11"/>
      <c r="AI36" s="11"/>
      <c r="AJ36" s="11"/>
    </row>
    <row r="37" spans="1:36" ht="15.75" customHeight="1">
      <c r="A37" s="46" t="s">
        <v>416</v>
      </c>
      <c r="B37" s="47" t="s">
        <v>204</v>
      </c>
      <c r="C37" s="68" t="s">
        <v>45</v>
      </c>
      <c r="D37" s="68" t="s">
        <v>42</v>
      </c>
      <c r="E37" s="50" t="s">
        <v>101</v>
      </c>
      <c r="F37" s="50" t="s">
        <v>42</v>
      </c>
      <c r="G37" s="68" t="s">
        <v>55</v>
      </c>
      <c r="H37" s="53" cm="1">
        <f t="array" ref="H37">_xlfn.LET(
_xlpm.opts,{"A","B","C","D","E"},
_xlpm.ans,UPPER(SUBSTITUTE(SUBSTITUTE(SUBSTITUTE(SUBSTITUTE(SUBSTITUTE(TRIM($B37),"　","")," ",""),",",""),"，",""),"、","")),
_xlpm.resp,UPPER(SUBSTITUTE(SUBSTITUTE(SUBSTITUTE(SUBSTITUTE(SUBSTITUTE(TRIM(C37),"　","")," ",""),",",""),"，",""),"、","")),
IF(_xlpm.resp="",99,
SUMPRODUCT(--(ISNUMBER(SEARCH(_xlpm.opts,_xlpm.ans))&lt;&gt;ISNUMBER(SEARCH(_xlpm.opts,_xlpm.resp)))))
)</f>
        <v>1</v>
      </c>
      <c r="I37" s="53" cm="1">
        <f t="array" ref="I37">_xlfn.LET(
_xlpm.opts,{"A","B","C","D","E"},
_xlpm.ans,UPPER(SUBSTITUTE(SUBSTITUTE(SUBSTITUTE(SUBSTITUTE(SUBSTITUTE(TRIM($B37),"　","")," ",""),",",""),"，",""),"、","")),
_xlpm.resp,UPPER(SUBSTITUTE(SUBSTITUTE(SUBSTITUTE(SUBSTITUTE(SUBSTITUTE(TRIM(D37),"　","")," ",""),",",""),"，",""),"、","")),
IF(_xlpm.resp="",99,
SUMPRODUCT(--(ISNUMBER(SEARCH(_xlpm.opts,_xlpm.ans))&lt;&gt;ISNUMBER(SEARCH(_xlpm.opts,_xlpm.resp)))))
)</f>
        <v>1</v>
      </c>
      <c r="J37" s="53" cm="1">
        <f t="array" ref="J37">_xlfn.LET(
_xlpm.opts,{"A","B","C","D","E"},
_xlpm.ans,UPPER(SUBSTITUTE(SUBSTITUTE(SUBSTITUTE(SUBSTITUTE(SUBSTITUTE(TRIM($B37),"　","")," ",""),",",""),"，",""),"、","")),
_xlpm.resp,UPPER(SUBSTITUTE(SUBSTITUTE(SUBSTITUTE(SUBSTITUTE(SUBSTITUTE(TRIM(E37),"　","")," ",""),",",""),"，",""),"、","")),
IF(_xlpm.resp="",99,
SUMPRODUCT(--(ISNUMBER(SEARCH(_xlpm.opts,_xlpm.ans))&lt;&gt;ISNUMBER(SEARCH(_xlpm.opts,_xlpm.resp)))))
)</f>
        <v>5</v>
      </c>
      <c r="K37" s="53" cm="1">
        <f t="array" ref="K37">_xlfn.LET(
_xlpm.opts,{"A","B","C","D","E"},
_xlpm.ans,UPPER(SUBSTITUTE(SUBSTITUTE(SUBSTITUTE(SUBSTITUTE(SUBSTITUTE(TRIM($B37),"　","")," ",""),",",""),"，",""),"、","")),
_xlpm.resp,UPPER(SUBSTITUTE(SUBSTITUTE(SUBSTITUTE(SUBSTITUTE(SUBSTITUTE(TRIM(F37),"　","")," ",""),",",""),"，",""),"、","")),
IF(_xlpm.resp="",99,
SUMPRODUCT(--(ISNUMBER(SEARCH(_xlpm.opts,_xlpm.ans))&lt;&gt;ISNUMBER(SEARCH(_xlpm.opts,_xlpm.resp)))))
)</f>
        <v>1</v>
      </c>
      <c r="L37" s="53" cm="1">
        <f t="array" ref="L37">_xlfn.LET(
_xlpm.opts,{"A","B","C","D","E"},
_xlpm.ans,UPPER(SUBSTITUTE(SUBSTITUTE(SUBSTITUTE(SUBSTITUTE(SUBSTITUTE(TRIM($B37),"　","")," ",""),",",""),"，",""),"、","")),
_xlpm.resp,UPPER(SUBSTITUTE(SUBSTITUTE(SUBSTITUTE(SUBSTITUTE(SUBSTITUTE(TRIM(G37),"　","")," ",""),",",""),"，",""),"、","")),
IF(_xlpm.resp="",99,
SUMPRODUCT(--(ISNUMBER(SEARCH(_xlpm.opts,_xlpm.ans))&lt;&gt;ISNUMBER(SEARCH(_xlpm.opts,_xlpm.resp)))))
)</f>
        <v>2</v>
      </c>
      <c r="M37" s="54">
        <f t="shared" si="27"/>
        <v>1.8</v>
      </c>
      <c r="N37" s="54">
        <f t="shared" si="26"/>
        <v>1.8</v>
      </c>
      <c r="O37" s="54">
        <f t="shared" si="26"/>
        <v>0</v>
      </c>
      <c r="P37" s="54">
        <f t="shared" si="26"/>
        <v>1.8</v>
      </c>
      <c r="Q37" s="54">
        <f t="shared" si="26"/>
        <v>0.6</v>
      </c>
      <c r="R37" s="11"/>
      <c r="S37" s="11"/>
      <c r="T37" s="11"/>
      <c r="U37" s="11"/>
      <c r="V37" s="11"/>
      <c r="W37" s="11"/>
      <c r="X37" s="11"/>
      <c r="Y37" s="11"/>
      <c r="Z37" s="11"/>
      <c r="AA37" s="11"/>
      <c r="AB37" s="11"/>
      <c r="AC37" s="11"/>
      <c r="AD37" s="11"/>
      <c r="AE37" s="11"/>
      <c r="AF37" s="11"/>
      <c r="AG37" s="11"/>
      <c r="AH37" s="11"/>
      <c r="AI37" s="11"/>
      <c r="AJ37" s="11"/>
    </row>
    <row r="38" spans="1:36" ht="15.75" customHeight="1">
      <c r="A38" s="46" t="s">
        <v>417</v>
      </c>
      <c r="B38" s="47" t="s">
        <v>262</v>
      </c>
      <c r="C38" s="68" t="s">
        <v>42</v>
      </c>
      <c r="D38" s="68" t="s">
        <v>135</v>
      </c>
      <c r="E38" s="50" t="s">
        <v>97</v>
      </c>
      <c r="F38" s="50" t="s">
        <v>102</v>
      </c>
      <c r="G38" s="68" t="s">
        <v>55</v>
      </c>
      <c r="H38" s="53" cm="1">
        <f t="array" ref="H38">_xlfn.LET(
_xlpm.opts,{"A","B","C","D","E"},
_xlpm.ans,UPPER(SUBSTITUTE(SUBSTITUTE(SUBSTITUTE(SUBSTITUTE(SUBSTITUTE(TRIM($B38),"　","")," ",""),",",""),"，",""),"、","")),
_xlpm.resp,UPPER(SUBSTITUTE(SUBSTITUTE(SUBSTITUTE(SUBSTITUTE(SUBSTITUTE(TRIM(C38),"　","")," ",""),",",""),"，",""),"、","")),
IF(_xlpm.resp="",99,
SUMPRODUCT(--(ISNUMBER(SEARCH(_xlpm.opts,_xlpm.ans))&lt;&gt;ISNUMBER(SEARCH(_xlpm.opts,_xlpm.resp)))))
)</f>
        <v>1</v>
      </c>
      <c r="I38" s="53" cm="1">
        <f t="array" ref="I38">_xlfn.LET(
_xlpm.opts,{"A","B","C","D","E"},
_xlpm.ans,UPPER(SUBSTITUTE(SUBSTITUTE(SUBSTITUTE(SUBSTITUTE(SUBSTITUTE(TRIM($B38),"　","")," ",""),",",""),"，",""),"、","")),
_xlpm.resp,UPPER(SUBSTITUTE(SUBSTITUTE(SUBSTITUTE(SUBSTITUTE(SUBSTITUTE(TRIM(D38),"　","")," ",""),",",""),"，",""),"、","")),
IF(_xlpm.resp="",99,
SUMPRODUCT(--(ISNUMBER(SEARCH(_xlpm.opts,_xlpm.ans))&lt;&gt;ISNUMBER(SEARCH(_xlpm.opts,_xlpm.resp)))))
)</f>
        <v>1</v>
      </c>
      <c r="J38" s="53" cm="1">
        <f t="array" ref="J38">_xlfn.LET(
_xlpm.opts,{"A","B","C","D","E"},
_xlpm.ans,UPPER(SUBSTITUTE(SUBSTITUTE(SUBSTITUTE(SUBSTITUTE(SUBSTITUTE(TRIM($B38),"　","")," ",""),",",""),"，",""),"、","")),
_xlpm.resp,UPPER(SUBSTITUTE(SUBSTITUTE(SUBSTITUTE(SUBSTITUTE(SUBSTITUTE(TRIM(E38),"　","")," ",""),",",""),"，",""),"、","")),
IF(_xlpm.resp="",99,
SUMPRODUCT(--(ISNUMBER(SEARCH(_xlpm.opts,_xlpm.ans))&lt;&gt;ISNUMBER(SEARCH(_xlpm.opts,_xlpm.resp)))))
)</f>
        <v>3</v>
      </c>
      <c r="K38" s="53" cm="1">
        <f t="array" ref="K38">_xlfn.LET(
_xlpm.opts,{"A","B","C","D","E"},
_xlpm.ans,UPPER(SUBSTITUTE(SUBSTITUTE(SUBSTITUTE(SUBSTITUTE(SUBSTITUTE(TRIM($B38),"　","")," ",""),",",""),"，",""),"、","")),
_xlpm.resp,UPPER(SUBSTITUTE(SUBSTITUTE(SUBSTITUTE(SUBSTITUTE(SUBSTITUTE(TRIM(F38),"　","")," ",""),",",""),"，",""),"、","")),
IF(_xlpm.resp="",99,
SUMPRODUCT(--(ISNUMBER(SEARCH(_xlpm.opts,_xlpm.ans))&lt;&gt;ISNUMBER(SEARCH(_xlpm.opts,_xlpm.resp)))))
)</f>
        <v>1</v>
      </c>
      <c r="L38" s="53" cm="1">
        <f t="array" ref="L38">_xlfn.LET(
_xlpm.opts,{"A","B","C","D","E"},
_xlpm.ans,UPPER(SUBSTITUTE(SUBSTITUTE(SUBSTITUTE(SUBSTITUTE(SUBSTITUTE(TRIM($B38),"　","")," ",""),",",""),"，",""),"、","")),
_xlpm.resp,UPPER(SUBSTITUTE(SUBSTITUTE(SUBSTITUTE(SUBSTITUTE(SUBSTITUTE(TRIM(G38),"　","")," ",""),",",""),"，",""),"、","")),
IF(_xlpm.resp="",99,
SUMPRODUCT(--(ISNUMBER(SEARCH(_xlpm.opts,_xlpm.ans))&lt;&gt;ISNUMBER(SEARCH(_xlpm.opts,_xlpm.resp)))))
)</f>
        <v>0</v>
      </c>
      <c r="M38" s="54">
        <f t="shared" si="27"/>
        <v>1.8</v>
      </c>
      <c r="N38" s="54">
        <f t="shared" si="26"/>
        <v>1.8</v>
      </c>
      <c r="O38" s="54">
        <f t="shared" si="26"/>
        <v>0</v>
      </c>
      <c r="P38" s="54">
        <f t="shared" si="26"/>
        <v>1.8</v>
      </c>
      <c r="Q38" s="54">
        <f t="shared" si="26"/>
        <v>3</v>
      </c>
      <c r="R38" s="11"/>
      <c r="S38" s="11"/>
      <c r="T38" s="11"/>
      <c r="U38" s="11"/>
      <c r="V38" s="11"/>
      <c r="W38" s="11"/>
      <c r="X38" s="11"/>
      <c r="Y38" s="11"/>
      <c r="Z38" s="11"/>
      <c r="AA38" s="11"/>
      <c r="AB38" s="11"/>
      <c r="AC38" s="11"/>
      <c r="AD38" s="11"/>
      <c r="AE38" s="11"/>
      <c r="AF38" s="11"/>
      <c r="AG38" s="11"/>
      <c r="AH38" s="11"/>
      <c r="AI38" s="11"/>
      <c r="AJ38" s="11"/>
    </row>
    <row r="39" spans="1:36" ht="15.75" customHeight="1">
      <c r="A39" s="51" t="s">
        <v>418</v>
      </c>
      <c r="B39" s="47"/>
      <c r="C39" s="68"/>
      <c r="D39" s="68"/>
      <c r="E39" s="50"/>
      <c r="F39" s="50"/>
      <c r="G39" s="68"/>
      <c r="H39" s="50"/>
      <c r="I39" s="50"/>
      <c r="J39" s="50"/>
      <c r="K39" s="50"/>
      <c r="L39" s="50"/>
      <c r="M39" s="48"/>
      <c r="N39" s="48"/>
      <c r="O39" s="48"/>
      <c r="P39" s="48"/>
      <c r="Q39" s="48"/>
      <c r="R39" s="11"/>
      <c r="S39" s="11"/>
      <c r="T39" s="11"/>
      <c r="U39" s="11"/>
      <c r="V39" s="11"/>
      <c r="W39" s="11"/>
      <c r="X39" s="11"/>
      <c r="Y39" s="11"/>
      <c r="Z39" s="11"/>
      <c r="AA39" s="11"/>
      <c r="AB39" s="11"/>
      <c r="AC39" s="11"/>
      <c r="AD39" s="11"/>
      <c r="AE39" s="11"/>
      <c r="AF39" s="11"/>
      <c r="AG39" s="11"/>
      <c r="AH39" s="11"/>
      <c r="AI39" s="11"/>
      <c r="AJ39" s="11"/>
    </row>
    <row r="40" spans="1:36" ht="15.75" customHeight="1">
      <c r="A40" s="46" t="s">
        <v>419</v>
      </c>
      <c r="B40" s="47" t="s">
        <v>200</v>
      </c>
      <c r="C40" s="47" t="s">
        <v>40</v>
      </c>
      <c r="D40" s="68" t="s">
        <v>40</v>
      </c>
      <c r="E40" s="50" t="s">
        <v>23</v>
      </c>
      <c r="F40" s="50" t="s">
        <v>40</v>
      </c>
      <c r="G40" s="68" t="s">
        <v>40</v>
      </c>
      <c r="H40" s="53" cm="1">
        <f t="array" ref="H40">_xlfn.LET(
_xlpm.opts,{"A","B","C","D","E"},
_xlpm.ans,UPPER(SUBSTITUTE(SUBSTITUTE(SUBSTITUTE(SUBSTITUTE(SUBSTITUTE(TRIM($B40),"　","")," ",""),",",""),"，",""),"、","")),
_xlpm.resp,UPPER(SUBSTITUTE(SUBSTITUTE(SUBSTITUTE(SUBSTITUTE(SUBSTITUTE(TRIM(C40),"　","")," ",""),",",""),"，",""),"、","")),
IF(_xlpm.resp="",99,
SUMPRODUCT(--(ISNUMBER(SEARCH(_xlpm.opts,_xlpm.ans))&lt;&gt;ISNUMBER(SEARCH(_xlpm.opts,_xlpm.resp)))))
)</f>
        <v>0</v>
      </c>
      <c r="I40" s="53" cm="1">
        <f t="array" ref="I40">_xlfn.LET(
_xlpm.opts,{"A","B","C","D","E"},
_xlpm.ans,UPPER(SUBSTITUTE(SUBSTITUTE(SUBSTITUTE(SUBSTITUTE(SUBSTITUTE(TRIM($B40),"　","")," ",""),",",""),"，",""),"、","")),
_xlpm.resp,UPPER(SUBSTITUTE(SUBSTITUTE(SUBSTITUTE(SUBSTITUTE(SUBSTITUTE(TRIM(D40),"　","")," ",""),",",""),"，",""),"、","")),
IF(_xlpm.resp="",99,
SUMPRODUCT(--(ISNUMBER(SEARCH(_xlpm.opts,_xlpm.ans))&lt;&gt;ISNUMBER(SEARCH(_xlpm.opts,_xlpm.resp)))))
)</f>
        <v>0</v>
      </c>
      <c r="J40" s="53" cm="1">
        <f t="array" ref="J40">_xlfn.LET(
_xlpm.opts,{"A","B","C","D","E"},
_xlpm.ans,UPPER(SUBSTITUTE(SUBSTITUTE(SUBSTITUTE(SUBSTITUTE(SUBSTITUTE(TRIM($B40),"　","")," ",""),",",""),"，",""),"、","")),
_xlpm.resp,UPPER(SUBSTITUTE(SUBSTITUTE(SUBSTITUTE(SUBSTITUTE(SUBSTITUTE(TRIM(E40),"　","")," ",""),",",""),"，",""),"、","")),
IF(_xlpm.resp="",99,
SUMPRODUCT(--(ISNUMBER(SEARCH(_xlpm.opts,_xlpm.ans))&lt;&gt;ISNUMBER(SEARCH(_xlpm.opts,_xlpm.resp)))))
)</f>
        <v>1</v>
      </c>
      <c r="K40" s="53" cm="1">
        <f t="array" ref="K40">_xlfn.LET(
_xlpm.opts,{"A","B","C","D","E"},
_xlpm.ans,UPPER(SUBSTITUTE(SUBSTITUTE(SUBSTITUTE(SUBSTITUTE(SUBSTITUTE(TRIM($B40),"　","")," ",""),",",""),"，",""),"、","")),
_xlpm.resp,UPPER(SUBSTITUTE(SUBSTITUTE(SUBSTITUTE(SUBSTITUTE(SUBSTITUTE(TRIM(F40),"　","")," ",""),",",""),"，",""),"、","")),
IF(_xlpm.resp="",99,
SUMPRODUCT(--(ISNUMBER(SEARCH(_xlpm.opts,_xlpm.ans))&lt;&gt;ISNUMBER(SEARCH(_xlpm.opts,_xlpm.resp)))))
)</f>
        <v>0</v>
      </c>
      <c r="L40" s="53" cm="1">
        <f t="array" ref="L40">_xlfn.LET(
_xlpm.opts,{"A","B","C","D","E"},
_xlpm.ans,UPPER(SUBSTITUTE(SUBSTITUTE(SUBSTITUTE(SUBSTITUTE(SUBSTITUTE(TRIM($B40),"　","")," ",""),",",""),"，",""),"、","")),
_xlpm.resp,UPPER(SUBSTITUTE(SUBSTITUTE(SUBSTITUTE(SUBSTITUTE(SUBSTITUTE(TRIM(G40),"　","")," ",""),",",""),"，",""),"、","")),
IF(_xlpm.resp="",99,
SUMPRODUCT(--(ISNUMBER(SEARCH(_xlpm.opts,_xlpm.ans))&lt;&gt;ISNUMBER(SEARCH(_xlpm.opts,_xlpm.resp)))))
)</f>
        <v>0</v>
      </c>
      <c r="M40" s="54">
        <f>IF(H40=0,3,IF(H40=1,1.8,IF(H40=2,0.6,0)))</f>
        <v>3</v>
      </c>
      <c r="N40" s="54">
        <f t="shared" ref="N40:N41" si="28">IF(I40=0,3,IF(I40=1,1.8,IF(I40=2,0.6,0)))</f>
        <v>3</v>
      </c>
      <c r="O40" s="54">
        <f t="shared" ref="O40:O41" si="29">IF(J40=0,3,IF(J40=1,1.8,IF(J40=2,0.6,0)))</f>
        <v>1.8</v>
      </c>
      <c r="P40" s="54">
        <f t="shared" ref="P40:P41" si="30">IF(K40=0,3,IF(K40=1,1.8,IF(K40=2,0.6,0)))</f>
        <v>3</v>
      </c>
      <c r="Q40" s="54">
        <f t="shared" ref="Q40:Q41" si="31">IF(L40=0,3,IF(L40=1,1.8,IF(L40=2,0.6,0)))</f>
        <v>3</v>
      </c>
      <c r="R40" s="11"/>
      <c r="S40" s="11"/>
      <c r="T40" s="11"/>
      <c r="U40" s="11"/>
      <c r="V40" s="11"/>
      <c r="W40" s="11"/>
      <c r="X40" s="11"/>
      <c r="Y40" s="11"/>
      <c r="Z40" s="11"/>
      <c r="AA40" s="11"/>
      <c r="AB40" s="11"/>
      <c r="AC40" s="11"/>
      <c r="AD40" s="11"/>
      <c r="AE40" s="11"/>
      <c r="AF40" s="11"/>
      <c r="AG40" s="11"/>
      <c r="AH40" s="11"/>
      <c r="AI40" s="11"/>
      <c r="AJ40" s="11"/>
    </row>
    <row r="41" spans="1:36" ht="15.75" customHeight="1">
      <c r="A41" s="46" t="s">
        <v>420</v>
      </c>
      <c r="B41" s="47" t="s">
        <v>421</v>
      </c>
      <c r="C41" s="68" t="s">
        <v>18</v>
      </c>
      <c r="D41" s="68" t="s">
        <v>47</v>
      </c>
      <c r="E41" s="50" t="s">
        <v>23</v>
      </c>
      <c r="F41" s="50" t="s">
        <v>18</v>
      </c>
      <c r="G41" s="68" t="s">
        <v>18</v>
      </c>
      <c r="H41" s="53" cm="1">
        <f t="array" ref="H41">_xlfn.LET(
_xlpm.opts,{"A","B","C","D","E"},
_xlpm.ans,UPPER(SUBSTITUTE(SUBSTITUTE(SUBSTITUTE(SUBSTITUTE(SUBSTITUTE(TRIM($B41),"　","")," ",""),",",""),"，",""),"、","")),
_xlpm.resp,UPPER(SUBSTITUTE(SUBSTITUTE(SUBSTITUTE(SUBSTITUTE(SUBSTITUTE(TRIM(C41),"　","")," ",""),",",""),"，",""),"、","")),
IF(_xlpm.resp="",99,
SUMPRODUCT(--(ISNUMBER(SEARCH(_xlpm.opts,_xlpm.ans))&lt;&gt;ISNUMBER(SEARCH(_xlpm.opts,_xlpm.resp)))))
)</f>
        <v>1</v>
      </c>
      <c r="I41" s="53" cm="1">
        <f t="array" ref="I41">_xlfn.LET(
_xlpm.opts,{"A","B","C","D","E"},
_xlpm.ans,UPPER(SUBSTITUTE(SUBSTITUTE(SUBSTITUTE(SUBSTITUTE(SUBSTITUTE(TRIM($B41),"　","")," ",""),",",""),"，",""),"、","")),
_xlpm.resp,UPPER(SUBSTITUTE(SUBSTITUTE(SUBSTITUTE(SUBSTITUTE(SUBSTITUTE(TRIM(D41),"　","")," ",""),",",""),"，",""),"、","")),
IF(_xlpm.resp="",99,
SUMPRODUCT(--(ISNUMBER(SEARCH(_xlpm.opts,_xlpm.ans))&lt;&gt;ISNUMBER(SEARCH(_xlpm.opts,_xlpm.resp)))))
)</f>
        <v>3</v>
      </c>
      <c r="J41" s="53" cm="1">
        <f t="array" ref="J41">_xlfn.LET(
_xlpm.opts,{"A","B","C","D","E"},
_xlpm.ans,UPPER(SUBSTITUTE(SUBSTITUTE(SUBSTITUTE(SUBSTITUTE(SUBSTITUTE(TRIM($B41),"　","")," ",""),",",""),"，",""),"、","")),
_xlpm.resp,UPPER(SUBSTITUTE(SUBSTITUTE(SUBSTITUTE(SUBSTITUTE(SUBSTITUTE(TRIM(E41),"　","")," ",""),",",""),"，",""),"、","")),
IF(_xlpm.resp="",99,
SUMPRODUCT(--(ISNUMBER(SEARCH(_xlpm.opts,_xlpm.ans))&lt;&gt;ISNUMBER(SEARCH(_xlpm.opts,_xlpm.resp)))))
)</f>
        <v>3</v>
      </c>
      <c r="K41" s="53" cm="1">
        <f t="array" ref="K41">_xlfn.LET(
_xlpm.opts,{"A","B","C","D","E"},
_xlpm.ans,UPPER(SUBSTITUTE(SUBSTITUTE(SUBSTITUTE(SUBSTITUTE(SUBSTITUTE(TRIM($B41),"　","")," ",""),",",""),"，",""),"、","")),
_xlpm.resp,UPPER(SUBSTITUTE(SUBSTITUTE(SUBSTITUTE(SUBSTITUTE(SUBSTITUTE(TRIM(F41),"　","")," ",""),",",""),"，",""),"、","")),
IF(_xlpm.resp="",99,
SUMPRODUCT(--(ISNUMBER(SEARCH(_xlpm.opts,_xlpm.ans))&lt;&gt;ISNUMBER(SEARCH(_xlpm.opts,_xlpm.resp)))))
)</f>
        <v>1</v>
      </c>
      <c r="L41" s="53" cm="1">
        <f t="array" ref="L41">_xlfn.LET(
_xlpm.opts,{"A","B","C","D","E"},
_xlpm.ans,UPPER(SUBSTITUTE(SUBSTITUTE(SUBSTITUTE(SUBSTITUTE(SUBSTITUTE(TRIM($B41),"　","")," ",""),",",""),"，",""),"、","")),
_xlpm.resp,UPPER(SUBSTITUTE(SUBSTITUTE(SUBSTITUTE(SUBSTITUTE(SUBSTITUTE(TRIM(G41),"　","")," ",""),",",""),"，",""),"、","")),
IF(_xlpm.resp="",99,
SUMPRODUCT(--(ISNUMBER(SEARCH(_xlpm.opts,_xlpm.ans))&lt;&gt;ISNUMBER(SEARCH(_xlpm.opts,_xlpm.resp)))))
)</f>
        <v>1</v>
      </c>
      <c r="M41" s="54">
        <f>IF(H41=0,3,IF(H41=1,1.8,IF(H41=2,0.6,0)))</f>
        <v>1.8</v>
      </c>
      <c r="N41" s="54">
        <f t="shared" si="28"/>
        <v>0</v>
      </c>
      <c r="O41" s="54">
        <f t="shared" si="29"/>
        <v>0</v>
      </c>
      <c r="P41" s="54">
        <f t="shared" si="30"/>
        <v>1.8</v>
      </c>
      <c r="Q41" s="54">
        <f t="shared" si="31"/>
        <v>1.8</v>
      </c>
      <c r="R41" s="11"/>
      <c r="S41" s="11"/>
      <c r="T41" s="11"/>
      <c r="U41" s="11"/>
      <c r="V41" s="11"/>
      <c r="W41" s="11"/>
      <c r="X41" s="11"/>
      <c r="Y41" s="11"/>
      <c r="Z41" s="11"/>
      <c r="AA41" s="11"/>
      <c r="AB41" s="11"/>
      <c r="AC41" s="11"/>
      <c r="AD41" s="11"/>
      <c r="AE41" s="11"/>
      <c r="AF41" s="11"/>
      <c r="AG41" s="11"/>
      <c r="AH41" s="11"/>
      <c r="AI41" s="11"/>
      <c r="AJ41" s="11"/>
    </row>
    <row r="42" spans="1:36" ht="15.75" customHeight="1">
      <c r="A42" s="49" t="s">
        <v>422</v>
      </c>
      <c r="B42" s="47"/>
      <c r="C42" s="68"/>
      <c r="D42" s="68"/>
      <c r="E42" s="50"/>
      <c r="F42" s="50"/>
      <c r="G42" s="68"/>
      <c r="H42" s="50"/>
      <c r="I42" s="50"/>
      <c r="J42" s="50"/>
      <c r="K42" s="50"/>
      <c r="L42" s="50"/>
      <c r="M42" s="48"/>
      <c r="N42" s="48"/>
      <c r="O42" s="48"/>
      <c r="P42" s="48"/>
      <c r="Q42" s="48"/>
      <c r="R42" s="11"/>
      <c r="S42" s="11"/>
      <c r="T42" s="11"/>
      <c r="U42" s="11"/>
      <c r="V42" s="11"/>
      <c r="W42" s="11"/>
      <c r="X42" s="11"/>
      <c r="Y42" s="11"/>
      <c r="Z42" s="11"/>
      <c r="AA42" s="11"/>
      <c r="AB42" s="11"/>
      <c r="AC42" s="11"/>
      <c r="AD42" s="11"/>
      <c r="AE42" s="11"/>
      <c r="AF42" s="11"/>
      <c r="AG42" s="11"/>
      <c r="AH42" s="11"/>
      <c r="AI42" s="11"/>
      <c r="AJ42" s="11"/>
    </row>
    <row r="43" spans="1:36" ht="15.75" customHeight="1">
      <c r="A43" s="46" t="s">
        <v>423</v>
      </c>
      <c r="B43" s="47" t="s">
        <v>150</v>
      </c>
      <c r="C43" s="68" t="s">
        <v>18</v>
      </c>
      <c r="D43" s="68" t="s">
        <v>20</v>
      </c>
      <c r="E43" s="50" t="s">
        <v>18</v>
      </c>
      <c r="F43" s="50" t="s">
        <v>18</v>
      </c>
      <c r="G43" s="68" t="s">
        <v>18</v>
      </c>
      <c r="H43" s="50"/>
      <c r="I43" s="50"/>
      <c r="J43" s="50"/>
      <c r="K43" s="50"/>
      <c r="L43" s="50"/>
      <c r="M43" s="48">
        <f t="shared" ref="M43:Q43" si="32">IF(TRIM(SUBSTITUTE(C43, "　", " "))=TRIM(SUBSTITUTE($B43, "　", " ")), 2, 0)</f>
        <v>2</v>
      </c>
      <c r="N43" s="48">
        <f t="shared" si="32"/>
        <v>0</v>
      </c>
      <c r="O43" s="48">
        <f t="shared" si="32"/>
        <v>2</v>
      </c>
      <c r="P43" s="48">
        <f t="shared" si="32"/>
        <v>2</v>
      </c>
      <c r="Q43" s="48">
        <f t="shared" si="32"/>
        <v>2</v>
      </c>
      <c r="R43" s="11"/>
      <c r="S43" s="11"/>
      <c r="T43" s="11"/>
      <c r="U43" s="11"/>
      <c r="V43" s="11"/>
      <c r="W43" s="11"/>
      <c r="X43" s="11"/>
      <c r="Y43" s="11"/>
      <c r="Z43" s="11"/>
      <c r="AA43" s="11"/>
      <c r="AB43" s="11"/>
      <c r="AC43" s="11"/>
      <c r="AD43" s="11"/>
      <c r="AE43" s="11"/>
      <c r="AF43" s="11"/>
      <c r="AG43" s="11"/>
      <c r="AH43" s="11"/>
      <c r="AI43" s="11"/>
      <c r="AJ43" s="11"/>
    </row>
    <row r="44" spans="1:36" ht="15.75" customHeight="1">
      <c r="A44" s="69" t="s">
        <v>424</v>
      </c>
      <c r="B44" s="47" t="s">
        <v>425</v>
      </c>
      <c r="C44" s="68" t="s">
        <v>426</v>
      </c>
      <c r="D44" s="68" t="s">
        <v>427</v>
      </c>
      <c r="E44" s="68" t="s">
        <v>428</v>
      </c>
      <c r="F44" s="68" t="s">
        <v>429</v>
      </c>
      <c r="G44" s="70" t="s">
        <v>430</v>
      </c>
      <c r="H44" s="50"/>
      <c r="I44" s="50"/>
      <c r="J44" s="50"/>
      <c r="K44" s="50"/>
      <c r="L44" s="50"/>
      <c r="M44" s="71">
        <v>6</v>
      </c>
      <c r="N44" s="71">
        <v>6</v>
      </c>
      <c r="O44" s="71">
        <v>6</v>
      </c>
      <c r="P44" s="71">
        <v>6</v>
      </c>
      <c r="Q44" s="71">
        <v>6</v>
      </c>
      <c r="R44" s="11"/>
      <c r="S44" s="11"/>
      <c r="T44" s="11"/>
      <c r="U44" s="11"/>
      <c r="V44" s="11"/>
      <c r="W44" s="11"/>
      <c r="X44" s="11"/>
      <c r="Y44" s="11"/>
      <c r="Z44" s="11"/>
      <c r="AA44" s="11"/>
      <c r="AB44" s="11"/>
      <c r="AC44" s="11"/>
      <c r="AD44" s="11"/>
      <c r="AE44" s="11"/>
      <c r="AF44" s="11"/>
      <c r="AG44" s="11"/>
      <c r="AH44" s="11"/>
      <c r="AI44" s="11"/>
      <c r="AJ44" s="11"/>
    </row>
    <row r="45" spans="1:36" ht="15.75" customHeight="1">
      <c r="A45" s="49" t="s">
        <v>431</v>
      </c>
      <c r="B45" s="47"/>
      <c r="C45" s="68"/>
      <c r="D45" s="68"/>
      <c r="E45" s="50"/>
      <c r="F45" s="50"/>
      <c r="G45" s="68"/>
      <c r="H45" s="50"/>
      <c r="I45" s="50"/>
      <c r="J45" s="50"/>
      <c r="K45" s="50"/>
      <c r="L45" s="50"/>
      <c r="M45" s="48"/>
      <c r="N45" s="48"/>
      <c r="O45" s="48"/>
      <c r="P45" s="48"/>
      <c r="Q45" s="48"/>
      <c r="R45" s="11"/>
      <c r="S45" s="11"/>
      <c r="T45" s="11"/>
      <c r="U45" s="11"/>
      <c r="V45" s="11"/>
      <c r="W45" s="11"/>
      <c r="X45" s="11"/>
      <c r="Y45" s="11"/>
      <c r="Z45" s="11"/>
      <c r="AA45" s="11"/>
      <c r="AB45" s="11"/>
      <c r="AC45" s="11"/>
      <c r="AD45" s="11"/>
      <c r="AE45" s="11"/>
      <c r="AF45" s="11"/>
      <c r="AG45" s="11"/>
      <c r="AH45" s="11"/>
      <c r="AI45" s="11"/>
      <c r="AJ45" s="11"/>
    </row>
    <row r="46" spans="1:36" ht="15.75" customHeight="1">
      <c r="A46" s="69" t="s">
        <v>432</v>
      </c>
      <c r="B46" s="47" t="s">
        <v>433</v>
      </c>
      <c r="C46" s="46" t="s">
        <v>434</v>
      </c>
      <c r="D46" s="68" t="s">
        <v>435</v>
      </c>
      <c r="E46" s="68" t="s">
        <v>436</v>
      </c>
      <c r="F46" s="68" t="s">
        <v>437</v>
      </c>
      <c r="G46" s="68" t="s">
        <v>438</v>
      </c>
      <c r="H46" s="68"/>
      <c r="I46" s="50"/>
      <c r="J46" s="50"/>
      <c r="K46" s="50"/>
      <c r="L46" s="50"/>
      <c r="M46" s="71">
        <v>6</v>
      </c>
      <c r="N46" s="71">
        <v>6</v>
      </c>
      <c r="O46" s="71">
        <v>6</v>
      </c>
      <c r="P46" s="71">
        <v>6</v>
      </c>
      <c r="Q46" s="71">
        <v>6</v>
      </c>
      <c r="R46" s="11"/>
      <c r="S46" s="11"/>
      <c r="T46" s="11"/>
      <c r="U46" s="11"/>
      <c r="V46" s="11"/>
      <c r="W46" s="11"/>
      <c r="X46" s="11"/>
      <c r="Y46" s="11"/>
      <c r="Z46" s="11"/>
      <c r="AA46" s="11"/>
      <c r="AB46" s="11"/>
      <c r="AC46" s="11"/>
      <c r="AD46" s="11"/>
      <c r="AE46" s="11"/>
      <c r="AF46" s="11"/>
      <c r="AG46" s="11"/>
      <c r="AH46" s="11"/>
      <c r="AI46" s="11"/>
      <c r="AJ46" s="11"/>
    </row>
    <row r="47" spans="1:36" ht="15.75" customHeight="1">
      <c r="A47" s="69" t="s">
        <v>439</v>
      </c>
      <c r="B47" s="47" t="s">
        <v>440</v>
      </c>
      <c r="C47" s="68" t="s">
        <v>441</v>
      </c>
      <c r="D47" s="68" t="s">
        <v>442</v>
      </c>
      <c r="E47" s="68" t="s">
        <v>443</v>
      </c>
      <c r="F47" s="72" t="s">
        <v>444</v>
      </c>
      <c r="G47" s="68" t="s">
        <v>445</v>
      </c>
      <c r="H47" s="68"/>
      <c r="I47" s="50"/>
      <c r="J47" s="50"/>
      <c r="K47" s="50"/>
      <c r="L47" s="50"/>
      <c r="M47" s="71">
        <v>6</v>
      </c>
      <c r="N47" s="71">
        <v>6</v>
      </c>
      <c r="O47" s="71">
        <v>4</v>
      </c>
      <c r="P47" s="71">
        <v>6</v>
      </c>
      <c r="Q47" s="71">
        <v>6</v>
      </c>
      <c r="R47" s="11"/>
      <c r="S47" s="11"/>
      <c r="T47" s="11"/>
      <c r="U47" s="11"/>
      <c r="V47" s="11"/>
      <c r="W47" s="11"/>
      <c r="X47" s="11"/>
      <c r="Y47" s="11"/>
      <c r="Z47" s="11"/>
      <c r="AA47" s="11"/>
      <c r="AB47" s="11"/>
      <c r="AC47" s="11"/>
      <c r="AD47" s="11"/>
      <c r="AE47" s="11"/>
      <c r="AF47" s="11"/>
      <c r="AG47" s="11"/>
      <c r="AH47" s="11"/>
      <c r="AI47" s="11"/>
      <c r="AJ47" s="11"/>
    </row>
    <row r="48" spans="1:36" ht="15.75" customHeight="1">
      <c r="A48" s="46" t="s">
        <v>446</v>
      </c>
      <c r="B48" s="47" t="s">
        <v>150</v>
      </c>
      <c r="C48" s="68" t="s">
        <v>18</v>
      </c>
      <c r="D48" s="68" t="s">
        <v>18</v>
      </c>
      <c r="E48" s="50" t="s">
        <v>20</v>
      </c>
      <c r="F48" s="50" t="s">
        <v>18</v>
      </c>
      <c r="G48" s="68" t="s">
        <v>18</v>
      </c>
      <c r="H48" s="50"/>
      <c r="I48" s="50"/>
      <c r="J48" s="50"/>
      <c r="K48" s="50"/>
      <c r="L48" s="50"/>
      <c r="M48" s="48">
        <f t="shared" ref="M48:Q48" si="33">IF(TRIM(SUBSTITUTE(C48, "　", " "))=TRIM(SUBSTITUTE($B48, "　", " ")), 2, 0)</f>
        <v>2</v>
      </c>
      <c r="N48" s="48">
        <f t="shared" si="33"/>
        <v>2</v>
      </c>
      <c r="O48" s="48">
        <f t="shared" si="33"/>
        <v>0</v>
      </c>
      <c r="P48" s="48">
        <f t="shared" si="33"/>
        <v>2</v>
      </c>
      <c r="Q48" s="48">
        <f t="shared" si="33"/>
        <v>2</v>
      </c>
      <c r="R48" s="11"/>
      <c r="S48" s="11"/>
      <c r="T48" s="11"/>
      <c r="U48" s="11"/>
      <c r="V48" s="11"/>
      <c r="W48" s="11"/>
      <c r="X48" s="11"/>
      <c r="Y48" s="11"/>
      <c r="Z48" s="11"/>
      <c r="AA48" s="11"/>
      <c r="AB48" s="11"/>
      <c r="AC48" s="11"/>
      <c r="AD48" s="11"/>
      <c r="AE48" s="11"/>
      <c r="AF48" s="11"/>
      <c r="AG48" s="11"/>
      <c r="AH48" s="11"/>
      <c r="AI48" s="11"/>
      <c r="AJ48" s="11"/>
    </row>
    <row r="49" spans="1:36" ht="15.75" customHeight="1">
      <c r="A49" s="24"/>
      <c r="B49" s="25"/>
      <c r="C49" s="73"/>
      <c r="D49" s="73"/>
      <c r="E49" s="26"/>
      <c r="F49" s="26"/>
      <c r="G49" s="73"/>
      <c r="H49" s="26"/>
      <c r="I49" s="26"/>
      <c r="J49" s="26"/>
      <c r="K49" s="26"/>
      <c r="L49" s="26"/>
      <c r="M49" s="27"/>
      <c r="N49" s="27"/>
      <c r="O49" s="27"/>
      <c r="P49" s="27"/>
      <c r="Q49" s="27"/>
      <c r="R49" s="11"/>
      <c r="S49" s="11"/>
      <c r="T49" s="11"/>
      <c r="U49" s="11"/>
      <c r="V49" s="11"/>
      <c r="W49" s="11"/>
      <c r="X49" s="11"/>
      <c r="Y49" s="11"/>
      <c r="Z49" s="11"/>
      <c r="AA49" s="11"/>
      <c r="AB49" s="11"/>
      <c r="AC49" s="11"/>
      <c r="AD49" s="11"/>
      <c r="AE49" s="11"/>
      <c r="AF49" s="11"/>
      <c r="AG49" s="11"/>
      <c r="AH49" s="11"/>
      <c r="AI49" s="11"/>
      <c r="AJ49" s="11"/>
    </row>
    <row r="50" spans="1:36" ht="15.75" customHeight="1">
      <c r="A50" s="24"/>
      <c r="B50" s="25"/>
      <c r="C50" s="73"/>
      <c r="D50" s="73"/>
      <c r="E50" s="26"/>
      <c r="F50" s="26"/>
      <c r="G50" s="73"/>
      <c r="H50" s="26"/>
      <c r="I50" s="26"/>
      <c r="J50" s="26"/>
      <c r="K50" s="26"/>
      <c r="L50" s="26"/>
      <c r="M50" s="27"/>
      <c r="N50" s="27"/>
      <c r="O50" s="27"/>
      <c r="P50" s="27"/>
      <c r="Q50" s="27"/>
      <c r="R50" s="11"/>
      <c r="S50" s="11"/>
      <c r="T50" s="11"/>
      <c r="U50" s="11"/>
      <c r="V50" s="11"/>
      <c r="W50" s="11"/>
      <c r="X50" s="11"/>
      <c r="Y50" s="11"/>
      <c r="Z50" s="11"/>
      <c r="AA50" s="11"/>
      <c r="AB50" s="11"/>
      <c r="AC50" s="11"/>
      <c r="AD50" s="11"/>
      <c r="AE50" s="11"/>
      <c r="AF50" s="11"/>
      <c r="AG50" s="11"/>
      <c r="AH50" s="11"/>
      <c r="AI50" s="11"/>
      <c r="AJ50" s="11"/>
    </row>
    <row r="51" spans="1:36" ht="15.75" customHeight="1">
      <c r="A51" s="24"/>
      <c r="B51" s="25"/>
      <c r="C51" s="73"/>
      <c r="D51" s="73"/>
      <c r="E51" s="26"/>
      <c r="F51" s="26"/>
      <c r="G51" s="73"/>
      <c r="H51" s="26"/>
      <c r="I51" s="26"/>
      <c r="J51" s="26"/>
      <c r="K51" s="26"/>
      <c r="L51" s="26"/>
      <c r="M51" s="27"/>
      <c r="N51" s="27"/>
      <c r="O51" s="27"/>
      <c r="P51" s="27"/>
      <c r="Q51" s="27"/>
      <c r="R51" s="11"/>
      <c r="S51" s="11"/>
      <c r="T51" s="11"/>
      <c r="U51" s="11"/>
      <c r="V51" s="11"/>
      <c r="W51" s="11"/>
      <c r="X51" s="11"/>
      <c r="Y51" s="11"/>
      <c r="Z51" s="11"/>
      <c r="AA51" s="11"/>
      <c r="AB51" s="11"/>
      <c r="AC51" s="11"/>
      <c r="AD51" s="11"/>
      <c r="AE51" s="11"/>
      <c r="AF51" s="11"/>
      <c r="AG51" s="11"/>
      <c r="AH51" s="11"/>
      <c r="AI51" s="11"/>
      <c r="AJ51" s="11"/>
    </row>
    <row r="52" spans="1:36" ht="15.75" customHeight="1">
      <c r="A52" s="24"/>
      <c r="B52" s="25"/>
      <c r="C52" s="73"/>
      <c r="D52" s="73"/>
      <c r="E52" s="26"/>
      <c r="F52" s="26"/>
      <c r="G52" s="73"/>
      <c r="H52" s="26"/>
      <c r="I52" s="26"/>
      <c r="J52" s="26"/>
      <c r="K52" s="26"/>
      <c r="L52" s="26"/>
      <c r="M52" s="27"/>
      <c r="N52" s="27"/>
      <c r="O52" s="27"/>
      <c r="P52" s="27"/>
      <c r="Q52" s="27"/>
      <c r="R52" s="11"/>
      <c r="S52" s="11"/>
      <c r="T52" s="11"/>
      <c r="U52" s="11"/>
      <c r="V52" s="11"/>
      <c r="W52" s="11"/>
      <c r="X52" s="11"/>
      <c r="Y52" s="11"/>
      <c r="Z52" s="11"/>
      <c r="AA52" s="11"/>
      <c r="AB52" s="11"/>
      <c r="AC52" s="11"/>
      <c r="AD52" s="11"/>
      <c r="AE52" s="11"/>
      <c r="AF52" s="11"/>
      <c r="AG52" s="11"/>
      <c r="AH52" s="11"/>
      <c r="AI52" s="11"/>
      <c r="AJ52" s="11"/>
    </row>
    <row r="53" spans="1:36" ht="15.75" customHeight="1">
      <c r="A53" s="24"/>
      <c r="B53" s="25"/>
      <c r="C53" s="73"/>
      <c r="D53" s="73"/>
      <c r="E53" s="26"/>
      <c r="F53" s="26"/>
      <c r="G53" s="73"/>
      <c r="H53" s="26"/>
      <c r="I53" s="26"/>
      <c r="J53" s="26"/>
      <c r="K53" s="26"/>
      <c r="L53" s="26"/>
      <c r="M53" s="27"/>
      <c r="N53" s="27"/>
      <c r="O53" s="27"/>
      <c r="P53" s="27"/>
      <c r="Q53" s="27"/>
      <c r="R53" s="11"/>
      <c r="S53" s="11"/>
      <c r="T53" s="11"/>
      <c r="U53" s="11"/>
      <c r="V53" s="11"/>
      <c r="W53" s="11"/>
      <c r="X53" s="11"/>
      <c r="Y53" s="11"/>
      <c r="Z53" s="11"/>
      <c r="AA53" s="11"/>
      <c r="AB53" s="11"/>
      <c r="AC53" s="11"/>
      <c r="AD53" s="11"/>
      <c r="AE53" s="11"/>
      <c r="AF53" s="11"/>
      <c r="AG53" s="11"/>
      <c r="AH53" s="11"/>
      <c r="AI53" s="11"/>
      <c r="AJ53" s="11"/>
    </row>
    <row r="54" spans="1:36" ht="15.75" customHeight="1">
      <c r="A54" s="24"/>
      <c r="B54" s="25"/>
      <c r="C54" s="73"/>
      <c r="D54" s="73"/>
      <c r="E54" s="26"/>
      <c r="F54" s="26"/>
      <c r="G54" s="73"/>
      <c r="H54" s="25"/>
      <c r="I54" s="25"/>
      <c r="J54" s="25"/>
      <c r="K54" s="25"/>
      <c r="L54" s="25"/>
      <c r="M54" s="27"/>
      <c r="N54" s="27"/>
      <c r="O54" s="27"/>
      <c r="P54" s="27"/>
      <c r="Q54" s="27"/>
      <c r="R54" s="11"/>
      <c r="S54" s="11"/>
      <c r="T54" s="11"/>
      <c r="U54" s="11"/>
      <c r="V54" s="11"/>
      <c r="W54" s="11"/>
      <c r="X54" s="11"/>
      <c r="Y54" s="11"/>
      <c r="Z54" s="11"/>
      <c r="AA54" s="11"/>
      <c r="AB54" s="11"/>
      <c r="AC54" s="11"/>
      <c r="AD54" s="11"/>
      <c r="AE54" s="11"/>
      <c r="AF54" s="11"/>
      <c r="AG54" s="11"/>
      <c r="AH54" s="11"/>
      <c r="AI54" s="11"/>
      <c r="AJ54" s="11"/>
    </row>
    <row r="55" spans="1:36" ht="15.75" customHeight="1">
      <c r="A55" s="24"/>
      <c r="B55" s="25"/>
      <c r="C55" s="73"/>
      <c r="D55" s="73"/>
      <c r="E55" s="26"/>
      <c r="F55" s="26"/>
      <c r="G55" s="73"/>
      <c r="H55" s="26"/>
      <c r="I55" s="26"/>
      <c r="J55" s="26"/>
      <c r="K55" s="26"/>
      <c r="L55" s="26"/>
      <c r="M55" s="27"/>
      <c r="N55" s="27"/>
      <c r="O55" s="27"/>
      <c r="P55" s="27"/>
      <c r="Q55" s="27"/>
      <c r="R55" s="11"/>
      <c r="S55" s="11"/>
      <c r="T55" s="11"/>
      <c r="U55" s="11"/>
      <c r="V55" s="11"/>
      <c r="W55" s="11"/>
      <c r="X55" s="11"/>
      <c r="Y55" s="11"/>
      <c r="Z55" s="11"/>
      <c r="AA55" s="11"/>
      <c r="AB55" s="11"/>
      <c r="AC55" s="11"/>
      <c r="AD55" s="11"/>
      <c r="AE55" s="11"/>
      <c r="AF55" s="11"/>
      <c r="AG55" s="11"/>
      <c r="AH55" s="11"/>
      <c r="AI55" s="11"/>
      <c r="AJ55" s="11"/>
    </row>
    <row r="56" spans="1:36" ht="15.75" customHeight="1">
      <c r="A56" s="24"/>
      <c r="B56" s="25"/>
      <c r="C56" s="73"/>
      <c r="D56" s="73"/>
      <c r="E56" s="26"/>
      <c r="F56" s="26"/>
      <c r="G56" s="73"/>
      <c r="H56" s="26"/>
      <c r="I56" s="26"/>
      <c r="J56" s="26"/>
      <c r="K56" s="26"/>
      <c r="L56" s="26"/>
      <c r="M56" s="27"/>
      <c r="N56" s="27"/>
      <c r="O56" s="27"/>
      <c r="P56" s="27"/>
      <c r="Q56" s="27"/>
      <c r="R56" s="11"/>
      <c r="S56" s="11"/>
      <c r="T56" s="11"/>
      <c r="U56" s="11"/>
      <c r="V56" s="11"/>
      <c r="W56" s="11"/>
      <c r="X56" s="11"/>
      <c r="Y56" s="11"/>
      <c r="Z56" s="11"/>
      <c r="AA56" s="11"/>
      <c r="AB56" s="11"/>
      <c r="AC56" s="11"/>
      <c r="AD56" s="11"/>
      <c r="AE56" s="11"/>
      <c r="AF56" s="11"/>
      <c r="AG56" s="11"/>
      <c r="AH56" s="11"/>
      <c r="AI56" s="11"/>
      <c r="AJ56" s="11"/>
    </row>
    <row r="57" spans="1:36" ht="15.75" customHeight="1">
      <c r="A57" s="24"/>
      <c r="B57" s="25"/>
      <c r="C57" s="73"/>
      <c r="D57" s="73"/>
      <c r="E57" s="26"/>
      <c r="F57" s="26"/>
      <c r="G57" s="73"/>
      <c r="H57" s="26"/>
      <c r="I57" s="26"/>
      <c r="J57" s="26"/>
      <c r="K57" s="26"/>
      <c r="L57" s="26"/>
      <c r="M57" s="27"/>
      <c r="N57" s="27"/>
      <c r="O57" s="27"/>
      <c r="P57" s="27"/>
      <c r="Q57" s="27"/>
      <c r="R57" s="11"/>
      <c r="S57" s="11"/>
      <c r="T57" s="11"/>
      <c r="U57" s="11"/>
      <c r="V57" s="11"/>
      <c r="W57" s="11"/>
      <c r="X57" s="11"/>
      <c r="Y57" s="11"/>
      <c r="Z57" s="11"/>
      <c r="AA57" s="11"/>
      <c r="AB57" s="11"/>
      <c r="AC57" s="11"/>
      <c r="AD57" s="11"/>
      <c r="AE57" s="11"/>
      <c r="AF57" s="11"/>
      <c r="AG57" s="11"/>
      <c r="AH57" s="11"/>
      <c r="AI57" s="11"/>
      <c r="AJ57" s="11"/>
    </row>
    <row r="58" spans="1:36" ht="15.75" customHeight="1">
      <c r="A58" s="24"/>
      <c r="B58" s="25"/>
      <c r="C58" s="73"/>
      <c r="D58" s="73"/>
      <c r="E58" s="26"/>
      <c r="F58" s="26"/>
      <c r="G58" s="73"/>
      <c r="H58" s="26"/>
      <c r="I58" s="26"/>
      <c r="J58" s="26"/>
      <c r="K58" s="26"/>
      <c r="L58" s="26"/>
      <c r="M58" s="27"/>
      <c r="N58" s="27"/>
      <c r="O58" s="27"/>
      <c r="P58" s="27"/>
      <c r="Q58" s="27"/>
      <c r="R58" s="11"/>
      <c r="S58" s="11"/>
      <c r="T58" s="11"/>
      <c r="U58" s="11"/>
      <c r="V58" s="11"/>
      <c r="W58" s="11"/>
      <c r="X58" s="11"/>
      <c r="Y58" s="11"/>
      <c r="Z58" s="11"/>
      <c r="AA58" s="11"/>
      <c r="AB58" s="11"/>
      <c r="AC58" s="11"/>
      <c r="AD58" s="11"/>
      <c r="AE58" s="11"/>
      <c r="AF58" s="11"/>
      <c r="AG58" s="11"/>
      <c r="AH58" s="11"/>
      <c r="AI58" s="11"/>
      <c r="AJ58" s="11"/>
    </row>
    <row r="59" spans="1:36" ht="15.75" customHeight="1">
      <c r="A59" s="24"/>
      <c r="B59" s="25"/>
      <c r="C59" s="73"/>
      <c r="D59" s="73"/>
      <c r="E59" s="26"/>
      <c r="F59" s="26"/>
      <c r="G59" s="73"/>
      <c r="H59" s="26"/>
      <c r="I59" s="26"/>
      <c r="J59" s="26"/>
      <c r="K59" s="26"/>
      <c r="L59" s="26"/>
      <c r="M59" s="27"/>
      <c r="N59" s="27"/>
      <c r="O59" s="27"/>
      <c r="P59" s="27"/>
      <c r="Q59" s="27"/>
      <c r="R59" s="11"/>
      <c r="S59" s="11"/>
      <c r="T59" s="11"/>
      <c r="U59" s="11"/>
      <c r="V59" s="11"/>
      <c r="W59" s="11"/>
      <c r="X59" s="11"/>
      <c r="Y59" s="11"/>
      <c r="Z59" s="11"/>
      <c r="AA59" s="11"/>
      <c r="AB59" s="11"/>
      <c r="AC59" s="11"/>
      <c r="AD59" s="11"/>
      <c r="AE59" s="11"/>
      <c r="AF59" s="11"/>
      <c r="AG59" s="11"/>
      <c r="AH59" s="11"/>
      <c r="AI59" s="11"/>
      <c r="AJ59" s="11"/>
    </row>
    <row r="60" spans="1:36" ht="15.75" customHeight="1">
      <c r="A60" s="24"/>
      <c r="B60" s="25"/>
      <c r="C60" s="73"/>
      <c r="D60" s="73"/>
      <c r="E60" s="26"/>
      <c r="F60" s="26"/>
      <c r="G60" s="73"/>
      <c r="H60" s="26"/>
      <c r="I60" s="26"/>
      <c r="J60" s="26"/>
      <c r="K60" s="26"/>
      <c r="L60" s="26"/>
      <c r="M60" s="27"/>
      <c r="N60" s="27"/>
      <c r="O60" s="27"/>
      <c r="P60" s="27"/>
      <c r="Q60" s="27"/>
      <c r="R60" s="11"/>
      <c r="S60" s="11"/>
      <c r="T60" s="11"/>
      <c r="U60" s="11"/>
      <c r="V60" s="11"/>
      <c r="W60" s="11"/>
      <c r="X60" s="11"/>
      <c r="Y60" s="11"/>
      <c r="Z60" s="11"/>
      <c r="AA60" s="11"/>
      <c r="AB60" s="11"/>
      <c r="AC60" s="11"/>
      <c r="AD60" s="11"/>
      <c r="AE60" s="11"/>
      <c r="AF60" s="11"/>
      <c r="AG60" s="11"/>
      <c r="AH60" s="11"/>
      <c r="AI60" s="11"/>
      <c r="AJ60" s="11"/>
    </row>
    <row r="61" spans="1:36" ht="15.75" customHeight="1">
      <c r="A61" s="24"/>
      <c r="B61" s="25"/>
      <c r="C61" s="73"/>
      <c r="D61" s="73"/>
      <c r="E61" s="26"/>
      <c r="F61" s="26"/>
      <c r="G61" s="73"/>
      <c r="H61" s="26"/>
      <c r="I61" s="26"/>
      <c r="J61" s="26"/>
      <c r="K61" s="26"/>
      <c r="L61" s="26"/>
      <c r="M61" s="27"/>
      <c r="N61" s="27"/>
      <c r="O61" s="27"/>
      <c r="P61" s="27"/>
      <c r="Q61" s="27"/>
      <c r="R61" s="11"/>
      <c r="S61" s="11"/>
      <c r="T61" s="11"/>
      <c r="U61" s="11"/>
      <c r="V61" s="11"/>
      <c r="W61" s="11"/>
      <c r="X61" s="11"/>
      <c r="Y61" s="11"/>
      <c r="Z61" s="11"/>
      <c r="AA61" s="11"/>
      <c r="AB61" s="11"/>
      <c r="AC61" s="11"/>
      <c r="AD61" s="11"/>
      <c r="AE61" s="11"/>
      <c r="AF61" s="11"/>
      <c r="AG61" s="11"/>
      <c r="AH61" s="11"/>
      <c r="AI61" s="11"/>
      <c r="AJ61" s="11"/>
    </row>
    <row r="62" spans="1:36" ht="15.75" customHeight="1">
      <c r="A62" s="24"/>
      <c r="B62" s="25"/>
      <c r="C62" s="73"/>
      <c r="D62" s="73"/>
      <c r="E62" s="26"/>
      <c r="F62" s="26"/>
      <c r="G62" s="73"/>
      <c r="H62" s="26"/>
      <c r="I62" s="26"/>
      <c r="J62" s="26"/>
      <c r="K62" s="26"/>
      <c r="L62" s="26"/>
      <c r="M62" s="27"/>
      <c r="N62" s="27"/>
      <c r="O62" s="27"/>
      <c r="P62" s="27"/>
      <c r="Q62" s="27"/>
      <c r="R62" s="11"/>
      <c r="S62" s="11"/>
      <c r="T62" s="11"/>
      <c r="U62" s="11"/>
      <c r="V62" s="11"/>
      <c r="W62" s="11"/>
      <c r="X62" s="11"/>
      <c r="Y62" s="11"/>
      <c r="Z62" s="11"/>
      <c r="AA62" s="11"/>
      <c r="AB62" s="11"/>
      <c r="AC62" s="11"/>
      <c r="AD62" s="11"/>
      <c r="AE62" s="11"/>
      <c r="AF62" s="11"/>
      <c r="AG62" s="11"/>
      <c r="AH62" s="11"/>
      <c r="AI62" s="11"/>
      <c r="AJ62" s="11"/>
    </row>
    <row r="63" spans="1:36" ht="15.75" customHeight="1">
      <c r="A63" s="24"/>
      <c r="B63" s="25"/>
      <c r="C63" s="73"/>
      <c r="D63" s="73"/>
      <c r="E63" s="26"/>
      <c r="F63" s="26"/>
      <c r="G63" s="73"/>
      <c r="H63" s="26"/>
      <c r="I63" s="26"/>
      <c r="J63" s="26"/>
      <c r="K63" s="26"/>
      <c r="L63" s="26"/>
      <c r="M63" s="13"/>
      <c r="N63" s="13"/>
      <c r="O63" s="13"/>
      <c r="P63" s="26"/>
      <c r="Q63" s="26"/>
      <c r="R63" s="11"/>
      <c r="S63" s="11"/>
      <c r="T63" s="11"/>
      <c r="U63" s="11"/>
      <c r="V63" s="11"/>
      <c r="W63" s="11"/>
      <c r="X63" s="11"/>
      <c r="Y63" s="11"/>
      <c r="Z63" s="11"/>
      <c r="AA63" s="11"/>
      <c r="AB63" s="11"/>
      <c r="AC63" s="11"/>
      <c r="AD63" s="11"/>
      <c r="AE63" s="11"/>
      <c r="AF63" s="11"/>
      <c r="AG63" s="11"/>
      <c r="AH63" s="11"/>
      <c r="AI63" s="11"/>
      <c r="AJ63" s="11"/>
    </row>
    <row r="64" spans="1:36" ht="15.75" customHeight="1">
      <c r="A64" s="24"/>
      <c r="B64" s="25"/>
      <c r="C64" s="73"/>
      <c r="D64" s="73"/>
      <c r="E64" s="26"/>
      <c r="F64" s="26"/>
      <c r="G64" s="73"/>
      <c r="H64" s="26"/>
      <c r="I64" s="26"/>
      <c r="J64" s="26"/>
      <c r="K64" s="26"/>
      <c r="L64" s="26"/>
      <c r="M64" s="29"/>
      <c r="N64" s="29"/>
      <c r="O64" s="29"/>
      <c r="P64" s="29"/>
      <c r="Q64" s="29"/>
      <c r="R64" s="11"/>
      <c r="S64" s="11"/>
      <c r="T64" s="11"/>
      <c r="U64" s="11"/>
      <c r="V64" s="11"/>
      <c r="W64" s="11"/>
      <c r="X64" s="11"/>
      <c r="Y64" s="11"/>
      <c r="Z64" s="11"/>
      <c r="AA64" s="11"/>
      <c r="AB64" s="11"/>
      <c r="AC64" s="11"/>
      <c r="AD64" s="11"/>
      <c r="AE64" s="11"/>
      <c r="AF64" s="11"/>
      <c r="AG64" s="11"/>
      <c r="AH64" s="11"/>
      <c r="AI64" s="11"/>
      <c r="AJ64" s="11"/>
    </row>
    <row r="65" spans="1:36" ht="15.75" customHeight="1">
      <c r="A65" s="24"/>
      <c r="B65" s="25"/>
      <c r="C65" s="73"/>
      <c r="D65" s="73"/>
      <c r="E65" s="26"/>
      <c r="F65" s="26"/>
      <c r="G65" s="73"/>
      <c r="H65" s="26"/>
      <c r="I65" s="26"/>
      <c r="J65" s="26"/>
      <c r="K65" s="26"/>
      <c r="L65" s="26"/>
      <c r="M65" s="29"/>
      <c r="N65" s="29"/>
      <c r="O65" s="29"/>
      <c r="P65" s="29"/>
      <c r="Q65" s="29"/>
      <c r="R65" s="24"/>
      <c r="S65" s="24"/>
      <c r="T65" s="24"/>
      <c r="U65" s="24"/>
      <c r="V65" s="24"/>
      <c r="W65" s="24"/>
      <c r="X65" s="24"/>
      <c r="Y65" s="24"/>
      <c r="Z65" s="24"/>
      <c r="AA65" s="24"/>
      <c r="AB65" s="24"/>
      <c r="AC65" s="24"/>
      <c r="AD65" s="24"/>
      <c r="AE65" s="24"/>
      <c r="AF65" s="24"/>
      <c r="AG65" s="24"/>
      <c r="AH65" s="24"/>
      <c r="AI65" s="24"/>
      <c r="AJ65" s="24"/>
    </row>
    <row r="66" spans="1:36" ht="15.75" customHeight="1">
      <c r="A66" s="24"/>
      <c r="B66" s="25"/>
      <c r="C66" s="73"/>
      <c r="D66" s="73"/>
      <c r="E66" s="26"/>
      <c r="F66" s="26"/>
      <c r="G66" s="73"/>
      <c r="H66" s="26"/>
      <c r="I66" s="26"/>
      <c r="J66" s="26"/>
      <c r="K66" s="26"/>
      <c r="L66" s="26"/>
      <c r="M66" s="29"/>
      <c r="N66" s="29"/>
      <c r="O66" s="29"/>
      <c r="P66" s="29"/>
      <c r="Q66" s="29"/>
      <c r="R66" s="11"/>
      <c r="S66" s="11"/>
      <c r="T66" s="11"/>
      <c r="U66" s="11"/>
      <c r="V66" s="11"/>
      <c r="W66" s="11"/>
      <c r="X66" s="11"/>
      <c r="Y66" s="11"/>
      <c r="Z66" s="11"/>
      <c r="AA66" s="11"/>
      <c r="AB66" s="11"/>
      <c r="AC66" s="11"/>
      <c r="AD66" s="11"/>
      <c r="AE66" s="11"/>
      <c r="AF66" s="11"/>
      <c r="AG66" s="11"/>
      <c r="AH66" s="11"/>
      <c r="AI66" s="11"/>
      <c r="AJ66" s="11"/>
    </row>
    <row r="67" spans="1:36" ht="15.75" customHeight="1">
      <c r="A67" s="24"/>
      <c r="B67" s="25"/>
      <c r="C67" s="25"/>
      <c r="D67" s="25"/>
      <c r="E67" s="25"/>
      <c r="F67" s="25"/>
      <c r="G67" s="25"/>
      <c r="H67" s="26"/>
      <c r="I67" s="26"/>
      <c r="J67" s="26"/>
      <c r="K67" s="26"/>
      <c r="L67" s="26"/>
      <c r="M67" s="29"/>
      <c r="N67" s="29"/>
      <c r="O67" s="29"/>
      <c r="P67" s="29"/>
      <c r="Q67" s="29"/>
      <c r="R67" s="11"/>
      <c r="S67" s="11"/>
      <c r="T67" s="11"/>
      <c r="U67" s="11"/>
      <c r="V67" s="11"/>
      <c r="W67" s="11"/>
      <c r="X67" s="11"/>
      <c r="Y67" s="11"/>
      <c r="Z67" s="11"/>
      <c r="AA67" s="11"/>
      <c r="AB67" s="11"/>
      <c r="AC67" s="11"/>
      <c r="AD67" s="11"/>
      <c r="AE67" s="11"/>
      <c r="AF67" s="11"/>
      <c r="AG67" s="11"/>
      <c r="AH67" s="11"/>
      <c r="AI67" s="11"/>
      <c r="AJ67" s="11"/>
    </row>
    <row r="68" spans="1:36" ht="15.75" customHeight="1">
      <c r="A68" s="24"/>
      <c r="B68" s="25"/>
      <c r="C68" s="73"/>
      <c r="D68" s="73"/>
      <c r="E68" s="26"/>
      <c r="F68" s="26"/>
      <c r="G68" s="73"/>
      <c r="H68" s="26"/>
      <c r="I68" s="26"/>
      <c r="J68" s="26"/>
      <c r="K68" s="26"/>
      <c r="L68" s="26"/>
      <c r="M68" s="29"/>
      <c r="N68" s="29"/>
      <c r="O68" s="29"/>
      <c r="P68" s="29"/>
      <c r="Q68" s="29"/>
      <c r="R68" s="11"/>
      <c r="S68" s="11"/>
      <c r="T68" s="11"/>
      <c r="U68" s="11"/>
      <c r="V68" s="11"/>
      <c r="W68" s="11"/>
      <c r="X68" s="11"/>
      <c r="Y68" s="11"/>
      <c r="Z68" s="11"/>
      <c r="AA68" s="11"/>
      <c r="AB68" s="11"/>
      <c r="AC68" s="11"/>
      <c r="AD68" s="11"/>
      <c r="AE68" s="11"/>
      <c r="AF68" s="11"/>
      <c r="AG68" s="11"/>
      <c r="AH68" s="11"/>
      <c r="AI68" s="11"/>
      <c r="AJ68" s="11"/>
    </row>
    <row r="69" spans="1:36" ht="15.75" customHeight="1">
      <c r="A69" s="24"/>
      <c r="B69" s="25"/>
      <c r="C69" s="73"/>
      <c r="D69" s="73"/>
      <c r="E69" s="26"/>
      <c r="F69" s="26"/>
      <c r="G69" s="73"/>
      <c r="H69" s="26"/>
      <c r="I69" s="26"/>
      <c r="J69" s="26"/>
      <c r="K69" s="26"/>
      <c r="L69" s="26"/>
      <c r="M69" s="29"/>
      <c r="N69" s="29"/>
      <c r="O69" s="29"/>
      <c r="P69" s="29"/>
      <c r="Q69" s="29"/>
      <c r="R69" s="11"/>
      <c r="S69" s="11"/>
      <c r="T69" s="11"/>
      <c r="U69" s="11"/>
      <c r="V69" s="11"/>
      <c r="W69" s="11"/>
      <c r="X69" s="11"/>
      <c r="Y69" s="11"/>
      <c r="Z69" s="11"/>
      <c r="AA69" s="11"/>
      <c r="AB69" s="11"/>
      <c r="AC69" s="11"/>
      <c r="AD69" s="11"/>
      <c r="AE69" s="11"/>
      <c r="AF69" s="11"/>
      <c r="AG69" s="11"/>
      <c r="AH69" s="11"/>
      <c r="AI69" s="11"/>
      <c r="AJ69" s="11"/>
    </row>
    <row r="70" spans="1:36" ht="15.75" customHeight="1">
      <c r="A70" s="24"/>
      <c r="B70" s="25"/>
      <c r="C70" s="73"/>
      <c r="D70" s="73"/>
      <c r="E70" s="26"/>
      <c r="F70" s="26"/>
      <c r="G70" s="73"/>
      <c r="H70" s="26"/>
      <c r="I70" s="26"/>
      <c r="J70" s="26"/>
      <c r="K70" s="26"/>
      <c r="L70" s="26"/>
      <c r="M70" s="29"/>
      <c r="N70" s="29"/>
      <c r="O70" s="29"/>
      <c r="P70" s="29"/>
      <c r="Q70" s="29"/>
      <c r="R70" s="11"/>
      <c r="S70" s="11"/>
      <c r="T70" s="11"/>
      <c r="U70" s="11"/>
      <c r="V70" s="11"/>
      <c r="W70" s="11"/>
      <c r="X70" s="11"/>
      <c r="Y70" s="11"/>
      <c r="Z70" s="11"/>
      <c r="AA70" s="11"/>
      <c r="AB70" s="11"/>
      <c r="AC70" s="11"/>
      <c r="AD70" s="11"/>
      <c r="AE70" s="11"/>
      <c r="AF70" s="11"/>
      <c r="AG70" s="11"/>
      <c r="AH70" s="11"/>
      <c r="AI70" s="11"/>
      <c r="AJ70" s="11"/>
    </row>
    <row r="71" spans="1:36" ht="15.75" customHeight="1">
      <c r="A71" s="24"/>
      <c r="B71" s="25"/>
      <c r="C71" s="73"/>
      <c r="D71" s="73"/>
      <c r="E71" s="26"/>
      <c r="F71" s="26"/>
      <c r="G71" s="73"/>
      <c r="H71" s="26"/>
      <c r="I71" s="26"/>
      <c r="J71" s="26"/>
      <c r="K71" s="26"/>
      <c r="L71" s="26"/>
      <c r="M71" s="29"/>
      <c r="N71" s="29"/>
      <c r="O71" s="29"/>
      <c r="P71" s="29"/>
      <c r="Q71" s="29"/>
      <c r="R71" s="11"/>
      <c r="S71" s="11"/>
      <c r="T71" s="11"/>
      <c r="U71" s="11"/>
      <c r="V71" s="11"/>
      <c r="W71" s="11"/>
      <c r="X71" s="11"/>
      <c r="Y71" s="11"/>
      <c r="Z71" s="11"/>
      <c r="AA71" s="11"/>
      <c r="AB71" s="11"/>
      <c r="AC71" s="11"/>
      <c r="AD71" s="11"/>
      <c r="AE71" s="11"/>
      <c r="AF71" s="11"/>
      <c r="AG71" s="11"/>
      <c r="AH71" s="11"/>
      <c r="AI71" s="11"/>
      <c r="AJ71" s="11"/>
    </row>
    <row r="72" spans="1:36" ht="15.75" customHeight="1">
      <c r="A72" s="24"/>
      <c r="B72" s="25"/>
      <c r="C72" s="73"/>
      <c r="D72" s="73"/>
      <c r="E72" s="26"/>
      <c r="F72" s="26"/>
      <c r="G72" s="73"/>
      <c r="H72" s="26"/>
      <c r="I72" s="26"/>
      <c r="J72" s="26"/>
      <c r="K72" s="26"/>
      <c r="L72" s="26"/>
      <c r="M72" s="29"/>
      <c r="N72" s="29"/>
      <c r="O72" s="29"/>
      <c r="P72" s="29"/>
      <c r="Q72" s="29"/>
      <c r="R72" s="11"/>
      <c r="S72" s="11"/>
      <c r="T72" s="11"/>
      <c r="U72" s="11"/>
      <c r="V72" s="11"/>
      <c r="W72" s="11"/>
      <c r="X72" s="11"/>
      <c r="Y72" s="11"/>
      <c r="Z72" s="11"/>
      <c r="AA72" s="11"/>
      <c r="AB72" s="11"/>
      <c r="AC72" s="11"/>
      <c r="AD72" s="11"/>
      <c r="AE72" s="11"/>
      <c r="AF72" s="11"/>
      <c r="AG72" s="11"/>
      <c r="AH72" s="11"/>
      <c r="AI72" s="11"/>
      <c r="AJ72" s="11"/>
    </row>
    <row r="73" spans="1:36" ht="15.75" customHeight="1">
      <c r="A73" s="24"/>
      <c r="B73" s="25"/>
      <c r="C73" s="73"/>
      <c r="D73" s="73"/>
      <c r="E73" s="26"/>
      <c r="F73" s="26"/>
      <c r="G73" s="73"/>
      <c r="H73" s="26"/>
      <c r="I73" s="26"/>
      <c r="J73" s="26"/>
      <c r="K73" s="26"/>
      <c r="L73" s="26"/>
      <c r="M73" s="29"/>
      <c r="N73" s="29"/>
      <c r="O73" s="29"/>
      <c r="P73" s="29"/>
      <c r="Q73" s="29"/>
      <c r="R73" s="11"/>
      <c r="S73" s="11"/>
      <c r="T73" s="11"/>
      <c r="U73" s="11"/>
      <c r="V73" s="11"/>
      <c r="W73" s="11"/>
      <c r="X73" s="11"/>
      <c r="Y73" s="11"/>
      <c r="Z73" s="11"/>
      <c r="AA73" s="11"/>
      <c r="AB73" s="11"/>
      <c r="AC73" s="11"/>
      <c r="AD73" s="11"/>
      <c r="AE73" s="11"/>
      <c r="AF73" s="11"/>
      <c r="AG73" s="11"/>
      <c r="AH73" s="11"/>
      <c r="AI73" s="11"/>
      <c r="AJ73" s="11"/>
    </row>
    <row r="74" spans="1:36" ht="15.75" customHeight="1">
      <c r="A74" s="24"/>
      <c r="B74" s="25"/>
      <c r="C74" s="73"/>
      <c r="D74" s="73"/>
      <c r="E74" s="26"/>
      <c r="F74" s="26"/>
      <c r="G74" s="73"/>
      <c r="H74" s="26"/>
      <c r="I74" s="26"/>
      <c r="J74" s="26"/>
      <c r="K74" s="26"/>
      <c r="L74" s="26"/>
      <c r="M74" s="29"/>
      <c r="N74" s="29"/>
      <c r="O74" s="29"/>
      <c r="P74" s="29"/>
      <c r="Q74" s="29"/>
      <c r="R74" s="11"/>
      <c r="S74" s="11"/>
      <c r="T74" s="11"/>
      <c r="U74" s="11"/>
      <c r="V74" s="11"/>
      <c r="W74" s="11"/>
      <c r="X74" s="11"/>
      <c r="Y74" s="11"/>
      <c r="Z74" s="11"/>
      <c r="AA74" s="11"/>
      <c r="AB74" s="11"/>
      <c r="AC74" s="11"/>
      <c r="AD74" s="11"/>
      <c r="AE74" s="11"/>
      <c r="AF74" s="11"/>
      <c r="AG74" s="11"/>
      <c r="AH74" s="11"/>
      <c r="AI74" s="11"/>
      <c r="AJ74" s="11"/>
    </row>
    <row r="75" spans="1:36" ht="15.75" customHeight="1">
      <c r="A75" s="24"/>
      <c r="B75" s="25"/>
      <c r="C75" s="73"/>
      <c r="D75" s="73"/>
      <c r="E75" s="26"/>
      <c r="F75" s="26"/>
      <c r="G75" s="73"/>
      <c r="H75" s="26"/>
      <c r="I75" s="26"/>
      <c r="J75" s="26"/>
      <c r="K75" s="26"/>
      <c r="L75" s="26"/>
      <c r="M75" s="29"/>
      <c r="N75" s="29"/>
      <c r="O75" s="29"/>
      <c r="P75" s="29"/>
      <c r="Q75" s="29"/>
      <c r="R75" s="11"/>
      <c r="S75" s="11"/>
      <c r="T75" s="11"/>
      <c r="U75" s="11"/>
      <c r="V75" s="11"/>
      <c r="W75" s="11"/>
      <c r="X75" s="11"/>
      <c r="Y75" s="11"/>
      <c r="Z75" s="11"/>
      <c r="AA75" s="11"/>
      <c r="AB75" s="11"/>
      <c r="AC75" s="11"/>
      <c r="AD75" s="11"/>
      <c r="AE75" s="11"/>
      <c r="AF75" s="11"/>
      <c r="AG75" s="11"/>
      <c r="AH75" s="11"/>
      <c r="AI75" s="11"/>
      <c r="AJ75" s="11"/>
    </row>
    <row r="76" spans="1:36" ht="15.75" customHeight="1">
      <c r="A76" s="42"/>
      <c r="B76" s="25"/>
      <c r="C76" s="73"/>
      <c r="D76" s="73"/>
      <c r="E76" s="26"/>
      <c r="F76" s="26"/>
      <c r="G76" s="73"/>
      <c r="H76" s="26"/>
      <c r="I76" s="26"/>
      <c r="J76" s="26"/>
      <c r="K76" s="26"/>
      <c r="L76" s="26"/>
      <c r="M76" s="29"/>
      <c r="N76" s="29"/>
      <c r="O76" s="29"/>
      <c r="P76" s="29"/>
      <c r="Q76" s="29"/>
      <c r="R76" s="11"/>
      <c r="S76" s="11"/>
      <c r="T76" s="11"/>
      <c r="U76" s="11"/>
      <c r="V76" s="11"/>
      <c r="W76" s="11"/>
      <c r="X76" s="11"/>
      <c r="Y76" s="11"/>
      <c r="Z76" s="11"/>
      <c r="AA76" s="11"/>
      <c r="AB76" s="11"/>
      <c r="AC76" s="11"/>
      <c r="AD76" s="11"/>
      <c r="AE76" s="11"/>
      <c r="AF76" s="11"/>
      <c r="AG76" s="11"/>
      <c r="AH76" s="11"/>
      <c r="AI76" s="11"/>
      <c r="AJ76" s="11"/>
    </row>
    <row r="77" spans="1:36" ht="15.75" customHeight="1">
      <c r="A77" s="24"/>
      <c r="B77" s="25"/>
      <c r="C77" s="73"/>
      <c r="D77" s="73"/>
      <c r="E77" s="26"/>
      <c r="F77" s="26"/>
      <c r="G77" s="73"/>
      <c r="H77" s="26"/>
      <c r="I77" s="26"/>
      <c r="J77" s="26"/>
      <c r="K77" s="26"/>
      <c r="L77" s="26"/>
      <c r="M77" s="29"/>
      <c r="N77" s="29"/>
      <c r="O77" s="29"/>
      <c r="P77" s="29"/>
      <c r="Q77" s="29"/>
      <c r="R77" s="11"/>
      <c r="S77" s="11"/>
      <c r="T77" s="11"/>
      <c r="U77" s="11"/>
      <c r="V77" s="11"/>
      <c r="W77" s="11"/>
      <c r="X77" s="11"/>
      <c r="Y77" s="11"/>
      <c r="Z77" s="11"/>
      <c r="AA77" s="11"/>
      <c r="AB77" s="11"/>
      <c r="AC77" s="11"/>
      <c r="AD77" s="11"/>
      <c r="AE77" s="11"/>
      <c r="AF77" s="11"/>
      <c r="AG77" s="11"/>
      <c r="AH77" s="11"/>
      <c r="AI77" s="11"/>
      <c r="AJ77" s="11"/>
    </row>
    <row r="78" spans="1:36" ht="15.75" customHeight="1">
      <c r="A78" s="24"/>
      <c r="B78" s="25"/>
      <c r="C78" s="73"/>
      <c r="D78" s="73"/>
      <c r="E78" s="26"/>
      <c r="F78" s="26"/>
      <c r="G78" s="73"/>
      <c r="H78" s="26"/>
      <c r="I78" s="26"/>
      <c r="J78" s="26"/>
      <c r="K78" s="26"/>
      <c r="L78" s="26"/>
      <c r="M78" s="29"/>
      <c r="N78" s="29"/>
      <c r="O78" s="29"/>
      <c r="P78" s="29"/>
      <c r="Q78" s="29"/>
      <c r="R78" s="11"/>
      <c r="S78" s="11"/>
      <c r="T78" s="11"/>
      <c r="U78" s="11"/>
      <c r="V78" s="11"/>
      <c r="W78" s="11"/>
      <c r="X78" s="11"/>
      <c r="Y78" s="11"/>
      <c r="Z78" s="11"/>
      <c r="AA78" s="11"/>
      <c r="AB78" s="11"/>
      <c r="AC78" s="11"/>
      <c r="AD78" s="11"/>
      <c r="AE78" s="11"/>
      <c r="AF78" s="11"/>
      <c r="AG78" s="11"/>
      <c r="AH78" s="11"/>
      <c r="AI78" s="11"/>
      <c r="AJ78" s="11"/>
    </row>
    <row r="79" spans="1:36" ht="15.75" customHeight="1">
      <c r="A79" s="24"/>
      <c r="B79" s="25"/>
      <c r="C79" s="73"/>
      <c r="D79" s="73"/>
      <c r="E79" s="26"/>
      <c r="F79" s="26"/>
      <c r="G79" s="73"/>
      <c r="H79" s="26"/>
      <c r="I79" s="26"/>
      <c r="J79" s="26"/>
      <c r="K79" s="26"/>
      <c r="L79" s="26"/>
      <c r="M79" s="29"/>
      <c r="N79" s="29"/>
      <c r="O79" s="29"/>
      <c r="P79" s="29"/>
      <c r="Q79" s="29"/>
      <c r="R79" s="11"/>
      <c r="S79" s="11"/>
      <c r="T79" s="11"/>
      <c r="U79" s="11"/>
      <c r="V79" s="11"/>
      <c r="W79" s="11"/>
      <c r="X79" s="11"/>
      <c r="Y79" s="11"/>
      <c r="Z79" s="11"/>
      <c r="AA79" s="11"/>
      <c r="AB79" s="11"/>
      <c r="AC79" s="11"/>
      <c r="AD79" s="11"/>
      <c r="AE79" s="11"/>
      <c r="AF79" s="11"/>
      <c r="AG79" s="11"/>
      <c r="AH79" s="11"/>
      <c r="AI79" s="11"/>
      <c r="AJ79" s="11"/>
    </row>
    <row r="80" spans="1:36" ht="15.75" customHeight="1">
      <c r="A80" s="41"/>
      <c r="B80" s="25"/>
      <c r="C80" s="73"/>
      <c r="D80" s="73"/>
      <c r="E80" s="26"/>
      <c r="F80" s="26"/>
      <c r="G80" s="73"/>
      <c r="H80" s="26"/>
      <c r="I80" s="26"/>
      <c r="J80" s="26"/>
      <c r="K80" s="26"/>
      <c r="L80" s="26"/>
      <c r="M80" s="29"/>
      <c r="N80" s="29"/>
      <c r="O80" s="29"/>
      <c r="P80" s="29"/>
      <c r="Q80" s="29"/>
      <c r="R80" s="11"/>
      <c r="S80" s="11"/>
      <c r="T80" s="11"/>
      <c r="U80" s="11"/>
      <c r="V80" s="11"/>
      <c r="W80" s="11"/>
      <c r="X80" s="11"/>
      <c r="Y80" s="11"/>
      <c r="Z80" s="11"/>
      <c r="AA80" s="11"/>
      <c r="AB80" s="11"/>
      <c r="AC80" s="11"/>
      <c r="AD80" s="11"/>
      <c r="AE80" s="11"/>
      <c r="AF80" s="11"/>
      <c r="AG80" s="11"/>
      <c r="AH80" s="11"/>
      <c r="AI80" s="11"/>
      <c r="AJ80" s="11"/>
    </row>
    <row r="81" spans="1:36" ht="15.75" customHeight="1">
      <c r="A81" s="41"/>
      <c r="B81" s="25"/>
      <c r="C81" s="73"/>
      <c r="D81" s="73"/>
      <c r="E81" s="26"/>
      <c r="F81" s="26"/>
      <c r="G81" s="73"/>
      <c r="H81" s="26"/>
      <c r="I81" s="26"/>
      <c r="J81" s="26"/>
      <c r="K81" s="26"/>
      <c r="L81" s="26"/>
      <c r="M81" s="29"/>
      <c r="N81" s="29"/>
      <c r="O81" s="29"/>
      <c r="P81" s="29"/>
      <c r="Q81" s="29"/>
      <c r="R81" s="11"/>
      <c r="S81" s="11"/>
      <c r="T81" s="11"/>
      <c r="U81" s="11"/>
      <c r="V81" s="11"/>
      <c r="W81" s="11"/>
      <c r="X81" s="11"/>
      <c r="Y81" s="11"/>
      <c r="Z81" s="11"/>
      <c r="AA81" s="11"/>
      <c r="AB81" s="11"/>
      <c r="AC81" s="11"/>
      <c r="AD81" s="11"/>
      <c r="AE81" s="11"/>
      <c r="AF81" s="11"/>
      <c r="AG81" s="11"/>
      <c r="AH81" s="11"/>
      <c r="AI81" s="11"/>
      <c r="AJ81" s="11"/>
    </row>
    <row r="82" spans="1:36" ht="15.75" customHeight="1">
      <c r="A82" s="41"/>
      <c r="B82" s="25"/>
      <c r="C82" s="73"/>
      <c r="D82" s="73"/>
      <c r="E82" s="26"/>
      <c r="F82" s="26"/>
      <c r="G82" s="73"/>
      <c r="H82" s="26"/>
      <c r="I82" s="26"/>
      <c r="J82" s="26"/>
      <c r="K82" s="26"/>
      <c r="L82" s="26"/>
      <c r="M82" s="29"/>
      <c r="N82" s="29"/>
      <c r="O82" s="29"/>
      <c r="P82" s="29"/>
      <c r="Q82" s="29"/>
      <c r="R82" s="11"/>
      <c r="S82" s="11"/>
      <c r="T82" s="11"/>
      <c r="U82" s="11"/>
      <c r="V82" s="11"/>
      <c r="W82" s="11"/>
      <c r="X82" s="11"/>
      <c r="Y82" s="11"/>
      <c r="Z82" s="11"/>
      <c r="AA82" s="11"/>
      <c r="AB82" s="11"/>
      <c r="AC82" s="11"/>
      <c r="AD82" s="11"/>
      <c r="AE82" s="11"/>
      <c r="AF82" s="11"/>
      <c r="AG82" s="11"/>
      <c r="AH82" s="11"/>
      <c r="AI82" s="11"/>
      <c r="AJ82" s="11"/>
    </row>
    <row r="83" spans="1:36" ht="15.75" customHeight="1">
      <c r="A83" s="41"/>
      <c r="B83" s="25"/>
      <c r="C83" s="73"/>
      <c r="D83" s="73"/>
      <c r="E83" s="26"/>
      <c r="F83" s="26"/>
      <c r="G83" s="73"/>
      <c r="H83" s="26"/>
      <c r="I83" s="26"/>
      <c r="J83" s="26"/>
      <c r="K83" s="26"/>
      <c r="L83" s="26"/>
      <c r="M83" s="29"/>
      <c r="N83" s="29"/>
      <c r="O83" s="29"/>
      <c r="P83" s="29"/>
      <c r="Q83" s="29"/>
      <c r="R83" s="11"/>
      <c r="S83" s="11"/>
      <c r="T83" s="11"/>
      <c r="U83" s="11"/>
      <c r="V83" s="11"/>
      <c r="W83" s="11"/>
      <c r="X83" s="11"/>
      <c r="Y83" s="11"/>
      <c r="Z83" s="11"/>
      <c r="AA83" s="11"/>
      <c r="AB83" s="11"/>
      <c r="AC83" s="11"/>
      <c r="AD83" s="11"/>
      <c r="AE83" s="11"/>
      <c r="AF83" s="11"/>
      <c r="AG83" s="11"/>
      <c r="AH83" s="11"/>
      <c r="AI83" s="11"/>
      <c r="AJ83" s="11"/>
    </row>
    <row r="84" spans="1:36" ht="15.75" customHeight="1">
      <c r="A84" s="41"/>
      <c r="B84" s="25"/>
      <c r="C84" s="73"/>
      <c r="D84" s="73"/>
      <c r="E84" s="26"/>
      <c r="F84" s="26"/>
      <c r="G84" s="73"/>
      <c r="H84" s="26"/>
      <c r="I84" s="26"/>
      <c r="J84" s="26"/>
      <c r="K84" s="26"/>
      <c r="L84" s="26"/>
      <c r="M84" s="29"/>
      <c r="N84" s="29"/>
      <c r="O84" s="29"/>
      <c r="P84" s="29"/>
      <c r="Q84" s="29"/>
      <c r="R84" s="11"/>
      <c r="S84" s="11"/>
      <c r="T84" s="11"/>
      <c r="U84" s="11"/>
      <c r="V84" s="11"/>
      <c r="W84" s="11"/>
      <c r="X84" s="11"/>
      <c r="Y84" s="11"/>
      <c r="Z84" s="11"/>
      <c r="AA84" s="11"/>
      <c r="AB84" s="11"/>
      <c r="AC84" s="11"/>
      <c r="AD84" s="11"/>
      <c r="AE84" s="11"/>
      <c r="AF84" s="11"/>
      <c r="AG84" s="11"/>
      <c r="AH84" s="11"/>
      <c r="AI84" s="11"/>
      <c r="AJ84" s="11"/>
    </row>
    <row r="85" spans="1:36" ht="15.75" customHeight="1">
      <c r="A85" s="41"/>
      <c r="B85" s="25"/>
      <c r="C85" s="73"/>
      <c r="D85" s="73"/>
      <c r="E85" s="26"/>
      <c r="F85" s="26"/>
      <c r="G85" s="73"/>
      <c r="H85" s="26"/>
      <c r="I85" s="26"/>
      <c r="J85" s="26"/>
      <c r="K85" s="26"/>
      <c r="L85" s="26"/>
      <c r="M85" s="29"/>
      <c r="N85" s="29"/>
      <c r="O85" s="29"/>
      <c r="P85" s="29"/>
      <c r="Q85" s="29"/>
      <c r="R85" s="11"/>
      <c r="S85" s="11"/>
      <c r="T85" s="11"/>
      <c r="U85" s="11"/>
      <c r="V85" s="11"/>
      <c r="W85" s="11"/>
      <c r="X85" s="11"/>
      <c r="Y85" s="11"/>
      <c r="Z85" s="11"/>
      <c r="AA85" s="11"/>
      <c r="AB85" s="11"/>
      <c r="AC85" s="11"/>
      <c r="AD85" s="11"/>
      <c r="AE85" s="11"/>
      <c r="AF85" s="11"/>
      <c r="AG85" s="11"/>
      <c r="AH85" s="11"/>
      <c r="AI85" s="11"/>
      <c r="AJ85" s="11"/>
    </row>
    <row r="86" spans="1:36" ht="15.75" customHeight="1">
      <c r="A86" s="41"/>
      <c r="B86" s="25"/>
      <c r="C86" s="73"/>
      <c r="D86" s="73"/>
      <c r="E86" s="26"/>
      <c r="F86" s="26"/>
      <c r="G86" s="73"/>
      <c r="H86" s="26"/>
      <c r="I86" s="26"/>
      <c r="J86" s="26"/>
      <c r="K86" s="26"/>
      <c r="L86" s="26"/>
      <c r="M86" s="29"/>
      <c r="N86" s="29"/>
      <c r="O86" s="29"/>
      <c r="P86" s="29"/>
      <c r="Q86" s="29"/>
      <c r="R86" s="11"/>
      <c r="S86" s="11"/>
      <c r="T86" s="11"/>
      <c r="U86" s="11"/>
      <c r="V86" s="11"/>
      <c r="W86" s="11"/>
      <c r="X86" s="11"/>
      <c r="Y86" s="11"/>
      <c r="Z86" s="11"/>
      <c r="AA86" s="11"/>
      <c r="AB86" s="11"/>
      <c r="AC86" s="11"/>
      <c r="AD86" s="11"/>
      <c r="AE86" s="11"/>
      <c r="AF86" s="11"/>
      <c r="AG86" s="11"/>
      <c r="AH86" s="11"/>
      <c r="AI86" s="11"/>
      <c r="AJ86" s="11"/>
    </row>
    <row r="87" spans="1:36" ht="15.75" customHeight="1">
      <c r="A87" s="41"/>
      <c r="B87" s="25"/>
      <c r="C87" s="73"/>
      <c r="D87" s="73"/>
      <c r="E87" s="26"/>
      <c r="F87" s="26"/>
      <c r="G87" s="73"/>
      <c r="H87" s="26"/>
      <c r="I87" s="26"/>
      <c r="J87" s="26"/>
      <c r="K87" s="26"/>
      <c r="L87" s="26"/>
      <c r="M87" s="29"/>
      <c r="N87" s="29"/>
      <c r="O87" s="29"/>
      <c r="P87" s="29"/>
      <c r="Q87" s="29"/>
      <c r="R87" s="11"/>
      <c r="S87" s="11"/>
      <c r="T87" s="11"/>
      <c r="U87" s="11"/>
      <c r="V87" s="11"/>
      <c r="W87" s="11"/>
      <c r="X87" s="11"/>
      <c r="Y87" s="11"/>
      <c r="Z87" s="11"/>
      <c r="AA87" s="11"/>
      <c r="AB87" s="11"/>
      <c r="AC87" s="11"/>
      <c r="AD87" s="11"/>
      <c r="AE87" s="11"/>
      <c r="AF87" s="11"/>
      <c r="AG87" s="11"/>
      <c r="AH87" s="11"/>
      <c r="AI87" s="11"/>
      <c r="AJ87" s="11"/>
    </row>
    <row r="88" spans="1:36" ht="15.75" customHeight="1">
      <c r="A88" s="41"/>
      <c r="B88" s="25"/>
      <c r="C88" s="73"/>
      <c r="D88" s="73"/>
      <c r="E88" s="26"/>
      <c r="F88" s="26"/>
      <c r="G88" s="73"/>
      <c r="H88" s="26"/>
      <c r="I88" s="26"/>
      <c r="J88" s="26"/>
      <c r="K88" s="26"/>
      <c r="L88" s="26"/>
      <c r="M88" s="29"/>
      <c r="N88" s="29"/>
      <c r="O88" s="29"/>
      <c r="P88" s="29"/>
      <c r="Q88" s="29"/>
      <c r="R88" s="11"/>
      <c r="S88" s="11"/>
      <c r="T88" s="11"/>
      <c r="U88" s="11"/>
      <c r="V88" s="11"/>
      <c r="W88" s="11"/>
      <c r="X88" s="11"/>
      <c r="Y88" s="11"/>
      <c r="Z88" s="11"/>
      <c r="AA88" s="11"/>
      <c r="AB88" s="11"/>
      <c r="AC88" s="11"/>
      <c r="AD88" s="11"/>
      <c r="AE88" s="11"/>
      <c r="AF88" s="11"/>
      <c r="AG88" s="11"/>
      <c r="AH88" s="11"/>
      <c r="AI88" s="11"/>
      <c r="AJ88" s="11"/>
    </row>
    <row r="89" spans="1:36" ht="15.75" customHeight="1">
      <c r="A89" s="41"/>
      <c r="B89" s="25"/>
      <c r="C89" s="73"/>
      <c r="D89" s="73"/>
      <c r="E89" s="26"/>
      <c r="F89" s="26"/>
      <c r="G89" s="73"/>
      <c r="H89" s="26"/>
      <c r="I89" s="26"/>
      <c r="J89" s="26"/>
      <c r="K89" s="26"/>
      <c r="L89" s="26"/>
      <c r="M89" s="29"/>
      <c r="N89" s="29"/>
      <c r="O89" s="29"/>
      <c r="P89" s="29"/>
      <c r="Q89" s="29"/>
      <c r="R89" s="11"/>
      <c r="S89" s="11"/>
      <c r="T89" s="11"/>
      <c r="U89" s="11"/>
      <c r="V89" s="11"/>
      <c r="W89" s="11"/>
      <c r="X89" s="11"/>
      <c r="Y89" s="11"/>
      <c r="Z89" s="11"/>
      <c r="AA89" s="11"/>
      <c r="AB89" s="11"/>
      <c r="AC89" s="11"/>
      <c r="AD89" s="11"/>
      <c r="AE89" s="11"/>
      <c r="AF89" s="11"/>
      <c r="AG89" s="11"/>
      <c r="AH89" s="11"/>
      <c r="AI89" s="11"/>
      <c r="AJ89" s="11"/>
    </row>
    <row r="90" spans="1:36" ht="15.75" customHeight="1">
      <c r="A90" s="41"/>
      <c r="B90" s="25"/>
      <c r="C90" s="73"/>
      <c r="D90" s="73"/>
      <c r="E90" s="26"/>
      <c r="F90" s="26"/>
      <c r="G90" s="73"/>
      <c r="H90" s="26"/>
      <c r="I90" s="26"/>
      <c r="J90" s="26"/>
      <c r="K90" s="26"/>
      <c r="L90" s="26"/>
      <c r="M90" s="29"/>
      <c r="N90" s="29"/>
      <c r="O90" s="29"/>
      <c r="P90" s="29"/>
      <c r="Q90" s="29"/>
      <c r="R90" s="11"/>
      <c r="S90" s="11"/>
      <c r="T90" s="11"/>
      <c r="U90" s="11"/>
      <c r="V90" s="11"/>
      <c r="W90" s="11"/>
      <c r="X90" s="11"/>
      <c r="Y90" s="11"/>
      <c r="Z90" s="11"/>
      <c r="AA90" s="11"/>
      <c r="AB90" s="11"/>
      <c r="AC90" s="11"/>
      <c r="AD90" s="11"/>
      <c r="AE90" s="11"/>
      <c r="AF90" s="11"/>
      <c r="AG90" s="11"/>
      <c r="AH90" s="11"/>
      <c r="AI90" s="11"/>
      <c r="AJ90" s="11"/>
    </row>
    <row r="91" spans="1:36" ht="15.75" customHeight="1">
      <c r="A91" s="42"/>
      <c r="B91" s="25"/>
      <c r="C91" s="73"/>
      <c r="D91" s="73"/>
      <c r="E91" s="26"/>
      <c r="F91" s="26"/>
      <c r="G91" s="73"/>
      <c r="H91" s="26"/>
      <c r="I91" s="26"/>
      <c r="J91" s="26"/>
      <c r="K91" s="26"/>
      <c r="L91" s="26"/>
      <c r="M91" s="29"/>
      <c r="N91" s="29"/>
      <c r="O91" s="29"/>
      <c r="P91" s="29"/>
      <c r="Q91" s="29"/>
      <c r="R91" s="11"/>
      <c r="S91" s="11"/>
      <c r="T91" s="11"/>
      <c r="U91" s="11"/>
      <c r="V91" s="11"/>
      <c r="W91" s="11"/>
      <c r="X91" s="11"/>
      <c r="Y91" s="11"/>
      <c r="Z91" s="11"/>
      <c r="AA91" s="11"/>
      <c r="AB91" s="11"/>
      <c r="AC91" s="11"/>
      <c r="AD91" s="11"/>
      <c r="AE91" s="11"/>
      <c r="AF91" s="11"/>
      <c r="AG91" s="11"/>
      <c r="AH91" s="11"/>
      <c r="AI91" s="11"/>
      <c r="AJ91" s="11"/>
    </row>
    <row r="92" spans="1:36" ht="15.75" customHeight="1">
      <c r="A92" s="28"/>
      <c r="B92" s="25"/>
      <c r="C92" s="73"/>
      <c r="D92" s="73"/>
      <c r="E92" s="26"/>
      <c r="F92" s="26"/>
      <c r="G92" s="73"/>
      <c r="H92" s="26"/>
      <c r="I92" s="26"/>
      <c r="J92" s="26"/>
      <c r="K92" s="26"/>
      <c r="L92" s="26"/>
      <c r="M92" s="29"/>
      <c r="N92" s="29"/>
      <c r="O92" s="29"/>
      <c r="P92" s="29"/>
      <c r="Q92" s="29"/>
      <c r="R92" s="11"/>
      <c r="S92" s="11"/>
      <c r="T92" s="11"/>
      <c r="U92" s="11"/>
      <c r="V92" s="11"/>
      <c r="W92" s="11"/>
      <c r="X92" s="11"/>
      <c r="Y92" s="11"/>
      <c r="Z92" s="11"/>
      <c r="AA92" s="11"/>
      <c r="AB92" s="11"/>
      <c r="AC92" s="11"/>
      <c r="AD92" s="11"/>
      <c r="AE92" s="11"/>
      <c r="AF92" s="11"/>
      <c r="AG92" s="11"/>
      <c r="AH92" s="11"/>
      <c r="AI92" s="11"/>
      <c r="AJ92" s="11"/>
    </row>
    <row r="93" spans="1:36" ht="15.75" customHeight="1">
      <c r="A93" s="28"/>
      <c r="B93" s="25"/>
      <c r="C93" s="73"/>
      <c r="D93" s="73"/>
      <c r="E93" s="26"/>
      <c r="F93" s="26"/>
      <c r="G93" s="73"/>
      <c r="H93" s="26"/>
      <c r="I93" s="26"/>
      <c r="J93" s="26"/>
      <c r="K93" s="26"/>
      <c r="L93" s="26"/>
      <c r="M93" s="29"/>
      <c r="N93" s="29"/>
      <c r="O93" s="29"/>
      <c r="P93" s="29"/>
      <c r="Q93" s="29"/>
      <c r="R93" s="11"/>
      <c r="S93" s="11"/>
      <c r="T93" s="11"/>
      <c r="U93" s="11"/>
      <c r="V93" s="11"/>
      <c r="W93" s="11"/>
      <c r="X93" s="11"/>
      <c r="Y93" s="11"/>
      <c r="Z93" s="11"/>
      <c r="AA93" s="11"/>
      <c r="AB93" s="11"/>
      <c r="AC93" s="11"/>
      <c r="AD93" s="11"/>
      <c r="AE93" s="11"/>
      <c r="AF93" s="11"/>
      <c r="AG93" s="11"/>
      <c r="AH93" s="11"/>
      <c r="AI93" s="11"/>
      <c r="AJ93" s="11"/>
    </row>
    <row r="94" spans="1:36" ht="15.75" customHeight="1">
      <c r="A94" s="28"/>
      <c r="B94" s="25"/>
      <c r="C94" s="73"/>
      <c r="D94" s="73"/>
      <c r="E94" s="26"/>
      <c r="F94" s="26"/>
      <c r="G94" s="73"/>
      <c r="H94" s="26"/>
      <c r="I94" s="26"/>
      <c r="J94" s="26"/>
      <c r="K94" s="26"/>
      <c r="L94" s="26"/>
      <c r="M94" s="29"/>
      <c r="N94" s="29"/>
      <c r="O94" s="29"/>
      <c r="P94" s="29"/>
      <c r="Q94" s="29"/>
      <c r="R94" s="11"/>
      <c r="S94" s="11"/>
      <c r="T94" s="11"/>
      <c r="U94" s="11"/>
      <c r="V94" s="11"/>
      <c r="W94" s="11"/>
      <c r="X94" s="11"/>
      <c r="Y94" s="11"/>
      <c r="Z94" s="11"/>
      <c r="AA94" s="11"/>
      <c r="AB94" s="11"/>
      <c r="AC94" s="11"/>
      <c r="AD94" s="11"/>
      <c r="AE94" s="11"/>
      <c r="AF94" s="11"/>
      <c r="AG94" s="11"/>
      <c r="AH94" s="11"/>
      <c r="AI94" s="11"/>
      <c r="AJ94" s="11"/>
    </row>
    <row r="95" spans="1:36" ht="15.75" customHeight="1">
      <c r="A95" s="28"/>
      <c r="B95" s="25"/>
      <c r="C95" s="73"/>
      <c r="D95" s="73"/>
      <c r="E95" s="26"/>
      <c r="F95" s="26"/>
      <c r="G95" s="73"/>
      <c r="H95" s="26"/>
      <c r="I95" s="26"/>
      <c r="J95" s="26"/>
      <c r="K95" s="26"/>
      <c r="L95" s="26"/>
      <c r="M95" s="29"/>
      <c r="N95" s="29"/>
      <c r="O95" s="29"/>
      <c r="P95" s="29"/>
      <c r="Q95" s="29"/>
      <c r="R95" s="11"/>
    </row>
    <row r="96" spans="1:36" ht="15.75" customHeight="1">
      <c r="A96" s="28"/>
      <c r="B96" s="25"/>
      <c r="C96" s="73"/>
      <c r="D96" s="73"/>
      <c r="E96" s="26"/>
      <c r="F96" s="26"/>
      <c r="G96" s="73"/>
      <c r="H96" s="26"/>
      <c r="I96" s="26"/>
      <c r="J96" s="26"/>
      <c r="K96" s="26"/>
      <c r="L96" s="26"/>
      <c r="M96" s="29"/>
      <c r="N96" s="29"/>
      <c r="O96" s="29"/>
      <c r="P96" s="29"/>
      <c r="Q96" s="29"/>
      <c r="R96" s="11"/>
    </row>
    <row r="97" spans="1:18" ht="15.75" customHeight="1">
      <c r="A97" s="28"/>
      <c r="B97" s="25"/>
      <c r="C97" s="73"/>
      <c r="D97" s="73"/>
      <c r="E97" s="26"/>
      <c r="F97" s="26"/>
      <c r="G97" s="73"/>
      <c r="H97" s="26"/>
      <c r="I97" s="26"/>
      <c r="J97" s="26"/>
      <c r="K97" s="26"/>
      <c r="L97" s="26"/>
      <c r="M97" s="29"/>
      <c r="N97" s="29"/>
      <c r="O97" s="29"/>
      <c r="P97" s="29"/>
      <c r="Q97" s="29"/>
      <c r="R97" s="11"/>
    </row>
    <row r="98" spans="1:18" ht="15.75" customHeight="1">
      <c r="A98" s="28"/>
      <c r="B98" s="25"/>
      <c r="C98" s="73"/>
      <c r="D98" s="73"/>
      <c r="E98" s="26"/>
      <c r="F98" s="26"/>
      <c r="G98" s="73"/>
      <c r="H98" s="26"/>
      <c r="I98" s="26"/>
      <c r="J98" s="26"/>
      <c r="K98" s="26"/>
      <c r="L98" s="26"/>
      <c r="M98" s="29"/>
      <c r="N98" s="29"/>
      <c r="O98" s="29"/>
      <c r="P98" s="29"/>
      <c r="Q98" s="29"/>
      <c r="R98" s="11"/>
    </row>
    <row r="99" spans="1:18" ht="15.75" customHeight="1">
      <c r="A99" s="28"/>
      <c r="B99" s="25"/>
      <c r="C99" s="73"/>
      <c r="D99" s="73"/>
      <c r="E99" s="26"/>
      <c r="F99" s="26"/>
      <c r="G99" s="73"/>
      <c r="H99" s="26"/>
      <c r="I99" s="26"/>
      <c r="J99" s="26"/>
      <c r="K99" s="26"/>
      <c r="L99" s="26"/>
      <c r="M99" s="29"/>
      <c r="N99" s="29"/>
      <c r="O99" s="29"/>
      <c r="P99" s="29"/>
      <c r="Q99" s="29"/>
      <c r="R99" s="11"/>
    </row>
    <row r="100" spans="1:18" ht="15.75" customHeight="1">
      <c r="A100" s="28"/>
      <c r="B100" s="25"/>
      <c r="C100" s="73"/>
      <c r="D100" s="73"/>
      <c r="E100" s="26"/>
      <c r="F100" s="26"/>
      <c r="G100" s="73"/>
      <c r="H100" s="26"/>
      <c r="I100" s="26"/>
      <c r="J100" s="26"/>
      <c r="K100" s="26"/>
      <c r="L100" s="26"/>
      <c r="M100" s="29"/>
      <c r="N100" s="29"/>
      <c r="O100" s="29"/>
      <c r="P100" s="29"/>
      <c r="Q100" s="29"/>
      <c r="R100" s="11"/>
    </row>
    <row r="101" spans="1:18" ht="15.75" customHeight="1">
      <c r="A101" s="28"/>
      <c r="B101" s="25"/>
      <c r="C101" s="73"/>
      <c r="D101" s="73"/>
      <c r="E101" s="26"/>
      <c r="F101" s="26"/>
      <c r="G101" s="73"/>
      <c r="H101" s="26"/>
      <c r="I101" s="26"/>
      <c r="J101" s="26"/>
      <c r="K101" s="26"/>
      <c r="L101" s="26"/>
      <c r="M101" s="29"/>
      <c r="N101" s="29"/>
      <c r="O101" s="29"/>
      <c r="P101" s="29"/>
      <c r="Q101" s="29"/>
      <c r="R101" s="11"/>
    </row>
    <row r="102" spans="1:18" ht="15.75" customHeight="1">
      <c r="A102" s="28"/>
      <c r="B102" s="25"/>
      <c r="C102" s="73"/>
      <c r="D102" s="73"/>
      <c r="E102" s="26"/>
      <c r="F102" s="26"/>
      <c r="G102" s="73"/>
      <c r="H102" s="26"/>
      <c r="I102" s="26"/>
      <c r="J102" s="26"/>
      <c r="K102" s="26"/>
      <c r="L102" s="26"/>
      <c r="M102" s="29"/>
      <c r="N102" s="29"/>
      <c r="O102" s="29"/>
      <c r="P102" s="29"/>
      <c r="Q102" s="29"/>
      <c r="R102" s="11"/>
    </row>
    <row r="103" spans="1:18" ht="15.75" customHeight="1">
      <c r="A103" s="28"/>
      <c r="B103" s="25"/>
      <c r="C103" s="73"/>
      <c r="D103" s="73"/>
      <c r="E103" s="26"/>
      <c r="F103" s="26"/>
      <c r="G103" s="73"/>
      <c r="H103" s="26"/>
      <c r="I103" s="26"/>
      <c r="J103" s="26"/>
      <c r="K103" s="26"/>
      <c r="L103" s="26"/>
      <c r="M103" s="29"/>
      <c r="N103" s="29"/>
      <c r="O103" s="29"/>
      <c r="P103" s="29"/>
      <c r="Q103" s="29"/>
      <c r="R103" s="11"/>
    </row>
    <row r="104" spans="1:18" ht="15.75" customHeight="1">
      <c r="A104" s="28"/>
      <c r="B104" s="25"/>
      <c r="C104" s="73"/>
      <c r="D104" s="73"/>
      <c r="E104" s="26"/>
      <c r="F104" s="26"/>
      <c r="G104" s="73"/>
      <c r="H104" s="26"/>
      <c r="I104" s="26"/>
      <c r="J104" s="26"/>
      <c r="K104" s="26"/>
      <c r="L104" s="26"/>
      <c r="M104" s="29"/>
      <c r="N104" s="29"/>
      <c r="O104" s="29"/>
      <c r="P104" s="29"/>
      <c r="Q104" s="29"/>
      <c r="R104" s="11"/>
    </row>
    <row r="105" spans="1:18" ht="15.75" customHeight="1">
      <c r="A105" s="28"/>
      <c r="B105" s="25"/>
      <c r="C105" s="73"/>
      <c r="D105" s="73"/>
      <c r="E105" s="26"/>
      <c r="F105" s="26"/>
      <c r="G105" s="73"/>
      <c r="H105" s="26"/>
      <c r="I105" s="26"/>
      <c r="J105" s="26"/>
      <c r="K105" s="26"/>
      <c r="L105" s="26"/>
      <c r="M105" s="29"/>
      <c r="N105" s="29"/>
      <c r="O105" s="29"/>
      <c r="P105" s="29"/>
      <c r="Q105" s="29"/>
      <c r="R105" s="11"/>
    </row>
    <row r="106" spans="1:18" ht="15.75" customHeight="1">
      <c r="A106" s="28"/>
      <c r="B106" s="25"/>
      <c r="C106" s="73"/>
      <c r="D106" s="73"/>
      <c r="E106" s="26"/>
      <c r="F106" s="26"/>
      <c r="G106" s="73"/>
      <c r="H106" s="26"/>
      <c r="I106" s="26"/>
      <c r="J106" s="26"/>
      <c r="K106" s="26"/>
      <c r="L106" s="26"/>
      <c r="M106" s="29"/>
      <c r="N106" s="29"/>
      <c r="O106" s="29"/>
      <c r="P106" s="29"/>
      <c r="Q106" s="29"/>
      <c r="R106" s="11"/>
    </row>
    <row r="107" spans="1:18" ht="15.75" customHeight="1">
      <c r="A107" s="28"/>
      <c r="B107" s="25"/>
      <c r="C107" s="73"/>
      <c r="D107" s="73"/>
      <c r="E107" s="26"/>
      <c r="F107" s="26"/>
      <c r="G107" s="73"/>
      <c r="H107" s="26"/>
      <c r="I107" s="26"/>
      <c r="J107" s="26"/>
      <c r="K107" s="26"/>
      <c r="L107" s="26"/>
      <c r="M107" s="29"/>
      <c r="N107" s="29"/>
      <c r="O107" s="29"/>
      <c r="P107" s="29"/>
      <c r="Q107" s="29"/>
      <c r="R107" s="11"/>
    </row>
    <row r="108" spans="1:18" ht="15.75" customHeight="1">
      <c r="A108" s="28"/>
      <c r="B108" s="25"/>
      <c r="C108" s="73"/>
      <c r="D108" s="73"/>
      <c r="E108" s="26"/>
      <c r="F108" s="26"/>
      <c r="G108" s="73"/>
      <c r="H108" s="26"/>
      <c r="I108" s="26"/>
      <c r="J108" s="26"/>
      <c r="K108" s="26"/>
      <c r="L108" s="26"/>
      <c r="M108" s="29"/>
      <c r="N108" s="29"/>
      <c r="O108" s="29"/>
      <c r="P108" s="29"/>
      <c r="Q108" s="29"/>
      <c r="R108" s="11"/>
    </row>
    <row r="109" spans="1:18" ht="15.75" customHeight="1">
      <c r="A109" s="28"/>
      <c r="B109" s="25"/>
      <c r="C109" s="73"/>
      <c r="D109" s="73"/>
      <c r="E109" s="26"/>
      <c r="F109" s="26"/>
      <c r="G109" s="73"/>
      <c r="H109" s="26"/>
      <c r="I109" s="26"/>
      <c r="J109" s="26"/>
      <c r="K109" s="26"/>
      <c r="L109" s="26"/>
      <c r="M109" s="29"/>
      <c r="N109" s="29"/>
      <c r="O109" s="29"/>
      <c r="P109" s="29"/>
      <c r="Q109" s="29"/>
      <c r="R109" s="11"/>
    </row>
    <row r="110" spans="1:18" ht="15.75" customHeight="1">
      <c r="A110" s="28"/>
      <c r="B110" s="25"/>
      <c r="C110" s="73"/>
      <c r="D110" s="73"/>
      <c r="E110" s="26"/>
      <c r="F110" s="26"/>
      <c r="G110" s="73"/>
      <c r="H110" s="26"/>
      <c r="I110" s="26"/>
      <c r="J110" s="26"/>
      <c r="K110" s="26"/>
      <c r="L110" s="26"/>
      <c r="M110" s="29"/>
      <c r="N110" s="29"/>
      <c r="O110" s="29"/>
      <c r="P110" s="29"/>
      <c r="Q110" s="29"/>
      <c r="R110" s="11"/>
    </row>
    <row r="111" spans="1:18" ht="15.75" customHeight="1">
      <c r="A111" s="28"/>
      <c r="B111" s="25"/>
      <c r="C111" s="73"/>
      <c r="D111" s="73"/>
      <c r="E111" s="26"/>
      <c r="F111" s="26"/>
      <c r="G111" s="73"/>
      <c r="H111" s="26"/>
      <c r="I111" s="26"/>
      <c r="J111" s="26"/>
      <c r="K111" s="26"/>
      <c r="L111" s="26"/>
      <c r="M111" s="29"/>
      <c r="N111" s="29"/>
      <c r="O111" s="29"/>
      <c r="P111" s="29"/>
      <c r="Q111" s="29"/>
      <c r="R111" s="11"/>
    </row>
    <row r="112" spans="1:18" ht="15.75" customHeight="1">
      <c r="A112" s="28"/>
      <c r="B112" s="25"/>
      <c r="C112" s="73"/>
      <c r="D112" s="73"/>
      <c r="E112" s="26"/>
      <c r="F112" s="26"/>
      <c r="G112" s="73"/>
      <c r="H112" s="26"/>
      <c r="I112" s="26"/>
      <c r="J112" s="26"/>
      <c r="K112" s="26"/>
      <c r="L112" s="26"/>
      <c r="M112" s="29"/>
      <c r="N112" s="29"/>
      <c r="O112" s="29"/>
      <c r="P112" s="29"/>
      <c r="Q112" s="29"/>
      <c r="R112" s="11"/>
    </row>
    <row r="113" spans="1:18" ht="15.75" customHeight="1">
      <c r="A113" s="28"/>
      <c r="B113" s="25"/>
      <c r="C113" s="73"/>
      <c r="D113" s="73"/>
      <c r="E113" s="26"/>
      <c r="F113" s="26"/>
      <c r="G113" s="73"/>
      <c r="H113" s="26"/>
      <c r="I113" s="26"/>
      <c r="J113" s="26"/>
      <c r="K113" s="26"/>
      <c r="L113" s="26"/>
      <c r="M113" s="29"/>
      <c r="N113" s="29"/>
      <c r="O113" s="29"/>
      <c r="P113" s="29"/>
      <c r="Q113" s="29"/>
      <c r="R113" s="11"/>
    </row>
    <row r="114" spans="1:18" ht="15.75" customHeight="1">
      <c r="A114" s="28"/>
      <c r="B114" s="25"/>
      <c r="C114" s="73"/>
      <c r="D114" s="73"/>
      <c r="E114" s="26"/>
      <c r="F114" s="26"/>
      <c r="G114" s="73"/>
      <c r="H114" s="26"/>
      <c r="I114" s="26"/>
      <c r="J114" s="26"/>
      <c r="K114" s="26"/>
      <c r="L114" s="26"/>
      <c r="M114" s="29"/>
      <c r="N114" s="29"/>
      <c r="O114" s="29"/>
      <c r="P114" s="29"/>
      <c r="Q114" s="29"/>
      <c r="R114" s="11"/>
    </row>
    <row r="115" spans="1:18" ht="15.75" customHeight="1">
      <c r="A115" s="28"/>
      <c r="B115" s="25"/>
      <c r="C115" s="73"/>
      <c r="D115" s="73"/>
      <c r="E115" s="26"/>
      <c r="F115" s="26"/>
      <c r="G115" s="73"/>
      <c r="H115" s="26"/>
      <c r="I115" s="26"/>
      <c r="J115" s="26"/>
      <c r="K115" s="26"/>
      <c r="L115" s="26"/>
      <c r="M115" s="29"/>
      <c r="N115" s="29"/>
      <c r="O115" s="29"/>
      <c r="P115" s="29"/>
      <c r="Q115" s="29"/>
      <c r="R115" s="11"/>
    </row>
    <row r="116" spans="1:18" ht="15.75" customHeight="1">
      <c r="A116" s="28"/>
      <c r="B116" s="25"/>
      <c r="C116" s="73"/>
      <c r="D116" s="73"/>
      <c r="E116" s="26"/>
      <c r="F116" s="26"/>
      <c r="G116" s="73"/>
      <c r="H116" s="26"/>
      <c r="I116" s="26"/>
      <c r="J116" s="26"/>
      <c r="K116" s="26"/>
      <c r="L116" s="26"/>
      <c r="M116" s="29"/>
      <c r="N116" s="29"/>
      <c r="O116" s="29"/>
      <c r="P116" s="29"/>
      <c r="Q116" s="29"/>
      <c r="R116" s="11"/>
    </row>
    <row r="117" spans="1:18" ht="15.75" customHeight="1">
      <c r="A117" s="28"/>
      <c r="B117" s="25"/>
      <c r="C117" s="73"/>
      <c r="D117" s="73"/>
      <c r="E117" s="26"/>
      <c r="F117" s="26"/>
      <c r="G117" s="73"/>
      <c r="H117" s="26"/>
      <c r="I117" s="26"/>
      <c r="J117" s="26"/>
      <c r="K117" s="26"/>
      <c r="L117" s="26"/>
      <c r="M117" s="29"/>
      <c r="N117" s="29"/>
      <c r="O117" s="29"/>
      <c r="P117" s="29"/>
      <c r="Q117" s="29"/>
      <c r="R117" s="11"/>
    </row>
    <row r="118" spans="1:18" ht="15.75" customHeight="1">
      <c r="A118" s="28"/>
      <c r="B118" s="25"/>
      <c r="C118" s="73"/>
      <c r="D118" s="73"/>
      <c r="E118" s="26"/>
      <c r="F118" s="26"/>
      <c r="G118" s="73"/>
      <c r="H118" s="26"/>
      <c r="I118" s="26"/>
      <c r="J118" s="26"/>
      <c r="K118" s="26"/>
      <c r="L118" s="26"/>
      <c r="M118" s="29"/>
      <c r="N118" s="29"/>
      <c r="O118" s="29"/>
      <c r="P118" s="29"/>
      <c r="Q118" s="29"/>
      <c r="R118" s="11"/>
    </row>
    <row r="119" spans="1:18" ht="15.75" customHeight="1">
      <c r="A119" s="28"/>
      <c r="B119" s="25"/>
      <c r="C119" s="73"/>
      <c r="D119" s="73"/>
      <c r="E119" s="26"/>
      <c r="F119" s="26"/>
      <c r="G119" s="73"/>
      <c r="H119" s="26"/>
      <c r="I119" s="26"/>
      <c r="J119" s="26"/>
      <c r="K119" s="26"/>
      <c r="L119" s="26"/>
      <c r="M119" s="29"/>
      <c r="N119" s="29"/>
      <c r="O119" s="29"/>
      <c r="P119" s="29"/>
      <c r="Q119" s="29"/>
      <c r="R119" s="11"/>
    </row>
    <row r="120" spans="1:18" ht="15.75" customHeight="1">
      <c r="A120" s="28"/>
      <c r="B120" s="25"/>
      <c r="C120" s="73"/>
      <c r="D120" s="73"/>
      <c r="E120" s="26"/>
      <c r="F120" s="26"/>
      <c r="G120" s="73"/>
      <c r="H120" s="26"/>
      <c r="I120" s="26"/>
      <c r="J120" s="26"/>
      <c r="K120" s="26"/>
      <c r="L120" s="26"/>
      <c r="M120" s="29"/>
      <c r="N120" s="29"/>
      <c r="O120" s="29"/>
      <c r="P120" s="29"/>
      <c r="Q120" s="29"/>
      <c r="R120" s="11"/>
    </row>
    <row r="121" spans="1:18" ht="15.75" customHeight="1">
      <c r="A121" s="28"/>
      <c r="B121" s="25"/>
      <c r="C121" s="73"/>
      <c r="D121" s="73"/>
      <c r="E121" s="26"/>
      <c r="F121" s="26"/>
      <c r="G121" s="73"/>
      <c r="H121" s="26"/>
      <c r="I121" s="26"/>
      <c r="J121" s="26"/>
      <c r="K121" s="26"/>
      <c r="L121" s="26"/>
      <c r="M121" s="29"/>
      <c r="N121" s="29"/>
      <c r="O121" s="29"/>
      <c r="P121" s="29"/>
      <c r="Q121" s="29"/>
      <c r="R121" s="11"/>
    </row>
    <row r="122" spans="1:18" ht="15.75" customHeight="1">
      <c r="A122" s="28"/>
      <c r="B122" s="25"/>
      <c r="C122" s="73"/>
      <c r="D122" s="73"/>
      <c r="E122" s="26"/>
      <c r="F122" s="26"/>
      <c r="G122" s="73"/>
      <c r="H122" s="26"/>
      <c r="I122" s="26"/>
      <c r="J122" s="26"/>
      <c r="K122" s="26"/>
      <c r="L122" s="26"/>
      <c r="M122" s="29"/>
      <c r="N122" s="29"/>
      <c r="O122" s="29"/>
      <c r="P122" s="29"/>
      <c r="Q122" s="29"/>
      <c r="R122" s="11"/>
    </row>
    <row r="123" spans="1:18" ht="15.75" customHeight="1">
      <c r="A123" s="28"/>
      <c r="B123" s="25"/>
      <c r="C123" s="73"/>
      <c r="D123" s="73"/>
      <c r="E123" s="26"/>
      <c r="F123" s="26"/>
      <c r="G123" s="73"/>
      <c r="H123" s="26"/>
      <c r="I123" s="26"/>
      <c r="J123" s="26"/>
      <c r="K123" s="26"/>
      <c r="L123" s="26"/>
      <c r="M123" s="29"/>
      <c r="N123" s="29"/>
      <c r="O123" s="29"/>
      <c r="P123" s="29"/>
      <c r="Q123" s="29"/>
      <c r="R123" s="11"/>
    </row>
    <row r="124" spans="1:18" ht="15.75" customHeight="1">
      <c r="A124" s="28"/>
      <c r="B124" s="25"/>
      <c r="C124" s="73"/>
      <c r="D124" s="73"/>
      <c r="E124" s="26"/>
      <c r="F124" s="26"/>
      <c r="G124" s="73"/>
      <c r="H124" s="26"/>
      <c r="I124" s="26"/>
      <c r="J124" s="26"/>
      <c r="K124" s="26"/>
      <c r="L124" s="26"/>
      <c r="M124" s="29"/>
      <c r="N124" s="29"/>
      <c r="O124" s="29"/>
      <c r="P124" s="29"/>
      <c r="Q124" s="29"/>
      <c r="R124" s="11"/>
    </row>
    <row r="125" spans="1:18" ht="15.75" customHeight="1">
      <c r="A125" s="28"/>
      <c r="B125" s="25"/>
      <c r="C125" s="73"/>
      <c r="D125" s="73"/>
      <c r="E125" s="26"/>
      <c r="F125" s="26"/>
      <c r="G125" s="73"/>
      <c r="H125" s="26"/>
      <c r="I125" s="26"/>
      <c r="J125" s="26"/>
      <c r="K125" s="26"/>
      <c r="L125" s="26"/>
      <c r="M125" s="29"/>
      <c r="N125" s="29"/>
      <c r="O125" s="29"/>
      <c r="P125" s="29"/>
      <c r="Q125" s="29"/>
      <c r="R125" s="11"/>
    </row>
    <row r="126" spans="1:18" ht="15.75" customHeight="1">
      <c r="A126" s="28"/>
      <c r="B126" s="25"/>
      <c r="C126" s="73"/>
      <c r="D126" s="73"/>
      <c r="E126" s="26"/>
      <c r="F126" s="26"/>
      <c r="G126" s="73"/>
      <c r="H126" s="26"/>
      <c r="I126" s="26"/>
      <c r="J126" s="26"/>
      <c r="K126" s="26"/>
      <c r="L126" s="26"/>
      <c r="M126" s="29"/>
      <c r="N126" s="29"/>
      <c r="O126" s="29"/>
      <c r="P126" s="29"/>
      <c r="Q126" s="29"/>
      <c r="R126" s="11"/>
    </row>
    <row r="127" spans="1:18" ht="15.75" customHeight="1">
      <c r="A127" s="28"/>
      <c r="B127" s="25"/>
      <c r="C127" s="73"/>
      <c r="D127" s="73"/>
      <c r="E127" s="26"/>
      <c r="F127" s="26"/>
      <c r="G127" s="73"/>
      <c r="H127" s="26"/>
      <c r="I127" s="26"/>
      <c r="J127" s="26"/>
      <c r="K127" s="26"/>
      <c r="L127" s="26"/>
      <c r="M127" s="29"/>
      <c r="N127" s="29"/>
      <c r="O127" s="29"/>
      <c r="P127" s="29"/>
      <c r="Q127" s="29"/>
      <c r="R127" s="11"/>
    </row>
    <row r="128" spans="1:18" ht="15.75" customHeight="1">
      <c r="A128" s="28"/>
      <c r="B128" s="25"/>
      <c r="C128" s="73"/>
      <c r="D128" s="73"/>
      <c r="E128" s="26"/>
      <c r="F128" s="26"/>
      <c r="G128" s="73"/>
      <c r="H128" s="26"/>
      <c r="I128" s="26"/>
      <c r="J128" s="26"/>
      <c r="K128" s="26"/>
      <c r="L128" s="26"/>
      <c r="M128" s="29"/>
      <c r="N128" s="29"/>
      <c r="O128" s="29"/>
      <c r="P128" s="29"/>
      <c r="Q128" s="29"/>
      <c r="R128" s="11"/>
    </row>
    <row r="129" spans="1:18" ht="15.75" customHeight="1">
      <c r="A129" s="28"/>
      <c r="B129" s="25"/>
      <c r="C129" s="73"/>
      <c r="D129" s="73"/>
      <c r="E129" s="26"/>
      <c r="F129" s="26"/>
      <c r="G129" s="73"/>
      <c r="H129" s="26"/>
      <c r="I129" s="26"/>
      <c r="J129" s="26"/>
      <c r="K129" s="26"/>
      <c r="L129" s="26"/>
      <c r="M129" s="29"/>
      <c r="N129" s="29"/>
      <c r="O129" s="29"/>
      <c r="P129" s="29"/>
      <c r="Q129" s="29"/>
      <c r="R129" s="11"/>
    </row>
    <row r="130" spans="1:18" ht="15.75" customHeight="1">
      <c r="A130" s="28"/>
      <c r="B130" s="25"/>
      <c r="C130" s="73"/>
      <c r="D130" s="73"/>
      <c r="E130" s="26"/>
      <c r="F130" s="26"/>
      <c r="G130" s="73"/>
      <c r="H130" s="26"/>
      <c r="I130" s="26"/>
      <c r="J130" s="26"/>
      <c r="K130" s="26"/>
      <c r="L130" s="26"/>
      <c r="M130" s="29"/>
      <c r="N130" s="29"/>
      <c r="O130" s="29"/>
      <c r="P130" s="29"/>
      <c r="Q130" s="29"/>
      <c r="R130" s="11"/>
    </row>
    <row r="131" spans="1:18" ht="15.75" customHeight="1">
      <c r="A131" s="28"/>
      <c r="B131" s="25"/>
      <c r="C131" s="73"/>
      <c r="D131" s="73"/>
      <c r="E131" s="26"/>
      <c r="F131" s="26"/>
      <c r="G131" s="73"/>
      <c r="H131" s="26"/>
      <c r="I131" s="26"/>
      <c r="J131" s="26"/>
      <c r="K131" s="26"/>
      <c r="L131" s="26"/>
      <c r="M131" s="29"/>
      <c r="N131" s="29"/>
      <c r="O131" s="29"/>
      <c r="P131" s="29"/>
      <c r="Q131" s="29"/>
      <c r="R131" s="11"/>
    </row>
    <row r="132" spans="1:18" ht="15.75" customHeight="1">
      <c r="A132" s="28"/>
      <c r="B132" s="25"/>
      <c r="C132" s="73"/>
      <c r="D132" s="73"/>
      <c r="E132" s="26"/>
      <c r="F132" s="26"/>
      <c r="G132" s="73"/>
      <c r="H132" s="26"/>
      <c r="I132" s="26"/>
      <c r="J132" s="26"/>
      <c r="K132" s="26"/>
      <c r="L132" s="26"/>
      <c r="M132" s="29"/>
      <c r="N132" s="29"/>
      <c r="O132" s="29"/>
      <c r="P132" s="29"/>
      <c r="Q132" s="29"/>
      <c r="R132" s="11"/>
    </row>
    <row r="133" spans="1:18" ht="15.75" customHeight="1">
      <c r="A133" s="28"/>
      <c r="B133" s="25"/>
      <c r="C133" s="73"/>
      <c r="D133" s="73"/>
      <c r="E133" s="26"/>
      <c r="F133" s="26"/>
      <c r="G133" s="73"/>
      <c r="H133" s="26"/>
      <c r="I133" s="26"/>
      <c r="J133" s="26"/>
      <c r="K133" s="26"/>
      <c r="L133" s="26"/>
      <c r="M133" s="29"/>
      <c r="N133" s="29"/>
      <c r="O133" s="29"/>
      <c r="P133" s="29"/>
      <c r="Q133" s="29"/>
      <c r="R133" s="11"/>
    </row>
    <row r="134" spans="1:18" ht="15.75" customHeight="1">
      <c r="A134" s="28"/>
      <c r="B134" s="25"/>
      <c r="C134" s="73"/>
      <c r="D134" s="73"/>
      <c r="E134" s="26"/>
      <c r="F134" s="26"/>
      <c r="G134" s="73"/>
      <c r="H134" s="26"/>
      <c r="I134" s="26"/>
      <c r="J134" s="26"/>
      <c r="K134" s="26"/>
      <c r="L134" s="26"/>
      <c r="M134" s="29"/>
      <c r="N134" s="29"/>
      <c r="O134" s="29"/>
      <c r="P134" s="29"/>
      <c r="Q134" s="29"/>
      <c r="R134" s="11"/>
    </row>
    <row r="135" spans="1:18" ht="15.75" customHeight="1">
      <c r="A135" s="28"/>
      <c r="B135" s="25"/>
      <c r="C135" s="73"/>
      <c r="D135" s="73"/>
      <c r="E135" s="26"/>
      <c r="F135" s="26"/>
      <c r="G135" s="73"/>
      <c r="H135" s="26"/>
      <c r="I135" s="26"/>
      <c r="J135" s="26"/>
      <c r="K135" s="26"/>
      <c r="L135" s="26"/>
      <c r="M135" s="29"/>
      <c r="N135" s="29"/>
      <c r="O135" s="29"/>
      <c r="P135" s="29"/>
      <c r="Q135" s="29"/>
      <c r="R135" s="11"/>
    </row>
    <row r="136" spans="1:18" ht="15.75" customHeight="1">
      <c r="A136" s="28"/>
      <c r="B136" s="25"/>
      <c r="C136" s="73"/>
      <c r="D136" s="73"/>
      <c r="E136" s="26"/>
      <c r="F136" s="26"/>
      <c r="G136" s="73"/>
      <c r="H136" s="26"/>
      <c r="I136" s="26"/>
      <c r="J136" s="26"/>
      <c r="K136" s="26"/>
      <c r="L136" s="26"/>
      <c r="M136" s="29"/>
      <c r="N136" s="29"/>
      <c r="O136" s="29"/>
      <c r="P136" s="29"/>
      <c r="Q136" s="29"/>
      <c r="R136" s="11"/>
    </row>
    <row r="137" spans="1:18" ht="15.75" customHeight="1">
      <c r="A137" s="28"/>
      <c r="B137" s="25"/>
      <c r="C137" s="73"/>
      <c r="D137" s="73"/>
      <c r="E137" s="26"/>
      <c r="F137" s="26"/>
      <c r="G137" s="73"/>
      <c r="H137" s="26"/>
      <c r="I137" s="26"/>
      <c r="J137" s="26"/>
      <c r="K137" s="26"/>
      <c r="L137" s="26"/>
      <c r="M137" s="29"/>
      <c r="N137" s="29"/>
      <c r="O137" s="29"/>
      <c r="P137" s="29"/>
      <c r="Q137" s="29"/>
      <c r="R137" s="11"/>
    </row>
    <row r="138" spans="1:18" ht="15.75" customHeight="1">
      <c r="A138" s="28"/>
      <c r="B138" s="25"/>
      <c r="C138" s="73"/>
      <c r="D138" s="73"/>
      <c r="E138" s="26"/>
      <c r="F138" s="26"/>
      <c r="G138" s="73"/>
      <c r="H138" s="26"/>
      <c r="I138" s="26"/>
      <c r="J138" s="26"/>
      <c r="K138" s="26"/>
      <c r="L138" s="26"/>
      <c r="M138" s="29"/>
      <c r="N138" s="29"/>
      <c r="O138" s="29"/>
      <c r="P138" s="29"/>
      <c r="Q138" s="29"/>
      <c r="R138" s="11"/>
    </row>
    <row r="139" spans="1:18" ht="15.75" customHeight="1">
      <c r="A139" s="28"/>
      <c r="B139" s="25"/>
      <c r="C139" s="73"/>
      <c r="D139" s="73"/>
      <c r="E139" s="26"/>
      <c r="F139" s="26"/>
      <c r="G139" s="73"/>
      <c r="H139" s="26"/>
      <c r="I139" s="26"/>
      <c r="J139" s="26"/>
      <c r="K139" s="26"/>
      <c r="L139" s="26"/>
      <c r="M139" s="29"/>
      <c r="N139" s="29"/>
      <c r="O139" s="29"/>
      <c r="P139" s="29"/>
      <c r="Q139" s="29"/>
      <c r="R139" s="11"/>
    </row>
    <row r="140" spans="1:18" ht="15.75" customHeight="1">
      <c r="A140" s="28"/>
      <c r="B140" s="25"/>
      <c r="C140" s="73"/>
      <c r="D140" s="73"/>
      <c r="E140" s="26"/>
      <c r="F140" s="26"/>
      <c r="G140" s="73"/>
      <c r="H140" s="26"/>
      <c r="I140" s="26"/>
      <c r="J140" s="26"/>
      <c r="K140" s="26"/>
      <c r="L140" s="26"/>
      <c r="M140" s="29"/>
      <c r="N140" s="29"/>
      <c r="O140" s="29"/>
      <c r="P140" s="29"/>
      <c r="Q140" s="29"/>
      <c r="R140" s="11"/>
    </row>
    <row r="141" spans="1:18" ht="15.75" customHeight="1">
      <c r="A141" s="28"/>
      <c r="B141" s="25"/>
      <c r="C141" s="73"/>
      <c r="D141" s="73"/>
      <c r="E141" s="26"/>
      <c r="F141" s="26"/>
      <c r="G141" s="73"/>
      <c r="H141" s="26"/>
      <c r="I141" s="26"/>
      <c r="J141" s="26"/>
      <c r="K141" s="26"/>
      <c r="L141" s="26"/>
      <c r="M141" s="29"/>
      <c r="N141" s="29"/>
      <c r="O141" s="29"/>
      <c r="P141" s="29"/>
      <c r="Q141" s="29"/>
      <c r="R141" s="11"/>
    </row>
    <row r="142" spans="1:18" ht="15.75" customHeight="1">
      <c r="A142" s="28"/>
      <c r="B142" s="25"/>
      <c r="C142" s="73"/>
      <c r="D142" s="73"/>
      <c r="E142" s="26"/>
      <c r="F142" s="26"/>
      <c r="G142" s="73"/>
      <c r="H142" s="26"/>
      <c r="I142" s="26"/>
      <c r="J142" s="26"/>
      <c r="K142" s="26"/>
      <c r="L142" s="26"/>
      <c r="M142" s="29"/>
      <c r="N142" s="29"/>
      <c r="O142" s="29"/>
      <c r="P142" s="29"/>
      <c r="Q142" s="29"/>
      <c r="R142" s="11"/>
    </row>
    <row r="143" spans="1:18" ht="15.75" customHeight="1">
      <c r="A143" s="28"/>
      <c r="B143" s="25"/>
      <c r="C143" s="73"/>
      <c r="D143" s="73"/>
      <c r="E143" s="26"/>
      <c r="F143" s="26"/>
      <c r="G143" s="73"/>
      <c r="H143" s="26"/>
      <c r="I143" s="26"/>
      <c r="J143" s="26"/>
      <c r="K143" s="26"/>
      <c r="L143" s="26"/>
      <c r="M143" s="29"/>
      <c r="N143" s="29"/>
      <c r="O143" s="29"/>
      <c r="P143" s="29"/>
      <c r="Q143" s="29"/>
      <c r="R143" s="11"/>
    </row>
    <row r="144" spans="1:18" ht="15.75" customHeight="1">
      <c r="A144" s="28"/>
      <c r="B144" s="25"/>
      <c r="C144" s="73"/>
      <c r="D144" s="73"/>
      <c r="E144" s="26"/>
      <c r="F144" s="26"/>
      <c r="G144" s="73"/>
      <c r="H144" s="26"/>
      <c r="I144" s="26"/>
      <c r="J144" s="26"/>
      <c r="K144" s="26"/>
      <c r="L144" s="26"/>
      <c r="M144" s="29"/>
      <c r="N144" s="29"/>
      <c r="O144" s="29"/>
      <c r="P144" s="29"/>
      <c r="Q144" s="29"/>
      <c r="R144" s="11"/>
    </row>
    <row r="145" spans="1:18" ht="15.75" customHeight="1">
      <c r="A145" s="28"/>
      <c r="B145" s="25"/>
      <c r="C145" s="73"/>
      <c r="D145" s="73"/>
      <c r="E145" s="26"/>
      <c r="F145" s="26"/>
      <c r="G145" s="73"/>
      <c r="H145" s="26"/>
      <c r="I145" s="26"/>
      <c r="J145" s="26"/>
      <c r="K145" s="26"/>
      <c r="L145" s="26"/>
      <c r="M145" s="29"/>
      <c r="N145" s="29"/>
      <c r="O145" s="29"/>
      <c r="P145" s="29"/>
      <c r="Q145" s="29"/>
      <c r="R145" s="11"/>
    </row>
    <row r="146" spans="1:18" ht="15.75" customHeight="1">
      <c r="A146" s="28"/>
      <c r="B146" s="25"/>
      <c r="C146" s="73"/>
      <c r="D146" s="73"/>
      <c r="E146" s="26"/>
      <c r="F146" s="26"/>
      <c r="G146" s="73"/>
      <c r="H146" s="26"/>
      <c r="I146" s="26"/>
      <c r="J146" s="26"/>
      <c r="K146" s="26"/>
      <c r="L146" s="26"/>
      <c r="M146" s="29"/>
      <c r="N146" s="29"/>
      <c r="O146" s="29"/>
      <c r="P146" s="29"/>
      <c r="Q146" s="29"/>
      <c r="R146" s="11"/>
    </row>
    <row r="147" spans="1:18" ht="15.75" customHeight="1">
      <c r="A147" s="28"/>
      <c r="B147" s="25"/>
      <c r="C147" s="73"/>
      <c r="D147" s="73"/>
      <c r="E147" s="26"/>
      <c r="F147" s="26"/>
      <c r="G147" s="73"/>
      <c r="H147" s="26"/>
      <c r="I147" s="26"/>
      <c r="J147" s="26"/>
      <c r="K147" s="26"/>
      <c r="L147" s="26"/>
      <c r="M147" s="29"/>
      <c r="N147" s="29"/>
      <c r="O147" s="29"/>
      <c r="P147" s="29"/>
      <c r="Q147" s="29"/>
      <c r="R147" s="11"/>
    </row>
    <row r="148" spans="1:18" ht="15.75" customHeight="1">
      <c r="A148" s="28"/>
      <c r="B148" s="25"/>
      <c r="C148" s="73"/>
      <c r="D148" s="73"/>
      <c r="E148" s="26"/>
      <c r="F148" s="26"/>
      <c r="G148" s="73"/>
      <c r="H148" s="26"/>
      <c r="I148" s="26"/>
      <c r="J148" s="26"/>
      <c r="K148" s="26"/>
      <c r="L148" s="26"/>
      <c r="M148" s="29"/>
      <c r="N148" s="29"/>
      <c r="O148" s="29"/>
      <c r="P148" s="29"/>
      <c r="Q148" s="29"/>
      <c r="R148" s="11"/>
    </row>
    <row r="149" spans="1:18" ht="15.75" customHeight="1">
      <c r="A149" s="28"/>
      <c r="B149" s="25"/>
      <c r="C149" s="73"/>
      <c r="D149" s="73"/>
      <c r="E149" s="26"/>
      <c r="F149" s="26"/>
      <c r="G149" s="73"/>
      <c r="H149" s="26"/>
      <c r="I149" s="26"/>
      <c r="J149" s="26"/>
      <c r="K149" s="26"/>
      <c r="L149" s="26"/>
      <c r="M149" s="29"/>
      <c r="N149" s="29"/>
      <c r="O149" s="29"/>
      <c r="P149" s="29"/>
      <c r="Q149" s="29"/>
      <c r="R149" s="11"/>
    </row>
    <row r="150" spans="1:18" ht="15.75" customHeight="1">
      <c r="A150" s="28"/>
      <c r="B150" s="25"/>
      <c r="C150" s="73"/>
      <c r="D150" s="73"/>
      <c r="E150" s="26"/>
      <c r="F150" s="26"/>
      <c r="G150" s="73"/>
      <c r="H150" s="26"/>
      <c r="I150" s="26"/>
      <c r="J150" s="26"/>
      <c r="K150" s="26"/>
      <c r="L150" s="26"/>
      <c r="M150" s="29"/>
      <c r="N150" s="29"/>
      <c r="O150" s="29"/>
      <c r="P150" s="29"/>
      <c r="Q150" s="29"/>
      <c r="R150" s="11"/>
    </row>
    <row r="151" spans="1:18" ht="15.75" customHeight="1">
      <c r="A151" s="28"/>
      <c r="B151" s="25"/>
      <c r="C151" s="73"/>
      <c r="D151" s="73"/>
      <c r="E151" s="26"/>
      <c r="F151" s="26"/>
      <c r="G151" s="73"/>
      <c r="H151" s="26"/>
      <c r="I151" s="26"/>
      <c r="J151" s="26"/>
      <c r="K151" s="26"/>
      <c r="L151" s="26"/>
      <c r="M151" s="29"/>
      <c r="N151" s="29"/>
      <c r="O151" s="29"/>
      <c r="P151" s="29"/>
      <c r="Q151" s="29"/>
      <c r="R151" s="11"/>
    </row>
    <row r="152" spans="1:18" ht="15.75" customHeight="1">
      <c r="A152" s="28"/>
      <c r="B152" s="25"/>
      <c r="C152" s="73"/>
      <c r="D152" s="73"/>
      <c r="E152" s="26"/>
      <c r="F152" s="26"/>
      <c r="G152" s="73"/>
      <c r="H152" s="26"/>
      <c r="I152" s="26"/>
      <c r="J152" s="26"/>
      <c r="K152" s="26"/>
      <c r="L152" s="26"/>
      <c r="M152" s="29"/>
      <c r="N152" s="29"/>
      <c r="O152" s="29"/>
      <c r="P152" s="29"/>
      <c r="Q152" s="29"/>
      <c r="R152" s="11"/>
    </row>
    <row r="153" spans="1:18" ht="15.75" customHeight="1">
      <c r="A153" s="28"/>
      <c r="B153" s="25"/>
      <c r="C153" s="73"/>
      <c r="D153" s="73"/>
      <c r="E153" s="26"/>
      <c r="F153" s="26"/>
      <c r="G153" s="73"/>
      <c r="H153" s="26"/>
      <c r="I153" s="26"/>
      <c r="J153" s="26"/>
      <c r="K153" s="26"/>
      <c r="L153" s="26"/>
      <c r="M153" s="29"/>
      <c r="N153" s="29"/>
      <c r="O153" s="29"/>
      <c r="P153" s="29"/>
      <c r="Q153" s="29"/>
      <c r="R153" s="11"/>
    </row>
    <row r="154" spans="1:18" ht="15.75" customHeight="1">
      <c r="A154" s="28"/>
      <c r="B154" s="25"/>
      <c r="C154" s="73"/>
      <c r="D154" s="73"/>
      <c r="E154" s="26"/>
      <c r="F154" s="26"/>
      <c r="G154" s="73"/>
      <c r="H154" s="26"/>
      <c r="I154" s="26"/>
      <c r="J154" s="26"/>
      <c r="K154" s="26"/>
      <c r="L154" s="26"/>
      <c r="M154" s="29"/>
      <c r="N154" s="29"/>
      <c r="O154" s="29"/>
      <c r="P154" s="29"/>
      <c r="Q154" s="29"/>
      <c r="R154" s="11"/>
    </row>
    <row r="155" spans="1:18" ht="15.75" customHeight="1">
      <c r="A155" s="28"/>
      <c r="B155" s="25"/>
      <c r="C155" s="73"/>
      <c r="D155" s="73"/>
      <c r="E155" s="26"/>
      <c r="F155" s="26"/>
      <c r="G155" s="73"/>
      <c r="H155" s="26"/>
      <c r="I155" s="26"/>
      <c r="J155" s="26"/>
      <c r="K155" s="26"/>
      <c r="L155" s="26"/>
      <c r="M155" s="29"/>
      <c r="N155" s="29"/>
      <c r="O155" s="29"/>
      <c r="P155" s="29"/>
      <c r="Q155" s="29"/>
      <c r="R155" s="11"/>
    </row>
    <row r="156" spans="1:18" ht="15.75" customHeight="1">
      <c r="A156" s="28"/>
      <c r="B156" s="25"/>
      <c r="C156" s="73"/>
      <c r="D156" s="73"/>
      <c r="E156" s="26"/>
      <c r="F156" s="26"/>
      <c r="G156" s="73"/>
      <c r="H156" s="26"/>
      <c r="I156" s="26"/>
      <c r="J156" s="26"/>
      <c r="K156" s="26"/>
      <c r="L156" s="26"/>
      <c r="M156" s="29"/>
      <c r="N156" s="29"/>
      <c r="O156" s="29"/>
      <c r="P156" s="29"/>
      <c r="Q156" s="29"/>
      <c r="R156" s="11"/>
    </row>
    <row r="157" spans="1:18" ht="15.75" customHeight="1">
      <c r="A157" s="28"/>
      <c r="B157" s="25"/>
      <c r="C157" s="73"/>
      <c r="D157" s="73"/>
      <c r="E157" s="26"/>
      <c r="F157" s="26"/>
      <c r="G157" s="73"/>
      <c r="H157" s="26"/>
      <c r="I157" s="26"/>
      <c r="J157" s="26"/>
      <c r="K157" s="26"/>
      <c r="L157" s="26"/>
      <c r="M157" s="29"/>
      <c r="N157" s="29"/>
      <c r="O157" s="29"/>
      <c r="P157" s="29"/>
      <c r="Q157" s="29"/>
      <c r="R157" s="11"/>
    </row>
    <row r="158" spans="1:18" ht="15.75" customHeight="1">
      <c r="A158" s="28"/>
      <c r="B158" s="25"/>
      <c r="C158" s="73"/>
      <c r="D158" s="73"/>
      <c r="E158" s="26"/>
      <c r="F158" s="26"/>
      <c r="G158" s="73"/>
      <c r="H158" s="26"/>
      <c r="I158" s="26"/>
      <c r="J158" s="26"/>
      <c r="K158" s="26"/>
      <c r="L158" s="26"/>
      <c r="M158" s="29"/>
      <c r="N158" s="29"/>
      <c r="O158" s="29"/>
      <c r="P158" s="29"/>
      <c r="Q158" s="29"/>
      <c r="R158" s="11"/>
    </row>
    <row r="159" spans="1:18" ht="15.75" customHeight="1">
      <c r="A159" s="28"/>
      <c r="B159" s="25"/>
      <c r="C159" s="73"/>
      <c r="D159" s="73"/>
      <c r="E159" s="26"/>
      <c r="F159" s="26"/>
      <c r="G159" s="73"/>
      <c r="H159" s="26"/>
      <c r="I159" s="26"/>
      <c r="J159" s="26"/>
      <c r="K159" s="26"/>
      <c r="L159" s="26"/>
      <c r="M159" s="29"/>
      <c r="N159" s="29"/>
      <c r="O159" s="29"/>
      <c r="P159" s="29"/>
      <c r="Q159" s="29"/>
      <c r="R159" s="11"/>
    </row>
    <row r="160" spans="1:18" ht="15.75" customHeight="1">
      <c r="A160" s="28"/>
      <c r="B160" s="25"/>
      <c r="C160" s="73"/>
      <c r="D160" s="73"/>
      <c r="E160" s="26"/>
      <c r="F160" s="26"/>
      <c r="G160" s="73"/>
      <c r="H160" s="26"/>
      <c r="I160" s="26"/>
      <c r="J160" s="26"/>
      <c r="K160" s="26"/>
      <c r="L160" s="26"/>
      <c r="M160" s="29"/>
      <c r="N160" s="29"/>
      <c r="O160" s="29"/>
      <c r="P160" s="29"/>
      <c r="Q160" s="29"/>
      <c r="R160" s="11"/>
    </row>
    <row r="161" spans="1:18" ht="15.75" customHeight="1">
      <c r="A161" s="28"/>
      <c r="B161" s="25"/>
      <c r="C161" s="73"/>
      <c r="D161" s="73"/>
      <c r="E161" s="26"/>
      <c r="F161" s="26"/>
      <c r="G161" s="73"/>
      <c r="H161" s="26"/>
      <c r="I161" s="26"/>
      <c r="J161" s="26"/>
      <c r="K161" s="26"/>
      <c r="L161" s="26"/>
      <c r="M161" s="29"/>
      <c r="N161" s="29"/>
      <c r="O161" s="29"/>
      <c r="P161" s="29"/>
      <c r="Q161" s="29"/>
      <c r="R161" s="11"/>
    </row>
    <row r="162" spans="1:18" ht="15.75" customHeight="1">
      <c r="A162" s="28"/>
      <c r="B162" s="25"/>
      <c r="C162" s="73"/>
      <c r="D162" s="73"/>
      <c r="E162" s="26"/>
      <c r="F162" s="26"/>
      <c r="G162" s="73"/>
      <c r="H162" s="26"/>
      <c r="I162" s="26"/>
      <c r="J162" s="26"/>
      <c r="K162" s="26"/>
      <c r="L162" s="26"/>
      <c r="M162" s="29"/>
      <c r="N162" s="29"/>
      <c r="O162" s="29"/>
      <c r="P162" s="29"/>
      <c r="Q162" s="29"/>
      <c r="R162" s="11"/>
    </row>
    <row r="163" spans="1:18" ht="15.75" customHeight="1">
      <c r="A163" s="28"/>
      <c r="B163" s="25"/>
      <c r="C163" s="73"/>
      <c r="D163" s="73"/>
      <c r="E163" s="26"/>
      <c r="F163" s="26"/>
      <c r="G163" s="73"/>
      <c r="H163" s="26"/>
      <c r="I163" s="26"/>
      <c r="J163" s="26"/>
      <c r="K163" s="26"/>
      <c r="L163" s="26"/>
      <c r="M163" s="29"/>
      <c r="N163" s="29"/>
      <c r="O163" s="29"/>
      <c r="P163" s="29"/>
      <c r="Q163" s="29"/>
      <c r="R163" s="11"/>
    </row>
    <row r="164" spans="1:18" ht="15.75" customHeight="1">
      <c r="A164" s="28"/>
      <c r="B164" s="25"/>
      <c r="C164" s="73"/>
      <c r="D164" s="73"/>
      <c r="E164" s="26"/>
      <c r="F164" s="26"/>
      <c r="G164" s="73"/>
      <c r="H164" s="26"/>
      <c r="I164" s="26"/>
      <c r="J164" s="26"/>
      <c r="K164" s="26"/>
      <c r="L164" s="26"/>
      <c r="M164" s="29"/>
      <c r="N164" s="29"/>
      <c r="O164" s="29"/>
      <c r="P164" s="29"/>
      <c r="Q164" s="29"/>
      <c r="R164" s="11"/>
    </row>
    <row r="165" spans="1:18" ht="15.75" customHeight="1">
      <c r="A165" s="28"/>
      <c r="B165" s="25"/>
      <c r="C165" s="73"/>
      <c r="D165" s="73"/>
      <c r="E165" s="26"/>
      <c r="F165" s="26"/>
      <c r="G165" s="73"/>
      <c r="H165" s="26"/>
      <c r="I165" s="26"/>
      <c r="J165" s="26"/>
      <c r="K165" s="26"/>
      <c r="L165" s="26"/>
      <c r="M165" s="29"/>
      <c r="N165" s="29"/>
      <c r="O165" s="29"/>
      <c r="P165" s="29"/>
      <c r="Q165" s="29"/>
      <c r="R165" s="11"/>
    </row>
    <row r="166" spans="1:18" ht="15.75" customHeight="1">
      <c r="A166" s="28"/>
      <c r="B166" s="25"/>
      <c r="C166" s="73"/>
      <c r="D166" s="73"/>
      <c r="E166" s="26"/>
      <c r="F166" s="26"/>
      <c r="G166" s="73"/>
      <c r="H166" s="26"/>
      <c r="I166" s="26"/>
      <c r="J166" s="26"/>
      <c r="K166" s="26"/>
      <c r="L166" s="26"/>
      <c r="M166" s="29"/>
      <c r="N166" s="29"/>
      <c r="O166" s="29"/>
      <c r="P166" s="29"/>
      <c r="Q166" s="29"/>
      <c r="R166" s="11"/>
    </row>
    <row r="167" spans="1:18" ht="15.75" customHeight="1">
      <c r="A167" s="28"/>
      <c r="B167" s="25"/>
      <c r="C167" s="73"/>
      <c r="D167" s="73"/>
      <c r="E167" s="26"/>
      <c r="F167" s="26"/>
      <c r="G167" s="73"/>
      <c r="H167" s="26"/>
      <c r="I167" s="26"/>
      <c r="J167" s="26"/>
      <c r="K167" s="26"/>
      <c r="L167" s="26"/>
      <c r="M167" s="29"/>
      <c r="N167" s="29"/>
      <c r="O167" s="29"/>
      <c r="P167" s="29"/>
      <c r="Q167" s="29"/>
      <c r="R167" s="11"/>
    </row>
    <row r="168" spans="1:18" ht="15.75" customHeight="1">
      <c r="A168" s="28"/>
      <c r="B168" s="25"/>
      <c r="C168" s="73"/>
      <c r="D168" s="73"/>
      <c r="E168" s="26"/>
      <c r="F168" s="26"/>
      <c r="G168" s="73"/>
      <c r="H168" s="26"/>
      <c r="I168" s="26"/>
      <c r="J168" s="26"/>
      <c r="K168" s="26"/>
      <c r="L168" s="26"/>
      <c r="M168" s="29"/>
      <c r="N168" s="29"/>
      <c r="O168" s="29"/>
      <c r="P168" s="29"/>
      <c r="Q168" s="29"/>
      <c r="R168" s="11"/>
    </row>
    <row r="169" spans="1:18" ht="15.75" customHeight="1">
      <c r="A169" s="28"/>
      <c r="B169" s="25"/>
      <c r="C169" s="73"/>
      <c r="D169" s="73"/>
      <c r="E169" s="26"/>
      <c r="F169" s="26"/>
      <c r="G169" s="73"/>
      <c r="H169" s="26"/>
      <c r="I169" s="26"/>
      <c r="J169" s="26"/>
      <c r="K169" s="26"/>
      <c r="L169" s="26"/>
      <c r="M169" s="29"/>
      <c r="N169" s="29"/>
      <c r="O169" s="29"/>
      <c r="P169" s="29"/>
      <c r="Q169" s="29"/>
      <c r="R169" s="11"/>
    </row>
    <row r="170" spans="1:18" ht="15.75" customHeight="1">
      <c r="A170" s="28"/>
      <c r="B170" s="25"/>
      <c r="C170" s="73"/>
      <c r="D170" s="73"/>
      <c r="E170" s="26"/>
      <c r="F170" s="26"/>
      <c r="G170" s="73"/>
      <c r="H170" s="26"/>
      <c r="I170" s="26"/>
      <c r="J170" s="26"/>
      <c r="K170" s="26"/>
      <c r="L170" s="26"/>
      <c r="M170" s="29"/>
      <c r="N170" s="29"/>
      <c r="O170" s="29"/>
      <c r="P170" s="29"/>
      <c r="Q170" s="29"/>
      <c r="R170" s="11"/>
    </row>
    <row r="171" spans="1:18" ht="15.75" customHeight="1">
      <c r="A171" s="28"/>
      <c r="B171" s="25"/>
      <c r="C171" s="73"/>
      <c r="D171" s="73"/>
      <c r="E171" s="26"/>
      <c r="F171" s="26"/>
      <c r="G171" s="73"/>
      <c r="H171" s="26"/>
      <c r="I171" s="26"/>
      <c r="J171" s="26"/>
      <c r="K171" s="26"/>
      <c r="L171" s="26"/>
      <c r="M171" s="29"/>
      <c r="N171" s="29"/>
      <c r="O171" s="29"/>
      <c r="P171" s="29"/>
      <c r="Q171" s="29"/>
      <c r="R171" s="11"/>
    </row>
    <row r="172" spans="1:18" ht="15.75" customHeight="1">
      <c r="A172" s="28"/>
      <c r="B172" s="25"/>
      <c r="C172" s="73"/>
      <c r="D172" s="73"/>
      <c r="E172" s="26"/>
      <c r="F172" s="26"/>
      <c r="G172" s="73"/>
      <c r="H172" s="26"/>
      <c r="I172" s="26"/>
      <c r="J172" s="26"/>
      <c r="K172" s="26"/>
      <c r="L172" s="26"/>
      <c r="M172" s="29"/>
      <c r="N172" s="29"/>
      <c r="O172" s="29"/>
      <c r="P172" s="29"/>
      <c r="Q172" s="29"/>
      <c r="R172" s="11"/>
    </row>
    <row r="173" spans="1:18" ht="15.75" customHeight="1">
      <c r="A173" s="28"/>
      <c r="B173" s="25"/>
      <c r="C173" s="73"/>
      <c r="D173" s="73"/>
      <c r="E173" s="26"/>
      <c r="F173" s="26"/>
      <c r="G173" s="73"/>
      <c r="H173" s="26"/>
      <c r="I173" s="26"/>
      <c r="J173" s="26"/>
      <c r="K173" s="26"/>
      <c r="L173" s="26"/>
      <c r="M173" s="29"/>
      <c r="N173" s="29"/>
      <c r="O173" s="29"/>
      <c r="P173" s="29"/>
      <c r="Q173" s="29"/>
      <c r="R173" s="11"/>
    </row>
    <row r="174" spans="1:18" ht="15.75" customHeight="1">
      <c r="A174" s="28"/>
      <c r="B174" s="25"/>
      <c r="C174" s="73"/>
      <c r="D174" s="73"/>
      <c r="E174" s="26"/>
      <c r="F174" s="26"/>
      <c r="G174" s="73"/>
      <c r="H174" s="26"/>
      <c r="I174" s="26"/>
      <c r="J174" s="26"/>
      <c r="K174" s="26"/>
      <c r="L174" s="26"/>
      <c r="M174" s="29"/>
      <c r="N174" s="29"/>
      <c r="O174" s="29"/>
      <c r="P174" s="29"/>
      <c r="Q174" s="29"/>
      <c r="R174" s="11"/>
    </row>
    <row r="175" spans="1:18" ht="15.75" customHeight="1">
      <c r="A175" s="28"/>
      <c r="B175" s="25"/>
      <c r="C175" s="73"/>
      <c r="D175" s="73"/>
      <c r="E175" s="26"/>
      <c r="F175" s="26"/>
      <c r="G175" s="73"/>
      <c r="H175" s="26"/>
      <c r="I175" s="26"/>
      <c r="J175" s="26"/>
      <c r="K175" s="26"/>
      <c r="L175" s="26"/>
      <c r="M175" s="29"/>
      <c r="N175" s="29"/>
      <c r="O175" s="29"/>
      <c r="P175" s="29"/>
      <c r="Q175" s="29"/>
      <c r="R175" s="11"/>
    </row>
    <row r="176" spans="1:18" ht="15.75" customHeight="1">
      <c r="A176" s="28"/>
      <c r="B176" s="25"/>
      <c r="C176" s="73"/>
      <c r="D176" s="73"/>
      <c r="E176" s="26"/>
      <c r="F176" s="26"/>
      <c r="G176" s="73"/>
      <c r="H176" s="26"/>
      <c r="I176" s="26"/>
      <c r="J176" s="26"/>
      <c r="K176" s="26"/>
      <c r="L176" s="26"/>
      <c r="M176" s="29"/>
      <c r="N176" s="29"/>
      <c r="O176" s="29"/>
      <c r="P176" s="29"/>
      <c r="Q176" s="29"/>
      <c r="R176" s="11"/>
    </row>
    <row r="177" spans="1:18" ht="15.75" customHeight="1">
      <c r="A177" s="28"/>
      <c r="B177" s="25"/>
      <c r="C177" s="73"/>
      <c r="D177" s="73"/>
      <c r="E177" s="26"/>
      <c r="F177" s="26"/>
      <c r="G177" s="73"/>
      <c r="H177" s="26"/>
      <c r="I177" s="26"/>
      <c r="J177" s="26"/>
      <c r="K177" s="26"/>
      <c r="L177" s="26"/>
      <c r="M177" s="29"/>
      <c r="N177" s="29"/>
      <c r="O177" s="29"/>
      <c r="P177" s="29"/>
      <c r="Q177" s="29"/>
      <c r="R177" s="11"/>
    </row>
    <row r="178" spans="1:18" ht="15.75" customHeight="1">
      <c r="A178" s="28"/>
      <c r="B178" s="25"/>
      <c r="C178" s="73"/>
      <c r="D178" s="73"/>
      <c r="E178" s="26"/>
      <c r="F178" s="26"/>
      <c r="G178" s="73"/>
      <c r="H178" s="26"/>
      <c r="I178" s="26"/>
      <c r="J178" s="26"/>
      <c r="K178" s="26"/>
      <c r="L178" s="26"/>
      <c r="M178" s="29"/>
      <c r="N178" s="29"/>
      <c r="O178" s="29"/>
      <c r="P178" s="29"/>
      <c r="Q178" s="29"/>
      <c r="R178" s="11"/>
    </row>
    <row r="179" spans="1:18" ht="15.75" customHeight="1">
      <c r="A179" s="28"/>
      <c r="B179" s="25"/>
      <c r="C179" s="73"/>
      <c r="D179" s="73"/>
      <c r="E179" s="26"/>
      <c r="F179" s="26"/>
      <c r="G179" s="73"/>
      <c r="H179" s="26"/>
      <c r="I179" s="26"/>
      <c r="J179" s="26"/>
      <c r="K179" s="26"/>
      <c r="L179" s="26"/>
      <c r="M179" s="29"/>
      <c r="N179" s="29"/>
      <c r="O179" s="29"/>
      <c r="P179" s="29"/>
      <c r="Q179" s="29"/>
      <c r="R179" s="11"/>
    </row>
    <row r="180" spans="1:18" ht="15.75" customHeight="1">
      <c r="A180" s="28"/>
      <c r="B180" s="25"/>
      <c r="C180" s="73"/>
      <c r="D180" s="73"/>
      <c r="E180" s="26"/>
      <c r="F180" s="26"/>
      <c r="G180" s="73"/>
      <c r="H180" s="26"/>
      <c r="I180" s="26"/>
      <c r="J180" s="26"/>
      <c r="K180" s="26"/>
      <c r="L180" s="26"/>
      <c r="M180" s="29"/>
      <c r="N180" s="29"/>
      <c r="O180" s="29"/>
      <c r="P180" s="29"/>
      <c r="Q180" s="29"/>
      <c r="R180" s="11"/>
    </row>
    <row r="181" spans="1:18" ht="15.75" customHeight="1">
      <c r="A181" s="28"/>
      <c r="B181" s="25"/>
      <c r="C181" s="73"/>
      <c r="D181" s="73"/>
      <c r="E181" s="26"/>
      <c r="F181" s="26"/>
      <c r="G181" s="73"/>
      <c r="H181" s="26"/>
      <c r="I181" s="26"/>
      <c r="J181" s="26"/>
      <c r="K181" s="26"/>
      <c r="L181" s="26"/>
      <c r="M181" s="29"/>
      <c r="N181" s="29"/>
      <c r="O181" s="29"/>
      <c r="P181" s="29"/>
      <c r="Q181" s="29"/>
      <c r="R181" s="11"/>
    </row>
    <row r="182" spans="1:18" ht="15.75" customHeight="1">
      <c r="A182" s="28"/>
      <c r="B182" s="25"/>
      <c r="C182" s="73"/>
      <c r="D182" s="73"/>
      <c r="E182" s="26"/>
      <c r="F182" s="26"/>
      <c r="G182" s="73"/>
      <c r="H182" s="26"/>
      <c r="I182" s="26"/>
      <c r="J182" s="26"/>
      <c r="K182" s="26"/>
      <c r="L182" s="26"/>
      <c r="M182" s="29"/>
      <c r="N182" s="29"/>
      <c r="O182" s="29"/>
      <c r="P182" s="29"/>
      <c r="Q182" s="29"/>
      <c r="R182" s="11"/>
    </row>
    <row r="183" spans="1:18" ht="15.75" customHeight="1">
      <c r="A183" s="28"/>
      <c r="B183" s="25"/>
      <c r="C183" s="73"/>
      <c r="D183" s="73"/>
      <c r="E183" s="26"/>
      <c r="F183" s="26"/>
      <c r="G183" s="73"/>
      <c r="H183" s="26"/>
      <c r="I183" s="26"/>
      <c r="J183" s="26"/>
      <c r="K183" s="26"/>
      <c r="L183" s="26"/>
      <c r="M183" s="29"/>
      <c r="N183" s="29"/>
      <c r="O183" s="29"/>
      <c r="P183" s="29"/>
      <c r="Q183" s="29"/>
      <c r="R183" s="11"/>
    </row>
    <row r="184" spans="1:18" ht="15.75" customHeight="1">
      <c r="A184" s="28"/>
      <c r="B184" s="25"/>
      <c r="C184" s="73"/>
      <c r="D184" s="73"/>
      <c r="E184" s="26"/>
      <c r="F184" s="26"/>
      <c r="G184" s="73"/>
      <c r="H184" s="26"/>
      <c r="I184" s="26"/>
      <c r="J184" s="26"/>
      <c r="K184" s="26"/>
      <c r="L184" s="26"/>
      <c r="M184" s="29"/>
      <c r="N184" s="29"/>
      <c r="O184" s="29"/>
      <c r="P184" s="29"/>
      <c r="Q184" s="29"/>
      <c r="R184" s="11"/>
    </row>
    <row r="185" spans="1:18" ht="15.75" customHeight="1">
      <c r="A185" s="28"/>
      <c r="B185" s="25"/>
      <c r="C185" s="73"/>
      <c r="D185" s="73"/>
      <c r="E185" s="26"/>
      <c r="F185" s="26"/>
      <c r="G185" s="73"/>
      <c r="H185" s="26"/>
      <c r="I185" s="26"/>
      <c r="J185" s="26"/>
      <c r="K185" s="26"/>
      <c r="L185" s="26"/>
      <c r="M185" s="29"/>
      <c r="N185" s="29"/>
      <c r="O185" s="29"/>
      <c r="P185" s="29"/>
      <c r="Q185" s="29"/>
      <c r="R185" s="11"/>
    </row>
    <row r="186" spans="1:18" ht="15.75" customHeight="1">
      <c r="A186" s="28"/>
      <c r="B186" s="25"/>
      <c r="C186" s="73"/>
      <c r="D186" s="73"/>
      <c r="E186" s="26"/>
      <c r="F186" s="26"/>
      <c r="G186" s="73"/>
      <c r="H186" s="26"/>
      <c r="I186" s="26"/>
      <c r="J186" s="26"/>
      <c r="K186" s="26"/>
      <c r="L186" s="26"/>
      <c r="M186" s="29"/>
      <c r="N186" s="29"/>
      <c r="O186" s="29"/>
      <c r="P186" s="29"/>
      <c r="Q186" s="29"/>
      <c r="R186" s="11"/>
    </row>
    <row r="187" spans="1:18" ht="15.75" customHeight="1">
      <c r="A187" s="28"/>
      <c r="B187" s="25"/>
      <c r="C187" s="73"/>
      <c r="D187" s="73"/>
      <c r="E187" s="26"/>
      <c r="F187" s="26"/>
      <c r="G187" s="73"/>
      <c r="H187" s="26"/>
      <c r="I187" s="26"/>
      <c r="J187" s="26"/>
      <c r="K187" s="26"/>
      <c r="L187" s="26"/>
      <c r="M187" s="29"/>
      <c r="N187" s="29"/>
      <c r="O187" s="29"/>
      <c r="P187" s="29"/>
      <c r="Q187" s="29"/>
      <c r="R187" s="11"/>
    </row>
    <row r="188" spans="1:18" ht="15.75" customHeight="1">
      <c r="A188" s="28"/>
      <c r="B188" s="25"/>
      <c r="C188" s="73"/>
      <c r="D188" s="73"/>
      <c r="E188" s="26"/>
      <c r="F188" s="26"/>
      <c r="G188" s="73"/>
      <c r="H188" s="26"/>
      <c r="I188" s="26"/>
      <c r="J188" s="26"/>
      <c r="K188" s="26"/>
      <c r="L188" s="26"/>
      <c r="M188" s="29"/>
      <c r="N188" s="29"/>
      <c r="O188" s="29"/>
      <c r="P188" s="29"/>
      <c r="Q188" s="29"/>
      <c r="R188" s="11"/>
    </row>
    <row r="189" spans="1:18" ht="15.75" customHeight="1">
      <c r="A189" s="28"/>
      <c r="B189" s="25"/>
      <c r="C189" s="73"/>
      <c r="D189" s="73"/>
      <c r="E189" s="26"/>
      <c r="F189" s="26"/>
      <c r="G189" s="73"/>
      <c r="H189" s="26"/>
      <c r="I189" s="26"/>
      <c r="J189" s="26"/>
      <c r="K189" s="26"/>
      <c r="L189" s="26"/>
      <c r="M189" s="29"/>
      <c r="N189" s="29"/>
      <c r="O189" s="29"/>
      <c r="P189" s="29"/>
      <c r="Q189" s="29"/>
      <c r="R189" s="11"/>
    </row>
    <row r="190" spans="1:18" ht="15.75" customHeight="1">
      <c r="A190" s="28"/>
      <c r="B190" s="25"/>
      <c r="C190" s="73"/>
      <c r="D190" s="73"/>
      <c r="E190" s="26"/>
      <c r="F190" s="26"/>
      <c r="G190" s="73"/>
      <c r="H190" s="26"/>
      <c r="I190" s="26"/>
      <c r="J190" s="26"/>
      <c r="K190" s="26"/>
      <c r="L190" s="26"/>
      <c r="M190" s="29"/>
      <c r="N190" s="29"/>
      <c r="O190" s="29"/>
      <c r="P190" s="29"/>
      <c r="Q190" s="29"/>
      <c r="R190" s="11"/>
    </row>
    <row r="191" spans="1:18" ht="15.75" customHeight="1">
      <c r="A191" s="28"/>
      <c r="B191" s="25"/>
      <c r="C191" s="73"/>
      <c r="D191" s="73"/>
      <c r="E191" s="26"/>
      <c r="F191" s="26"/>
      <c r="G191" s="73"/>
      <c r="H191" s="26"/>
      <c r="I191" s="26"/>
      <c r="J191" s="26"/>
      <c r="K191" s="26"/>
      <c r="L191" s="26"/>
      <c r="M191" s="29"/>
      <c r="N191" s="29"/>
      <c r="O191" s="29"/>
      <c r="P191" s="29"/>
      <c r="Q191" s="29"/>
      <c r="R191" s="11"/>
    </row>
    <row r="192" spans="1:18" ht="15.75" customHeight="1">
      <c r="A192" s="28"/>
      <c r="B192" s="25"/>
      <c r="C192" s="73"/>
      <c r="D192" s="73"/>
      <c r="E192" s="26"/>
      <c r="F192" s="26"/>
      <c r="G192" s="73"/>
      <c r="H192" s="26"/>
      <c r="I192" s="26"/>
      <c r="J192" s="26"/>
      <c r="K192" s="26"/>
      <c r="L192" s="26"/>
      <c r="M192" s="29"/>
      <c r="N192" s="29"/>
      <c r="O192" s="29"/>
      <c r="P192" s="29"/>
      <c r="Q192" s="29"/>
      <c r="R192" s="11"/>
    </row>
    <row r="193" spans="1:18" ht="15.75" customHeight="1">
      <c r="A193" s="28"/>
      <c r="B193" s="25"/>
      <c r="C193" s="73"/>
      <c r="D193" s="73"/>
      <c r="E193" s="26"/>
      <c r="F193" s="26"/>
      <c r="G193" s="73"/>
      <c r="H193" s="26"/>
      <c r="I193" s="26"/>
      <c r="J193" s="26"/>
      <c r="K193" s="26"/>
      <c r="L193" s="26"/>
      <c r="M193" s="29"/>
      <c r="N193" s="29"/>
      <c r="O193" s="29"/>
      <c r="P193" s="29"/>
      <c r="Q193" s="29"/>
      <c r="R193" s="11"/>
    </row>
    <row r="194" spans="1:18" ht="15.75" customHeight="1">
      <c r="A194" s="28"/>
      <c r="B194" s="25"/>
      <c r="C194" s="73"/>
      <c r="D194" s="73"/>
      <c r="E194" s="26"/>
      <c r="F194" s="26"/>
      <c r="G194" s="73"/>
      <c r="H194" s="26"/>
      <c r="I194" s="26"/>
      <c r="J194" s="26"/>
      <c r="K194" s="26"/>
      <c r="L194" s="26"/>
      <c r="M194" s="29"/>
      <c r="N194" s="29"/>
      <c r="O194" s="29"/>
      <c r="P194" s="29"/>
      <c r="Q194" s="29"/>
      <c r="R194" s="11"/>
    </row>
    <row r="195" spans="1:18" ht="15.75" customHeight="1">
      <c r="A195" s="28"/>
      <c r="B195" s="25"/>
      <c r="C195" s="73"/>
      <c r="D195" s="73"/>
      <c r="E195" s="26"/>
      <c r="F195" s="26"/>
      <c r="G195" s="73"/>
      <c r="H195" s="26"/>
      <c r="I195" s="26"/>
      <c r="J195" s="26"/>
      <c r="K195" s="26"/>
      <c r="L195" s="26"/>
      <c r="M195" s="29"/>
      <c r="N195" s="29"/>
      <c r="O195" s="29"/>
      <c r="P195" s="29"/>
      <c r="Q195" s="29"/>
      <c r="R195" s="11"/>
    </row>
    <row r="196" spans="1:18" ht="15.75" customHeight="1">
      <c r="A196" s="28"/>
      <c r="B196" s="25"/>
      <c r="C196" s="73"/>
      <c r="D196" s="73"/>
      <c r="E196" s="26"/>
      <c r="F196" s="26"/>
      <c r="G196" s="73"/>
      <c r="H196" s="26"/>
      <c r="I196" s="26"/>
      <c r="J196" s="26"/>
      <c r="K196" s="26"/>
      <c r="L196" s="26"/>
      <c r="M196" s="29"/>
      <c r="N196" s="29"/>
      <c r="O196" s="29"/>
      <c r="P196" s="29"/>
      <c r="Q196" s="29"/>
      <c r="R196" s="11"/>
    </row>
    <row r="197" spans="1:18" ht="15.75" customHeight="1">
      <c r="A197" s="28"/>
      <c r="B197" s="25"/>
      <c r="C197" s="73"/>
      <c r="D197" s="73"/>
      <c r="E197" s="26"/>
      <c r="F197" s="26"/>
      <c r="G197" s="73"/>
      <c r="H197" s="26"/>
      <c r="I197" s="26"/>
      <c r="J197" s="26"/>
      <c r="K197" s="26"/>
      <c r="L197" s="26"/>
      <c r="M197" s="29"/>
      <c r="N197" s="29"/>
      <c r="O197" s="29"/>
      <c r="P197" s="29"/>
      <c r="Q197" s="29"/>
      <c r="R197" s="11"/>
    </row>
    <row r="198" spans="1:18" ht="15.75" customHeight="1">
      <c r="A198" s="28"/>
      <c r="B198" s="25"/>
      <c r="C198" s="73"/>
      <c r="D198" s="73"/>
      <c r="E198" s="26"/>
      <c r="F198" s="26"/>
      <c r="G198" s="73"/>
      <c r="H198" s="26"/>
      <c r="I198" s="26"/>
      <c r="J198" s="26"/>
      <c r="K198" s="26"/>
      <c r="L198" s="26"/>
      <c r="M198" s="29"/>
      <c r="N198" s="29"/>
      <c r="O198" s="29"/>
      <c r="P198" s="29"/>
      <c r="Q198" s="29"/>
      <c r="R198" s="11"/>
    </row>
    <row r="199" spans="1:18" ht="15.75" customHeight="1">
      <c r="A199" s="28"/>
      <c r="B199" s="25"/>
      <c r="C199" s="73"/>
      <c r="D199" s="73"/>
      <c r="E199" s="26"/>
      <c r="F199" s="26"/>
      <c r="G199" s="73"/>
      <c r="H199" s="26"/>
      <c r="I199" s="26"/>
      <c r="J199" s="26"/>
      <c r="K199" s="26"/>
      <c r="L199" s="26"/>
      <c r="M199" s="29"/>
      <c r="N199" s="29"/>
      <c r="O199" s="29"/>
      <c r="P199" s="29"/>
      <c r="Q199" s="29"/>
      <c r="R199" s="11"/>
    </row>
    <row r="200" spans="1:18" ht="15.75" customHeight="1">
      <c r="A200" s="28"/>
      <c r="B200" s="25"/>
      <c r="C200" s="73"/>
      <c r="D200" s="73"/>
      <c r="E200" s="26"/>
      <c r="F200" s="26"/>
      <c r="G200" s="73"/>
      <c r="H200" s="26"/>
      <c r="I200" s="26"/>
      <c r="J200" s="26"/>
      <c r="K200" s="26"/>
      <c r="L200" s="26"/>
      <c r="M200" s="29"/>
      <c r="N200" s="29"/>
      <c r="O200" s="29"/>
      <c r="P200" s="29"/>
      <c r="Q200" s="29"/>
      <c r="R200" s="11"/>
    </row>
    <row r="201" spans="1:18" ht="15.75" customHeight="1">
      <c r="A201" s="28"/>
      <c r="B201" s="25"/>
      <c r="C201" s="73"/>
      <c r="D201" s="73"/>
      <c r="E201" s="26"/>
      <c r="F201" s="26"/>
      <c r="G201" s="73"/>
      <c r="H201" s="26"/>
      <c r="I201" s="26"/>
      <c r="J201" s="26"/>
      <c r="K201" s="26"/>
      <c r="L201" s="26"/>
      <c r="M201" s="29"/>
      <c r="N201" s="29"/>
      <c r="O201" s="29"/>
      <c r="P201" s="29"/>
      <c r="Q201" s="29"/>
      <c r="R201" s="11"/>
    </row>
    <row r="202" spans="1:18" ht="15.75" customHeight="1">
      <c r="A202" s="28"/>
      <c r="B202" s="25"/>
      <c r="C202" s="73"/>
      <c r="D202" s="73"/>
      <c r="E202" s="26"/>
      <c r="F202" s="26"/>
      <c r="G202" s="73"/>
      <c r="H202" s="26"/>
      <c r="I202" s="26"/>
      <c r="J202" s="26"/>
      <c r="K202" s="26"/>
      <c r="L202" s="26"/>
      <c r="M202" s="29"/>
      <c r="N202" s="29"/>
      <c r="O202" s="29"/>
      <c r="P202" s="29"/>
      <c r="Q202" s="29"/>
      <c r="R202" s="11"/>
    </row>
    <row r="203" spans="1:18" ht="15.75" customHeight="1">
      <c r="A203" s="28"/>
      <c r="B203" s="25"/>
      <c r="C203" s="73"/>
      <c r="D203" s="73"/>
      <c r="E203" s="26"/>
      <c r="F203" s="26"/>
      <c r="G203" s="73"/>
      <c r="H203" s="26"/>
      <c r="I203" s="26"/>
      <c r="J203" s="26"/>
      <c r="K203" s="26"/>
      <c r="L203" s="26"/>
      <c r="M203" s="29"/>
      <c r="N203" s="29"/>
      <c r="O203" s="29"/>
      <c r="P203" s="29"/>
      <c r="Q203" s="29"/>
      <c r="R203" s="11"/>
    </row>
    <row r="204" spans="1:18" ht="15.75" customHeight="1">
      <c r="A204" s="28"/>
      <c r="B204" s="25"/>
      <c r="C204" s="73"/>
      <c r="D204" s="73"/>
      <c r="E204" s="26"/>
      <c r="F204" s="26"/>
      <c r="G204" s="73"/>
      <c r="H204" s="26"/>
      <c r="I204" s="26"/>
      <c r="J204" s="26"/>
      <c r="K204" s="26"/>
      <c r="L204" s="26"/>
      <c r="M204" s="29"/>
      <c r="N204" s="29"/>
      <c r="O204" s="29"/>
      <c r="P204" s="29"/>
      <c r="Q204" s="29"/>
      <c r="R204" s="11"/>
    </row>
    <row r="205" spans="1:18" ht="15.75" customHeight="1">
      <c r="A205" s="28"/>
      <c r="B205" s="25"/>
      <c r="C205" s="73"/>
      <c r="D205" s="73"/>
      <c r="E205" s="26"/>
      <c r="F205" s="26"/>
      <c r="G205" s="73"/>
      <c r="H205" s="26"/>
      <c r="I205" s="26"/>
      <c r="J205" s="26"/>
      <c r="K205" s="26"/>
      <c r="L205" s="26"/>
      <c r="M205" s="29"/>
      <c r="N205" s="29"/>
      <c r="O205" s="29"/>
      <c r="P205" s="29"/>
      <c r="Q205" s="29"/>
      <c r="R205" s="11"/>
    </row>
    <row r="206" spans="1:18" ht="15.75" customHeight="1">
      <c r="A206" s="28"/>
      <c r="B206" s="25"/>
      <c r="C206" s="73"/>
      <c r="D206" s="73"/>
      <c r="E206" s="26"/>
      <c r="F206" s="26"/>
      <c r="G206" s="73"/>
      <c r="H206" s="26"/>
      <c r="I206" s="26"/>
      <c r="J206" s="26"/>
      <c r="K206" s="26"/>
      <c r="L206" s="26"/>
      <c r="M206" s="29"/>
      <c r="N206" s="29"/>
      <c r="O206" s="29"/>
      <c r="P206" s="29"/>
      <c r="Q206" s="29"/>
      <c r="R206" s="11"/>
    </row>
    <row r="207" spans="1:18" ht="15.75" customHeight="1">
      <c r="A207" s="28"/>
      <c r="B207" s="25"/>
      <c r="C207" s="73"/>
      <c r="D207" s="73"/>
      <c r="E207" s="26"/>
      <c r="F207" s="26"/>
      <c r="G207" s="73"/>
      <c r="H207" s="26"/>
      <c r="I207" s="26"/>
      <c r="J207" s="26"/>
      <c r="K207" s="26"/>
      <c r="L207" s="26"/>
      <c r="M207" s="29"/>
      <c r="N207" s="29"/>
      <c r="O207" s="29"/>
      <c r="P207" s="29"/>
      <c r="Q207" s="29"/>
      <c r="R207" s="11"/>
    </row>
    <row r="208" spans="1:18" ht="15.75" customHeight="1">
      <c r="A208" s="28"/>
      <c r="B208" s="25"/>
      <c r="C208" s="73"/>
      <c r="D208" s="73"/>
      <c r="E208" s="26"/>
      <c r="F208" s="26"/>
      <c r="G208" s="73"/>
      <c r="H208" s="26"/>
      <c r="I208" s="26"/>
      <c r="J208" s="26"/>
      <c r="K208" s="26"/>
      <c r="L208" s="26"/>
      <c r="M208" s="29"/>
      <c r="N208" s="29"/>
      <c r="O208" s="29"/>
      <c r="P208" s="29"/>
      <c r="Q208" s="29"/>
      <c r="R208" s="11"/>
    </row>
    <row r="209" spans="1:18" ht="15.75" customHeight="1">
      <c r="A209" s="28"/>
      <c r="B209" s="25"/>
      <c r="C209" s="73"/>
      <c r="D209" s="73"/>
      <c r="E209" s="26"/>
      <c r="F209" s="26"/>
      <c r="G209" s="73"/>
      <c r="H209" s="26"/>
      <c r="I209" s="26"/>
      <c r="J209" s="26"/>
      <c r="K209" s="26"/>
      <c r="L209" s="26"/>
      <c r="M209" s="29"/>
      <c r="N209" s="29"/>
      <c r="O209" s="29"/>
      <c r="P209" s="29"/>
      <c r="Q209" s="29"/>
      <c r="R209" s="11"/>
    </row>
    <row r="210" spans="1:18" ht="15.75" customHeight="1">
      <c r="A210" s="28"/>
      <c r="B210" s="25"/>
      <c r="C210" s="73"/>
      <c r="D210" s="73"/>
      <c r="E210" s="26"/>
      <c r="F210" s="26"/>
      <c r="G210" s="73"/>
      <c r="H210" s="26"/>
      <c r="I210" s="26"/>
      <c r="J210" s="26"/>
      <c r="K210" s="26"/>
      <c r="L210" s="26"/>
      <c r="M210" s="29"/>
      <c r="N210" s="29"/>
      <c r="O210" s="29"/>
      <c r="P210" s="29"/>
      <c r="Q210" s="29"/>
      <c r="R210" s="11"/>
    </row>
    <row r="211" spans="1:18" ht="15.75" customHeight="1">
      <c r="A211" s="28"/>
      <c r="B211" s="25"/>
      <c r="C211" s="73"/>
      <c r="D211" s="73"/>
      <c r="E211" s="26"/>
      <c r="F211" s="26"/>
      <c r="G211" s="73"/>
      <c r="H211" s="26"/>
      <c r="I211" s="26"/>
      <c r="J211" s="26"/>
      <c r="K211" s="26"/>
      <c r="L211" s="26"/>
      <c r="M211" s="29"/>
      <c r="N211" s="29"/>
      <c r="O211" s="29"/>
      <c r="P211" s="29"/>
      <c r="Q211" s="29"/>
      <c r="R211" s="11"/>
    </row>
    <row r="212" spans="1:18" ht="15.75" customHeight="1">
      <c r="A212" s="28"/>
      <c r="B212" s="25"/>
      <c r="C212" s="73"/>
      <c r="D212" s="73"/>
      <c r="E212" s="26"/>
      <c r="F212" s="26"/>
      <c r="G212" s="73"/>
      <c r="H212" s="26"/>
      <c r="I212" s="26"/>
      <c r="J212" s="26"/>
      <c r="K212" s="26"/>
      <c r="L212" s="26"/>
      <c r="M212" s="29"/>
      <c r="N212" s="29"/>
      <c r="O212" s="29"/>
      <c r="P212" s="29"/>
      <c r="Q212" s="29"/>
      <c r="R212" s="11"/>
    </row>
    <row r="213" spans="1:18" ht="15.75" customHeight="1">
      <c r="A213" s="28"/>
      <c r="B213" s="25"/>
      <c r="C213" s="73"/>
      <c r="D213" s="73"/>
      <c r="E213" s="26"/>
      <c r="F213" s="26"/>
      <c r="G213" s="73"/>
      <c r="H213" s="26"/>
      <c r="I213" s="26"/>
      <c r="J213" s="26"/>
      <c r="K213" s="26"/>
      <c r="L213" s="26"/>
      <c r="M213" s="29"/>
      <c r="N213" s="29"/>
      <c r="O213" s="29"/>
      <c r="P213" s="29"/>
      <c r="Q213" s="29"/>
      <c r="R213" s="11"/>
    </row>
    <row r="214" spans="1:18" ht="15.75" customHeight="1">
      <c r="A214" s="28"/>
      <c r="B214" s="25"/>
      <c r="C214" s="73"/>
      <c r="D214" s="73"/>
      <c r="E214" s="26"/>
      <c r="F214" s="26"/>
      <c r="G214" s="73"/>
      <c r="H214" s="26"/>
      <c r="I214" s="26"/>
      <c r="J214" s="26"/>
      <c r="K214" s="26"/>
      <c r="L214" s="26"/>
      <c r="M214" s="29"/>
      <c r="N214" s="29"/>
      <c r="O214" s="29"/>
      <c r="P214" s="29"/>
      <c r="Q214" s="29"/>
      <c r="R214" s="11"/>
    </row>
    <row r="215" spans="1:18" ht="15.75" customHeight="1">
      <c r="A215" s="28"/>
      <c r="B215" s="25"/>
      <c r="C215" s="73"/>
      <c r="D215" s="73"/>
      <c r="E215" s="26"/>
      <c r="F215" s="26"/>
      <c r="G215" s="73"/>
      <c r="H215" s="26"/>
      <c r="I215" s="26"/>
      <c r="J215" s="26"/>
      <c r="K215" s="26"/>
      <c r="L215" s="26"/>
      <c r="M215" s="29"/>
      <c r="N215" s="29"/>
      <c r="O215" s="29"/>
      <c r="P215" s="29"/>
      <c r="Q215" s="29"/>
      <c r="R215" s="11"/>
    </row>
    <row r="216" spans="1:18" ht="15.75" customHeight="1">
      <c r="A216" s="28"/>
      <c r="B216" s="25"/>
      <c r="C216" s="73"/>
      <c r="D216" s="73"/>
      <c r="E216" s="26"/>
      <c r="F216" s="26"/>
      <c r="G216" s="73"/>
      <c r="H216" s="26"/>
      <c r="I216" s="26"/>
      <c r="J216" s="26"/>
      <c r="K216" s="26"/>
      <c r="L216" s="26"/>
      <c r="M216" s="29"/>
      <c r="N216" s="29"/>
      <c r="O216" s="29"/>
      <c r="P216" s="29"/>
      <c r="Q216" s="29"/>
      <c r="R216" s="11"/>
    </row>
    <row r="217" spans="1:18" ht="15.75" customHeight="1">
      <c r="A217" s="28"/>
      <c r="B217" s="25"/>
      <c r="C217" s="73"/>
      <c r="D217" s="73"/>
      <c r="E217" s="26"/>
      <c r="F217" s="26"/>
      <c r="G217" s="73"/>
      <c r="H217" s="26"/>
      <c r="I217" s="26"/>
      <c r="J217" s="26"/>
      <c r="K217" s="26"/>
      <c r="L217" s="26"/>
      <c r="M217" s="29"/>
      <c r="N217" s="29"/>
      <c r="O217" s="29"/>
      <c r="P217" s="29"/>
      <c r="Q217" s="29"/>
      <c r="R217" s="11"/>
    </row>
    <row r="218" spans="1:18" ht="15.75" customHeight="1">
      <c r="A218" s="28"/>
      <c r="B218" s="25"/>
      <c r="C218" s="73"/>
      <c r="D218" s="73"/>
      <c r="E218" s="26"/>
      <c r="F218" s="26"/>
      <c r="G218" s="73"/>
      <c r="H218" s="26"/>
      <c r="I218" s="26"/>
      <c r="J218" s="26"/>
      <c r="K218" s="26"/>
      <c r="L218" s="26"/>
      <c r="M218" s="29"/>
      <c r="N218" s="29"/>
      <c r="O218" s="29"/>
      <c r="P218" s="29"/>
      <c r="Q218" s="29"/>
      <c r="R218" s="11"/>
    </row>
    <row r="219" spans="1:18" ht="15.75" customHeight="1">
      <c r="A219" s="28"/>
      <c r="B219" s="25"/>
      <c r="C219" s="73"/>
      <c r="D219" s="73"/>
      <c r="E219" s="26"/>
      <c r="F219" s="26"/>
      <c r="G219" s="73"/>
      <c r="H219" s="26"/>
      <c r="I219" s="26"/>
      <c r="J219" s="26"/>
      <c r="K219" s="26"/>
      <c r="L219" s="26"/>
      <c r="M219" s="29"/>
      <c r="N219" s="29"/>
      <c r="O219" s="29"/>
      <c r="P219" s="29"/>
      <c r="Q219" s="29"/>
      <c r="R219" s="11"/>
    </row>
    <row r="220" spans="1:18" ht="15.75" customHeight="1">
      <c r="A220" s="28"/>
      <c r="B220" s="25"/>
      <c r="C220" s="73"/>
      <c r="D220" s="73"/>
      <c r="E220" s="26"/>
      <c r="F220" s="26"/>
      <c r="G220" s="73"/>
      <c r="H220" s="26"/>
      <c r="I220" s="26"/>
      <c r="J220" s="26"/>
      <c r="K220" s="26"/>
      <c r="L220" s="26"/>
      <c r="M220" s="29"/>
      <c r="N220" s="29"/>
      <c r="O220" s="29"/>
      <c r="P220" s="29"/>
      <c r="Q220" s="29"/>
      <c r="R220" s="11"/>
    </row>
    <row r="221" spans="1:18" ht="15.75" customHeight="1">
      <c r="A221" s="28"/>
      <c r="B221" s="25"/>
      <c r="C221" s="73"/>
      <c r="D221" s="73"/>
      <c r="E221" s="26"/>
      <c r="F221" s="26"/>
      <c r="G221" s="73"/>
      <c r="H221" s="26"/>
      <c r="I221" s="26"/>
      <c r="J221" s="26"/>
      <c r="K221" s="26"/>
      <c r="L221" s="26"/>
      <c r="M221" s="29"/>
      <c r="N221" s="29"/>
      <c r="O221" s="29"/>
      <c r="P221" s="29"/>
      <c r="Q221" s="29"/>
      <c r="R221" s="11"/>
    </row>
    <row r="222" spans="1:18" ht="15.75" customHeight="1">
      <c r="A222" s="28"/>
      <c r="B222" s="25"/>
      <c r="C222" s="73"/>
      <c r="D222" s="73"/>
      <c r="E222" s="26"/>
      <c r="F222" s="26"/>
      <c r="G222" s="73"/>
      <c r="H222" s="26"/>
      <c r="I222" s="26"/>
      <c r="J222" s="26"/>
      <c r="K222" s="26"/>
      <c r="L222" s="26"/>
      <c r="M222" s="29"/>
      <c r="N222" s="29"/>
      <c r="O222" s="29"/>
      <c r="P222" s="29"/>
      <c r="Q222" s="29"/>
      <c r="R222" s="11"/>
    </row>
    <row r="223" spans="1:18" ht="15.75" customHeight="1">
      <c r="A223" s="28"/>
      <c r="B223" s="25"/>
      <c r="C223" s="73"/>
      <c r="D223" s="73"/>
      <c r="E223" s="26"/>
      <c r="F223" s="26"/>
      <c r="G223" s="73"/>
      <c r="H223" s="26"/>
      <c r="I223" s="26"/>
      <c r="J223" s="26"/>
      <c r="K223" s="26"/>
      <c r="L223" s="26"/>
      <c r="M223" s="29"/>
      <c r="N223" s="29"/>
      <c r="O223" s="29"/>
      <c r="P223" s="29"/>
      <c r="Q223" s="29"/>
      <c r="R223" s="11"/>
    </row>
    <row r="224" spans="1:18" ht="15.75" customHeight="1">
      <c r="A224" s="28"/>
      <c r="B224" s="25"/>
      <c r="C224" s="73"/>
      <c r="D224" s="73"/>
      <c r="E224" s="26"/>
      <c r="F224" s="26"/>
      <c r="G224" s="73"/>
      <c r="H224" s="26"/>
      <c r="I224" s="26"/>
      <c r="J224" s="26"/>
      <c r="K224" s="26"/>
      <c r="L224" s="26"/>
      <c r="M224" s="29"/>
      <c r="N224" s="29"/>
      <c r="O224" s="29"/>
      <c r="P224" s="29"/>
      <c r="Q224" s="29"/>
      <c r="R224" s="11"/>
    </row>
    <row r="225" spans="1:18" ht="15.75" customHeight="1">
      <c r="A225" s="28"/>
      <c r="B225" s="25"/>
      <c r="C225" s="73"/>
      <c r="D225" s="73"/>
      <c r="E225" s="26"/>
      <c r="F225" s="26"/>
      <c r="G225" s="73"/>
      <c r="H225" s="26"/>
      <c r="I225" s="26"/>
      <c r="J225" s="26"/>
      <c r="K225" s="26"/>
      <c r="L225" s="26"/>
      <c r="M225" s="29"/>
      <c r="N225" s="29"/>
      <c r="O225" s="29"/>
      <c r="P225" s="29"/>
      <c r="Q225" s="29"/>
      <c r="R225" s="11"/>
    </row>
    <row r="226" spans="1:18" ht="15.75" customHeight="1">
      <c r="A226" s="28"/>
      <c r="B226" s="25"/>
      <c r="C226" s="73"/>
      <c r="D226" s="73"/>
      <c r="E226" s="26"/>
      <c r="F226" s="26"/>
      <c r="G226" s="73"/>
      <c r="H226" s="26"/>
      <c r="I226" s="26"/>
      <c r="J226" s="26"/>
      <c r="K226" s="26"/>
      <c r="L226" s="26"/>
      <c r="M226" s="29"/>
      <c r="N226" s="29"/>
      <c r="O226" s="29"/>
      <c r="P226" s="29"/>
      <c r="Q226" s="29"/>
      <c r="R226" s="11"/>
    </row>
    <row r="227" spans="1:18" ht="15.75" customHeight="1">
      <c r="A227" s="28"/>
      <c r="B227" s="25"/>
      <c r="C227" s="73"/>
      <c r="D227" s="73"/>
      <c r="E227" s="26"/>
      <c r="F227" s="26"/>
      <c r="G227" s="73"/>
      <c r="H227" s="26"/>
      <c r="I227" s="26"/>
      <c r="J227" s="26"/>
      <c r="K227" s="26"/>
      <c r="L227" s="26"/>
      <c r="M227" s="29"/>
      <c r="N227" s="29"/>
      <c r="O227" s="29"/>
      <c r="P227" s="29"/>
      <c r="Q227" s="29"/>
      <c r="R227" s="11"/>
    </row>
    <row r="228" spans="1:18" ht="15.75" customHeight="1">
      <c r="A228" s="28"/>
      <c r="B228" s="25"/>
      <c r="C228" s="73"/>
      <c r="D228" s="73"/>
      <c r="E228" s="26"/>
      <c r="F228" s="26"/>
      <c r="G228" s="73"/>
      <c r="H228" s="26"/>
      <c r="I228" s="26"/>
      <c r="J228" s="26"/>
      <c r="K228" s="26"/>
      <c r="L228" s="26"/>
      <c r="M228" s="29"/>
      <c r="N228" s="29"/>
      <c r="O228" s="29"/>
      <c r="P228" s="29"/>
      <c r="Q228" s="29"/>
      <c r="R228" s="11"/>
    </row>
    <row r="229" spans="1:18" ht="15.75" customHeight="1">
      <c r="A229" s="28"/>
      <c r="B229" s="25"/>
      <c r="C229" s="73"/>
      <c r="D229" s="73"/>
      <c r="E229" s="26"/>
      <c r="F229" s="26"/>
      <c r="G229" s="73"/>
      <c r="H229" s="26"/>
      <c r="I229" s="26"/>
      <c r="J229" s="26"/>
      <c r="K229" s="26"/>
      <c r="L229" s="26"/>
      <c r="M229" s="29"/>
      <c r="N229" s="29"/>
      <c r="O229" s="29"/>
      <c r="P229" s="29"/>
      <c r="Q229" s="29"/>
      <c r="R229" s="11"/>
    </row>
    <row r="230" spans="1:18" ht="15.75" customHeight="1">
      <c r="A230" s="28"/>
      <c r="B230" s="25"/>
      <c r="C230" s="73"/>
      <c r="D230" s="73"/>
      <c r="E230" s="26"/>
      <c r="F230" s="26"/>
      <c r="G230" s="73"/>
      <c r="H230" s="26"/>
      <c r="I230" s="26"/>
      <c r="J230" s="26"/>
      <c r="K230" s="26"/>
      <c r="L230" s="26"/>
      <c r="M230" s="29"/>
      <c r="N230" s="29"/>
      <c r="O230" s="29"/>
      <c r="P230" s="29"/>
      <c r="Q230" s="29"/>
      <c r="R230" s="11"/>
    </row>
    <row r="231" spans="1:18" ht="15.75" customHeight="1">
      <c r="A231" s="28"/>
      <c r="B231" s="25"/>
      <c r="C231" s="73"/>
      <c r="D231" s="73"/>
      <c r="E231" s="26"/>
      <c r="F231" s="26"/>
      <c r="G231" s="73"/>
      <c r="H231" s="26"/>
      <c r="I231" s="26"/>
      <c r="J231" s="26"/>
      <c r="K231" s="26"/>
      <c r="L231" s="26"/>
      <c r="M231" s="29"/>
      <c r="N231" s="29"/>
      <c r="O231" s="29"/>
      <c r="P231" s="29"/>
      <c r="Q231" s="29"/>
      <c r="R231" s="11"/>
    </row>
    <row r="232" spans="1:18" ht="15.75" customHeight="1">
      <c r="A232" s="28"/>
      <c r="B232" s="25"/>
      <c r="C232" s="73"/>
      <c r="D232" s="73"/>
      <c r="E232" s="26"/>
      <c r="F232" s="26"/>
      <c r="G232" s="73"/>
      <c r="H232" s="26"/>
      <c r="I232" s="26"/>
      <c r="J232" s="26"/>
      <c r="K232" s="26"/>
      <c r="L232" s="26"/>
      <c r="M232" s="29"/>
      <c r="N232" s="29"/>
      <c r="O232" s="29"/>
      <c r="P232" s="29"/>
      <c r="Q232" s="29"/>
      <c r="R232" s="11"/>
    </row>
    <row r="233" spans="1:18" ht="15.75" customHeight="1">
      <c r="A233" s="28"/>
      <c r="B233" s="25"/>
      <c r="C233" s="73"/>
      <c r="D233" s="73"/>
      <c r="E233" s="26"/>
      <c r="F233" s="26"/>
      <c r="G233" s="73"/>
      <c r="H233" s="26"/>
      <c r="I233" s="26"/>
      <c r="J233" s="26"/>
      <c r="K233" s="26"/>
      <c r="L233" s="26"/>
      <c r="M233" s="29"/>
      <c r="N233" s="29"/>
      <c r="O233" s="29"/>
      <c r="P233" s="29"/>
      <c r="Q233" s="29"/>
      <c r="R233" s="11"/>
    </row>
    <row r="234" spans="1:18" ht="15.75" customHeight="1">
      <c r="A234" s="28"/>
      <c r="B234" s="25"/>
      <c r="C234" s="73"/>
      <c r="D234" s="73"/>
      <c r="E234" s="26"/>
      <c r="F234" s="26"/>
      <c r="G234" s="73"/>
      <c r="H234" s="26"/>
      <c r="I234" s="26"/>
      <c r="J234" s="26"/>
      <c r="K234" s="26"/>
      <c r="L234" s="26"/>
      <c r="M234" s="29"/>
      <c r="N234" s="29"/>
      <c r="O234" s="29"/>
      <c r="P234" s="29"/>
      <c r="Q234" s="29"/>
      <c r="R234" s="11"/>
    </row>
    <row r="235" spans="1:18" ht="15.75" customHeight="1">
      <c r="A235" s="28"/>
      <c r="B235" s="25"/>
      <c r="C235" s="73"/>
      <c r="D235" s="73"/>
      <c r="E235" s="26"/>
      <c r="F235" s="26"/>
      <c r="G235" s="73"/>
      <c r="H235" s="26"/>
      <c r="I235" s="26"/>
      <c r="J235" s="26"/>
      <c r="K235" s="26"/>
      <c r="L235" s="26"/>
      <c r="M235" s="29"/>
      <c r="N235" s="29"/>
      <c r="O235" s="29"/>
      <c r="P235" s="29"/>
      <c r="Q235" s="29"/>
      <c r="R235" s="11"/>
    </row>
    <row r="236" spans="1:18" ht="15.75" customHeight="1">
      <c r="A236" s="28"/>
      <c r="B236" s="25"/>
      <c r="C236" s="73"/>
      <c r="D236" s="73"/>
      <c r="E236" s="26"/>
      <c r="F236" s="26"/>
      <c r="G236" s="73"/>
      <c r="H236" s="26"/>
      <c r="I236" s="26"/>
      <c r="J236" s="26"/>
      <c r="K236" s="26"/>
      <c r="L236" s="26"/>
      <c r="M236" s="29"/>
      <c r="N236" s="29"/>
      <c r="O236" s="29"/>
      <c r="P236" s="29"/>
      <c r="Q236" s="29"/>
      <c r="R236" s="11"/>
    </row>
    <row r="237" spans="1:18" ht="15.75" customHeight="1">
      <c r="A237" s="28"/>
      <c r="B237" s="25"/>
      <c r="C237" s="73"/>
      <c r="D237" s="73"/>
      <c r="E237" s="26"/>
      <c r="F237" s="26"/>
      <c r="G237" s="73"/>
      <c r="H237" s="26"/>
      <c r="I237" s="26"/>
      <c r="J237" s="26"/>
      <c r="K237" s="26"/>
      <c r="L237" s="26"/>
      <c r="M237" s="29"/>
      <c r="N237" s="29"/>
      <c r="O237" s="29"/>
      <c r="P237" s="29"/>
      <c r="Q237" s="29"/>
      <c r="R237" s="11"/>
    </row>
    <row r="238" spans="1:18" ht="15.75" customHeight="1">
      <c r="A238" s="28"/>
      <c r="B238" s="25"/>
      <c r="C238" s="73"/>
      <c r="D238" s="73"/>
      <c r="E238" s="26"/>
      <c r="F238" s="26"/>
      <c r="G238" s="73"/>
      <c r="H238" s="26"/>
      <c r="I238" s="26"/>
      <c r="J238" s="26"/>
      <c r="K238" s="26"/>
      <c r="L238" s="26"/>
      <c r="M238" s="29"/>
      <c r="N238" s="29"/>
      <c r="O238" s="29"/>
      <c r="P238" s="29"/>
      <c r="Q238" s="29"/>
      <c r="R238" s="11"/>
    </row>
    <row r="239" spans="1:18" ht="15.75" customHeight="1">
      <c r="A239" s="28"/>
      <c r="B239" s="25"/>
      <c r="C239" s="73"/>
      <c r="D239" s="73"/>
      <c r="E239" s="26"/>
      <c r="F239" s="26"/>
      <c r="G239" s="73"/>
      <c r="H239" s="26"/>
      <c r="I239" s="26"/>
      <c r="J239" s="26"/>
      <c r="K239" s="26"/>
      <c r="L239" s="26"/>
      <c r="M239" s="29"/>
      <c r="N239" s="29"/>
      <c r="O239" s="29"/>
      <c r="P239" s="29"/>
      <c r="Q239" s="29"/>
      <c r="R239" s="11"/>
    </row>
    <row r="240" spans="1:18" ht="15.75" customHeight="1">
      <c r="A240" s="28"/>
      <c r="B240" s="25"/>
      <c r="C240" s="73"/>
      <c r="D240" s="73"/>
      <c r="E240" s="26"/>
      <c r="F240" s="26"/>
      <c r="G240" s="73"/>
      <c r="H240" s="26"/>
      <c r="I240" s="26"/>
      <c r="J240" s="26"/>
      <c r="K240" s="26"/>
      <c r="L240" s="26"/>
      <c r="M240" s="29"/>
      <c r="N240" s="29"/>
      <c r="O240" s="29"/>
      <c r="P240" s="29"/>
      <c r="Q240" s="29"/>
      <c r="R240" s="11"/>
    </row>
    <row r="241" spans="1:18" ht="15.75" customHeight="1">
      <c r="A241" s="28"/>
      <c r="B241" s="25"/>
      <c r="C241" s="73"/>
      <c r="D241" s="73"/>
      <c r="E241" s="26"/>
      <c r="F241" s="26"/>
      <c r="G241" s="73"/>
      <c r="H241" s="26"/>
      <c r="I241" s="26"/>
      <c r="J241" s="26"/>
      <c r="K241" s="26"/>
      <c r="L241" s="26"/>
      <c r="M241" s="29"/>
      <c r="N241" s="29"/>
      <c r="O241" s="29"/>
      <c r="P241" s="29"/>
      <c r="Q241" s="29"/>
      <c r="R241" s="11"/>
    </row>
    <row r="242" spans="1:18" ht="15.75" customHeight="1">
      <c r="A242" s="28"/>
      <c r="B242" s="25"/>
      <c r="C242" s="73"/>
      <c r="D242" s="73"/>
      <c r="E242" s="26"/>
      <c r="F242" s="26"/>
      <c r="G242" s="73"/>
      <c r="H242" s="26"/>
      <c r="I242" s="26"/>
      <c r="J242" s="26"/>
      <c r="K242" s="26"/>
      <c r="L242" s="26"/>
      <c r="M242" s="29"/>
      <c r="N242" s="29"/>
      <c r="O242" s="29"/>
      <c r="P242" s="29"/>
      <c r="Q242" s="29"/>
      <c r="R242" s="11"/>
    </row>
    <row r="243" spans="1:18" ht="15.75" customHeight="1">
      <c r="A243" s="28"/>
      <c r="B243" s="25"/>
      <c r="C243" s="73"/>
      <c r="D243" s="73"/>
      <c r="E243" s="26"/>
      <c r="F243" s="26"/>
      <c r="G243" s="73"/>
      <c r="H243" s="26"/>
      <c r="I243" s="26"/>
      <c r="J243" s="26"/>
      <c r="K243" s="26"/>
      <c r="L243" s="26"/>
      <c r="M243" s="29"/>
      <c r="N243" s="29"/>
      <c r="O243" s="29"/>
      <c r="P243" s="29"/>
      <c r="Q243" s="29"/>
      <c r="R243" s="11"/>
    </row>
    <row r="244" spans="1:18" ht="15.75" customHeight="1">
      <c r="A244" s="28"/>
      <c r="B244" s="25"/>
      <c r="C244" s="73"/>
      <c r="D244" s="73"/>
      <c r="E244" s="26"/>
      <c r="F244" s="26"/>
      <c r="G244" s="73"/>
      <c r="H244" s="26"/>
      <c r="I244" s="26"/>
      <c r="J244" s="26"/>
      <c r="K244" s="26"/>
      <c r="L244" s="26"/>
      <c r="M244" s="29"/>
      <c r="N244" s="29"/>
      <c r="O244" s="29"/>
      <c r="P244" s="29"/>
      <c r="Q244" s="29"/>
      <c r="R244" s="11"/>
    </row>
    <row r="245" spans="1:18" ht="15.75" customHeight="1">
      <c r="A245" s="28"/>
      <c r="B245" s="25"/>
      <c r="C245" s="73"/>
      <c r="D245" s="73"/>
      <c r="E245" s="26"/>
      <c r="F245" s="26"/>
      <c r="G245" s="73"/>
      <c r="H245" s="26"/>
      <c r="I245" s="26"/>
      <c r="J245" s="26"/>
      <c r="K245" s="26"/>
      <c r="L245" s="26"/>
      <c r="M245" s="29"/>
      <c r="N245" s="29"/>
      <c r="O245" s="29"/>
      <c r="P245" s="29"/>
      <c r="Q245" s="29"/>
      <c r="R245" s="11"/>
    </row>
    <row r="246" spans="1:18" ht="15.75" customHeight="1">
      <c r="A246" s="28"/>
      <c r="B246" s="25"/>
      <c r="C246" s="73"/>
      <c r="D246" s="73"/>
      <c r="E246" s="26"/>
      <c r="F246" s="26"/>
      <c r="G246" s="73"/>
      <c r="H246" s="26"/>
      <c r="I246" s="26"/>
      <c r="J246" s="26"/>
      <c r="K246" s="26"/>
      <c r="L246" s="26"/>
      <c r="M246" s="29"/>
      <c r="N246" s="29"/>
      <c r="O246" s="29"/>
      <c r="P246" s="29"/>
      <c r="Q246" s="29"/>
      <c r="R246" s="11"/>
    </row>
    <row r="247" spans="1:18" ht="15.75" customHeight="1">
      <c r="A247" s="28"/>
      <c r="B247" s="25"/>
      <c r="C247" s="73"/>
      <c r="D247" s="73"/>
      <c r="E247" s="26"/>
      <c r="F247" s="26"/>
      <c r="G247" s="73"/>
      <c r="H247" s="26"/>
      <c r="I247" s="26"/>
      <c r="J247" s="26"/>
      <c r="K247" s="26"/>
      <c r="L247" s="26"/>
      <c r="M247" s="29"/>
      <c r="N247" s="29"/>
      <c r="O247" s="29"/>
      <c r="P247" s="29"/>
      <c r="Q247" s="29"/>
      <c r="R247" s="11"/>
    </row>
    <row r="248" spans="1:18" ht="15.75" customHeight="1">
      <c r="A248" s="28"/>
      <c r="B248" s="25"/>
      <c r="C248" s="73"/>
      <c r="D248" s="73"/>
      <c r="E248" s="26"/>
      <c r="F248" s="26"/>
      <c r="G248" s="73"/>
      <c r="H248" s="26"/>
      <c r="I248" s="26"/>
      <c r="J248" s="26"/>
      <c r="K248" s="26"/>
      <c r="L248" s="26"/>
      <c r="M248" s="29"/>
      <c r="N248" s="29"/>
      <c r="O248" s="29"/>
      <c r="P248" s="29"/>
      <c r="Q248" s="29"/>
      <c r="R248" s="11"/>
    </row>
    <row r="249" spans="1:18" ht="15.75" customHeight="1">
      <c r="G249" s="74"/>
    </row>
    <row r="250" spans="1:18" ht="15.75" customHeight="1">
      <c r="G250" s="74"/>
    </row>
    <row r="251" spans="1:18" ht="15.75" customHeight="1">
      <c r="G251" s="74"/>
    </row>
    <row r="252" spans="1:18" ht="15.75" customHeight="1">
      <c r="G252" s="74"/>
    </row>
    <row r="253" spans="1:18" ht="15.75" customHeight="1">
      <c r="G253" s="74"/>
    </row>
    <row r="254" spans="1:18" ht="15.75" customHeight="1">
      <c r="G254" s="74"/>
    </row>
    <row r="255" spans="1:18" ht="15.75" customHeight="1">
      <c r="G255" s="74"/>
    </row>
    <row r="256" spans="1:18" ht="15.75" customHeight="1">
      <c r="G256" s="74"/>
    </row>
    <row r="257" spans="7:7" ht="15.75" customHeight="1">
      <c r="G257" s="74"/>
    </row>
    <row r="258" spans="7:7" ht="15.75" customHeight="1">
      <c r="G258" s="74"/>
    </row>
    <row r="259" spans="7:7" ht="15.75" customHeight="1">
      <c r="G259" s="74"/>
    </row>
    <row r="260" spans="7:7" ht="15.75" customHeight="1">
      <c r="G260" s="74"/>
    </row>
    <row r="261" spans="7:7" ht="15.75" customHeight="1">
      <c r="G261" s="74"/>
    </row>
    <row r="262" spans="7:7" ht="15.75" customHeight="1">
      <c r="G262" s="74"/>
    </row>
    <row r="263" spans="7:7" ht="15.75" customHeight="1">
      <c r="G263" s="74"/>
    </row>
    <row r="264" spans="7:7" ht="15.75" customHeight="1">
      <c r="G264" s="74"/>
    </row>
    <row r="265" spans="7:7" ht="15.75" customHeight="1">
      <c r="G265" s="74"/>
    </row>
    <row r="266" spans="7:7" ht="15.75" customHeight="1">
      <c r="G266" s="74"/>
    </row>
    <row r="267" spans="7:7" ht="15.75" customHeight="1">
      <c r="G267" s="74"/>
    </row>
    <row r="268" spans="7:7" ht="15.75" customHeight="1">
      <c r="G268" s="74"/>
    </row>
    <row r="269" spans="7:7" ht="15.75" customHeight="1">
      <c r="G269" s="74"/>
    </row>
    <row r="270" spans="7:7" ht="15.75" customHeight="1">
      <c r="G270" s="74"/>
    </row>
    <row r="271" spans="7:7" ht="15.75" customHeight="1">
      <c r="G271" s="74"/>
    </row>
    <row r="272" spans="7:7" ht="15.75" customHeight="1">
      <c r="G272" s="74"/>
    </row>
    <row r="273" spans="7:7" ht="15.75" customHeight="1">
      <c r="G273" s="74"/>
    </row>
    <row r="274" spans="7:7" ht="15.75" customHeight="1">
      <c r="G274" s="74"/>
    </row>
    <row r="275" spans="7:7" ht="15.75" customHeight="1">
      <c r="G275" s="74"/>
    </row>
    <row r="276" spans="7:7" ht="15.75" customHeight="1">
      <c r="G276" s="74"/>
    </row>
    <row r="277" spans="7:7" ht="15.75" customHeight="1">
      <c r="G277" s="74"/>
    </row>
    <row r="278" spans="7:7" ht="15.75" customHeight="1">
      <c r="G278" s="74"/>
    </row>
    <row r="279" spans="7:7" ht="15.75" customHeight="1">
      <c r="G279" s="74"/>
    </row>
    <row r="280" spans="7:7" ht="15.75" customHeight="1">
      <c r="G280" s="74"/>
    </row>
    <row r="281" spans="7:7" ht="15.75" customHeight="1">
      <c r="G281" s="74"/>
    </row>
    <row r="282" spans="7:7" ht="15.75" customHeight="1">
      <c r="G282" s="74"/>
    </row>
    <row r="283" spans="7:7" ht="15.75" customHeight="1">
      <c r="G283" s="74"/>
    </row>
    <row r="284" spans="7:7" ht="15.75" customHeight="1">
      <c r="G284" s="74"/>
    </row>
    <row r="285" spans="7:7" ht="15.75" customHeight="1">
      <c r="G285" s="74"/>
    </row>
    <row r="286" spans="7:7" ht="15.75" customHeight="1">
      <c r="G286" s="74"/>
    </row>
    <row r="287" spans="7:7" ht="15.75" customHeight="1">
      <c r="G287" s="74"/>
    </row>
    <row r="288" spans="7:7" ht="15.75" customHeight="1">
      <c r="G288" s="74"/>
    </row>
    <row r="289" spans="7:7" ht="15.75" customHeight="1">
      <c r="G289" s="74"/>
    </row>
    <row r="290" spans="7:7" ht="15.75" customHeight="1">
      <c r="G290" s="74"/>
    </row>
    <row r="291" spans="7:7" ht="15.75" customHeight="1">
      <c r="G291" s="74"/>
    </row>
    <row r="292" spans="7:7" ht="15.75" customHeight="1">
      <c r="G292" s="74"/>
    </row>
    <row r="293" spans="7:7" ht="15.75" customHeight="1">
      <c r="G293" s="74"/>
    </row>
    <row r="294" spans="7:7" ht="15.75" customHeight="1">
      <c r="G294" s="74"/>
    </row>
    <row r="295" spans="7:7" ht="15.75" customHeight="1">
      <c r="G295" s="74"/>
    </row>
    <row r="296" spans="7:7" ht="15.75" customHeight="1">
      <c r="G296" s="74"/>
    </row>
    <row r="297" spans="7:7" ht="15.75" customHeight="1">
      <c r="G297" s="74"/>
    </row>
    <row r="298" spans="7:7" ht="15.75" customHeight="1">
      <c r="G298" s="74"/>
    </row>
    <row r="299" spans="7:7" ht="15.75" customHeight="1">
      <c r="G299" s="74"/>
    </row>
    <row r="300" spans="7:7" ht="15.75" customHeight="1">
      <c r="G300" s="74"/>
    </row>
    <row r="301" spans="7:7" ht="15.75" customHeight="1">
      <c r="G301" s="74"/>
    </row>
    <row r="302" spans="7:7" ht="15.75" customHeight="1">
      <c r="G302" s="74"/>
    </row>
    <row r="303" spans="7:7" ht="15.75" customHeight="1">
      <c r="G303" s="74"/>
    </row>
    <row r="304" spans="7:7" ht="15.75" customHeight="1">
      <c r="G304" s="74"/>
    </row>
    <row r="305" spans="7:7" ht="15.75" customHeight="1">
      <c r="G305" s="74"/>
    </row>
    <row r="306" spans="7:7" ht="15.75" customHeight="1">
      <c r="G306" s="74"/>
    </row>
    <row r="307" spans="7:7" ht="15.75" customHeight="1">
      <c r="G307" s="74"/>
    </row>
    <row r="308" spans="7:7" ht="15.75" customHeight="1">
      <c r="G308" s="74"/>
    </row>
    <row r="309" spans="7:7" ht="15.75" customHeight="1">
      <c r="G309" s="74"/>
    </row>
    <row r="310" spans="7:7" ht="15.75" customHeight="1">
      <c r="G310" s="74"/>
    </row>
    <row r="311" spans="7:7" ht="15.75" customHeight="1">
      <c r="G311" s="74"/>
    </row>
    <row r="312" spans="7:7" ht="15.75" customHeight="1">
      <c r="G312" s="74"/>
    </row>
    <row r="313" spans="7:7" ht="15.75" customHeight="1">
      <c r="G313" s="74"/>
    </row>
    <row r="314" spans="7:7" ht="15.75" customHeight="1">
      <c r="G314" s="74"/>
    </row>
    <row r="315" spans="7:7" ht="15.75" customHeight="1">
      <c r="G315" s="74"/>
    </row>
    <row r="316" spans="7:7" ht="15.75" customHeight="1">
      <c r="G316" s="74"/>
    </row>
    <row r="317" spans="7:7" ht="15.75" customHeight="1">
      <c r="G317" s="74"/>
    </row>
    <row r="318" spans="7:7" ht="15.75" customHeight="1">
      <c r="G318" s="74"/>
    </row>
    <row r="319" spans="7:7" ht="15.75" customHeight="1">
      <c r="G319" s="74"/>
    </row>
    <row r="320" spans="7:7" ht="15.75" customHeight="1">
      <c r="G320" s="74"/>
    </row>
    <row r="321" spans="7:7" ht="15.75" customHeight="1">
      <c r="G321" s="74"/>
    </row>
    <row r="322" spans="7:7" ht="15.75" customHeight="1">
      <c r="G322" s="74"/>
    </row>
    <row r="323" spans="7:7" ht="15.75" customHeight="1">
      <c r="G323" s="74"/>
    </row>
    <row r="324" spans="7:7" ht="15.75" customHeight="1">
      <c r="G324" s="74"/>
    </row>
    <row r="325" spans="7:7" ht="15.75" customHeight="1">
      <c r="G325" s="74"/>
    </row>
    <row r="326" spans="7:7" ht="15.75" customHeight="1">
      <c r="G326" s="74"/>
    </row>
    <row r="327" spans="7:7" ht="15.75" customHeight="1">
      <c r="G327" s="74"/>
    </row>
    <row r="328" spans="7:7" ht="15.75" customHeight="1">
      <c r="G328" s="74"/>
    </row>
    <row r="329" spans="7:7" ht="15.75" customHeight="1">
      <c r="G329" s="74"/>
    </row>
    <row r="330" spans="7:7" ht="15.75" customHeight="1">
      <c r="G330" s="74"/>
    </row>
    <row r="331" spans="7:7" ht="15.75" customHeight="1">
      <c r="G331" s="74"/>
    </row>
    <row r="332" spans="7:7" ht="15.75" customHeight="1">
      <c r="G332" s="74"/>
    </row>
    <row r="333" spans="7:7" ht="15.75" customHeight="1">
      <c r="G333" s="74"/>
    </row>
    <row r="334" spans="7:7" ht="15.75" customHeight="1">
      <c r="G334" s="74"/>
    </row>
    <row r="335" spans="7:7" ht="15.75" customHeight="1">
      <c r="G335" s="74"/>
    </row>
    <row r="336" spans="7:7" ht="15.75" customHeight="1">
      <c r="G336" s="74"/>
    </row>
    <row r="337" spans="7:7" ht="15.75" customHeight="1">
      <c r="G337" s="74"/>
    </row>
    <row r="338" spans="7:7" ht="15.75" customHeight="1">
      <c r="G338" s="74"/>
    </row>
    <row r="339" spans="7:7" ht="15.75" customHeight="1">
      <c r="G339" s="74"/>
    </row>
    <row r="340" spans="7:7" ht="15.75" customHeight="1">
      <c r="G340" s="74"/>
    </row>
    <row r="341" spans="7:7" ht="15.75" customHeight="1">
      <c r="G341" s="74"/>
    </row>
    <row r="342" spans="7:7" ht="15.75" customHeight="1">
      <c r="G342" s="74"/>
    </row>
    <row r="343" spans="7:7" ht="15.75" customHeight="1">
      <c r="G343" s="74"/>
    </row>
    <row r="344" spans="7:7" ht="15.75" customHeight="1">
      <c r="G344" s="74"/>
    </row>
    <row r="345" spans="7:7" ht="15.75" customHeight="1">
      <c r="G345" s="74"/>
    </row>
    <row r="346" spans="7:7" ht="15.75" customHeight="1">
      <c r="G346" s="74"/>
    </row>
    <row r="347" spans="7:7" ht="15.75" customHeight="1">
      <c r="G347" s="74"/>
    </row>
    <row r="348" spans="7:7" ht="15.75" customHeight="1">
      <c r="G348" s="74"/>
    </row>
    <row r="349" spans="7:7" ht="15.75" customHeight="1">
      <c r="G349" s="74"/>
    </row>
    <row r="350" spans="7:7" ht="15.75" customHeight="1">
      <c r="G350" s="74"/>
    </row>
    <row r="351" spans="7:7" ht="15.75" customHeight="1">
      <c r="G351" s="74"/>
    </row>
    <row r="352" spans="7:7" ht="15.75" customHeight="1">
      <c r="G352" s="74"/>
    </row>
    <row r="353" spans="7:7" ht="15.75" customHeight="1">
      <c r="G353" s="74"/>
    </row>
    <row r="354" spans="7:7" ht="15.75" customHeight="1">
      <c r="G354" s="74"/>
    </row>
    <row r="355" spans="7:7" ht="15.75" customHeight="1">
      <c r="G355" s="74"/>
    </row>
    <row r="356" spans="7:7" ht="15.75" customHeight="1">
      <c r="G356" s="74"/>
    </row>
    <row r="357" spans="7:7" ht="15.75" customHeight="1">
      <c r="G357" s="74"/>
    </row>
    <row r="358" spans="7:7" ht="15.75" customHeight="1">
      <c r="G358" s="74"/>
    </row>
    <row r="359" spans="7:7" ht="15.75" customHeight="1">
      <c r="G359" s="74"/>
    </row>
    <row r="360" spans="7:7" ht="15.75" customHeight="1">
      <c r="G360" s="74"/>
    </row>
    <row r="361" spans="7:7" ht="15.75" customHeight="1">
      <c r="G361" s="74"/>
    </row>
    <row r="362" spans="7:7" ht="15.75" customHeight="1">
      <c r="G362" s="74"/>
    </row>
    <row r="363" spans="7:7" ht="15.75" customHeight="1">
      <c r="G363" s="74"/>
    </row>
    <row r="364" spans="7:7" ht="15.75" customHeight="1">
      <c r="G364" s="74"/>
    </row>
    <row r="365" spans="7:7" ht="15.75" customHeight="1">
      <c r="G365" s="74"/>
    </row>
    <row r="366" spans="7:7" ht="15.75" customHeight="1">
      <c r="G366" s="74"/>
    </row>
    <row r="367" spans="7:7" ht="15.75" customHeight="1">
      <c r="G367" s="74"/>
    </row>
    <row r="368" spans="7:7" ht="15.75" customHeight="1">
      <c r="G368" s="74"/>
    </row>
    <row r="369" spans="7:7" ht="15.75" customHeight="1">
      <c r="G369" s="74"/>
    </row>
    <row r="370" spans="7:7" ht="15.75" customHeight="1">
      <c r="G370" s="74"/>
    </row>
    <row r="371" spans="7:7" ht="15.75" customHeight="1">
      <c r="G371" s="74"/>
    </row>
    <row r="372" spans="7:7" ht="15.75" customHeight="1">
      <c r="G372" s="74"/>
    </row>
    <row r="373" spans="7:7" ht="15.75" customHeight="1">
      <c r="G373" s="74"/>
    </row>
    <row r="374" spans="7:7" ht="15.75" customHeight="1">
      <c r="G374" s="74"/>
    </row>
    <row r="375" spans="7:7" ht="15.75" customHeight="1">
      <c r="G375" s="74"/>
    </row>
    <row r="376" spans="7:7" ht="15.75" customHeight="1">
      <c r="G376" s="74"/>
    </row>
    <row r="377" spans="7:7" ht="15.75" customHeight="1">
      <c r="G377" s="74"/>
    </row>
    <row r="378" spans="7:7" ht="15.75" customHeight="1">
      <c r="G378" s="74"/>
    </row>
    <row r="379" spans="7:7" ht="15.75" customHeight="1">
      <c r="G379" s="74"/>
    </row>
    <row r="380" spans="7:7" ht="15.75" customHeight="1">
      <c r="G380" s="74"/>
    </row>
    <row r="381" spans="7:7" ht="15.75" customHeight="1">
      <c r="G381" s="74"/>
    </row>
    <row r="382" spans="7:7" ht="15.75" customHeight="1">
      <c r="G382" s="74"/>
    </row>
    <row r="383" spans="7:7" ht="15.75" customHeight="1">
      <c r="G383" s="74"/>
    </row>
    <row r="384" spans="7:7" ht="15.75" customHeight="1">
      <c r="G384" s="74"/>
    </row>
    <row r="385" spans="7:7" ht="15.75" customHeight="1">
      <c r="G385" s="74"/>
    </row>
    <row r="386" spans="7:7" ht="15.75" customHeight="1">
      <c r="G386" s="74"/>
    </row>
    <row r="387" spans="7:7" ht="15.75" customHeight="1">
      <c r="G387" s="74"/>
    </row>
    <row r="388" spans="7:7" ht="15.75" customHeight="1">
      <c r="G388" s="74"/>
    </row>
    <row r="389" spans="7:7" ht="15.75" customHeight="1">
      <c r="G389" s="74"/>
    </row>
    <row r="390" spans="7:7" ht="15.75" customHeight="1">
      <c r="G390" s="74"/>
    </row>
    <row r="391" spans="7:7" ht="15.75" customHeight="1">
      <c r="G391" s="74"/>
    </row>
    <row r="392" spans="7:7" ht="15.75" customHeight="1">
      <c r="G392" s="74"/>
    </row>
    <row r="393" spans="7:7" ht="15.75" customHeight="1">
      <c r="G393" s="74"/>
    </row>
    <row r="394" spans="7:7" ht="15.75" customHeight="1">
      <c r="G394" s="74"/>
    </row>
    <row r="395" spans="7:7" ht="15.75" customHeight="1">
      <c r="G395" s="74"/>
    </row>
    <row r="396" spans="7:7" ht="15.75" customHeight="1">
      <c r="G396" s="74"/>
    </row>
    <row r="397" spans="7:7" ht="15.75" customHeight="1">
      <c r="G397" s="74"/>
    </row>
    <row r="398" spans="7:7" ht="15.75" customHeight="1">
      <c r="G398" s="74"/>
    </row>
    <row r="399" spans="7:7" ht="15.75" customHeight="1">
      <c r="G399" s="74"/>
    </row>
    <row r="400" spans="7:7" ht="15.75" customHeight="1">
      <c r="G400" s="74"/>
    </row>
    <row r="401" spans="7:7" ht="15.75" customHeight="1">
      <c r="G401" s="74"/>
    </row>
    <row r="402" spans="7:7" ht="15.75" customHeight="1">
      <c r="G402" s="74"/>
    </row>
    <row r="403" spans="7:7" ht="15.75" customHeight="1">
      <c r="G403" s="74"/>
    </row>
    <row r="404" spans="7:7" ht="15.75" customHeight="1">
      <c r="G404" s="74"/>
    </row>
    <row r="405" spans="7:7" ht="15.75" customHeight="1">
      <c r="G405" s="74"/>
    </row>
    <row r="406" spans="7:7" ht="15.75" customHeight="1">
      <c r="G406" s="74"/>
    </row>
    <row r="407" spans="7:7" ht="15.75" customHeight="1">
      <c r="G407" s="74"/>
    </row>
    <row r="408" spans="7:7" ht="15.75" customHeight="1">
      <c r="G408" s="74"/>
    </row>
    <row r="409" spans="7:7" ht="15.75" customHeight="1">
      <c r="G409" s="74"/>
    </row>
    <row r="410" spans="7:7" ht="15.75" customHeight="1">
      <c r="G410" s="74"/>
    </row>
    <row r="411" spans="7:7" ht="15.75" customHeight="1">
      <c r="G411" s="74"/>
    </row>
    <row r="412" spans="7:7" ht="15.75" customHeight="1">
      <c r="G412" s="74"/>
    </row>
    <row r="413" spans="7:7" ht="15.75" customHeight="1">
      <c r="G413" s="74"/>
    </row>
    <row r="414" spans="7:7" ht="15.75" customHeight="1">
      <c r="G414" s="74"/>
    </row>
    <row r="415" spans="7:7" ht="15.75" customHeight="1">
      <c r="G415" s="74"/>
    </row>
    <row r="416" spans="7:7" ht="15.75" customHeight="1">
      <c r="G416" s="74"/>
    </row>
    <row r="417" spans="7:7" ht="15.75" customHeight="1">
      <c r="G417" s="74"/>
    </row>
    <row r="418" spans="7:7" ht="15.75" customHeight="1">
      <c r="G418" s="74"/>
    </row>
    <row r="419" spans="7:7" ht="15.75" customHeight="1">
      <c r="G419" s="74"/>
    </row>
    <row r="420" spans="7:7" ht="15.75" customHeight="1">
      <c r="G420" s="74"/>
    </row>
    <row r="421" spans="7:7" ht="15.75" customHeight="1">
      <c r="G421" s="74"/>
    </row>
    <row r="422" spans="7:7" ht="15.75" customHeight="1">
      <c r="G422" s="74"/>
    </row>
    <row r="423" spans="7:7" ht="15.75" customHeight="1">
      <c r="G423" s="74"/>
    </row>
    <row r="424" spans="7:7" ht="15.75" customHeight="1">
      <c r="G424" s="74"/>
    </row>
    <row r="425" spans="7:7" ht="15.75" customHeight="1">
      <c r="G425" s="74"/>
    </row>
    <row r="426" spans="7:7" ht="15.75" customHeight="1">
      <c r="G426" s="74"/>
    </row>
    <row r="427" spans="7:7" ht="15.75" customHeight="1">
      <c r="G427" s="74"/>
    </row>
    <row r="428" spans="7:7" ht="15.75" customHeight="1">
      <c r="G428" s="74"/>
    </row>
    <row r="429" spans="7:7" ht="15.75" customHeight="1">
      <c r="G429" s="74"/>
    </row>
    <row r="430" spans="7:7" ht="15.75" customHeight="1">
      <c r="G430" s="74"/>
    </row>
    <row r="431" spans="7:7" ht="15.75" customHeight="1">
      <c r="G431" s="74"/>
    </row>
    <row r="432" spans="7:7" ht="15.75" customHeight="1">
      <c r="G432" s="74"/>
    </row>
    <row r="433" spans="7:7" ht="15.75" customHeight="1">
      <c r="G433" s="74"/>
    </row>
    <row r="434" spans="7:7" ht="15.75" customHeight="1">
      <c r="G434" s="74"/>
    </row>
    <row r="435" spans="7:7" ht="15.75" customHeight="1">
      <c r="G435" s="74"/>
    </row>
    <row r="436" spans="7:7" ht="15.75" customHeight="1">
      <c r="G436" s="74"/>
    </row>
    <row r="437" spans="7:7" ht="15.75" customHeight="1">
      <c r="G437" s="74"/>
    </row>
    <row r="438" spans="7:7" ht="15.75" customHeight="1">
      <c r="G438" s="74"/>
    </row>
    <row r="439" spans="7:7" ht="15.75" customHeight="1">
      <c r="G439" s="74"/>
    </row>
    <row r="440" spans="7:7" ht="15.75" customHeight="1">
      <c r="G440" s="74"/>
    </row>
    <row r="441" spans="7:7" ht="15.75" customHeight="1">
      <c r="G441" s="74"/>
    </row>
    <row r="442" spans="7:7" ht="15.75" customHeight="1">
      <c r="G442" s="74"/>
    </row>
    <row r="443" spans="7:7" ht="15.75" customHeight="1">
      <c r="G443" s="74"/>
    </row>
    <row r="444" spans="7:7" ht="15.75" customHeight="1">
      <c r="G444" s="74"/>
    </row>
    <row r="445" spans="7:7" ht="15.75" customHeight="1">
      <c r="G445" s="74"/>
    </row>
    <row r="446" spans="7:7" ht="15.75" customHeight="1">
      <c r="G446" s="74"/>
    </row>
    <row r="447" spans="7:7" ht="15.75" customHeight="1">
      <c r="G447" s="74"/>
    </row>
    <row r="448" spans="7:7" ht="15.75" customHeight="1">
      <c r="G448" s="74"/>
    </row>
    <row r="449" spans="7:7" ht="15.75" customHeight="1">
      <c r="G449" s="74"/>
    </row>
    <row r="450" spans="7:7" ht="15.75" customHeight="1">
      <c r="G450" s="74"/>
    </row>
    <row r="451" spans="7:7" ht="15.75" customHeight="1">
      <c r="G451" s="74"/>
    </row>
    <row r="452" spans="7:7" ht="15.75" customHeight="1">
      <c r="G452" s="74"/>
    </row>
    <row r="453" spans="7:7" ht="15.75" customHeight="1">
      <c r="G453" s="74"/>
    </row>
    <row r="454" spans="7:7" ht="15.75" customHeight="1">
      <c r="G454" s="74"/>
    </row>
    <row r="455" spans="7:7" ht="15.75" customHeight="1">
      <c r="G455" s="74"/>
    </row>
    <row r="456" spans="7:7" ht="15.75" customHeight="1">
      <c r="G456" s="74"/>
    </row>
    <row r="457" spans="7:7" ht="15.75" customHeight="1">
      <c r="G457" s="74"/>
    </row>
    <row r="458" spans="7:7" ht="15.75" customHeight="1">
      <c r="G458" s="74"/>
    </row>
    <row r="459" spans="7:7" ht="15.75" customHeight="1">
      <c r="G459" s="74"/>
    </row>
    <row r="460" spans="7:7" ht="15.75" customHeight="1">
      <c r="G460" s="74"/>
    </row>
    <row r="461" spans="7:7" ht="15.75" customHeight="1">
      <c r="G461" s="74"/>
    </row>
    <row r="462" spans="7:7" ht="15.75" customHeight="1">
      <c r="G462" s="74"/>
    </row>
    <row r="463" spans="7:7" ht="15.75" customHeight="1">
      <c r="G463" s="74"/>
    </row>
    <row r="464" spans="7:7" ht="15.75" customHeight="1">
      <c r="G464" s="74"/>
    </row>
    <row r="465" spans="7:7" ht="15.75" customHeight="1">
      <c r="G465" s="74"/>
    </row>
    <row r="466" spans="7:7" ht="15.75" customHeight="1">
      <c r="G466" s="74"/>
    </row>
    <row r="467" spans="7:7" ht="15.75" customHeight="1">
      <c r="G467" s="74"/>
    </row>
    <row r="468" spans="7:7" ht="15.75" customHeight="1">
      <c r="G468" s="74"/>
    </row>
    <row r="469" spans="7:7" ht="15.75" customHeight="1">
      <c r="G469" s="74"/>
    </row>
    <row r="470" spans="7:7" ht="15.75" customHeight="1">
      <c r="G470" s="74"/>
    </row>
    <row r="471" spans="7:7" ht="15.75" customHeight="1">
      <c r="G471" s="74"/>
    </row>
    <row r="472" spans="7:7" ht="15.75" customHeight="1">
      <c r="G472" s="74"/>
    </row>
    <row r="473" spans="7:7" ht="15.75" customHeight="1">
      <c r="G473" s="74"/>
    </row>
    <row r="474" spans="7:7" ht="15.75" customHeight="1">
      <c r="G474" s="74"/>
    </row>
    <row r="475" spans="7:7" ht="15.75" customHeight="1">
      <c r="G475" s="74"/>
    </row>
    <row r="476" spans="7:7" ht="15.75" customHeight="1">
      <c r="G476" s="74"/>
    </row>
    <row r="477" spans="7:7" ht="15.75" customHeight="1">
      <c r="G477" s="74"/>
    </row>
    <row r="478" spans="7:7" ht="15.75" customHeight="1">
      <c r="G478" s="74"/>
    </row>
    <row r="479" spans="7:7" ht="15.75" customHeight="1">
      <c r="G479" s="74"/>
    </row>
    <row r="480" spans="7:7" ht="15.75" customHeight="1">
      <c r="G480" s="74"/>
    </row>
    <row r="481" spans="7:7" ht="15.75" customHeight="1">
      <c r="G481" s="74"/>
    </row>
    <row r="482" spans="7:7" ht="15.75" customHeight="1">
      <c r="G482" s="74"/>
    </row>
    <row r="483" spans="7:7" ht="15.75" customHeight="1">
      <c r="G483" s="74"/>
    </row>
    <row r="484" spans="7:7" ht="15.75" customHeight="1">
      <c r="G484" s="74"/>
    </row>
    <row r="485" spans="7:7" ht="15.75" customHeight="1">
      <c r="G485" s="74"/>
    </row>
    <row r="486" spans="7:7" ht="15.75" customHeight="1">
      <c r="G486" s="74"/>
    </row>
    <row r="487" spans="7:7" ht="15.75" customHeight="1">
      <c r="G487" s="74"/>
    </row>
    <row r="488" spans="7:7" ht="15.75" customHeight="1">
      <c r="G488" s="74"/>
    </row>
    <row r="489" spans="7:7" ht="15.75" customHeight="1">
      <c r="G489" s="74"/>
    </row>
    <row r="490" spans="7:7" ht="15.75" customHeight="1">
      <c r="G490" s="74"/>
    </row>
    <row r="491" spans="7:7" ht="15.75" customHeight="1">
      <c r="G491" s="74"/>
    </row>
    <row r="492" spans="7:7" ht="15.75" customHeight="1">
      <c r="G492" s="74"/>
    </row>
    <row r="493" spans="7:7" ht="15.75" customHeight="1">
      <c r="G493" s="74"/>
    </row>
    <row r="494" spans="7:7" ht="15.75" customHeight="1">
      <c r="G494" s="74"/>
    </row>
    <row r="495" spans="7:7" ht="15.75" customHeight="1">
      <c r="G495" s="74"/>
    </row>
    <row r="496" spans="7:7" ht="15.75" customHeight="1">
      <c r="G496" s="74"/>
    </row>
    <row r="497" spans="7:7" ht="15.75" customHeight="1">
      <c r="G497" s="74"/>
    </row>
    <row r="498" spans="7:7" ht="15.75" customHeight="1">
      <c r="G498" s="74"/>
    </row>
    <row r="499" spans="7:7" ht="15.75" customHeight="1">
      <c r="G499" s="74"/>
    </row>
    <row r="500" spans="7:7" ht="15.75" customHeight="1">
      <c r="G500" s="74"/>
    </row>
    <row r="501" spans="7:7" ht="15.75" customHeight="1">
      <c r="G501" s="74"/>
    </row>
    <row r="502" spans="7:7" ht="15.75" customHeight="1">
      <c r="G502" s="74"/>
    </row>
    <row r="503" spans="7:7" ht="15.75" customHeight="1">
      <c r="G503" s="74"/>
    </row>
    <row r="504" spans="7:7" ht="15.75" customHeight="1">
      <c r="G504" s="74"/>
    </row>
    <row r="505" spans="7:7" ht="15.75" customHeight="1">
      <c r="G505" s="74"/>
    </row>
    <row r="506" spans="7:7" ht="15.75" customHeight="1">
      <c r="G506" s="74"/>
    </row>
    <row r="507" spans="7:7" ht="15.75" customHeight="1">
      <c r="G507" s="74"/>
    </row>
    <row r="508" spans="7:7" ht="15.75" customHeight="1">
      <c r="G508" s="74"/>
    </row>
    <row r="509" spans="7:7" ht="15.75" customHeight="1">
      <c r="G509" s="74"/>
    </row>
    <row r="510" spans="7:7" ht="15.75" customHeight="1">
      <c r="G510" s="74"/>
    </row>
    <row r="511" spans="7:7" ht="15.75" customHeight="1">
      <c r="G511" s="74"/>
    </row>
    <row r="512" spans="7:7" ht="15.75" customHeight="1">
      <c r="G512" s="74"/>
    </row>
    <row r="513" spans="7:7" ht="15.75" customHeight="1">
      <c r="G513" s="74"/>
    </row>
    <row r="514" spans="7:7" ht="15.75" customHeight="1">
      <c r="G514" s="74"/>
    </row>
    <row r="515" spans="7:7" ht="15.75" customHeight="1">
      <c r="G515" s="74"/>
    </row>
    <row r="516" spans="7:7" ht="15.75" customHeight="1">
      <c r="G516" s="74"/>
    </row>
    <row r="517" spans="7:7" ht="15.75" customHeight="1">
      <c r="G517" s="74"/>
    </row>
    <row r="518" spans="7:7" ht="15.75" customHeight="1">
      <c r="G518" s="74"/>
    </row>
    <row r="519" spans="7:7" ht="15.75" customHeight="1">
      <c r="G519" s="74"/>
    </row>
    <row r="520" spans="7:7" ht="15.75" customHeight="1">
      <c r="G520" s="74"/>
    </row>
    <row r="521" spans="7:7" ht="15.75" customHeight="1">
      <c r="G521" s="74"/>
    </row>
    <row r="522" spans="7:7" ht="15.75" customHeight="1">
      <c r="G522" s="74"/>
    </row>
    <row r="523" spans="7:7" ht="15.75" customHeight="1">
      <c r="G523" s="74"/>
    </row>
    <row r="524" spans="7:7" ht="15.75" customHeight="1">
      <c r="G524" s="74"/>
    </row>
    <row r="525" spans="7:7" ht="15.75" customHeight="1">
      <c r="G525" s="74"/>
    </row>
    <row r="526" spans="7:7" ht="15.75" customHeight="1">
      <c r="G526" s="74"/>
    </row>
    <row r="527" spans="7:7" ht="15.75" customHeight="1">
      <c r="G527" s="74"/>
    </row>
    <row r="528" spans="7:7" ht="15.75" customHeight="1">
      <c r="G528" s="74"/>
    </row>
    <row r="529" spans="7:7" ht="15.75" customHeight="1">
      <c r="G529" s="74"/>
    </row>
    <row r="530" spans="7:7" ht="15.75" customHeight="1">
      <c r="G530" s="74"/>
    </row>
    <row r="531" spans="7:7" ht="15.75" customHeight="1">
      <c r="G531" s="74"/>
    </row>
    <row r="532" spans="7:7" ht="15.75" customHeight="1">
      <c r="G532" s="74"/>
    </row>
    <row r="533" spans="7:7" ht="15.75" customHeight="1">
      <c r="G533" s="74"/>
    </row>
    <row r="534" spans="7:7" ht="15.75" customHeight="1">
      <c r="G534" s="74"/>
    </row>
    <row r="535" spans="7:7" ht="15.75" customHeight="1">
      <c r="G535" s="74"/>
    </row>
    <row r="536" spans="7:7" ht="15.75" customHeight="1">
      <c r="G536" s="74"/>
    </row>
    <row r="537" spans="7:7" ht="15.75" customHeight="1">
      <c r="G537" s="74"/>
    </row>
    <row r="538" spans="7:7" ht="15.75" customHeight="1">
      <c r="G538" s="74"/>
    </row>
    <row r="539" spans="7:7" ht="15.75" customHeight="1">
      <c r="G539" s="74"/>
    </row>
    <row r="540" spans="7:7" ht="15.75" customHeight="1">
      <c r="G540" s="74"/>
    </row>
    <row r="541" spans="7:7" ht="15.75" customHeight="1">
      <c r="G541" s="74"/>
    </row>
    <row r="542" spans="7:7" ht="15.75" customHeight="1">
      <c r="G542" s="74"/>
    </row>
    <row r="543" spans="7:7" ht="15.75" customHeight="1">
      <c r="G543" s="74"/>
    </row>
    <row r="544" spans="7:7" ht="15.75" customHeight="1">
      <c r="G544" s="74"/>
    </row>
    <row r="545" spans="7:7" ht="15.75" customHeight="1">
      <c r="G545" s="74"/>
    </row>
    <row r="546" spans="7:7" ht="15.75" customHeight="1">
      <c r="G546" s="74"/>
    </row>
    <row r="547" spans="7:7" ht="15.75" customHeight="1">
      <c r="G547" s="74"/>
    </row>
    <row r="548" spans="7:7" ht="15.75" customHeight="1">
      <c r="G548" s="74"/>
    </row>
    <row r="549" spans="7:7" ht="15.75" customHeight="1">
      <c r="G549" s="74"/>
    </row>
    <row r="550" spans="7:7" ht="15.75" customHeight="1">
      <c r="G550" s="74"/>
    </row>
    <row r="551" spans="7:7" ht="15.75" customHeight="1">
      <c r="G551" s="74"/>
    </row>
    <row r="552" spans="7:7" ht="15.75" customHeight="1">
      <c r="G552" s="74"/>
    </row>
    <row r="553" spans="7:7" ht="15.75" customHeight="1">
      <c r="G553" s="74"/>
    </row>
    <row r="554" spans="7:7" ht="15.75" customHeight="1">
      <c r="G554" s="74"/>
    </row>
    <row r="555" spans="7:7" ht="15.75" customHeight="1">
      <c r="G555" s="74"/>
    </row>
    <row r="556" spans="7:7" ht="15.75" customHeight="1">
      <c r="G556" s="74"/>
    </row>
    <row r="557" spans="7:7" ht="15.75" customHeight="1">
      <c r="G557" s="74"/>
    </row>
    <row r="558" spans="7:7" ht="15.75" customHeight="1">
      <c r="G558" s="74"/>
    </row>
    <row r="559" spans="7:7" ht="15.75" customHeight="1">
      <c r="G559" s="74"/>
    </row>
    <row r="560" spans="7:7" ht="15.75" customHeight="1">
      <c r="G560" s="74"/>
    </row>
    <row r="561" spans="7:7" ht="15.75" customHeight="1">
      <c r="G561" s="74"/>
    </row>
    <row r="562" spans="7:7" ht="15.75" customHeight="1">
      <c r="G562" s="74"/>
    </row>
    <row r="563" spans="7:7" ht="15.75" customHeight="1">
      <c r="G563" s="74"/>
    </row>
    <row r="564" spans="7:7" ht="15.75" customHeight="1">
      <c r="G564" s="74"/>
    </row>
    <row r="565" spans="7:7" ht="15.75" customHeight="1">
      <c r="G565" s="74"/>
    </row>
    <row r="566" spans="7:7" ht="15.75" customHeight="1">
      <c r="G566" s="74"/>
    </row>
    <row r="567" spans="7:7" ht="15.75" customHeight="1">
      <c r="G567" s="74"/>
    </row>
    <row r="568" spans="7:7" ht="15.75" customHeight="1">
      <c r="G568" s="74"/>
    </row>
    <row r="569" spans="7:7" ht="15.75" customHeight="1">
      <c r="G569" s="74"/>
    </row>
    <row r="570" spans="7:7" ht="15.75" customHeight="1">
      <c r="G570" s="74"/>
    </row>
    <row r="571" spans="7:7" ht="15.75" customHeight="1">
      <c r="G571" s="74"/>
    </row>
    <row r="572" spans="7:7" ht="15.75" customHeight="1">
      <c r="G572" s="74"/>
    </row>
    <row r="573" spans="7:7" ht="15.75" customHeight="1">
      <c r="G573" s="74"/>
    </row>
    <row r="574" spans="7:7" ht="15.75" customHeight="1">
      <c r="G574" s="74"/>
    </row>
    <row r="575" spans="7:7" ht="15.75" customHeight="1">
      <c r="G575" s="74"/>
    </row>
    <row r="576" spans="7:7" ht="15.75" customHeight="1">
      <c r="G576" s="74"/>
    </row>
    <row r="577" spans="7:7" ht="15.75" customHeight="1">
      <c r="G577" s="74"/>
    </row>
    <row r="578" spans="7:7" ht="15.75" customHeight="1">
      <c r="G578" s="74"/>
    </row>
    <row r="579" spans="7:7" ht="15.75" customHeight="1">
      <c r="G579" s="74"/>
    </row>
    <row r="580" spans="7:7" ht="15.75" customHeight="1">
      <c r="G580" s="74"/>
    </row>
    <row r="581" spans="7:7" ht="15.75" customHeight="1">
      <c r="G581" s="74"/>
    </row>
    <row r="582" spans="7:7" ht="15.75" customHeight="1">
      <c r="G582" s="74"/>
    </row>
    <row r="583" spans="7:7" ht="15.75" customHeight="1">
      <c r="G583" s="74"/>
    </row>
    <row r="584" spans="7:7" ht="15.75" customHeight="1">
      <c r="G584" s="74"/>
    </row>
    <row r="585" spans="7:7" ht="15.75" customHeight="1">
      <c r="G585" s="74"/>
    </row>
    <row r="586" spans="7:7" ht="15.75" customHeight="1">
      <c r="G586" s="74"/>
    </row>
    <row r="587" spans="7:7" ht="15.75" customHeight="1">
      <c r="G587" s="74"/>
    </row>
    <row r="588" spans="7:7" ht="15.75" customHeight="1">
      <c r="G588" s="74"/>
    </row>
    <row r="589" spans="7:7" ht="15.75" customHeight="1">
      <c r="G589" s="74"/>
    </row>
    <row r="590" spans="7:7" ht="15.75" customHeight="1">
      <c r="G590" s="74"/>
    </row>
    <row r="591" spans="7:7" ht="15.75" customHeight="1">
      <c r="G591" s="74"/>
    </row>
    <row r="592" spans="7:7" ht="15.75" customHeight="1">
      <c r="G592" s="74"/>
    </row>
    <row r="593" spans="7:7" ht="15.75" customHeight="1">
      <c r="G593" s="74"/>
    </row>
    <row r="594" spans="7:7" ht="15.75" customHeight="1">
      <c r="G594" s="74"/>
    </row>
    <row r="595" spans="7:7" ht="15.75" customHeight="1">
      <c r="G595" s="74"/>
    </row>
    <row r="596" spans="7:7" ht="15.75" customHeight="1">
      <c r="G596" s="74"/>
    </row>
    <row r="597" spans="7:7" ht="15.75" customHeight="1">
      <c r="G597" s="74"/>
    </row>
    <row r="598" spans="7:7" ht="15.75" customHeight="1">
      <c r="G598" s="74"/>
    </row>
    <row r="599" spans="7:7" ht="15.75" customHeight="1">
      <c r="G599" s="74"/>
    </row>
    <row r="600" spans="7:7" ht="15.75" customHeight="1">
      <c r="G600" s="74"/>
    </row>
    <row r="601" spans="7:7" ht="15.75" customHeight="1">
      <c r="G601" s="74"/>
    </row>
    <row r="602" spans="7:7" ht="15.75" customHeight="1">
      <c r="G602" s="74"/>
    </row>
    <row r="603" spans="7:7" ht="15.75" customHeight="1">
      <c r="G603" s="74"/>
    </row>
    <row r="604" spans="7:7" ht="15.75" customHeight="1">
      <c r="G604" s="74"/>
    </row>
    <row r="605" spans="7:7" ht="15.75" customHeight="1">
      <c r="G605" s="74"/>
    </row>
    <row r="606" spans="7:7" ht="15.75" customHeight="1">
      <c r="G606" s="74"/>
    </row>
    <row r="607" spans="7:7" ht="15.75" customHeight="1">
      <c r="G607" s="74"/>
    </row>
    <row r="608" spans="7:7" ht="15.75" customHeight="1">
      <c r="G608" s="74"/>
    </row>
    <row r="609" spans="7:7" ht="15.75" customHeight="1">
      <c r="G609" s="74"/>
    </row>
    <row r="610" spans="7:7" ht="15.75" customHeight="1">
      <c r="G610" s="74"/>
    </row>
    <row r="611" spans="7:7" ht="15.75" customHeight="1">
      <c r="G611" s="74"/>
    </row>
    <row r="612" spans="7:7" ht="15.75" customHeight="1">
      <c r="G612" s="74"/>
    </row>
    <row r="613" spans="7:7" ht="15.75" customHeight="1">
      <c r="G613" s="74"/>
    </row>
    <row r="614" spans="7:7" ht="15.75" customHeight="1">
      <c r="G614" s="74"/>
    </row>
    <row r="615" spans="7:7" ht="15.75" customHeight="1">
      <c r="G615" s="74"/>
    </row>
    <row r="616" spans="7:7" ht="15.75" customHeight="1">
      <c r="G616" s="74"/>
    </row>
    <row r="617" spans="7:7" ht="15.75" customHeight="1">
      <c r="G617" s="74"/>
    </row>
    <row r="618" spans="7:7" ht="15.75" customHeight="1">
      <c r="G618" s="74"/>
    </row>
    <row r="619" spans="7:7" ht="15.75" customHeight="1">
      <c r="G619" s="74"/>
    </row>
    <row r="620" spans="7:7" ht="15.75" customHeight="1">
      <c r="G620" s="74"/>
    </row>
    <row r="621" spans="7:7" ht="15.75" customHeight="1">
      <c r="G621" s="74"/>
    </row>
    <row r="622" spans="7:7" ht="15.75" customHeight="1">
      <c r="G622" s="74"/>
    </row>
    <row r="623" spans="7:7" ht="15.75" customHeight="1">
      <c r="G623" s="74"/>
    </row>
    <row r="624" spans="7:7" ht="15.75" customHeight="1">
      <c r="G624" s="74"/>
    </row>
    <row r="625" spans="7:7" ht="15.75" customHeight="1">
      <c r="G625" s="74"/>
    </row>
    <row r="626" spans="7:7" ht="15.75" customHeight="1">
      <c r="G626" s="74"/>
    </row>
    <row r="627" spans="7:7" ht="15.75" customHeight="1">
      <c r="G627" s="74"/>
    </row>
    <row r="628" spans="7:7" ht="15.75" customHeight="1">
      <c r="G628" s="74"/>
    </row>
    <row r="629" spans="7:7" ht="15.75" customHeight="1">
      <c r="G629" s="74"/>
    </row>
    <row r="630" spans="7:7" ht="15.75" customHeight="1">
      <c r="G630" s="74"/>
    </row>
    <row r="631" spans="7:7" ht="15.75" customHeight="1">
      <c r="G631" s="74"/>
    </row>
    <row r="632" spans="7:7" ht="15.75" customHeight="1">
      <c r="G632" s="74"/>
    </row>
    <row r="633" spans="7:7" ht="15.75" customHeight="1">
      <c r="G633" s="74"/>
    </row>
    <row r="634" spans="7:7" ht="15.75" customHeight="1">
      <c r="G634" s="74"/>
    </row>
    <row r="635" spans="7:7" ht="15.75" customHeight="1">
      <c r="G635" s="74"/>
    </row>
    <row r="636" spans="7:7" ht="15.75" customHeight="1">
      <c r="G636" s="74"/>
    </row>
    <row r="637" spans="7:7" ht="15.75" customHeight="1">
      <c r="G637" s="74"/>
    </row>
    <row r="638" spans="7:7" ht="15.75" customHeight="1">
      <c r="G638" s="74"/>
    </row>
    <row r="639" spans="7:7" ht="15.75" customHeight="1">
      <c r="G639" s="74"/>
    </row>
    <row r="640" spans="7:7" ht="15.75" customHeight="1">
      <c r="G640" s="74"/>
    </row>
    <row r="641" spans="7:7" ht="15.75" customHeight="1">
      <c r="G641" s="74"/>
    </row>
    <row r="642" spans="7:7" ht="15.75" customHeight="1">
      <c r="G642" s="74"/>
    </row>
    <row r="643" spans="7:7" ht="15.75" customHeight="1">
      <c r="G643" s="74"/>
    </row>
    <row r="644" spans="7:7" ht="15.75" customHeight="1">
      <c r="G644" s="74"/>
    </row>
    <row r="645" spans="7:7" ht="15.75" customHeight="1">
      <c r="G645" s="74"/>
    </row>
    <row r="646" spans="7:7" ht="15.75" customHeight="1">
      <c r="G646" s="74"/>
    </row>
    <row r="647" spans="7:7" ht="15.75" customHeight="1">
      <c r="G647" s="74"/>
    </row>
    <row r="648" spans="7:7" ht="15.75" customHeight="1">
      <c r="G648" s="74"/>
    </row>
    <row r="649" spans="7:7" ht="15.75" customHeight="1">
      <c r="G649" s="74"/>
    </row>
    <row r="650" spans="7:7" ht="15.75" customHeight="1">
      <c r="G650" s="74"/>
    </row>
    <row r="651" spans="7:7" ht="15.75" customHeight="1">
      <c r="G651" s="74"/>
    </row>
    <row r="652" spans="7:7" ht="15.75" customHeight="1">
      <c r="G652" s="74"/>
    </row>
    <row r="653" spans="7:7" ht="15.75" customHeight="1">
      <c r="G653" s="74"/>
    </row>
    <row r="654" spans="7:7" ht="15.75" customHeight="1">
      <c r="G654" s="74"/>
    </row>
    <row r="655" spans="7:7" ht="15.75" customHeight="1">
      <c r="G655" s="74"/>
    </row>
    <row r="656" spans="7:7" ht="15.75" customHeight="1">
      <c r="G656" s="74"/>
    </row>
    <row r="657" spans="7:7" ht="15.75" customHeight="1">
      <c r="G657" s="74"/>
    </row>
    <row r="658" spans="7:7" ht="15.75" customHeight="1">
      <c r="G658" s="74"/>
    </row>
    <row r="659" spans="7:7" ht="15.75" customHeight="1">
      <c r="G659" s="74"/>
    </row>
    <row r="660" spans="7:7" ht="15.75" customHeight="1">
      <c r="G660" s="74"/>
    </row>
    <row r="661" spans="7:7" ht="15.75" customHeight="1">
      <c r="G661" s="74"/>
    </row>
    <row r="662" spans="7:7" ht="15.75" customHeight="1">
      <c r="G662" s="74"/>
    </row>
    <row r="663" spans="7:7" ht="15.75" customHeight="1">
      <c r="G663" s="74"/>
    </row>
    <row r="664" spans="7:7" ht="15.75" customHeight="1">
      <c r="G664" s="74"/>
    </row>
    <row r="665" spans="7:7" ht="15.75" customHeight="1">
      <c r="G665" s="74"/>
    </row>
    <row r="666" spans="7:7" ht="15.75" customHeight="1">
      <c r="G666" s="74"/>
    </row>
    <row r="667" spans="7:7" ht="15.75" customHeight="1">
      <c r="G667" s="74"/>
    </row>
    <row r="668" spans="7:7" ht="15.75" customHeight="1">
      <c r="G668" s="74"/>
    </row>
    <row r="669" spans="7:7" ht="15.75" customHeight="1">
      <c r="G669" s="74"/>
    </row>
    <row r="670" spans="7:7" ht="15.75" customHeight="1">
      <c r="G670" s="74"/>
    </row>
    <row r="671" spans="7:7" ht="15.75" customHeight="1">
      <c r="G671" s="74"/>
    </row>
    <row r="672" spans="7:7" ht="15.75" customHeight="1">
      <c r="G672" s="74"/>
    </row>
    <row r="673" spans="7:7" ht="15.75" customHeight="1">
      <c r="G673" s="74"/>
    </row>
    <row r="674" spans="7:7" ht="15.75" customHeight="1">
      <c r="G674" s="74"/>
    </row>
    <row r="675" spans="7:7" ht="15.75" customHeight="1">
      <c r="G675" s="74"/>
    </row>
    <row r="676" spans="7:7" ht="15.75" customHeight="1">
      <c r="G676" s="74"/>
    </row>
    <row r="677" spans="7:7" ht="15.75" customHeight="1">
      <c r="G677" s="74"/>
    </row>
    <row r="678" spans="7:7" ht="15.75" customHeight="1">
      <c r="G678" s="74"/>
    </row>
    <row r="679" spans="7:7" ht="15.75" customHeight="1">
      <c r="G679" s="74"/>
    </row>
    <row r="680" spans="7:7" ht="15.75" customHeight="1">
      <c r="G680" s="74"/>
    </row>
    <row r="681" spans="7:7" ht="15.75" customHeight="1">
      <c r="G681" s="74"/>
    </row>
    <row r="682" spans="7:7" ht="15.75" customHeight="1">
      <c r="G682" s="74"/>
    </row>
    <row r="683" spans="7:7" ht="15.75" customHeight="1">
      <c r="G683" s="74"/>
    </row>
    <row r="684" spans="7:7" ht="15.75" customHeight="1">
      <c r="G684" s="74"/>
    </row>
    <row r="685" spans="7:7" ht="15.75" customHeight="1">
      <c r="G685" s="74"/>
    </row>
    <row r="686" spans="7:7" ht="15.75" customHeight="1">
      <c r="G686" s="74"/>
    </row>
    <row r="687" spans="7:7" ht="15.75" customHeight="1">
      <c r="G687" s="74"/>
    </row>
    <row r="688" spans="7:7" ht="15.75" customHeight="1">
      <c r="G688" s="74"/>
    </row>
    <row r="689" spans="7:7" ht="15.75" customHeight="1">
      <c r="G689" s="74"/>
    </row>
    <row r="690" spans="7:7" ht="15.75" customHeight="1">
      <c r="G690" s="74"/>
    </row>
    <row r="691" spans="7:7" ht="15.75" customHeight="1">
      <c r="G691" s="74"/>
    </row>
    <row r="692" spans="7:7" ht="15.75" customHeight="1">
      <c r="G692" s="74"/>
    </row>
    <row r="693" spans="7:7" ht="15.75" customHeight="1">
      <c r="G693" s="74"/>
    </row>
    <row r="694" spans="7:7" ht="15.75" customHeight="1">
      <c r="G694" s="74"/>
    </row>
    <row r="695" spans="7:7" ht="15.75" customHeight="1">
      <c r="G695" s="74"/>
    </row>
    <row r="696" spans="7:7" ht="15.75" customHeight="1">
      <c r="G696" s="74"/>
    </row>
    <row r="697" spans="7:7" ht="15.75" customHeight="1">
      <c r="G697" s="74"/>
    </row>
    <row r="698" spans="7:7" ht="15.75" customHeight="1">
      <c r="G698" s="74"/>
    </row>
    <row r="699" spans="7:7" ht="15.75" customHeight="1">
      <c r="G699" s="74"/>
    </row>
    <row r="700" spans="7:7" ht="15.75" customHeight="1">
      <c r="G700" s="74"/>
    </row>
    <row r="701" spans="7:7" ht="15.75" customHeight="1">
      <c r="G701" s="74"/>
    </row>
    <row r="702" spans="7:7" ht="15.75" customHeight="1">
      <c r="G702" s="74"/>
    </row>
    <row r="703" spans="7:7" ht="15.75" customHeight="1">
      <c r="G703" s="74"/>
    </row>
    <row r="704" spans="7:7" ht="15.75" customHeight="1">
      <c r="G704" s="74"/>
    </row>
    <row r="705" spans="7:7" ht="15.75" customHeight="1">
      <c r="G705" s="74"/>
    </row>
    <row r="706" spans="7:7" ht="15.75" customHeight="1">
      <c r="G706" s="74"/>
    </row>
    <row r="707" spans="7:7" ht="15.75" customHeight="1">
      <c r="G707" s="74"/>
    </row>
    <row r="708" spans="7:7" ht="15.75" customHeight="1">
      <c r="G708" s="74"/>
    </row>
    <row r="709" spans="7:7" ht="15.75" customHeight="1">
      <c r="G709" s="74"/>
    </row>
    <row r="710" spans="7:7" ht="15.75" customHeight="1">
      <c r="G710" s="74"/>
    </row>
    <row r="711" spans="7:7" ht="15.75" customHeight="1">
      <c r="G711" s="74"/>
    </row>
    <row r="712" spans="7:7" ht="15.75" customHeight="1">
      <c r="G712" s="74"/>
    </row>
    <row r="713" spans="7:7" ht="15.75" customHeight="1">
      <c r="G713" s="74"/>
    </row>
    <row r="714" spans="7:7" ht="15.75" customHeight="1">
      <c r="G714" s="74"/>
    </row>
    <row r="715" spans="7:7" ht="15.75" customHeight="1">
      <c r="G715" s="74"/>
    </row>
    <row r="716" spans="7:7" ht="15.75" customHeight="1">
      <c r="G716" s="74"/>
    </row>
    <row r="717" spans="7:7" ht="15.75" customHeight="1">
      <c r="G717" s="74"/>
    </row>
    <row r="718" spans="7:7" ht="15.75" customHeight="1">
      <c r="G718" s="74"/>
    </row>
    <row r="719" spans="7:7" ht="15.75" customHeight="1">
      <c r="G719" s="74"/>
    </row>
    <row r="720" spans="7:7" ht="15.75" customHeight="1">
      <c r="G720" s="74"/>
    </row>
    <row r="721" spans="7:7" ht="15.75" customHeight="1">
      <c r="G721" s="74"/>
    </row>
    <row r="722" spans="7:7" ht="15.75" customHeight="1">
      <c r="G722" s="74"/>
    </row>
    <row r="723" spans="7:7" ht="15.75" customHeight="1">
      <c r="G723" s="74"/>
    </row>
    <row r="724" spans="7:7" ht="15.75" customHeight="1">
      <c r="G724" s="74"/>
    </row>
    <row r="725" spans="7:7" ht="15.75" customHeight="1">
      <c r="G725" s="74"/>
    </row>
    <row r="726" spans="7:7" ht="15.75" customHeight="1">
      <c r="G726" s="74"/>
    </row>
    <row r="727" spans="7:7" ht="15.75" customHeight="1">
      <c r="G727" s="74"/>
    </row>
    <row r="728" spans="7:7" ht="15.75" customHeight="1">
      <c r="G728" s="74"/>
    </row>
    <row r="729" spans="7:7" ht="15.75" customHeight="1">
      <c r="G729" s="74"/>
    </row>
    <row r="730" spans="7:7" ht="15.75" customHeight="1">
      <c r="G730" s="74"/>
    </row>
    <row r="731" spans="7:7" ht="15.75" customHeight="1">
      <c r="G731" s="74"/>
    </row>
    <row r="732" spans="7:7" ht="15.75" customHeight="1">
      <c r="G732" s="74"/>
    </row>
    <row r="733" spans="7:7" ht="15.75" customHeight="1">
      <c r="G733" s="74"/>
    </row>
    <row r="734" spans="7:7" ht="15.75" customHeight="1">
      <c r="G734" s="74"/>
    </row>
    <row r="735" spans="7:7" ht="15.75" customHeight="1">
      <c r="G735" s="74"/>
    </row>
    <row r="736" spans="7:7" ht="15.75" customHeight="1">
      <c r="G736" s="74"/>
    </row>
    <row r="737" spans="7:7" ht="15.75" customHeight="1">
      <c r="G737" s="74"/>
    </row>
    <row r="738" spans="7:7" ht="15.75" customHeight="1">
      <c r="G738" s="74"/>
    </row>
    <row r="739" spans="7:7" ht="15.75" customHeight="1">
      <c r="G739" s="74"/>
    </row>
    <row r="740" spans="7:7" ht="15.75" customHeight="1">
      <c r="G740" s="74"/>
    </row>
    <row r="741" spans="7:7" ht="15.75" customHeight="1">
      <c r="G741" s="74"/>
    </row>
    <row r="742" spans="7:7" ht="15.75" customHeight="1">
      <c r="G742" s="74"/>
    </row>
    <row r="743" spans="7:7" ht="15.75" customHeight="1">
      <c r="G743" s="74"/>
    </row>
    <row r="744" spans="7:7" ht="15.75" customHeight="1">
      <c r="G744" s="74"/>
    </row>
    <row r="745" spans="7:7" ht="15.75" customHeight="1">
      <c r="G745" s="74"/>
    </row>
    <row r="746" spans="7:7" ht="15.75" customHeight="1">
      <c r="G746" s="74"/>
    </row>
    <row r="747" spans="7:7" ht="15.75" customHeight="1">
      <c r="G747" s="74"/>
    </row>
    <row r="748" spans="7:7" ht="15.75" customHeight="1">
      <c r="G748" s="74"/>
    </row>
    <row r="749" spans="7:7" ht="15.75" customHeight="1">
      <c r="G749" s="74"/>
    </row>
    <row r="750" spans="7:7" ht="15.75" customHeight="1">
      <c r="G750" s="74"/>
    </row>
    <row r="751" spans="7:7" ht="15.75" customHeight="1">
      <c r="G751" s="74"/>
    </row>
    <row r="752" spans="7:7" ht="15.75" customHeight="1">
      <c r="G752" s="74"/>
    </row>
    <row r="753" spans="7:7" ht="15.75" customHeight="1">
      <c r="G753" s="74"/>
    </row>
    <row r="754" spans="7:7" ht="15.75" customHeight="1">
      <c r="G754" s="74"/>
    </row>
    <row r="755" spans="7:7" ht="15.75" customHeight="1">
      <c r="G755" s="74"/>
    </row>
    <row r="756" spans="7:7" ht="15.75" customHeight="1">
      <c r="G756" s="74"/>
    </row>
    <row r="757" spans="7:7" ht="15.75" customHeight="1">
      <c r="G757" s="74"/>
    </row>
    <row r="758" spans="7:7" ht="15.75" customHeight="1">
      <c r="G758" s="74"/>
    </row>
    <row r="759" spans="7:7" ht="15.75" customHeight="1">
      <c r="G759" s="74"/>
    </row>
    <row r="760" spans="7:7" ht="15.75" customHeight="1">
      <c r="G760" s="74"/>
    </row>
    <row r="761" spans="7:7" ht="15.75" customHeight="1">
      <c r="G761" s="74"/>
    </row>
    <row r="762" spans="7:7" ht="15.75" customHeight="1">
      <c r="G762" s="74"/>
    </row>
    <row r="763" spans="7:7" ht="15.75" customHeight="1">
      <c r="G763" s="74"/>
    </row>
    <row r="764" spans="7:7" ht="15.75" customHeight="1">
      <c r="G764" s="74"/>
    </row>
    <row r="765" spans="7:7" ht="15.75" customHeight="1">
      <c r="G765" s="74"/>
    </row>
    <row r="766" spans="7:7" ht="15.75" customHeight="1">
      <c r="G766" s="74"/>
    </row>
    <row r="767" spans="7:7" ht="15.75" customHeight="1">
      <c r="G767" s="74"/>
    </row>
    <row r="768" spans="7:7" ht="15.75" customHeight="1">
      <c r="G768" s="74"/>
    </row>
    <row r="769" spans="7:7" ht="15.75" customHeight="1">
      <c r="G769" s="74"/>
    </row>
    <row r="770" spans="7:7" ht="15.75" customHeight="1">
      <c r="G770" s="74"/>
    </row>
    <row r="771" spans="7:7" ht="15.75" customHeight="1">
      <c r="G771" s="74"/>
    </row>
    <row r="772" spans="7:7" ht="15.75" customHeight="1">
      <c r="G772" s="74"/>
    </row>
    <row r="773" spans="7:7" ht="15.75" customHeight="1">
      <c r="G773" s="74"/>
    </row>
    <row r="774" spans="7:7" ht="15.75" customHeight="1">
      <c r="G774" s="74"/>
    </row>
    <row r="775" spans="7:7" ht="15.75" customHeight="1">
      <c r="G775" s="74"/>
    </row>
    <row r="776" spans="7:7" ht="15.75" customHeight="1">
      <c r="G776" s="74"/>
    </row>
    <row r="777" spans="7:7" ht="15.75" customHeight="1">
      <c r="G777" s="74"/>
    </row>
    <row r="778" spans="7:7" ht="15.75" customHeight="1">
      <c r="G778" s="74"/>
    </row>
    <row r="779" spans="7:7" ht="15.75" customHeight="1">
      <c r="G779" s="74"/>
    </row>
    <row r="780" spans="7:7" ht="15.75" customHeight="1">
      <c r="G780" s="74"/>
    </row>
    <row r="781" spans="7:7" ht="15.75" customHeight="1">
      <c r="G781" s="74"/>
    </row>
    <row r="782" spans="7:7" ht="15.75" customHeight="1">
      <c r="G782" s="74"/>
    </row>
    <row r="783" spans="7:7" ht="15.75" customHeight="1">
      <c r="G783" s="74"/>
    </row>
    <row r="784" spans="7:7" ht="15.75" customHeight="1">
      <c r="G784" s="74"/>
    </row>
    <row r="785" spans="7:7" ht="15.75" customHeight="1">
      <c r="G785" s="74"/>
    </row>
    <row r="786" spans="7:7" ht="15.75" customHeight="1">
      <c r="G786" s="74"/>
    </row>
    <row r="787" spans="7:7" ht="15.75" customHeight="1">
      <c r="G787" s="74"/>
    </row>
    <row r="788" spans="7:7" ht="15.75" customHeight="1">
      <c r="G788" s="74"/>
    </row>
    <row r="789" spans="7:7" ht="15.75" customHeight="1">
      <c r="G789" s="74"/>
    </row>
    <row r="790" spans="7:7" ht="15.75" customHeight="1">
      <c r="G790" s="74"/>
    </row>
    <row r="791" spans="7:7" ht="15.75" customHeight="1">
      <c r="G791" s="74"/>
    </row>
    <row r="792" spans="7:7" ht="15.75" customHeight="1">
      <c r="G792" s="74"/>
    </row>
    <row r="793" spans="7:7" ht="15.75" customHeight="1">
      <c r="G793" s="74"/>
    </row>
    <row r="794" spans="7:7" ht="15.75" customHeight="1">
      <c r="G794" s="74"/>
    </row>
    <row r="795" spans="7:7" ht="15.75" customHeight="1">
      <c r="G795" s="74"/>
    </row>
    <row r="796" spans="7:7" ht="15.75" customHeight="1">
      <c r="G796" s="74"/>
    </row>
    <row r="797" spans="7:7" ht="15.75" customHeight="1">
      <c r="G797" s="74"/>
    </row>
    <row r="798" spans="7:7" ht="15.75" customHeight="1">
      <c r="G798" s="74"/>
    </row>
    <row r="799" spans="7:7" ht="15.75" customHeight="1">
      <c r="G799" s="74"/>
    </row>
    <row r="800" spans="7:7" ht="15.75" customHeight="1">
      <c r="G800" s="74"/>
    </row>
    <row r="801" spans="7:7" ht="15.75" customHeight="1">
      <c r="G801" s="74"/>
    </row>
    <row r="802" spans="7:7" ht="15.75" customHeight="1">
      <c r="G802" s="74"/>
    </row>
    <row r="803" spans="7:7" ht="15.75" customHeight="1">
      <c r="G803" s="74"/>
    </row>
    <row r="804" spans="7:7" ht="15.75" customHeight="1">
      <c r="G804" s="74"/>
    </row>
    <row r="805" spans="7:7" ht="15.75" customHeight="1">
      <c r="G805" s="74"/>
    </row>
    <row r="806" spans="7:7" ht="15.75" customHeight="1">
      <c r="G806" s="74"/>
    </row>
    <row r="807" spans="7:7" ht="15.75" customHeight="1">
      <c r="G807" s="74"/>
    </row>
    <row r="808" spans="7:7" ht="15.75" customHeight="1">
      <c r="G808" s="74"/>
    </row>
    <row r="809" spans="7:7" ht="15.75" customHeight="1">
      <c r="G809" s="74"/>
    </row>
    <row r="810" spans="7:7" ht="15.75" customHeight="1">
      <c r="G810" s="74"/>
    </row>
    <row r="811" spans="7:7" ht="15.75" customHeight="1">
      <c r="G811" s="74"/>
    </row>
    <row r="812" spans="7:7" ht="15.75" customHeight="1">
      <c r="G812" s="74"/>
    </row>
    <row r="813" spans="7:7" ht="15.75" customHeight="1">
      <c r="G813" s="74"/>
    </row>
    <row r="814" spans="7:7" ht="15.75" customHeight="1">
      <c r="G814" s="74"/>
    </row>
    <row r="815" spans="7:7" ht="15.75" customHeight="1">
      <c r="G815" s="74"/>
    </row>
    <row r="816" spans="7:7" ht="15.75" customHeight="1">
      <c r="G816" s="74"/>
    </row>
    <row r="817" spans="7:7" ht="15.75" customHeight="1">
      <c r="G817" s="74"/>
    </row>
    <row r="818" spans="7:7" ht="15.75" customHeight="1">
      <c r="G818" s="74"/>
    </row>
    <row r="819" spans="7:7" ht="15.75" customHeight="1">
      <c r="G819" s="74"/>
    </row>
    <row r="820" spans="7:7" ht="15.75" customHeight="1">
      <c r="G820" s="74"/>
    </row>
    <row r="821" spans="7:7" ht="15.75" customHeight="1">
      <c r="G821" s="74"/>
    </row>
    <row r="822" spans="7:7" ht="15.75" customHeight="1">
      <c r="G822" s="74"/>
    </row>
    <row r="823" spans="7:7" ht="15.75" customHeight="1">
      <c r="G823" s="74"/>
    </row>
    <row r="824" spans="7:7" ht="15.75" customHeight="1">
      <c r="G824" s="74"/>
    </row>
    <row r="825" spans="7:7" ht="15.75" customHeight="1">
      <c r="G825" s="74"/>
    </row>
    <row r="826" spans="7:7" ht="15.75" customHeight="1">
      <c r="G826" s="74"/>
    </row>
    <row r="827" spans="7:7" ht="15.75" customHeight="1">
      <c r="G827" s="74"/>
    </row>
    <row r="828" spans="7:7" ht="15.75" customHeight="1">
      <c r="G828" s="74"/>
    </row>
    <row r="829" spans="7:7" ht="15.75" customHeight="1">
      <c r="G829" s="74"/>
    </row>
    <row r="830" spans="7:7" ht="15.75" customHeight="1">
      <c r="G830" s="74"/>
    </row>
    <row r="831" spans="7:7" ht="15.75" customHeight="1">
      <c r="G831" s="74"/>
    </row>
    <row r="832" spans="7:7" ht="15.75" customHeight="1">
      <c r="G832" s="74"/>
    </row>
    <row r="833" spans="7:7" ht="15.75" customHeight="1">
      <c r="G833" s="74"/>
    </row>
    <row r="834" spans="7:7" ht="15.75" customHeight="1">
      <c r="G834" s="74"/>
    </row>
    <row r="835" spans="7:7" ht="15.75" customHeight="1">
      <c r="G835" s="74"/>
    </row>
    <row r="836" spans="7:7" ht="15.75" customHeight="1">
      <c r="G836" s="74"/>
    </row>
    <row r="837" spans="7:7" ht="15.75" customHeight="1">
      <c r="G837" s="74"/>
    </row>
    <row r="838" spans="7:7" ht="15.75" customHeight="1">
      <c r="G838" s="74"/>
    </row>
    <row r="839" spans="7:7" ht="15.75" customHeight="1">
      <c r="G839" s="74"/>
    </row>
    <row r="840" spans="7:7" ht="15.75" customHeight="1">
      <c r="G840" s="74"/>
    </row>
    <row r="841" spans="7:7" ht="15.75" customHeight="1">
      <c r="G841" s="74"/>
    </row>
    <row r="842" spans="7:7" ht="15.75" customHeight="1">
      <c r="G842" s="74"/>
    </row>
    <row r="843" spans="7:7" ht="15.75" customHeight="1">
      <c r="G843" s="74"/>
    </row>
    <row r="844" spans="7:7" ht="15.75" customHeight="1">
      <c r="G844" s="74"/>
    </row>
    <row r="845" spans="7:7" ht="15.75" customHeight="1">
      <c r="G845" s="74"/>
    </row>
    <row r="846" spans="7:7" ht="15.75" customHeight="1">
      <c r="G846" s="74"/>
    </row>
    <row r="847" spans="7:7" ht="15.75" customHeight="1">
      <c r="G847" s="74"/>
    </row>
    <row r="848" spans="7:7" ht="15.75" customHeight="1">
      <c r="G848" s="74"/>
    </row>
    <row r="849" spans="7:7" ht="15.75" customHeight="1">
      <c r="G849" s="74"/>
    </row>
    <row r="850" spans="7:7" ht="15.75" customHeight="1">
      <c r="G850" s="74"/>
    </row>
    <row r="851" spans="7:7" ht="15.75" customHeight="1">
      <c r="G851" s="74"/>
    </row>
    <row r="852" spans="7:7" ht="15.75" customHeight="1">
      <c r="G852" s="74"/>
    </row>
    <row r="853" spans="7:7" ht="15.75" customHeight="1">
      <c r="G853" s="74"/>
    </row>
    <row r="854" spans="7:7" ht="15.75" customHeight="1">
      <c r="G854" s="74"/>
    </row>
    <row r="855" spans="7:7" ht="15.75" customHeight="1">
      <c r="G855" s="74"/>
    </row>
    <row r="856" spans="7:7" ht="15.75" customHeight="1">
      <c r="G856" s="74"/>
    </row>
    <row r="857" spans="7:7" ht="15.75" customHeight="1">
      <c r="G857" s="74"/>
    </row>
    <row r="858" spans="7:7" ht="15.75" customHeight="1">
      <c r="G858" s="74"/>
    </row>
    <row r="859" spans="7:7" ht="15.75" customHeight="1">
      <c r="G859" s="74"/>
    </row>
    <row r="860" spans="7:7" ht="15.75" customHeight="1">
      <c r="G860" s="74"/>
    </row>
    <row r="861" spans="7:7" ht="15.75" customHeight="1">
      <c r="G861" s="74"/>
    </row>
    <row r="862" spans="7:7" ht="15.75" customHeight="1">
      <c r="G862" s="74"/>
    </row>
    <row r="863" spans="7:7" ht="15.75" customHeight="1">
      <c r="G863" s="74"/>
    </row>
    <row r="864" spans="7:7" ht="15.75" customHeight="1">
      <c r="G864" s="74"/>
    </row>
    <row r="865" spans="7:7" ht="15.75" customHeight="1">
      <c r="G865" s="74"/>
    </row>
    <row r="866" spans="7:7" ht="15.75" customHeight="1">
      <c r="G866" s="74"/>
    </row>
    <row r="867" spans="7:7" ht="15.75" customHeight="1">
      <c r="G867" s="74"/>
    </row>
    <row r="868" spans="7:7" ht="15.75" customHeight="1">
      <c r="G868" s="74"/>
    </row>
    <row r="869" spans="7:7" ht="15.75" customHeight="1">
      <c r="G869" s="74"/>
    </row>
    <row r="870" spans="7:7" ht="15.75" customHeight="1">
      <c r="G870" s="74"/>
    </row>
    <row r="871" spans="7:7" ht="15.75" customHeight="1">
      <c r="G871" s="74"/>
    </row>
    <row r="872" spans="7:7" ht="15.75" customHeight="1">
      <c r="G872" s="74"/>
    </row>
    <row r="873" spans="7:7" ht="15.75" customHeight="1">
      <c r="G873" s="74"/>
    </row>
    <row r="874" spans="7:7" ht="15.75" customHeight="1">
      <c r="G874" s="74"/>
    </row>
    <row r="875" spans="7:7" ht="15.75" customHeight="1">
      <c r="G875" s="74"/>
    </row>
    <row r="876" spans="7:7" ht="15.75" customHeight="1">
      <c r="G876" s="74"/>
    </row>
    <row r="877" spans="7:7" ht="15.75" customHeight="1">
      <c r="G877" s="74"/>
    </row>
    <row r="878" spans="7:7" ht="15.75" customHeight="1">
      <c r="G878" s="74"/>
    </row>
    <row r="879" spans="7:7" ht="15.75" customHeight="1">
      <c r="G879" s="74"/>
    </row>
    <row r="880" spans="7:7" ht="15.75" customHeight="1">
      <c r="G880" s="74"/>
    </row>
    <row r="881" spans="7:7" ht="15.75" customHeight="1">
      <c r="G881" s="74"/>
    </row>
    <row r="882" spans="7:7" ht="15.75" customHeight="1">
      <c r="G882" s="74"/>
    </row>
    <row r="883" spans="7:7" ht="15.75" customHeight="1">
      <c r="G883" s="74"/>
    </row>
    <row r="884" spans="7:7" ht="15.75" customHeight="1">
      <c r="G884" s="74"/>
    </row>
    <row r="885" spans="7:7" ht="15.75" customHeight="1">
      <c r="G885" s="74"/>
    </row>
    <row r="886" spans="7:7" ht="15.75" customHeight="1">
      <c r="G886" s="74"/>
    </row>
    <row r="887" spans="7:7" ht="15.75" customHeight="1">
      <c r="G887" s="74"/>
    </row>
    <row r="888" spans="7:7" ht="15.75" customHeight="1">
      <c r="G888" s="74"/>
    </row>
    <row r="889" spans="7:7" ht="15.75" customHeight="1">
      <c r="G889" s="74"/>
    </row>
    <row r="890" spans="7:7" ht="15.75" customHeight="1">
      <c r="G890" s="74"/>
    </row>
    <row r="891" spans="7:7" ht="15.75" customHeight="1">
      <c r="G891" s="74"/>
    </row>
    <row r="892" spans="7:7" ht="15.75" customHeight="1">
      <c r="G892" s="74"/>
    </row>
    <row r="893" spans="7:7" ht="15.75" customHeight="1">
      <c r="G893" s="74"/>
    </row>
    <row r="894" spans="7:7" ht="15.75" customHeight="1">
      <c r="G894" s="74"/>
    </row>
    <row r="895" spans="7:7" ht="15.75" customHeight="1">
      <c r="G895" s="74"/>
    </row>
    <row r="896" spans="7:7" ht="15.75" customHeight="1">
      <c r="G896" s="74"/>
    </row>
    <row r="897" spans="7:7" ht="15.75" customHeight="1">
      <c r="G897" s="74"/>
    </row>
    <row r="898" spans="7:7" ht="15.75" customHeight="1">
      <c r="G898" s="74"/>
    </row>
    <row r="899" spans="7:7" ht="15.75" customHeight="1">
      <c r="G899" s="74"/>
    </row>
    <row r="900" spans="7:7" ht="15.75" customHeight="1">
      <c r="G900" s="74"/>
    </row>
    <row r="901" spans="7:7" ht="15.75" customHeight="1">
      <c r="G901" s="74"/>
    </row>
    <row r="902" spans="7:7" ht="15.75" customHeight="1">
      <c r="G902" s="74"/>
    </row>
    <row r="903" spans="7:7" ht="15.75" customHeight="1">
      <c r="G903" s="74"/>
    </row>
    <row r="904" spans="7:7" ht="15.75" customHeight="1">
      <c r="G904" s="74"/>
    </row>
    <row r="905" spans="7:7" ht="15.75" customHeight="1">
      <c r="G905" s="74"/>
    </row>
    <row r="906" spans="7:7" ht="15.75" customHeight="1">
      <c r="G906" s="74"/>
    </row>
    <row r="907" spans="7:7" ht="15.75" customHeight="1">
      <c r="G907" s="74"/>
    </row>
    <row r="908" spans="7:7" ht="15.75" customHeight="1">
      <c r="G908" s="74"/>
    </row>
    <row r="909" spans="7:7" ht="15.75" customHeight="1">
      <c r="G909" s="74"/>
    </row>
    <row r="910" spans="7:7" ht="15.75" customHeight="1">
      <c r="G910" s="74"/>
    </row>
    <row r="911" spans="7:7" ht="15.75" customHeight="1">
      <c r="G911" s="74"/>
    </row>
    <row r="912" spans="7:7" ht="15.75" customHeight="1">
      <c r="G912" s="74"/>
    </row>
    <row r="913" spans="7:7" ht="15.75" customHeight="1">
      <c r="G913" s="74"/>
    </row>
    <row r="914" spans="7:7" ht="15.75" customHeight="1">
      <c r="G914" s="74"/>
    </row>
    <row r="915" spans="7:7" ht="15.75" customHeight="1">
      <c r="G915" s="74"/>
    </row>
    <row r="916" spans="7:7" ht="15.75" customHeight="1">
      <c r="G916" s="74"/>
    </row>
    <row r="917" spans="7:7" ht="15.75" customHeight="1">
      <c r="G917" s="74"/>
    </row>
    <row r="918" spans="7:7" ht="15.75" customHeight="1">
      <c r="G918" s="74"/>
    </row>
    <row r="919" spans="7:7" ht="15.75" customHeight="1">
      <c r="G919" s="74"/>
    </row>
    <row r="920" spans="7:7" ht="15.75" customHeight="1">
      <c r="G920" s="74"/>
    </row>
    <row r="921" spans="7:7" ht="15.75" customHeight="1">
      <c r="G921" s="74"/>
    </row>
    <row r="922" spans="7:7" ht="15.75" customHeight="1">
      <c r="G922" s="74"/>
    </row>
    <row r="923" spans="7:7" ht="15.75" customHeight="1">
      <c r="G923" s="74"/>
    </row>
    <row r="924" spans="7:7" ht="15.75" customHeight="1">
      <c r="G924" s="74"/>
    </row>
    <row r="925" spans="7:7" ht="15.75" customHeight="1">
      <c r="G925" s="74"/>
    </row>
    <row r="926" spans="7:7" ht="15.75" customHeight="1">
      <c r="G926" s="74"/>
    </row>
    <row r="927" spans="7:7" ht="15.75" customHeight="1">
      <c r="G927" s="74"/>
    </row>
    <row r="928" spans="7:7" ht="15.75" customHeight="1">
      <c r="G928" s="74"/>
    </row>
    <row r="929" spans="7:7" ht="15.75" customHeight="1">
      <c r="G929" s="74"/>
    </row>
    <row r="930" spans="7:7" ht="15.75" customHeight="1">
      <c r="G930" s="74"/>
    </row>
    <row r="931" spans="7:7" ht="15.75" customHeight="1">
      <c r="G931" s="74"/>
    </row>
    <row r="932" spans="7:7" ht="15.75" customHeight="1">
      <c r="G932" s="74"/>
    </row>
    <row r="933" spans="7:7" ht="15.75" customHeight="1">
      <c r="G933" s="74"/>
    </row>
    <row r="934" spans="7:7" ht="15.75" customHeight="1">
      <c r="G934" s="74"/>
    </row>
    <row r="935" spans="7:7" ht="15.75" customHeight="1">
      <c r="G935" s="74"/>
    </row>
    <row r="936" spans="7:7" ht="15.75" customHeight="1">
      <c r="G936" s="74"/>
    </row>
    <row r="937" spans="7:7" ht="15.75" customHeight="1">
      <c r="G937" s="74"/>
    </row>
    <row r="938" spans="7:7" ht="15.75" customHeight="1">
      <c r="G938" s="74"/>
    </row>
    <row r="939" spans="7:7" ht="15.75" customHeight="1">
      <c r="G939" s="74"/>
    </row>
    <row r="940" spans="7:7" ht="15.75" customHeight="1">
      <c r="G940" s="74"/>
    </row>
    <row r="941" spans="7:7" ht="15.75" customHeight="1">
      <c r="G941" s="74"/>
    </row>
    <row r="942" spans="7:7" ht="15.75" customHeight="1">
      <c r="G942" s="74"/>
    </row>
    <row r="943" spans="7:7" ht="15.75" customHeight="1">
      <c r="G943" s="74"/>
    </row>
    <row r="944" spans="7:7" ht="15.75" customHeight="1">
      <c r="G944" s="74"/>
    </row>
    <row r="945" spans="7:7" ht="15.75" customHeight="1">
      <c r="G945" s="74"/>
    </row>
    <row r="946" spans="7:7" ht="15.75" customHeight="1">
      <c r="G946" s="74"/>
    </row>
    <row r="947" spans="7:7" ht="15.75" customHeight="1">
      <c r="G947" s="74"/>
    </row>
    <row r="948" spans="7:7" ht="15.75" customHeight="1">
      <c r="G948" s="74"/>
    </row>
    <row r="949" spans="7:7" ht="15.75" customHeight="1">
      <c r="G949" s="74"/>
    </row>
    <row r="950" spans="7:7" ht="15.75" customHeight="1">
      <c r="G950" s="74"/>
    </row>
    <row r="951" spans="7:7" ht="15.75" customHeight="1">
      <c r="G951" s="74"/>
    </row>
    <row r="952" spans="7:7" ht="15.75" customHeight="1">
      <c r="G952" s="74"/>
    </row>
    <row r="953" spans="7:7" ht="15.75" customHeight="1">
      <c r="G953" s="74"/>
    </row>
    <row r="954" spans="7:7" ht="15.75" customHeight="1">
      <c r="G954" s="74"/>
    </row>
    <row r="955" spans="7:7" ht="15.75" customHeight="1">
      <c r="G955" s="74"/>
    </row>
    <row r="956" spans="7:7" ht="15.75" customHeight="1">
      <c r="G956" s="74"/>
    </row>
    <row r="957" spans="7:7" ht="15.75" customHeight="1">
      <c r="G957" s="74"/>
    </row>
    <row r="958" spans="7:7" ht="15.75" customHeight="1">
      <c r="G958" s="74"/>
    </row>
    <row r="959" spans="7:7" ht="15.75" customHeight="1">
      <c r="G959" s="74"/>
    </row>
    <row r="960" spans="7:7" ht="15.75" customHeight="1">
      <c r="G960" s="74"/>
    </row>
    <row r="961" spans="7:7" ht="15.75" customHeight="1">
      <c r="G961" s="74"/>
    </row>
    <row r="962" spans="7:7" ht="15.75" customHeight="1">
      <c r="G962" s="74"/>
    </row>
    <row r="963" spans="7:7" ht="15.75" customHeight="1">
      <c r="G963" s="74"/>
    </row>
    <row r="964" spans="7:7" ht="15.75" customHeight="1">
      <c r="G964" s="74"/>
    </row>
    <row r="965" spans="7:7" ht="15.75" customHeight="1">
      <c r="G965" s="74"/>
    </row>
    <row r="966" spans="7:7" ht="15.75" customHeight="1">
      <c r="G966" s="74"/>
    </row>
    <row r="967" spans="7:7" ht="15.75" customHeight="1">
      <c r="G967" s="74"/>
    </row>
    <row r="968" spans="7:7" ht="15.75" customHeight="1">
      <c r="G968" s="74"/>
    </row>
    <row r="969" spans="7:7" ht="15.75" customHeight="1">
      <c r="G969" s="74"/>
    </row>
    <row r="970" spans="7:7" ht="15.75" customHeight="1">
      <c r="G970" s="74"/>
    </row>
    <row r="971" spans="7:7" ht="15.75" customHeight="1">
      <c r="G971" s="74"/>
    </row>
    <row r="972" spans="7:7" ht="15.75" customHeight="1">
      <c r="G972" s="74"/>
    </row>
    <row r="973" spans="7:7" ht="15.75" customHeight="1">
      <c r="G973" s="74"/>
    </row>
    <row r="974" spans="7:7" ht="15.75" customHeight="1">
      <c r="G974" s="74"/>
    </row>
    <row r="975" spans="7:7" ht="15.75" customHeight="1">
      <c r="G975" s="74"/>
    </row>
    <row r="976" spans="7:7" ht="15.75" customHeight="1">
      <c r="G976" s="74"/>
    </row>
    <row r="977" spans="7:7" ht="15.75" customHeight="1">
      <c r="G977" s="74"/>
    </row>
    <row r="978" spans="7:7" ht="15.75" customHeight="1">
      <c r="G978" s="74"/>
    </row>
    <row r="979" spans="7:7" ht="15.75" customHeight="1">
      <c r="G979" s="74"/>
    </row>
    <row r="980" spans="7:7" ht="15.75" customHeight="1">
      <c r="G980" s="74"/>
    </row>
    <row r="981" spans="7:7" ht="15.75" customHeight="1">
      <c r="G981" s="74"/>
    </row>
    <row r="982" spans="7:7" ht="15.75" customHeight="1">
      <c r="G982" s="74"/>
    </row>
    <row r="983" spans="7:7" ht="15.75" customHeight="1">
      <c r="G983" s="74"/>
    </row>
    <row r="984" spans="7:7" ht="15.75" customHeight="1">
      <c r="G984" s="74"/>
    </row>
    <row r="985" spans="7:7" ht="15.75" customHeight="1">
      <c r="G985" s="74"/>
    </row>
    <row r="986" spans="7:7" ht="15.75" customHeight="1">
      <c r="G986" s="74"/>
    </row>
    <row r="987" spans="7:7" ht="15.75" customHeight="1">
      <c r="G987" s="74"/>
    </row>
    <row r="988" spans="7:7" ht="15.75" customHeight="1">
      <c r="G988" s="74"/>
    </row>
    <row r="989" spans="7:7" ht="15.75" customHeight="1">
      <c r="G989" s="74"/>
    </row>
    <row r="990" spans="7:7" ht="15.75" customHeight="1">
      <c r="G990" s="74"/>
    </row>
    <row r="991" spans="7:7" ht="15.75" customHeight="1">
      <c r="G991" s="74"/>
    </row>
    <row r="992" spans="7:7" ht="15.75" customHeight="1">
      <c r="G992" s="74"/>
    </row>
    <row r="993" spans="7:7" ht="15.75" customHeight="1">
      <c r="G993" s="74"/>
    </row>
    <row r="994" spans="7:7" ht="15.75" customHeight="1">
      <c r="G994" s="74"/>
    </row>
    <row r="995" spans="7:7" ht="15.75" customHeight="1">
      <c r="G995" s="74"/>
    </row>
    <row r="996" spans="7:7" ht="15.75" customHeight="1">
      <c r="G996" s="74"/>
    </row>
    <row r="997" spans="7:7" ht="15.75" customHeight="1">
      <c r="G997" s="74"/>
    </row>
    <row r="998" spans="7:7" ht="15.75" customHeight="1">
      <c r="G998" s="74"/>
    </row>
    <row r="999" spans="7:7" ht="15.75" customHeight="1">
      <c r="G999" s="74"/>
    </row>
  </sheetData>
  <phoneticPr fontId="21" type="noConversion"/>
  <pageMargins left="0.7" right="0.7" top="0.75" bottom="0.75" header="0" footer="0"/>
  <pageSetup paperSize="9"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999"/>
  <sheetViews>
    <sheetView workbookViewId="0">
      <pane ySplit="1" topLeftCell="A38" activePane="bottomLeft" state="frozen"/>
      <selection pane="bottomLeft" activeCell="A49" sqref="A49"/>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9.140625" customWidth="1"/>
    <col min="19" max="37" width="8.7109375" customWidth="1"/>
  </cols>
  <sheetData>
    <row r="1" spans="1:18" ht="15.75" customHeight="1">
      <c r="A1" s="45" t="s">
        <v>447</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46" t="s">
        <v>448</v>
      </c>
      <c r="B2" s="47" t="s">
        <v>162</v>
      </c>
      <c r="C2" s="48" t="s">
        <v>17</v>
      </c>
      <c r="D2" s="48" t="s">
        <v>17</v>
      </c>
      <c r="E2" s="48" t="s">
        <v>17</v>
      </c>
      <c r="F2" s="48" t="s">
        <v>17</v>
      </c>
      <c r="G2" s="48" t="s">
        <v>17</v>
      </c>
      <c r="H2" s="48"/>
      <c r="I2" s="48"/>
      <c r="J2" s="48"/>
      <c r="K2" s="48"/>
      <c r="L2" s="48"/>
      <c r="M2" s="48">
        <f t="shared" ref="M2:Q2" si="0">IF(TRIM(SUBSTITUTE(C2, "　", " "))=TRIM(SUBSTITUTE($B2, "　", " ")), 2, 0)</f>
        <v>2</v>
      </c>
      <c r="N2" s="48">
        <f t="shared" si="0"/>
        <v>2</v>
      </c>
      <c r="O2" s="48">
        <f t="shared" si="0"/>
        <v>2</v>
      </c>
      <c r="P2" s="48">
        <f t="shared" si="0"/>
        <v>2</v>
      </c>
      <c r="Q2" s="48">
        <f t="shared" si="0"/>
        <v>2</v>
      </c>
      <c r="R2" s="2"/>
    </row>
    <row r="3" spans="1:18" ht="15.75" customHeight="1">
      <c r="A3" s="46" t="s">
        <v>449</v>
      </c>
      <c r="B3" s="47" t="s">
        <v>148</v>
      </c>
      <c r="C3" s="48" t="s">
        <v>20</v>
      </c>
      <c r="D3" s="48" t="s">
        <v>23</v>
      </c>
      <c r="E3" s="48" t="s">
        <v>20</v>
      </c>
      <c r="F3" s="48" t="s">
        <v>23</v>
      </c>
      <c r="G3" s="48" t="s">
        <v>23</v>
      </c>
      <c r="H3" s="48"/>
      <c r="I3" s="48"/>
      <c r="J3" s="48"/>
      <c r="K3" s="48"/>
      <c r="L3" s="48"/>
      <c r="M3" s="48">
        <f t="shared" ref="M3:Q3" si="1">IF(TRIM(SUBSTITUTE(C3, "　", " "))=TRIM(SUBSTITUTE($B3, "　", " ")), 2, 0)</f>
        <v>0</v>
      </c>
      <c r="N3" s="48">
        <f t="shared" si="1"/>
        <v>2</v>
      </c>
      <c r="O3" s="48">
        <f t="shared" si="1"/>
        <v>0</v>
      </c>
      <c r="P3" s="48">
        <f t="shared" si="1"/>
        <v>2</v>
      </c>
      <c r="Q3" s="48">
        <f t="shared" si="1"/>
        <v>2</v>
      </c>
      <c r="R3" s="11"/>
    </row>
    <row r="4" spans="1:18" ht="15.75" customHeight="1">
      <c r="A4" s="46" t="s">
        <v>450</v>
      </c>
      <c r="B4" s="47" t="s">
        <v>162</v>
      </c>
      <c r="C4" s="48" t="s">
        <v>18</v>
      </c>
      <c r="D4" s="48" t="s">
        <v>17</v>
      </c>
      <c r="E4" s="48" t="s">
        <v>23</v>
      </c>
      <c r="F4" s="48" t="s">
        <v>17</v>
      </c>
      <c r="G4" s="48" t="s">
        <v>17</v>
      </c>
      <c r="H4" s="48"/>
      <c r="I4" s="48"/>
      <c r="J4" s="48"/>
      <c r="K4" s="48"/>
      <c r="L4" s="48"/>
      <c r="M4" s="48">
        <f t="shared" ref="M4:Q4" si="2">IF(TRIM(SUBSTITUTE(C4, "　", " "))=TRIM(SUBSTITUTE($B4, "　", " ")), 2, 0)</f>
        <v>0</v>
      </c>
      <c r="N4" s="48">
        <f t="shared" si="2"/>
        <v>2</v>
      </c>
      <c r="O4" s="48">
        <f t="shared" si="2"/>
        <v>0</v>
      </c>
      <c r="P4" s="48">
        <f t="shared" si="2"/>
        <v>2</v>
      </c>
      <c r="Q4" s="48">
        <f t="shared" si="2"/>
        <v>2</v>
      </c>
      <c r="R4" s="11"/>
    </row>
    <row r="5" spans="1:18" ht="15.75" customHeight="1">
      <c r="A5" s="46" t="s">
        <v>451</v>
      </c>
      <c r="B5" s="47" t="s">
        <v>155</v>
      </c>
      <c r="C5" s="48" t="s">
        <v>20</v>
      </c>
      <c r="D5" s="48" t="s">
        <v>20</v>
      </c>
      <c r="E5" s="48" t="s">
        <v>17</v>
      </c>
      <c r="F5" s="48" t="s">
        <v>20</v>
      </c>
      <c r="G5" s="48" t="s">
        <v>20</v>
      </c>
      <c r="H5" s="48"/>
      <c r="I5" s="48"/>
      <c r="J5" s="48"/>
      <c r="K5" s="48"/>
      <c r="L5" s="48"/>
      <c r="M5" s="48">
        <f t="shared" ref="M5:Q5" si="3">IF(TRIM(SUBSTITUTE(C5, "　", " "))=TRIM(SUBSTITUTE($B5, "　", " ")), 2, 0)</f>
        <v>2</v>
      </c>
      <c r="N5" s="48">
        <f t="shared" si="3"/>
        <v>2</v>
      </c>
      <c r="O5" s="48">
        <f t="shared" si="3"/>
        <v>0</v>
      </c>
      <c r="P5" s="48">
        <f t="shared" si="3"/>
        <v>2</v>
      </c>
      <c r="Q5" s="48">
        <f t="shared" si="3"/>
        <v>2</v>
      </c>
      <c r="R5" s="2"/>
    </row>
    <row r="6" spans="1:18" ht="15.75" customHeight="1">
      <c r="A6" s="46" t="s">
        <v>452</v>
      </c>
      <c r="B6" s="47" t="s">
        <v>155</v>
      </c>
      <c r="C6" s="48" t="s">
        <v>18</v>
      </c>
      <c r="D6" s="48" t="s">
        <v>18</v>
      </c>
      <c r="E6" s="48" t="s">
        <v>20</v>
      </c>
      <c r="F6" s="48" t="s">
        <v>20</v>
      </c>
      <c r="G6" s="48" t="s">
        <v>18</v>
      </c>
      <c r="H6" s="48"/>
      <c r="I6" s="48"/>
      <c r="J6" s="48"/>
      <c r="K6" s="48"/>
      <c r="L6" s="48"/>
      <c r="M6" s="48">
        <f t="shared" ref="M6:Q6" si="4">IF(TRIM(SUBSTITUTE(C6, "　", " "))=TRIM(SUBSTITUTE($B6, "　", " ")), 2, 0)</f>
        <v>0</v>
      </c>
      <c r="N6" s="48">
        <f t="shared" si="4"/>
        <v>0</v>
      </c>
      <c r="O6" s="48">
        <f t="shared" si="4"/>
        <v>2</v>
      </c>
      <c r="P6" s="48">
        <f t="shared" si="4"/>
        <v>2</v>
      </c>
      <c r="Q6" s="48">
        <f t="shared" si="4"/>
        <v>0</v>
      </c>
      <c r="R6" s="2"/>
    </row>
    <row r="7" spans="1:18" ht="15.75" customHeight="1">
      <c r="A7" s="46" t="s">
        <v>453</v>
      </c>
      <c r="B7" s="47" t="s">
        <v>155</v>
      </c>
      <c r="C7" s="48" t="s">
        <v>20</v>
      </c>
      <c r="D7" s="48" t="s">
        <v>20</v>
      </c>
      <c r="E7" s="48" t="s">
        <v>20</v>
      </c>
      <c r="F7" s="48" t="s">
        <v>20</v>
      </c>
      <c r="G7" s="48" t="s">
        <v>20</v>
      </c>
      <c r="H7" s="48"/>
      <c r="I7" s="48"/>
      <c r="J7" s="48"/>
      <c r="K7" s="48"/>
      <c r="L7" s="48"/>
      <c r="M7" s="48">
        <f t="shared" ref="M7:Q7" si="5">IF(TRIM(SUBSTITUTE(C7, "　", " "))=TRIM(SUBSTITUTE($B7, "　", " ")), 2, 0)</f>
        <v>2</v>
      </c>
      <c r="N7" s="48">
        <f t="shared" si="5"/>
        <v>2</v>
      </c>
      <c r="O7" s="48">
        <f t="shared" si="5"/>
        <v>2</v>
      </c>
      <c r="P7" s="48">
        <f t="shared" si="5"/>
        <v>2</v>
      </c>
      <c r="Q7" s="48">
        <f t="shared" si="5"/>
        <v>2</v>
      </c>
      <c r="R7" s="2"/>
    </row>
    <row r="8" spans="1:18" ht="15.75" customHeight="1">
      <c r="A8" s="46" t="s">
        <v>454</v>
      </c>
      <c r="B8" s="47" t="s">
        <v>155</v>
      </c>
      <c r="C8" s="48" t="s">
        <v>20</v>
      </c>
      <c r="D8" s="48" t="s">
        <v>20</v>
      </c>
      <c r="E8" s="48" t="s">
        <v>20</v>
      </c>
      <c r="F8" s="48" t="s">
        <v>20</v>
      </c>
      <c r="G8" s="48" t="s">
        <v>20</v>
      </c>
      <c r="H8" s="48"/>
      <c r="I8" s="48"/>
      <c r="J8" s="48"/>
      <c r="K8" s="48"/>
      <c r="L8" s="48"/>
      <c r="M8" s="48">
        <f t="shared" ref="M8:Q8" si="6">IF(TRIM(SUBSTITUTE(C8, "　", " "))=TRIM(SUBSTITUTE($B8, "　", " ")), 2, 0)</f>
        <v>2</v>
      </c>
      <c r="N8" s="48">
        <f t="shared" si="6"/>
        <v>2</v>
      </c>
      <c r="O8" s="48">
        <f t="shared" si="6"/>
        <v>2</v>
      </c>
      <c r="P8" s="48">
        <f t="shared" si="6"/>
        <v>2</v>
      </c>
      <c r="Q8" s="48">
        <f t="shared" si="6"/>
        <v>2</v>
      </c>
      <c r="R8" s="2"/>
    </row>
    <row r="9" spans="1:18" ht="15.75" customHeight="1">
      <c r="A9" s="49" t="s">
        <v>455</v>
      </c>
      <c r="B9" s="47"/>
      <c r="C9" s="48"/>
      <c r="D9" s="1"/>
      <c r="E9" s="1"/>
      <c r="F9" s="1"/>
      <c r="G9" s="1"/>
      <c r="H9" s="48"/>
      <c r="I9" s="48"/>
      <c r="J9" s="48"/>
      <c r="K9" s="48"/>
      <c r="L9" s="48"/>
      <c r="M9" s="48"/>
      <c r="N9" s="48"/>
      <c r="O9" s="48"/>
      <c r="P9" s="27"/>
      <c r="Q9" s="27"/>
      <c r="R9" s="2"/>
    </row>
    <row r="10" spans="1:18" ht="15.75" customHeight="1">
      <c r="A10" s="46" t="s">
        <v>456</v>
      </c>
      <c r="B10" s="47" t="s">
        <v>162</v>
      </c>
      <c r="C10" s="48" t="s">
        <v>17</v>
      </c>
      <c r="D10" s="48" t="s">
        <v>17</v>
      </c>
      <c r="E10" s="47" t="s">
        <v>17</v>
      </c>
      <c r="F10" s="47" t="s">
        <v>17</v>
      </c>
      <c r="G10" s="47" t="s">
        <v>17</v>
      </c>
      <c r="H10" s="47"/>
      <c r="I10" s="47"/>
      <c r="J10" s="47"/>
      <c r="K10" s="47"/>
      <c r="L10" s="47"/>
      <c r="M10" s="48">
        <f t="shared" ref="M10:Q10" si="7">IF(TRIM(SUBSTITUTE(C10, "　", " "))=TRIM(SUBSTITUTE($B10, "　", " ")), 2, 0)</f>
        <v>2</v>
      </c>
      <c r="N10" s="48">
        <f t="shared" si="7"/>
        <v>2</v>
      </c>
      <c r="O10" s="48">
        <f t="shared" si="7"/>
        <v>2</v>
      </c>
      <c r="P10" s="48">
        <f t="shared" si="7"/>
        <v>2</v>
      </c>
      <c r="Q10" s="48">
        <f t="shared" si="7"/>
        <v>2</v>
      </c>
      <c r="R10" s="2"/>
    </row>
    <row r="11" spans="1:18" ht="15.75" customHeight="1">
      <c r="A11" s="46" t="s">
        <v>457</v>
      </c>
      <c r="B11" s="47" t="s">
        <v>155</v>
      </c>
      <c r="C11" s="48" t="s">
        <v>18</v>
      </c>
      <c r="D11" s="48" t="s">
        <v>20</v>
      </c>
      <c r="E11" s="47" t="s">
        <v>17</v>
      </c>
      <c r="F11" s="47" t="s">
        <v>20</v>
      </c>
      <c r="G11" s="47" t="s">
        <v>20</v>
      </c>
      <c r="H11" s="47"/>
      <c r="I11" s="47"/>
      <c r="J11" s="47"/>
      <c r="K11" s="47"/>
      <c r="L11" s="47"/>
      <c r="M11" s="48">
        <f t="shared" ref="M11:Q11" si="8">IF(TRIM(SUBSTITUTE(C11, "　", " "))=TRIM(SUBSTITUTE($B11, "　", " ")), 2, 0)</f>
        <v>0</v>
      </c>
      <c r="N11" s="48">
        <f t="shared" si="8"/>
        <v>2</v>
      </c>
      <c r="O11" s="48">
        <f t="shared" si="8"/>
        <v>0</v>
      </c>
      <c r="P11" s="48">
        <f t="shared" si="8"/>
        <v>2</v>
      </c>
      <c r="Q11" s="48">
        <f t="shared" si="8"/>
        <v>2</v>
      </c>
      <c r="R11" s="2"/>
    </row>
    <row r="12" spans="1:18" ht="15.75" customHeight="1">
      <c r="A12" s="49" t="s">
        <v>458</v>
      </c>
      <c r="B12" s="47"/>
      <c r="C12" s="48"/>
      <c r="D12" s="48"/>
      <c r="E12" s="47"/>
      <c r="F12" s="47"/>
      <c r="G12" s="47"/>
      <c r="H12" s="47"/>
      <c r="I12" s="47"/>
      <c r="J12" s="47"/>
      <c r="K12" s="47"/>
      <c r="L12" s="47"/>
      <c r="M12" s="48"/>
      <c r="N12" s="48"/>
      <c r="O12" s="48"/>
      <c r="P12" s="27"/>
      <c r="Q12" s="27"/>
      <c r="R12" s="2"/>
    </row>
    <row r="13" spans="1:18" ht="15.75" customHeight="1">
      <c r="A13" s="46" t="s">
        <v>459</v>
      </c>
      <c r="B13" s="47" t="s">
        <v>148</v>
      </c>
      <c r="C13" s="48" t="s">
        <v>20</v>
      </c>
      <c r="D13" s="48" t="s">
        <v>23</v>
      </c>
      <c r="E13" s="48" t="s">
        <v>17</v>
      </c>
      <c r="F13" s="48" t="s">
        <v>18</v>
      </c>
      <c r="G13" s="48" t="s">
        <v>23</v>
      </c>
      <c r="H13" s="48"/>
      <c r="I13" s="48"/>
      <c r="J13" s="48"/>
      <c r="K13" s="48"/>
      <c r="L13" s="48"/>
      <c r="M13" s="48">
        <f t="shared" ref="M13:Q13" si="9">IF(TRIM(SUBSTITUTE(C13, "　", " "))=TRIM(SUBSTITUTE($B13, "　", " ")), 2, 0)</f>
        <v>0</v>
      </c>
      <c r="N13" s="48">
        <f t="shared" si="9"/>
        <v>2</v>
      </c>
      <c r="O13" s="48">
        <f t="shared" si="9"/>
        <v>0</v>
      </c>
      <c r="P13" s="48">
        <f t="shared" si="9"/>
        <v>0</v>
      </c>
      <c r="Q13" s="48">
        <f t="shared" si="9"/>
        <v>2</v>
      </c>
      <c r="R13" s="2"/>
    </row>
    <row r="14" spans="1:18" ht="15.75" customHeight="1">
      <c r="A14" s="46" t="s">
        <v>460</v>
      </c>
      <c r="B14" s="47" t="s">
        <v>148</v>
      </c>
      <c r="C14" s="48" t="s">
        <v>23</v>
      </c>
      <c r="D14" s="48" t="s">
        <v>23</v>
      </c>
      <c r="E14" s="48" t="s">
        <v>23</v>
      </c>
      <c r="F14" s="48" t="s">
        <v>23</v>
      </c>
      <c r="G14" s="48" t="s">
        <v>23</v>
      </c>
      <c r="H14" s="48"/>
      <c r="I14" s="48"/>
      <c r="J14" s="48"/>
      <c r="K14" s="48"/>
      <c r="L14" s="48"/>
      <c r="M14" s="48">
        <f t="shared" ref="M14:Q14" si="10">IF(TRIM(SUBSTITUTE(C14, "　", " "))=TRIM(SUBSTITUTE($B14, "　", " ")), 2, 0)</f>
        <v>2</v>
      </c>
      <c r="N14" s="48">
        <f t="shared" si="10"/>
        <v>2</v>
      </c>
      <c r="O14" s="48">
        <f t="shared" si="10"/>
        <v>2</v>
      </c>
      <c r="P14" s="48">
        <f t="shared" si="10"/>
        <v>2</v>
      </c>
      <c r="Q14" s="48">
        <f t="shared" si="10"/>
        <v>2</v>
      </c>
      <c r="R14" s="2"/>
    </row>
    <row r="15" spans="1:18" ht="15.75" customHeight="1">
      <c r="A15" s="46" t="s">
        <v>461</v>
      </c>
      <c r="B15" s="47" t="s">
        <v>162</v>
      </c>
      <c r="C15" s="48" t="s">
        <v>17</v>
      </c>
      <c r="D15" s="48" t="s">
        <v>17</v>
      </c>
      <c r="E15" s="48" t="s">
        <v>17</v>
      </c>
      <c r="F15" s="48" t="s">
        <v>17</v>
      </c>
      <c r="G15" s="48" t="s">
        <v>17</v>
      </c>
      <c r="H15" s="48"/>
      <c r="I15" s="48"/>
      <c r="J15" s="48"/>
      <c r="K15" s="48"/>
      <c r="L15" s="48"/>
      <c r="M15" s="48">
        <f t="shared" ref="M15:Q15" si="11">IF(TRIM(SUBSTITUTE(C15, "　", " "))=TRIM(SUBSTITUTE($B15, "　", " ")), 2, 0)</f>
        <v>2</v>
      </c>
      <c r="N15" s="48">
        <f t="shared" si="11"/>
        <v>2</v>
      </c>
      <c r="O15" s="48">
        <f t="shared" si="11"/>
        <v>2</v>
      </c>
      <c r="P15" s="48">
        <f t="shared" si="11"/>
        <v>2</v>
      </c>
      <c r="Q15" s="48">
        <f t="shared" si="11"/>
        <v>2</v>
      </c>
      <c r="R15" s="2"/>
    </row>
    <row r="16" spans="1:18" ht="15.75" customHeight="1">
      <c r="A16" s="49" t="s">
        <v>462</v>
      </c>
      <c r="B16" s="47"/>
      <c r="C16" s="48"/>
      <c r="D16" s="48"/>
      <c r="E16" s="48"/>
      <c r="F16" s="48"/>
      <c r="G16" s="48"/>
      <c r="H16" s="48"/>
      <c r="I16" s="48"/>
      <c r="J16" s="48"/>
      <c r="K16" s="48"/>
      <c r="L16" s="48"/>
      <c r="M16" s="48"/>
      <c r="N16" s="48"/>
      <c r="O16" s="48"/>
      <c r="P16" s="27"/>
      <c r="Q16" s="27"/>
      <c r="R16" s="2"/>
    </row>
    <row r="17" spans="1:19" ht="15.75" customHeight="1">
      <c r="A17" s="46" t="s">
        <v>463</v>
      </c>
      <c r="B17" s="47" t="s">
        <v>150</v>
      </c>
      <c r="C17" s="48" t="s">
        <v>18</v>
      </c>
      <c r="D17" s="48" t="s">
        <v>18</v>
      </c>
      <c r="E17" s="48" t="s">
        <v>18</v>
      </c>
      <c r="F17" s="48" t="s">
        <v>18</v>
      </c>
      <c r="G17" s="48" t="s">
        <v>18</v>
      </c>
      <c r="H17" s="50"/>
      <c r="I17" s="50"/>
      <c r="J17" s="50"/>
      <c r="K17" s="50"/>
      <c r="L17" s="50"/>
      <c r="M17" s="48">
        <f t="shared" ref="M17:Q17" si="12">IF(TRIM(SUBSTITUTE(C17, "　", " "))=TRIM(SUBSTITUTE($B17, "　", " ")), 2, 0)</f>
        <v>2</v>
      </c>
      <c r="N17" s="48">
        <f t="shared" si="12"/>
        <v>2</v>
      </c>
      <c r="O17" s="48">
        <f t="shared" si="12"/>
        <v>2</v>
      </c>
      <c r="P17" s="48">
        <f t="shared" si="12"/>
        <v>2</v>
      </c>
      <c r="Q17" s="48">
        <f t="shared" si="12"/>
        <v>2</v>
      </c>
      <c r="R17" s="2"/>
    </row>
    <row r="18" spans="1:19" ht="15.75" customHeight="1">
      <c r="A18" s="46" t="s">
        <v>464</v>
      </c>
      <c r="B18" s="47" t="s">
        <v>148</v>
      </c>
      <c r="C18" s="50" t="s">
        <v>23</v>
      </c>
      <c r="D18" s="50" t="s">
        <v>23</v>
      </c>
      <c r="E18" s="50" t="s">
        <v>23</v>
      </c>
      <c r="F18" s="50" t="s">
        <v>23</v>
      </c>
      <c r="G18" s="50" t="s">
        <v>23</v>
      </c>
      <c r="H18" s="50"/>
      <c r="I18" s="50"/>
      <c r="J18" s="50"/>
      <c r="K18" s="50"/>
      <c r="L18" s="50"/>
      <c r="M18" s="48">
        <f t="shared" ref="M18:Q18" si="13">IF(TRIM(SUBSTITUTE(C18, "　", " "))=TRIM(SUBSTITUTE($B18, "　", " ")), 2, 0)</f>
        <v>2</v>
      </c>
      <c r="N18" s="48">
        <f t="shared" si="13"/>
        <v>2</v>
      </c>
      <c r="O18" s="48">
        <f t="shared" si="13"/>
        <v>2</v>
      </c>
      <c r="P18" s="48">
        <f t="shared" si="13"/>
        <v>2</v>
      </c>
      <c r="Q18" s="48">
        <f t="shared" si="13"/>
        <v>2</v>
      </c>
      <c r="R18" s="2"/>
    </row>
    <row r="19" spans="1:19" ht="15.75" customHeight="1">
      <c r="A19" s="49" t="s">
        <v>465</v>
      </c>
      <c r="B19" s="47"/>
      <c r="C19" s="50"/>
      <c r="D19" s="50"/>
      <c r="E19" s="50"/>
      <c r="F19" s="50"/>
      <c r="G19" s="50"/>
      <c r="H19" s="50"/>
      <c r="I19" s="50"/>
      <c r="J19" s="50"/>
      <c r="K19" s="50"/>
      <c r="L19" s="50"/>
      <c r="M19" s="48"/>
      <c r="N19" s="48"/>
      <c r="O19" s="48"/>
      <c r="P19" s="27"/>
      <c r="Q19" s="27"/>
      <c r="R19" s="2"/>
    </row>
    <row r="20" spans="1:19" ht="15.75" customHeight="1">
      <c r="A20" s="46" t="s">
        <v>466</v>
      </c>
      <c r="B20" s="47" t="s">
        <v>150</v>
      </c>
      <c r="C20" s="50" t="s">
        <v>18</v>
      </c>
      <c r="D20" s="50" t="s">
        <v>18</v>
      </c>
      <c r="E20" s="50" t="s">
        <v>18</v>
      </c>
      <c r="F20" s="50" t="s">
        <v>18</v>
      </c>
      <c r="G20" s="50" t="s">
        <v>18</v>
      </c>
      <c r="H20" s="50"/>
      <c r="I20" s="50"/>
      <c r="J20" s="50"/>
      <c r="K20" s="50"/>
      <c r="L20" s="50"/>
      <c r="M20" s="48">
        <f t="shared" ref="M20:Q20" si="14">IF(TRIM(SUBSTITUTE(C20, "　", " "))=TRIM(SUBSTITUTE($B20, "　", " ")), 2, 0)</f>
        <v>2</v>
      </c>
      <c r="N20" s="48">
        <f t="shared" si="14"/>
        <v>2</v>
      </c>
      <c r="O20" s="48">
        <f t="shared" si="14"/>
        <v>2</v>
      </c>
      <c r="P20" s="48">
        <f t="shared" si="14"/>
        <v>2</v>
      </c>
      <c r="Q20" s="48">
        <f t="shared" si="14"/>
        <v>2</v>
      </c>
      <c r="R20" s="2"/>
    </row>
    <row r="21" spans="1:19" ht="15.75" customHeight="1">
      <c r="A21" s="46" t="s">
        <v>467</v>
      </c>
      <c r="B21" s="47" t="s">
        <v>162</v>
      </c>
      <c r="C21" s="50" t="s">
        <v>18</v>
      </c>
      <c r="D21" s="50" t="s">
        <v>17</v>
      </c>
      <c r="E21" s="50" t="s">
        <v>18</v>
      </c>
      <c r="F21" s="50" t="s">
        <v>17</v>
      </c>
      <c r="G21" s="50" t="s">
        <v>17</v>
      </c>
      <c r="H21" s="50"/>
      <c r="I21" s="50"/>
      <c r="J21" s="50"/>
      <c r="K21" s="50"/>
      <c r="L21" s="50"/>
      <c r="M21" s="48">
        <f t="shared" ref="M21:Q21" si="15">IF(TRIM(SUBSTITUTE(C21, "　", " "))=TRIM(SUBSTITUTE($B21, "　", " ")), 2, 0)</f>
        <v>0</v>
      </c>
      <c r="N21" s="48">
        <f t="shared" si="15"/>
        <v>2</v>
      </c>
      <c r="O21" s="48">
        <f t="shared" si="15"/>
        <v>0</v>
      </c>
      <c r="P21" s="48">
        <f t="shared" si="15"/>
        <v>2</v>
      </c>
      <c r="Q21" s="48">
        <f t="shared" si="15"/>
        <v>2</v>
      </c>
      <c r="R21" s="2"/>
    </row>
    <row r="22" spans="1:19" ht="15.75" customHeight="1">
      <c r="A22" s="46" t="s">
        <v>468</v>
      </c>
      <c r="B22" s="47" t="s">
        <v>155</v>
      </c>
      <c r="C22" s="50" t="s">
        <v>20</v>
      </c>
      <c r="D22" s="50" t="s">
        <v>20</v>
      </c>
      <c r="E22" s="50" t="s">
        <v>20</v>
      </c>
      <c r="F22" s="50" t="s">
        <v>20</v>
      </c>
      <c r="G22" s="50" t="s">
        <v>20</v>
      </c>
      <c r="H22" s="50"/>
      <c r="I22" s="50"/>
      <c r="J22" s="50"/>
      <c r="K22" s="50"/>
      <c r="L22" s="50"/>
      <c r="M22" s="48">
        <f t="shared" ref="M22:Q22" si="16">IF(TRIM(SUBSTITUTE(C22, "　", " "))=TRIM(SUBSTITUTE($B22, "　", " ")), 2, 0)</f>
        <v>2</v>
      </c>
      <c r="N22" s="48">
        <f t="shared" si="16"/>
        <v>2</v>
      </c>
      <c r="O22" s="48">
        <f t="shared" si="16"/>
        <v>2</v>
      </c>
      <c r="P22" s="48">
        <f t="shared" si="16"/>
        <v>2</v>
      </c>
      <c r="Q22" s="48">
        <f t="shared" si="16"/>
        <v>2</v>
      </c>
      <c r="R22" s="2"/>
    </row>
    <row r="23" spans="1:19" ht="15.75" customHeight="1">
      <c r="A23" s="49" t="s">
        <v>469</v>
      </c>
      <c r="B23" s="47"/>
      <c r="C23" s="50"/>
      <c r="D23" s="50"/>
      <c r="E23" s="50"/>
      <c r="F23" s="50"/>
      <c r="G23" s="50"/>
      <c r="H23" s="50"/>
      <c r="I23" s="50"/>
      <c r="J23" s="50"/>
      <c r="K23" s="50"/>
      <c r="L23" s="50"/>
      <c r="M23" s="48"/>
      <c r="N23" s="48"/>
      <c r="O23" s="48"/>
      <c r="P23" s="27"/>
      <c r="Q23" s="27"/>
      <c r="R23" s="2"/>
    </row>
    <row r="24" spans="1:19" ht="15.75" customHeight="1">
      <c r="A24" s="46" t="s">
        <v>470</v>
      </c>
      <c r="B24" s="47" t="s">
        <v>148</v>
      </c>
      <c r="C24" s="50" t="s">
        <v>23</v>
      </c>
      <c r="D24" s="50" t="s">
        <v>23</v>
      </c>
      <c r="E24" s="50" t="s">
        <v>20</v>
      </c>
      <c r="F24" s="50" t="s">
        <v>23</v>
      </c>
      <c r="G24" s="50" t="s">
        <v>23</v>
      </c>
      <c r="H24" s="50"/>
      <c r="I24" s="50"/>
      <c r="J24" s="50"/>
      <c r="K24" s="50"/>
      <c r="L24" s="50"/>
      <c r="M24" s="48">
        <f t="shared" ref="M24:Q24" si="17">IF(TRIM(SUBSTITUTE(C24, "　", " "))=TRIM(SUBSTITUTE($B24, "　", " ")), 2, 0)</f>
        <v>2</v>
      </c>
      <c r="N24" s="48">
        <f t="shared" si="17"/>
        <v>2</v>
      </c>
      <c r="O24" s="48">
        <f t="shared" si="17"/>
        <v>0</v>
      </c>
      <c r="P24" s="48">
        <f t="shared" si="17"/>
        <v>2</v>
      </c>
      <c r="Q24" s="48">
        <f t="shared" si="17"/>
        <v>2</v>
      </c>
      <c r="R24" s="11"/>
    </row>
    <row r="25" spans="1:19" ht="15.75" customHeight="1">
      <c r="A25" s="46" t="s">
        <v>471</v>
      </c>
      <c r="B25" s="47" t="s">
        <v>148</v>
      </c>
      <c r="C25" s="50" t="s">
        <v>23</v>
      </c>
      <c r="D25" s="50" t="s">
        <v>23</v>
      </c>
      <c r="E25" s="50" t="s">
        <v>23</v>
      </c>
      <c r="F25" s="50" t="s">
        <v>23</v>
      </c>
      <c r="G25" s="50" t="s">
        <v>23</v>
      </c>
      <c r="H25" s="50"/>
      <c r="I25" s="50"/>
      <c r="J25" s="50"/>
      <c r="K25" s="50"/>
      <c r="L25" s="50"/>
      <c r="M25" s="48">
        <f t="shared" ref="M25:Q25" si="18">IF(TRIM(SUBSTITUTE(C25, "　", " "))=TRIM(SUBSTITUTE($B25, "　", " ")), 2, 0)</f>
        <v>2</v>
      </c>
      <c r="N25" s="48">
        <f t="shared" si="18"/>
        <v>2</v>
      </c>
      <c r="O25" s="48">
        <f t="shared" si="18"/>
        <v>2</v>
      </c>
      <c r="P25" s="48">
        <f t="shared" si="18"/>
        <v>2</v>
      </c>
      <c r="Q25" s="48">
        <f t="shared" si="18"/>
        <v>2</v>
      </c>
      <c r="R25" s="11"/>
    </row>
    <row r="26" spans="1:19" ht="15.75" customHeight="1">
      <c r="A26" s="46" t="s">
        <v>472</v>
      </c>
      <c r="B26" s="47" t="s">
        <v>150</v>
      </c>
      <c r="C26" s="50" t="s">
        <v>18</v>
      </c>
      <c r="D26" s="50" t="s">
        <v>18</v>
      </c>
      <c r="E26" s="50" t="s">
        <v>18</v>
      </c>
      <c r="F26" s="50" t="s">
        <v>18</v>
      </c>
      <c r="G26" s="50" t="s">
        <v>18</v>
      </c>
      <c r="H26" s="50"/>
      <c r="I26" s="50"/>
      <c r="J26" s="50"/>
      <c r="K26" s="50"/>
      <c r="L26" s="50"/>
      <c r="M26" s="48">
        <f t="shared" ref="M26:Q26" si="19">IF(TRIM(SUBSTITUTE(C26, "　", " "))=TRIM(SUBSTITUTE($B26, "　", " ")), 2, 0)</f>
        <v>2</v>
      </c>
      <c r="N26" s="48">
        <f t="shared" si="19"/>
        <v>2</v>
      </c>
      <c r="O26" s="48">
        <f t="shared" si="19"/>
        <v>2</v>
      </c>
      <c r="P26" s="48">
        <f t="shared" si="19"/>
        <v>2</v>
      </c>
      <c r="Q26" s="48">
        <f t="shared" si="19"/>
        <v>2</v>
      </c>
      <c r="R26" s="11"/>
    </row>
    <row r="27" spans="1:19" ht="15.75" customHeight="1">
      <c r="A27" s="51" t="s">
        <v>473</v>
      </c>
      <c r="B27" s="47"/>
      <c r="C27" s="50"/>
      <c r="D27" s="50"/>
      <c r="E27" s="50"/>
      <c r="F27" s="50"/>
      <c r="G27" s="50"/>
      <c r="H27" s="50"/>
      <c r="I27" s="50"/>
      <c r="J27" s="50"/>
      <c r="K27" s="50"/>
      <c r="L27" s="50"/>
      <c r="M27" s="48"/>
      <c r="N27" s="48"/>
      <c r="O27" s="48"/>
      <c r="P27" s="27"/>
      <c r="Q27" s="27"/>
      <c r="R27" s="11"/>
    </row>
    <row r="28" spans="1:19" ht="15.75" customHeight="1">
      <c r="A28" s="46" t="s">
        <v>474</v>
      </c>
      <c r="B28" s="47" t="s">
        <v>150</v>
      </c>
      <c r="C28" s="50" t="s">
        <v>18</v>
      </c>
      <c r="D28" s="50" t="s">
        <v>18</v>
      </c>
      <c r="E28" s="50" t="s">
        <v>18</v>
      </c>
      <c r="F28" s="50" t="s">
        <v>18</v>
      </c>
      <c r="G28" s="50" t="s">
        <v>18</v>
      </c>
      <c r="H28" s="50"/>
      <c r="I28" s="50"/>
      <c r="J28" s="50"/>
      <c r="K28" s="50"/>
      <c r="L28" s="50"/>
      <c r="M28" s="48">
        <f t="shared" ref="M28:Q28" si="20">IF(TRIM(SUBSTITUTE(C28, "　", " "))=TRIM(SUBSTITUTE($B28, "　", " ")), 2, 0)</f>
        <v>2</v>
      </c>
      <c r="N28" s="48">
        <f t="shared" si="20"/>
        <v>2</v>
      </c>
      <c r="O28" s="48">
        <f t="shared" si="20"/>
        <v>2</v>
      </c>
      <c r="P28" s="48">
        <f t="shared" si="20"/>
        <v>2</v>
      </c>
      <c r="Q28" s="48">
        <f t="shared" si="20"/>
        <v>2</v>
      </c>
      <c r="R28" s="11"/>
    </row>
    <row r="29" spans="1:19" ht="15.75" customHeight="1">
      <c r="A29" s="46" t="s">
        <v>475</v>
      </c>
      <c r="B29" s="47" t="s">
        <v>150</v>
      </c>
      <c r="C29" s="50" t="s">
        <v>18</v>
      </c>
      <c r="D29" s="50" t="s">
        <v>20</v>
      </c>
      <c r="E29" s="50" t="s">
        <v>18</v>
      </c>
      <c r="F29" s="50" t="s">
        <v>18</v>
      </c>
      <c r="G29" s="50" t="s">
        <v>18</v>
      </c>
      <c r="H29" s="50"/>
      <c r="I29" s="50"/>
      <c r="J29" s="50"/>
      <c r="K29" s="50"/>
      <c r="L29" s="50"/>
      <c r="M29" s="48">
        <f t="shared" ref="M29:Q29" si="21">IF(TRIM(SUBSTITUTE(C29, "　", " "))=TRIM(SUBSTITUTE($B29, "　", " ")), 2, 0)</f>
        <v>2</v>
      </c>
      <c r="N29" s="48">
        <f t="shared" si="21"/>
        <v>0</v>
      </c>
      <c r="O29" s="48">
        <f t="shared" si="21"/>
        <v>2</v>
      </c>
      <c r="P29" s="48">
        <f t="shared" si="21"/>
        <v>2</v>
      </c>
      <c r="Q29" s="48">
        <f t="shared" si="21"/>
        <v>2</v>
      </c>
      <c r="R29" s="11"/>
    </row>
    <row r="30" spans="1:19" ht="15.75" customHeight="1">
      <c r="A30" s="51" t="s">
        <v>476</v>
      </c>
      <c r="B30" s="47"/>
      <c r="C30" s="50"/>
      <c r="D30" s="50"/>
      <c r="E30" s="50"/>
      <c r="F30" s="50"/>
      <c r="G30" s="50"/>
      <c r="H30" s="50"/>
      <c r="I30" s="50"/>
      <c r="J30" s="50"/>
      <c r="K30" s="50"/>
      <c r="L30" s="50"/>
      <c r="M30" s="48"/>
      <c r="N30" s="48"/>
      <c r="O30" s="48"/>
      <c r="P30" s="27"/>
      <c r="Q30" s="27"/>
      <c r="R30" s="11"/>
    </row>
    <row r="31" spans="1:19" ht="15.75" customHeight="1">
      <c r="A31" s="46" t="s">
        <v>477</v>
      </c>
      <c r="B31" s="47" t="s">
        <v>150</v>
      </c>
      <c r="C31" s="50" t="s">
        <v>20</v>
      </c>
      <c r="D31" s="50" t="s">
        <v>18</v>
      </c>
      <c r="E31" s="50" t="s">
        <v>20</v>
      </c>
      <c r="F31" s="50" t="s">
        <v>18</v>
      </c>
      <c r="G31" s="50" t="s">
        <v>18</v>
      </c>
      <c r="H31" s="50"/>
      <c r="I31" s="50"/>
      <c r="J31" s="50"/>
      <c r="K31" s="50"/>
      <c r="L31" s="50"/>
      <c r="M31" s="48">
        <f t="shared" ref="M31:Q31" si="22">IF(TRIM(SUBSTITUTE(C31, "　", " "))=TRIM(SUBSTITUTE($B31, "　", " ")), 2, 0)</f>
        <v>0</v>
      </c>
      <c r="N31" s="48">
        <f t="shared" si="22"/>
        <v>2</v>
      </c>
      <c r="O31" s="48">
        <f t="shared" si="22"/>
        <v>0</v>
      </c>
      <c r="P31" s="48">
        <f t="shared" si="22"/>
        <v>2</v>
      </c>
      <c r="Q31" s="48">
        <f t="shared" si="22"/>
        <v>2</v>
      </c>
      <c r="R31" s="11"/>
      <c r="S31" s="11"/>
    </row>
    <row r="32" spans="1:19" ht="15.75" customHeight="1">
      <c r="A32" s="46" t="s">
        <v>478</v>
      </c>
      <c r="B32" s="47" t="s">
        <v>155</v>
      </c>
      <c r="C32" s="50" t="s">
        <v>23</v>
      </c>
      <c r="D32" s="50" t="s">
        <v>23</v>
      </c>
      <c r="E32" s="50" t="s">
        <v>23</v>
      </c>
      <c r="F32" s="50" t="s">
        <v>18</v>
      </c>
      <c r="G32" s="50" t="s">
        <v>18</v>
      </c>
      <c r="H32" s="50"/>
      <c r="I32" s="50"/>
      <c r="J32" s="50"/>
      <c r="K32" s="50"/>
      <c r="L32" s="50"/>
      <c r="M32" s="48">
        <f t="shared" ref="M32:Q32" si="23">IF(TRIM(SUBSTITUTE(C32, "　", " "))=TRIM(SUBSTITUTE($B32, "　", " ")), 2, 0)</f>
        <v>0</v>
      </c>
      <c r="N32" s="48">
        <f t="shared" si="23"/>
        <v>0</v>
      </c>
      <c r="O32" s="48">
        <f t="shared" si="23"/>
        <v>0</v>
      </c>
      <c r="P32" s="48">
        <f t="shared" si="23"/>
        <v>0</v>
      </c>
      <c r="Q32" s="48">
        <f t="shared" si="23"/>
        <v>0</v>
      </c>
      <c r="R32" s="11"/>
      <c r="S32" s="11"/>
    </row>
    <row r="33" spans="1:37" ht="15.75" customHeight="1">
      <c r="A33" s="46" t="s">
        <v>479</v>
      </c>
      <c r="B33" s="47" t="s">
        <v>150</v>
      </c>
      <c r="C33" s="50" t="s">
        <v>17</v>
      </c>
      <c r="D33" s="50" t="s">
        <v>23</v>
      </c>
      <c r="E33" s="50" t="s">
        <v>18</v>
      </c>
      <c r="F33" s="50" t="s">
        <v>23</v>
      </c>
      <c r="G33" s="50" t="s">
        <v>18</v>
      </c>
      <c r="H33" s="50"/>
      <c r="I33" s="50"/>
      <c r="J33" s="50"/>
      <c r="K33" s="50"/>
      <c r="L33" s="50"/>
      <c r="M33" s="48">
        <f t="shared" ref="M33:Q33" si="24">IF(TRIM(SUBSTITUTE(C33, "　", " "))=TRIM(SUBSTITUTE($B33, "　", " ")), 2, 0)</f>
        <v>0</v>
      </c>
      <c r="N33" s="48">
        <f t="shared" si="24"/>
        <v>0</v>
      </c>
      <c r="O33" s="48">
        <f t="shared" si="24"/>
        <v>2</v>
      </c>
      <c r="P33" s="48">
        <f t="shared" si="24"/>
        <v>0</v>
      </c>
      <c r="Q33" s="48">
        <f t="shared" si="24"/>
        <v>2</v>
      </c>
      <c r="R33" s="11"/>
      <c r="S33" s="11"/>
    </row>
    <row r="34" spans="1:37" ht="15.75" customHeight="1">
      <c r="A34" s="51" t="s">
        <v>480</v>
      </c>
      <c r="B34" s="47"/>
      <c r="C34" s="50"/>
      <c r="D34" s="50"/>
      <c r="E34" s="50"/>
      <c r="F34" s="50"/>
      <c r="G34" s="50"/>
      <c r="H34" s="50"/>
      <c r="I34" s="50"/>
      <c r="J34" s="50"/>
      <c r="K34" s="50"/>
      <c r="L34" s="50"/>
      <c r="M34" s="48"/>
      <c r="N34" s="48"/>
      <c r="O34" s="48"/>
      <c r="P34" s="27"/>
      <c r="Q34" s="27"/>
      <c r="R34" s="11"/>
      <c r="S34" s="11"/>
    </row>
    <row r="35" spans="1:37" ht="15.75" customHeight="1">
      <c r="A35" s="46" t="s">
        <v>481</v>
      </c>
      <c r="B35" s="47" t="s">
        <v>421</v>
      </c>
      <c r="C35" s="50" t="s">
        <v>55</v>
      </c>
      <c r="D35" s="50" t="s">
        <v>18</v>
      </c>
      <c r="E35" s="50" t="s">
        <v>94</v>
      </c>
      <c r="F35" s="50" t="s">
        <v>41</v>
      </c>
      <c r="G35" s="50" t="s">
        <v>41</v>
      </c>
      <c r="H35" s="53" cm="1">
        <f t="array" ref="H35">_xlfn.LET(
_xlpm.opts,{"A","B","C","D","E"},
_xlpm.ans,UPPER(SUBSTITUTE(SUBSTITUTE(SUBSTITUTE(SUBSTITUTE(SUBSTITUTE(TRIM($B35),"　","")," ",""),",",""),"，",""),"、","")),
_xlpm.resp,UPPER(SUBSTITUTE(SUBSTITUTE(SUBSTITUTE(SUBSTITUTE(SUBSTITUTE(TRIM(C35),"　","")," ",""),",",""),"，",""),"、","")),
IF(_xlpm.resp="",99,
SUMPRODUCT(--(ISNUMBER(SEARCH(_xlpm.opts,_xlpm.ans))&lt;&gt;ISNUMBER(SEARCH(_xlpm.opts,_xlpm.resp)))))
)</f>
        <v>1</v>
      </c>
      <c r="I35" s="53" cm="1">
        <f t="array" ref="I35">_xlfn.LET(
_xlpm.opts,{"A","B","C","D","E"},
_xlpm.ans,UPPER(SUBSTITUTE(SUBSTITUTE(SUBSTITUTE(SUBSTITUTE(SUBSTITUTE(TRIM($B35),"　","")," ",""),",",""),"，",""),"、","")),
_xlpm.resp,UPPER(SUBSTITUTE(SUBSTITUTE(SUBSTITUTE(SUBSTITUTE(SUBSTITUTE(TRIM(D35),"　","")," ",""),",",""),"，",""),"、","")),
IF(_xlpm.resp="",99,
SUMPRODUCT(--(ISNUMBER(SEARCH(_xlpm.opts,_xlpm.ans))&lt;&gt;ISNUMBER(SEARCH(_xlpm.opts,_xlpm.resp)))))
)</f>
        <v>1</v>
      </c>
      <c r="J35" s="53" cm="1">
        <f t="array" ref="J35">_xlfn.LET(
_xlpm.opts,{"A","B","C","D","E"},
_xlpm.ans,UPPER(SUBSTITUTE(SUBSTITUTE(SUBSTITUTE(SUBSTITUTE(SUBSTITUTE(TRIM($B35),"　","")," ",""),",",""),"，",""),"、","")),
_xlpm.resp,UPPER(SUBSTITUTE(SUBSTITUTE(SUBSTITUTE(SUBSTITUTE(SUBSTITUTE(TRIM(E35),"　","")," ",""),",",""),"，",""),"、","")),
IF(_xlpm.resp="",99,
SUMPRODUCT(--(ISNUMBER(SEARCH(_xlpm.opts,_xlpm.ans))&lt;&gt;ISNUMBER(SEARCH(_xlpm.opts,_xlpm.resp)))))
)</f>
        <v>4</v>
      </c>
      <c r="K35" s="53" cm="1">
        <f t="array" ref="K35">_xlfn.LET(
_xlpm.opts,{"A","B","C","D","E"},
_xlpm.ans,UPPER(SUBSTITUTE(SUBSTITUTE(SUBSTITUTE(SUBSTITUTE(SUBSTITUTE(TRIM($B35),"　","")," ",""),",",""),"，",""),"、","")),
_xlpm.resp,UPPER(SUBSTITUTE(SUBSTITUTE(SUBSTITUTE(SUBSTITUTE(SUBSTITUTE(TRIM(F35),"　","")," ",""),",",""),"，",""),"、","")),
IF(_xlpm.resp="",99,
SUMPRODUCT(--(ISNUMBER(SEARCH(_xlpm.opts,_xlpm.ans))&lt;&gt;ISNUMBER(SEARCH(_xlpm.opts,_xlpm.resp)))))
)</f>
        <v>1</v>
      </c>
      <c r="L35" s="53" cm="1">
        <f t="array" ref="L35">_xlfn.LET(
_xlpm.opts,{"A","B","C","D","E"},
_xlpm.ans,UPPER(SUBSTITUTE(SUBSTITUTE(SUBSTITUTE(SUBSTITUTE(SUBSTITUTE(TRIM($B35),"　","")," ",""),",",""),"，",""),"、","")),
_xlpm.resp,UPPER(SUBSTITUTE(SUBSTITUTE(SUBSTITUTE(SUBSTITUTE(SUBSTITUTE(TRIM(G35),"　","")," ",""),",",""),"，",""),"、","")),
IF(_xlpm.resp="",99,
SUMPRODUCT(--(ISNUMBER(SEARCH(_xlpm.opts,_xlpm.ans))&lt;&gt;ISNUMBER(SEARCH(_xlpm.opts,_xlpm.resp)))))
)</f>
        <v>1</v>
      </c>
      <c r="M35" s="54">
        <f>IF(H35=0,3,IF(H35=1,1.8,IF(H35=2,0.6,0)))</f>
        <v>1.8</v>
      </c>
      <c r="N35" s="54">
        <f t="shared" ref="N35:Q39" si="25">IF(I35=0,3,IF(I35=1,1.8,IF(I35=2,0.6,0)))</f>
        <v>1.8</v>
      </c>
      <c r="O35" s="54">
        <f t="shared" si="25"/>
        <v>0</v>
      </c>
      <c r="P35" s="54">
        <f t="shared" si="25"/>
        <v>1.8</v>
      </c>
      <c r="Q35" s="54">
        <f t="shared" si="25"/>
        <v>1.8</v>
      </c>
      <c r="R35" s="11"/>
      <c r="S35" s="11"/>
    </row>
    <row r="36" spans="1:37" ht="15.75" customHeight="1">
      <c r="A36" s="46" t="s">
        <v>482</v>
      </c>
      <c r="B36" s="47" t="s">
        <v>204</v>
      </c>
      <c r="C36" s="50" t="s">
        <v>41</v>
      </c>
      <c r="D36" s="50" t="s">
        <v>39</v>
      </c>
      <c r="E36" s="50" t="s">
        <v>41</v>
      </c>
      <c r="F36" s="50" t="s">
        <v>39</v>
      </c>
      <c r="G36" s="50" t="s">
        <v>39</v>
      </c>
      <c r="H36" s="53" cm="1">
        <f t="array" ref="H36">_xlfn.LET(
_xlpm.opts,{"A","B","C","D","E"},
_xlpm.ans,UPPER(SUBSTITUTE(SUBSTITUTE(SUBSTITUTE(SUBSTITUTE(SUBSTITUTE(TRIM($B36),"　","")," ",""),",",""),"，",""),"、","")),
_xlpm.resp,UPPER(SUBSTITUTE(SUBSTITUTE(SUBSTITUTE(SUBSTITUTE(SUBSTITUTE(TRIM(C36),"　","")," ",""),",",""),"，",""),"、","")),
IF(_xlpm.resp="",99,
SUMPRODUCT(--(ISNUMBER(SEARCH(_xlpm.opts,_xlpm.ans))&lt;&gt;ISNUMBER(SEARCH(_xlpm.opts,_xlpm.resp)))))
)</f>
        <v>0</v>
      </c>
      <c r="I36" s="53" cm="1">
        <f t="array" ref="I36">_xlfn.LET(
_xlpm.opts,{"A","B","C","D","E"},
_xlpm.ans,UPPER(SUBSTITUTE(SUBSTITUTE(SUBSTITUTE(SUBSTITUTE(SUBSTITUTE(TRIM($B36),"　","")," ",""),",",""),"，",""),"、","")),
_xlpm.resp,UPPER(SUBSTITUTE(SUBSTITUTE(SUBSTITUTE(SUBSTITUTE(SUBSTITUTE(TRIM(D36),"　","")," ",""),",",""),"，",""),"、","")),
IF(_xlpm.resp="",99,
SUMPRODUCT(--(ISNUMBER(SEARCH(_xlpm.opts,_xlpm.ans))&lt;&gt;ISNUMBER(SEARCH(_xlpm.opts,_xlpm.resp)))))
)</f>
        <v>1</v>
      </c>
      <c r="J36" s="53" cm="1">
        <f t="array" ref="J36">_xlfn.LET(
_xlpm.opts,{"A","B","C","D","E"},
_xlpm.ans,UPPER(SUBSTITUTE(SUBSTITUTE(SUBSTITUTE(SUBSTITUTE(SUBSTITUTE(TRIM($B36),"　","")," ",""),",",""),"，",""),"、","")),
_xlpm.resp,UPPER(SUBSTITUTE(SUBSTITUTE(SUBSTITUTE(SUBSTITUTE(SUBSTITUTE(TRIM(E36),"　","")," ",""),",",""),"，",""),"、","")),
IF(_xlpm.resp="",99,
SUMPRODUCT(--(ISNUMBER(SEARCH(_xlpm.opts,_xlpm.ans))&lt;&gt;ISNUMBER(SEARCH(_xlpm.opts,_xlpm.resp)))))
)</f>
        <v>0</v>
      </c>
      <c r="K36" s="53" cm="1">
        <f t="array" ref="K36">_xlfn.LET(
_xlpm.opts,{"A","B","C","D","E"},
_xlpm.ans,UPPER(SUBSTITUTE(SUBSTITUTE(SUBSTITUTE(SUBSTITUTE(SUBSTITUTE(TRIM($B36),"　","")," ",""),",",""),"，",""),"、","")),
_xlpm.resp,UPPER(SUBSTITUTE(SUBSTITUTE(SUBSTITUTE(SUBSTITUTE(SUBSTITUTE(TRIM(F36),"　","")," ",""),",",""),"，",""),"、","")),
IF(_xlpm.resp="",99,
SUMPRODUCT(--(ISNUMBER(SEARCH(_xlpm.opts,_xlpm.ans))&lt;&gt;ISNUMBER(SEARCH(_xlpm.opts,_xlpm.resp)))))
)</f>
        <v>1</v>
      </c>
      <c r="L36" s="53" cm="1">
        <f t="array" ref="L36">_xlfn.LET(
_xlpm.opts,{"A","B","C","D","E"},
_xlpm.ans,UPPER(SUBSTITUTE(SUBSTITUTE(SUBSTITUTE(SUBSTITUTE(SUBSTITUTE(TRIM($B36),"　","")," ",""),",",""),"，",""),"、","")),
_xlpm.resp,UPPER(SUBSTITUTE(SUBSTITUTE(SUBSTITUTE(SUBSTITUTE(SUBSTITUTE(TRIM(G36),"　","")," ",""),",",""),"，",""),"、","")),
IF(_xlpm.resp="",99,
SUMPRODUCT(--(ISNUMBER(SEARCH(_xlpm.opts,_xlpm.ans))&lt;&gt;ISNUMBER(SEARCH(_xlpm.opts,_xlpm.resp)))))
)</f>
        <v>1</v>
      </c>
      <c r="M36" s="54">
        <f t="shared" ref="M36:M39" si="26">IF(H36=0,3,IF(H36=1,1.8,IF(H36=2,0.6,0)))</f>
        <v>3</v>
      </c>
      <c r="N36" s="54">
        <f t="shared" si="25"/>
        <v>1.8</v>
      </c>
      <c r="O36" s="54">
        <f t="shared" si="25"/>
        <v>3</v>
      </c>
      <c r="P36" s="54">
        <f t="shared" si="25"/>
        <v>1.8</v>
      </c>
      <c r="Q36" s="54">
        <f t="shared" si="25"/>
        <v>1.8</v>
      </c>
      <c r="R36" s="11"/>
      <c r="S36" s="11"/>
      <c r="T36" s="11"/>
      <c r="U36" s="11"/>
      <c r="V36" s="11"/>
      <c r="W36" s="11"/>
      <c r="X36" s="11"/>
      <c r="Y36" s="11"/>
      <c r="Z36" s="11"/>
      <c r="AA36" s="11"/>
      <c r="AB36" s="11"/>
      <c r="AC36" s="11"/>
      <c r="AD36" s="11"/>
      <c r="AE36" s="11"/>
      <c r="AF36" s="11"/>
      <c r="AG36" s="11"/>
      <c r="AH36" s="11"/>
      <c r="AI36" s="11"/>
      <c r="AJ36" s="11"/>
      <c r="AK36" s="11"/>
    </row>
    <row r="37" spans="1:37" ht="15.75" customHeight="1">
      <c r="A37" s="46" t="s">
        <v>483</v>
      </c>
      <c r="B37" s="47" t="s">
        <v>197</v>
      </c>
      <c r="C37" s="50" t="s">
        <v>94</v>
      </c>
      <c r="D37" s="50" t="s">
        <v>94</v>
      </c>
      <c r="E37" s="50" t="s">
        <v>94</v>
      </c>
      <c r="F37" s="50" t="s">
        <v>44</v>
      </c>
      <c r="G37" s="50" t="s">
        <v>94</v>
      </c>
      <c r="H37" s="53" cm="1">
        <f t="array" ref="H37">_xlfn.LET(
_xlpm.opts,{"A","B","C","D","E"},
_xlpm.ans,UPPER(SUBSTITUTE(SUBSTITUTE(SUBSTITUTE(SUBSTITUTE(SUBSTITUTE(TRIM($B37),"　","")," ",""),",",""),"，",""),"、","")),
_xlpm.resp,UPPER(SUBSTITUTE(SUBSTITUTE(SUBSTITUTE(SUBSTITUTE(SUBSTITUTE(TRIM(C37),"　","")," ",""),",",""),"，",""),"、","")),
IF(_xlpm.resp="",99,
SUMPRODUCT(--(ISNUMBER(SEARCH(_xlpm.opts,_xlpm.ans))&lt;&gt;ISNUMBER(SEARCH(_xlpm.opts,_xlpm.resp)))))
)</f>
        <v>1</v>
      </c>
      <c r="I37" s="53" cm="1">
        <f t="array" ref="I37">_xlfn.LET(
_xlpm.opts,{"A","B","C","D","E"},
_xlpm.ans,UPPER(SUBSTITUTE(SUBSTITUTE(SUBSTITUTE(SUBSTITUTE(SUBSTITUTE(TRIM($B37),"　","")," ",""),",",""),"，",""),"、","")),
_xlpm.resp,UPPER(SUBSTITUTE(SUBSTITUTE(SUBSTITUTE(SUBSTITUTE(SUBSTITUTE(TRIM(D37),"　","")," ",""),",",""),"，",""),"、","")),
IF(_xlpm.resp="",99,
SUMPRODUCT(--(ISNUMBER(SEARCH(_xlpm.opts,_xlpm.ans))&lt;&gt;ISNUMBER(SEARCH(_xlpm.opts,_xlpm.resp)))))
)</f>
        <v>1</v>
      </c>
      <c r="J37" s="53" cm="1">
        <f t="array" ref="J37">_xlfn.LET(
_xlpm.opts,{"A","B","C","D","E"},
_xlpm.ans,UPPER(SUBSTITUTE(SUBSTITUTE(SUBSTITUTE(SUBSTITUTE(SUBSTITUTE(TRIM($B37),"　","")," ",""),",",""),"，",""),"、","")),
_xlpm.resp,UPPER(SUBSTITUTE(SUBSTITUTE(SUBSTITUTE(SUBSTITUTE(SUBSTITUTE(TRIM(E37),"　","")," ",""),",",""),"，",""),"、","")),
IF(_xlpm.resp="",99,
SUMPRODUCT(--(ISNUMBER(SEARCH(_xlpm.opts,_xlpm.ans))&lt;&gt;ISNUMBER(SEARCH(_xlpm.opts,_xlpm.resp)))))
)</f>
        <v>1</v>
      </c>
      <c r="K37" s="53" cm="1">
        <f t="array" ref="K37">_xlfn.LET(
_xlpm.opts,{"A","B","C","D","E"},
_xlpm.ans,UPPER(SUBSTITUTE(SUBSTITUTE(SUBSTITUTE(SUBSTITUTE(SUBSTITUTE(TRIM($B37),"　","")," ",""),",",""),"，",""),"、","")),
_xlpm.resp,UPPER(SUBSTITUTE(SUBSTITUTE(SUBSTITUTE(SUBSTITUTE(SUBSTITUTE(TRIM(F37),"　","")," ",""),",",""),"，",""),"、","")),
IF(_xlpm.resp="",99,
SUMPRODUCT(--(ISNUMBER(SEARCH(_xlpm.opts,_xlpm.ans))&lt;&gt;ISNUMBER(SEARCH(_xlpm.opts,_xlpm.resp)))))
)</f>
        <v>1</v>
      </c>
      <c r="L37" s="53" cm="1">
        <f t="array" ref="L37">_xlfn.LET(
_xlpm.opts,{"A","B","C","D","E"},
_xlpm.ans,UPPER(SUBSTITUTE(SUBSTITUTE(SUBSTITUTE(SUBSTITUTE(SUBSTITUTE(TRIM($B37),"　","")," ",""),",",""),"，",""),"、","")),
_xlpm.resp,UPPER(SUBSTITUTE(SUBSTITUTE(SUBSTITUTE(SUBSTITUTE(SUBSTITUTE(TRIM(G37),"　","")," ",""),",",""),"，",""),"、","")),
IF(_xlpm.resp="",99,
SUMPRODUCT(--(ISNUMBER(SEARCH(_xlpm.opts,_xlpm.ans))&lt;&gt;ISNUMBER(SEARCH(_xlpm.opts,_xlpm.resp)))))
)</f>
        <v>1</v>
      </c>
      <c r="M37" s="54">
        <f t="shared" si="26"/>
        <v>1.8</v>
      </c>
      <c r="N37" s="54">
        <f t="shared" si="25"/>
        <v>1.8</v>
      </c>
      <c r="O37" s="54">
        <f t="shared" si="25"/>
        <v>1.8</v>
      </c>
      <c r="P37" s="54">
        <f t="shared" si="25"/>
        <v>1.8</v>
      </c>
      <c r="Q37" s="54">
        <f t="shared" si="25"/>
        <v>1.8</v>
      </c>
      <c r="R37" s="11"/>
      <c r="S37" s="11"/>
      <c r="T37" s="11"/>
      <c r="U37" s="11"/>
      <c r="V37" s="11"/>
      <c r="W37" s="11"/>
      <c r="X37" s="11"/>
      <c r="Y37" s="11"/>
      <c r="Z37" s="11"/>
      <c r="AA37" s="11"/>
      <c r="AB37" s="11"/>
      <c r="AC37" s="11"/>
      <c r="AD37" s="11"/>
      <c r="AE37" s="11"/>
      <c r="AF37" s="11"/>
      <c r="AG37" s="11"/>
      <c r="AH37" s="11"/>
      <c r="AI37" s="11"/>
      <c r="AJ37" s="11"/>
      <c r="AK37" s="11"/>
    </row>
    <row r="38" spans="1:37" ht="15.75" customHeight="1">
      <c r="A38" s="46" t="s">
        <v>484</v>
      </c>
      <c r="B38" s="47" t="s">
        <v>485</v>
      </c>
      <c r="C38" s="50" t="s">
        <v>57</v>
      </c>
      <c r="D38" s="50" t="s">
        <v>90</v>
      </c>
      <c r="E38" s="50" t="s">
        <v>90</v>
      </c>
      <c r="F38" s="50" t="s">
        <v>90</v>
      </c>
      <c r="G38" s="50" t="s">
        <v>57</v>
      </c>
      <c r="H38" s="53" cm="1">
        <f t="array" ref="H38">_xlfn.LET(
_xlpm.opts,{"A","B","C","D","E"},
_xlpm.ans,UPPER(SUBSTITUTE(SUBSTITUTE(SUBSTITUTE(SUBSTITUTE(SUBSTITUTE(TRIM($B38),"　","")," ",""),",",""),"，",""),"、","")),
_xlpm.resp,UPPER(SUBSTITUTE(SUBSTITUTE(SUBSTITUTE(SUBSTITUTE(SUBSTITUTE(TRIM(C38),"　","")," ",""),",",""),"，",""),"、","")),
IF(_xlpm.resp="",99,
SUMPRODUCT(--(ISNUMBER(SEARCH(_xlpm.opts,_xlpm.ans))&lt;&gt;ISNUMBER(SEARCH(_xlpm.opts,_xlpm.resp)))))
)</f>
        <v>1</v>
      </c>
      <c r="I38" s="53" cm="1">
        <f t="array" ref="I38">_xlfn.LET(
_xlpm.opts,{"A","B","C","D","E"},
_xlpm.ans,UPPER(SUBSTITUTE(SUBSTITUTE(SUBSTITUTE(SUBSTITUTE(SUBSTITUTE(TRIM($B38),"　","")," ",""),",",""),"，",""),"、","")),
_xlpm.resp,UPPER(SUBSTITUTE(SUBSTITUTE(SUBSTITUTE(SUBSTITUTE(SUBSTITUTE(TRIM(D38),"　","")," ",""),",",""),"，",""),"、","")),
IF(_xlpm.resp="",99,
SUMPRODUCT(--(ISNUMBER(SEARCH(_xlpm.opts,_xlpm.ans))&lt;&gt;ISNUMBER(SEARCH(_xlpm.opts,_xlpm.resp)))))
)</f>
        <v>0</v>
      </c>
      <c r="J38" s="53" cm="1">
        <f t="array" ref="J38">_xlfn.LET(
_xlpm.opts,{"A","B","C","D","E"},
_xlpm.ans,UPPER(SUBSTITUTE(SUBSTITUTE(SUBSTITUTE(SUBSTITUTE(SUBSTITUTE(TRIM($B38),"　","")," ",""),",",""),"，",""),"、","")),
_xlpm.resp,UPPER(SUBSTITUTE(SUBSTITUTE(SUBSTITUTE(SUBSTITUTE(SUBSTITUTE(TRIM(E38),"　","")," ",""),",",""),"，",""),"、","")),
IF(_xlpm.resp="",99,
SUMPRODUCT(--(ISNUMBER(SEARCH(_xlpm.opts,_xlpm.ans))&lt;&gt;ISNUMBER(SEARCH(_xlpm.opts,_xlpm.resp)))))
)</f>
        <v>0</v>
      </c>
      <c r="K38" s="53" cm="1">
        <f t="array" ref="K38">_xlfn.LET(
_xlpm.opts,{"A","B","C","D","E"},
_xlpm.ans,UPPER(SUBSTITUTE(SUBSTITUTE(SUBSTITUTE(SUBSTITUTE(SUBSTITUTE(TRIM($B38),"　","")," ",""),",",""),"，",""),"、","")),
_xlpm.resp,UPPER(SUBSTITUTE(SUBSTITUTE(SUBSTITUTE(SUBSTITUTE(SUBSTITUTE(TRIM(F38),"　","")," ",""),",",""),"，",""),"、","")),
IF(_xlpm.resp="",99,
SUMPRODUCT(--(ISNUMBER(SEARCH(_xlpm.opts,_xlpm.ans))&lt;&gt;ISNUMBER(SEARCH(_xlpm.opts,_xlpm.resp)))))
)</f>
        <v>0</v>
      </c>
      <c r="L38" s="53" cm="1">
        <f t="array" ref="L38">_xlfn.LET(
_xlpm.opts,{"A","B","C","D","E"},
_xlpm.ans,UPPER(SUBSTITUTE(SUBSTITUTE(SUBSTITUTE(SUBSTITUTE(SUBSTITUTE(TRIM($B38),"　","")," ",""),",",""),"，",""),"、","")),
_xlpm.resp,UPPER(SUBSTITUTE(SUBSTITUTE(SUBSTITUTE(SUBSTITUTE(SUBSTITUTE(TRIM(G38),"　","")," ",""),",",""),"，",""),"、","")),
IF(_xlpm.resp="",99,
SUMPRODUCT(--(ISNUMBER(SEARCH(_xlpm.opts,_xlpm.ans))&lt;&gt;ISNUMBER(SEARCH(_xlpm.opts,_xlpm.resp)))))
)</f>
        <v>1</v>
      </c>
      <c r="M38" s="54">
        <f t="shared" si="26"/>
        <v>1.8</v>
      </c>
      <c r="N38" s="54">
        <f t="shared" si="25"/>
        <v>3</v>
      </c>
      <c r="O38" s="54">
        <f t="shared" si="25"/>
        <v>3</v>
      </c>
      <c r="P38" s="54">
        <f t="shared" si="25"/>
        <v>3</v>
      </c>
      <c r="Q38" s="54">
        <f t="shared" si="25"/>
        <v>1.8</v>
      </c>
      <c r="R38" s="11"/>
      <c r="S38" s="11"/>
      <c r="T38" s="11"/>
      <c r="U38" s="11"/>
      <c r="V38" s="11"/>
      <c r="W38" s="11"/>
      <c r="X38" s="11"/>
      <c r="Y38" s="11"/>
      <c r="Z38" s="11"/>
      <c r="AA38" s="11"/>
      <c r="AB38" s="11"/>
      <c r="AC38" s="11"/>
      <c r="AD38" s="11"/>
      <c r="AE38" s="11"/>
      <c r="AF38" s="11"/>
      <c r="AG38" s="11"/>
      <c r="AH38" s="11"/>
      <c r="AI38" s="11"/>
      <c r="AJ38" s="11"/>
      <c r="AK38" s="11"/>
    </row>
    <row r="39" spans="1:37" ht="15.75" customHeight="1">
      <c r="A39" s="46" t="s">
        <v>486</v>
      </c>
      <c r="B39" s="47" t="s">
        <v>485</v>
      </c>
      <c r="C39" s="50" t="s">
        <v>90</v>
      </c>
      <c r="D39" s="50" t="s">
        <v>134</v>
      </c>
      <c r="E39" s="50" t="s">
        <v>53</v>
      </c>
      <c r="F39" s="50" t="s">
        <v>90</v>
      </c>
      <c r="G39" s="50" t="s">
        <v>134</v>
      </c>
      <c r="H39" s="53" cm="1">
        <f t="array" ref="H39">_xlfn.LET(
_xlpm.opts,{"A","B","C","D","E"},
_xlpm.ans,UPPER(SUBSTITUTE(SUBSTITUTE(SUBSTITUTE(SUBSTITUTE(SUBSTITUTE(TRIM($B39),"　","")," ",""),",",""),"，",""),"、","")),
_xlpm.resp,UPPER(SUBSTITUTE(SUBSTITUTE(SUBSTITUTE(SUBSTITUTE(SUBSTITUTE(TRIM(C39),"　","")," ",""),",",""),"，",""),"、","")),
IF(_xlpm.resp="",99,
SUMPRODUCT(--(ISNUMBER(SEARCH(_xlpm.opts,_xlpm.ans))&lt;&gt;ISNUMBER(SEARCH(_xlpm.opts,_xlpm.resp)))))
)</f>
        <v>0</v>
      </c>
      <c r="I39" s="53" cm="1">
        <f t="array" ref="I39">_xlfn.LET(
_xlpm.opts,{"A","B","C","D","E"},
_xlpm.ans,UPPER(SUBSTITUTE(SUBSTITUTE(SUBSTITUTE(SUBSTITUTE(SUBSTITUTE(TRIM($B39),"　","")," ",""),",",""),"，",""),"、","")),
_xlpm.resp,UPPER(SUBSTITUTE(SUBSTITUTE(SUBSTITUTE(SUBSTITUTE(SUBSTITUTE(TRIM(D39),"　","")," ",""),",",""),"，",""),"、","")),
IF(_xlpm.resp="",99,
SUMPRODUCT(--(ISNUMBER(SEARCH(_xlpm.opts,_xlpm.ans))&lt;&gt;ISNUMBER(SEARCH(_xlpm.opts,_xlpm.resp)))))
)</f>
        <v>1</v>
      </c>
      <c r="J39" s="53" cm="1">
        <f t="array" ref="J39">_xlfn.LET(
_xlpm.opts,{"A","B","C","D","E"},
_xlpm.ans,UPPER(SUBSTITUTE(SUBSTITUTE(SUBSTITUTE(SUBSTITUTE(SUBSTITUTE(TRIM($B39),"　","")," ",""),",",""),"，",""),"、","")),
_xlpm.resp,UPPER(SUBSTITUTE(SUBSTITUTE(SUBSTITUTE(SUBSTITUTE(SUBSTITUTE(TRIM(E39),"　","")," ",""),",",""),"，",""),"、","")),
IF(_xlpm.resp="",99,
SUMPRODUCT(--(ISNUMBER(SEARCH(_xlpm.opts,_xlpm.ans))&lt;&gt;ISNUMBER(SEARCH(_xlpm.opts,_xlpm.resp)))))
)</f>
        <v>2</v>
      </c>
      <c r="K39" s="53" cm="1">
        <f t="array" ref="K39">_xlfn.LET(
_xlpm.opts,{"A","B","C","D","E"},
_xlpm.ans,UPPER(SUBSTITUTE(SUBSTITUTE(SUBSTITUTE(SUBSTITUTE(SUBSTITUTE(TRIM($B39),"　","")," ",""),",",""),"，",""),"、","")),
_xlpm.resp,UPPER(SUBSTITUTE(SUBSTITUTE(SUBSTITUTE(SUBSTITUTE(SUBSTITUTE(TRIM(F39),"　","")," ",""),",",""),"，",""),"、","")),
IF(_xlpm.resp="",99,
SUMPRODUCT(--(ISNUMBER(SEARCH(_xlpm.opts,_xlpm.ans))&lt;&gt;ISNUMBER(SEARCH(_xlpm.opts,_xlpm.resp)))))
)</f>
        <v>0</v>
      </c>
      <c r="L39" s="53" cm="1">
        <f t="array" ref="L39">_xlfn.LET(
_xlpm.opts,{"A","B","C","D","E"},
_xlpm.ans,UPPER(SUBSTITUTE(SUBSTITUTE(SUBSTITUTE(SUBSTITUTE(SUBSTITUTE(TRIM($B39),"　","")," ",""),",",""),"，",""),"、","")),
_xlpm.resp,UPPER(SUBSTITUTE(SUBSTITUTE(SUBSTITUTE(SUBSTITUTE(SUBSTITUTE(TRIM(G39),"　","")," ",""),",",""),"，",""),"、","")),
IF(_xlpm.resp="",99,
SUMPRODUCT(--(ISNUMBER(SEARCH(_xlpm.opts,_xlpm.ans))&lt;&gt;ISNUMBER(SEARCH(_xlpm.opts,_xlpm.resp)))))
)</f>
        <v>1</v>
      </c>
      <c r="M39" s="54">
        <f t="shared" si="26"/>
        <v>3</v>
      </c>
      <c r="N39" s="54">
        <f t="shared" si="25"/>
        <v>1.8</v>
      </c>
      <c r="O39" s="54">
        <f t="shared" si="25"/>
        <v>0.6</v>
      </c>
      <c r="P39" s="54">
        <f t="shared" si="25"/>
        <v>3</v>
      </c>
      <c r="Q39" s="54">
        <f t="shared" si="25"/>
        <v>1.8</v>
      </c>
      <c r="R39" s="11"/>
      <c r="S39" s="11"/>
      <c r="T39" s="11"/>
      <c r="U39" s="11"/>
      <c r="V39" s="11"/>
      <c r="W39" s="11"/>
      <c r="X39" s="11"/>
      <c r="Y39" s="11"/>
      <c r="Z39" s="11"/>
      <c r="AA39" s="11"/>
      <c r="AB39" s="11"/>
      <c r="AC39" s="11"/>
      <c r="AD39" s="11"/>
      <c r="AE39" s="11"/>
      <c r="AF39" s="11"/>
      <c r="AG39" s="11"/>
      <c r="AH39" s="11"/>
      <c r="AI39" s="11"/>
      <c r="AJ39" s="11"/>
      <c r="AK39" s="11"/>
    </row>
    <row r="40" spans="1:37" ht="15.75" customHeight="1">
      <c r="A40" s="49" t="s">
        <v>487</v>
      </c>
      <c r="B40" s="47"/>
      <c r="C40" s="50"/>
      <c r="D40" s="50"/>
      <c r="E40" s="50"/>
      <c r="F40" s="50"/>
      <c r="G40" s="50"/>
      <c r="H40" s="50"/>
      <c r="I40" s="50"/>
      <c r="J40" s="50"/>
      <c r="K40" s="50"/>
      <c r="L40" s="50"/>
      <c r="M40" s="48"/>
      <c r="N40" s="48"/>
      <c r="O40" s="48"/>
      <c r="P40" s="27"/>
      <c r="Q40" s="27"/>
      <c r="R40" s="11"/>
      <c r="S40" s="11"/>
      <c r="T40" s="11"/>
      <c r="U40" s="11"/>
      <c r="V40" s="11"/>
      <c r="W40" s="11"/>
      <c r="X40" s="11"/>
      <c r="Y40" s="11"/>
      <c r="Z40" s="11"/>
      <c r="AA40" s="11"/>
      <c r="AB40" s="11"/>
      <c r="AC40" s="11"/>
      <c r="AD40" s="11"/>
      <c r="AE40" s="11"/>
      <c r="AF40" s="11"/>
      <c r="AG40" s="11"/>
      <c r="AH40" s="11"/>
      <c r="AI40" s="11"/>
      <c r="AJ40" s="11"/>
      <c r="AK40" s="11"/>
    </row>
    <row r="41" spans="1:37" ht="15.75" customHeight="1">
      <c r="A41" s="46" t="s">
        <v>488</v>
      </c>
      <c r="B41" s="47" t="s">
        <v>376</v>
      </c>
      <c r="C41" s="50" t="s">
        <v>39</v>
      </c>
      <c r="D41" s="50" t="s">
        <v>136</v>
      </c>
      <c r="E41" s="50" t="s">
        <v>23</v>
      </c>
      <c r="F41" s="50" t="s">
        <v>57</v>
      </c>
      <c r="G41" s="50" t="s">
        <v>57</v>
      </c>
      <c r="H41" s="53" cm="1">
        <f t="array" ref="H41">_xlfn.LET(
_xlpm.opts,{"A","B","C","D","E"},
_xlpm.ans,UPPER(SUBSTITUTE(SUBSTITUTE(SUBSTITUTE(SUBSTITUTE(SUBSTITUTE(TRIM($B41),"　","")," ",""),",",""),"，",""),"、","")),
_xlpm.resp,UPPER(SUBSTITUTE(SUBSTITUTE(SUBSTITUTE(SUBSTITUTE(SUBSTITUTE(TRIM(C41),"　","")," ",""),",",""),"，",""),"、","")),
IF(_xlpm.resp="",99,
SUMPRODUCT(--(ISNUMBER(SEARCH(_xlpm.opts,_xlpm.ans))&lt;&gt;ISNUMBER(SEARCH(_xlpm.opts,_xlpm.resp)))))
)</f>
        <v>1</v>
      </c>
      <c r="I41" s="53" cm="1">
        <f t="array" ref="I41">_xlfn.LET(
_xlpm.opts,{"A","B","C","D","E"},
_xlpm.ans,UPPER(SUBSTITUTE(SUBSTITUTE(SUBSTITUTE(SUBSTITUTE(SUBSTITUTE(TRIM($B41),"　","")," ",""),",",""),"，",""),"、","")),
_xlpm.resp,UPPER(SUBSTITUTE(SUBSTITUTE(SUBSTITUTE(SUBSTITUTE(SUBSTITUTE(TRIM(D41),"　","")," ",""),",",""),"，",""),"、","")),
IF(_xlpm.resp="",99,
SUMPRODUCT(--(ISNUMBER(SEARCH(_xlpm.opts,_xlpm.ans))&lt;&gt;ISNUMBER(SEARCH(_xlpm.opts,_xlpm.resp)))))
)</f>
        <v>2</v>
      </c>
      <c r="J41" s="53" cm="1">
        <f t="array" ref="J41">_xlfn.LET(
_xlpm.opts,{"A","B","C","D","E"},
_xlpm.ans,UPPER(SUBSTITUTE(SUBSTITUTE(SUBSTITUTE(SUBSTITUTE(SUBSTITUTE(TRIM($B41),"　","")," ",""),",",""),"，",""),"、","")),
_xlpm.resp,UPPER(SUBSTITUTE(SUBSTITUTE(SUBSTITUTE(SUBSTITUTE(SUBSTITUTE(TRIM(E41),"　","")," ",""),",",""),"，",""),"、","")),
IF(_xlpm.resp="",99,
SUMPRODUCT(--(ISNUMBER(SEARCH(_xlpm.opts,_xlpm.ans))&lt;&gt;ISNUMBER(SEARCH(_xlpm.opts,_xlpm.resp)))))
)</f>
        <v>2</v>
      </c>
      <c r="K41" s="53" cm="1">
        <f t="array" ref="K41">_xlfn.LET(
_xlpm.opts,{"A","B","C","D","E"},
_xlpm.ans,UPPER(SUBSTITUTE(SUBSTITUTE(SUBSTITUTE(SUBSTITUTE(SUBSTITUTE(TRIM($B41),"　","")," ",""),",",""),"，",""),"、","")),
_xlpm.resp,UPPER(SUBSTITUTE(SUBSTITUTE(SUBSTITUTE(SUBSTITUTE(SUBSTITUTE(TRIM(F41),"　","")," ",""),",",""),"，",""),"、","")),
IF(_xlpm.resp="",99,
SUMPRODUCT(--(ISNUMBER(SEARCH(_xlpm.opts,_xlpm.ans))&lt;&gt;ISNUMBER(SEARCH(_xlpm.opts,_xlpm.resp)))))
)</f>
        <v>0</v>
      </c>
      <c r="L41" s="53" cm="1">
        <f t="array" ref="L41">_xlfn.LET(
_xlpm.opts,{"A","B","C","D","E"},
_xlpm.ans,UPPER(SUBSTITUTE(SUBSTITUTE(SUBSTITUTE(SUBSTITUTE(SUBSTITUTE(TRIM($B41),"　","")," ",""),",",""),"，",""),"、","")),
_xlpm.resp,UPPER(SUBSTITUTE(SUBSTITUTE(SUBSTITUTE(SUBSTITUTE(SUBSTITUTE(TRIM(G41),"　","")," ",""),",",""),"，",""),"、","")),
IF(_xlpm.resp="",99,
SUMPRODUCT(--(ISNUMBER(SEARCH(_xlpm.opts,_xlpm.ans))&lt;&gt;ISNUMBER(SEARCH(_xlpm.opts,_xlpm.resp)))))
)</f>
        <v>0</v>
      </c>
      <c r="M41" s="54">
        <f>IF(H41=0,3,IF(H41=1,1.8,IF(H41=2,0.6,0)))</f>
        <v>1.8</v>
      </c>
      <c r="N41" s="54">
        <f t="shared" ref="N41:N42" si="27">IF(I41=0,3,IF(I41=1,1.8,IF(I41=2,0.6,0)))</f>
        <v>0.6</v>
      </c>
      <c r="O41" s="54">
        <f t="shared" ref="O41:O42" si="28">IF(J41=0,3,IF(J41=1,1.8,IF(J41=2,0.6,0)))</f>
        <v>0.6</v>
      </c>
      <c r="P41" s="54">
        <f t="shared" ref="P41:P42" si="29">IF(K41=0,3,IF(K41=1,1.8,IF(K41=2,0.6,0)))</f>
        <v>3</v>
      </c>
      <c r="Q41" s="54">
        <f t="shared" ref="Q41:Q42" si="30">IF(L41=0,3,IF(L41=1,1.8,IF(L41=2,0.6,0)))</f>
        <v>3</v>
      </c>
      <c r="R41" s="11"/>
      <c r="S41" s="11"/>
      <c r="T41" s="11"/>
      <c r="U41" s="11"/>
      <c r="V41" s="11"/>
      <c r="W41" s="11"/>
      <c r="X41" s="11"/>
      <c r="Y41" s="11"/>
      <c r="Z41" s="11"/>
      <c r="AA41" s="11"/>
      <c r="AB41" s="11"/>
      <c r="AC41" s="11"/>
      <c r="AD41" s="11"/>
      <c r="AE41" s="11"/>
      <c r="AF41" s="11"/>
      <c r="AG41" s="11"/>
      <c r="AH41" s="11"/>
      <c r="AI41" s="11"/>
      <c r="AJ41" s="11"/>
      <c r="AK41" s="11"/>
    </row>
    <row r="42" spans="1:37" ht="15.75" customHeight="1">
      <c r="A42" s="46" t="s">
        <v>489</v>
      </c>
      <c r="B42" s="47" t="s">
        <v>206</v>
      </c>
      <c r="C42" s="50" t="s">
        <v>94</v>
      </c>
      <c r="D42" s="50" t="s">
        <v>94</v>
      </c>
      <c r="E42" s="50" t="s">
        <v>134</v>
      </c>
      <c r="F42" s="50" t="s">
        <v>134</v>
      </c>
      <c r="G42" s="50" t="s">
        <v>134</v>
      </c>
      <c r="H42" s="53" cm="1">
        <f t="array" ref="H42">_xlfn.LET(
_xlpm.opts,{"A","B","C","D","E"},
_xlpm.ans,UPPER(SUBSTITUTE(SUBSTITUTE(SUBSTITUTE(SUBSTITUTE(SUBSTITUTE(TRIM($B42),"　","")," ",""),",",""),"，",""),"、","")),
_xlpm.resp,UPPER(SUBSTITUTE(SUBSTITUTE(SUBSTITUTE(SUBSTITUTE(SUBSTITUTE(TRIM(C42),"　","")," ",""),",",""),"，",""),"、","")),
IF(_xlpm.resp="",99,
SUMPRODUCT(--(ISNUMBER(SEARCH(_xlpm.opts,_xlpm.ans))&lt;&gt;ISNUMBER(SEARCH(_xlpm.opts,_xlpm.resp)))))
)</f>
        <v>1</v>
      </c>
      <c r="I42" s="53" cm="1">
        <f t="array" ref="I42">_xlfn.LET(
_xlpm.opts,{"A","B","C","D","E"},
_xlpm.ans,UPPER(SUBSTITUTE(SUBSTITUTE(SUBSTITUTE(SUBSTITUTE(SUBSTITUTE(TRIM($B42),"　","")," ",""),",",""),"，",""),"、","")),
_xlpm.resp,UPPER(SUBSTITUTE(SUBSTITUTE(SUBSTITUTE(SUBSTITUTE(SUBSTITUTE(TRIM(D42),"　","")," ",""),",",""),"，",""),"、","")),
IF(_xlpm.resp="",99,
SUMPRODUCT(--(ISNUMBER(SEARCH(_xlpm.opts,_xlpm.ans))&lt;&gt;ISNUMBER(SEARCH(_xlpm.opts,_xlpm.resp)))))
)</f>
        <v>1</v>
      </c>
      <c r="J42" s="53" cm="1">
        <f t="array" ref="J42">_xlfn.LET(
_xlpm.opts,{"A","B","C","D","E"},
_xlpm.ans,UPPER(SUBSTITUTE(SUBSTITUTE(SUBSTITUTE(SUBSTITUTE(SUBSTITUTE(TRIM($B42),"　","")," ",""),",",""),"，",""),"、","")),
_xlpm.resp,UPPER(SUBSTITUTE(SUBSTITUTE(SUBSTITUTE(SUBSTITUTE(SUBSTITUTE(TRIM(E42),"　","")," ",""),",",""),"，",""),"、","")),
IF(_xlpm.resp="",99,
SUMPRODUCT(--(ISNUMBER(SEARCH(_xlpm.opts,_xlpm.ans))&lt;&gt;ISNUMBER(SEARCH(_xlpm.opts,_xlpm.resp)))))
)</f>
        <v>0</v>
      </c>
      <c r="K42" s="53" cm="1">
        <f t="array" ref="K42">_xlfn.LET(
_xlpm.opts,{"A","B","C","D","E"},
_xlpm.ans,UPPER(SUBSTITUTE(SUBSTITUTE(SUBSTITUTE(SUBSTITUTE(SUBSTITUTE(TRIM($B42),"　","")," ",""),",",""),"，",""),"、","")),
_xlpm.resp,UPPER(SUBSTITUTE(SUBSTITUTE(SUBSTITUTE(SUBSTITUTE(SUBSTITUTE(TRIM(F42),"　","")," ",""),",",""),"，",""),"、","")),
IF(_xlpm.resp="",99,
SUMPRODUCT(--(ISNUMBER(SEARCH(_xlpm.opts,_xlpm.ans))&lt;&gt;ISNUMBER(SEARCH(_xlpm.opts,_xlpm.resp)))))
)</f>
        <v>0</v>
      </c>
      <c r="L42" s="53" cm="1">
        <f t="array" ref="L42">_xlfn.LET(
_xlpm.opts,{"A","B","C","D","E"},
_xlpm.ans,UPPER(SUBSTITUTE(SUBSTITUTE(SUBSTITUTE(SUBSTITUTE(SUBSTITUTE(TRIM($B42),"　","")," ",""),",",""),"，",""),"、","")),
_xlpm.resp,UPPER(SUBSTITUTE(SUBSTITUTE(SUBSTITUTE(SUBSTITUTE(SUBSTITUTE(TRIM(G42),"　","")," ",""),",",""),"，",""),"、","")),
IF(_xlpm.resp="",99,
SUMPRODUCT(--(ISNUMBER(SEARCH(_xlpm.opts,_xlpm.ans))&lt;&gt;ISNUMBER(SEARCH(_xlpm.opts,_xlpm.resp)))))
)</f>
        <v>0</v>
      </c>
      <c r="M42" s="54">
        <f>IF(H42=0,3,IF(H42=1,1.8,IF(H42=2,0.6,0)))</f>
        <v>1.8</v>
      </c>
      <c r="N42" s="54">
        <f t="shared" si="27"/>
        <v>1.8</v>
      </c>
      <c r="O42" s="54">
        <f t="shared" si="28"/>
        <v>3</v>
      </c>
      <c r="P42" s="54">
        <f t="shared" si="29"/>
        <v>3</v>
      </c>
      <c r="Q42" s="54">
        <f t="shared" si="30"/>
        <v>3</v>
      </c>
      <c r="R42" s="11"/>
      <c r="S42" s="11"/>
      <c r="T42" s="11"/>
      <c r="U42" s="11"/>
      <c r="V42" s="11"/>
      <c r="W42" s="11"/>
      <c r="X42" s="11"/>
      <c r="Y42" s="11"/>
      <c r="Z42" s="11"/>
      <c r="AA42" s="11"/>
      <c r="AB42" s="11"/>
      <c r="AC42" s="11"/>
      <c r="AD42" s="11"/>
      <c r="AE42" s="11"/>
      <c r="AF42" s="11"/>
      <c r="AG42" s="11"/>
      <c r="AH42" s="11"/>
      <c r="AI42" s="11"/>
      <c r="AJ42" s="11"/>
      <c r="AK42" s="11"/>
    </row>
    <row r="43" spans="1:37" ht="15.75" customHeight="1">
      <c r="A43" s="49" t="s">
        <v>490</v>
      </c>
      <c r="B43" s="47"/>
      <c r="C43" s="50"/>
      <c r="D43" s="50"/>
      <c r="E43" s="50"/>
      <c r="F43" s="50"/>
      <c r="G43" s="50"/>
      <c r="H43" s="50"/>
      <c r="I43" s="50"/>
      <c r="J43" s="50"/>
      <c r="K43" s="50"/>
      <c r="L43" s="50"/>
      <c r="M43" s="48"/>
      <c r="N43" s="48"/>
      <c r="O43" s="48"/>
      <c r="P43" s="27"/>
      <c r="Q43" s="27"/>
      <c r="R43" s="11"/>
      <c r="S43" s="11"/>
      <c r="T43" s="11"/>
      <c r="U43" s="11"/>
      <c r="V43" s="11"/>
      <c r="W43" s="11"/>
      <c r="X43" s="11"/>
      <c r="Y43" s="11"/>
      <c r="Z43" s="11"/>
      <c r="AA43" s="11"/>
      <c r="AB43" s="11"/>
      <c r="AC43" s="11"/>
      <c r="AD43" s="11"/>
      <c r="AE43" s="11"/>
      <c r="AF43" s="11"/>
      <c r="AG43" s="11"/>
      <c r="AH43" s="11"/>
      <c r="AI43" s="11"/>
      <c r="AJ43" s="11"/>
      <c r="AK43" s="11"/>
    </row>
    <row r="44" spans="1:37" ht="15.75" customHeight="1">
      <c r="A44" s="69" t="s">
        <v>491</v>
      </c>
      <c r="B44" s="47" t="s">
        <v>492</v>
      </c>
      <c r="C44" s="75" t="s">
        <v>493</v>
      </c>
      <c r="D44" s="75" t="s">
        <v>494</v>
      </c>
      <c r="E44" s="75" t="s">
        <v>495</v>
      </c>
      <c r="F44" s="75" t="s">
        <v>496</v>
      </c>
      <c r="G44" s="75" t="s">
        <v>497</v>
      </c>
      <c r="H44" s="75"/>
      <c r="I44" s="50"/>
      <c r="J44" s="50"/>
      <c r="K44" s="50"/>
      <c r="L44" s="50"/>
      <c r="M44" s="71">
        <v>6</v>
      </c>
      <c r="N44" s="71">
        <v>6</v>
      </c>
      <c r="O44" s="71">
        <v>4</v>
      </c>
      <c r="P44" s="76">
        <v>6</v>
      </c>
      <c r="Q44" s="76">
        <v>6</v>
      </c>
      <c r="R44" s="11"/>
      <c r="S44" s="11"/>
      <c r="T44" s="11"/>
      <c r="U44" s="11"/>
      <c r="V44" s="11"/>
      <c r="W44" s="11"/>
      <c r="X44" s="11"/>
      <c r="Y44" s="11"/>
      <c r="Z44" s="11"/>
      <c r="AA44" s="11"/>
      <c r="AB44" s="11"/>
      <c r="AC44" s="11"/>
      <c r="AD44" s="11"/>
      <c r="AE44" s="11"/>
      <c r="AF44" s="11"/>
      <c r="AG44" s="11"/>
      <c r="AH44" s="11"/>
      <c r="AI44" s="11"/>
      <c r="AJ44" s="11"/>
      <c r="AK44" s="11"/>
    </row>
    <row r="45" spans="1:37" ht="15.75" customHeight="1">
      <c r="A45" s="46" t="s">
        <v>498</v>
      </c>
      <c r="B45" s="47" t="s">
        <v>162</v>
      </c>
      <c r="C45" s="50" t="s">
        <v>17</v>
      </c>
      <c r="D45" s="50" t="s">
        <v>17</v>
      </c>
      <c r="E45" s="50" t="s">
        <v>17</v>
      </c>
      <c r="F45" s="50" t="s">
        <v>17</v>
      </c>
      <c r="G45" s="50" t="s">
        <v>17</v>
      </c>
      <c r="H45" s="50"/>
      <c r="I45" s="50"/>
      <c r="J45" s="50"/>
      <c r="K45" s="50"/>
      <c r="L45" s="50"/>
      <c r="M45" s="48">
        <f t="shared" ref="M45:Q45" si="31">IF(TRIM(SUBSTITUTE(C45, "　", " "))=TRIM(SUBSTITUTE($B45, "　", " ")), 2, 0)</f>
        <v>2</v>
      </c>
      <c r="N45" s="48">
        <f t="shared" si="31"/>
        <v>2</v>
      </c>
      <c r="O45" s="48">
        <f t="shared" si="31"/>
        <v>2</v>
      </c>
      <c r="P45" s="48">
        <f t="shared" si="31"/>
        <v>2</v>
      </c>
      <c r="Q45" s="48">
        <f t="shared" si="31"/>
        <v>2</v>
      </c>
      <c r="R45" s="11"/>
      <c r="S45" s="11"/>
      <c r="T45" s="11"/>
      <c r="U45" s="11"/>
      <c r="V45" s="11"/>
      <c r="W45" s="11"/>
      <c r="X45" s="11"/>
      <c r="Y45" s="11"/>
      <c r="Z45" s="11"/>
      <c r="AA45" s="11"/>
      <c r="AB45" s="11"/>
      <c r="AC45" s="11"/>
      <c r="AD45" s="11"/>
      <c r="AE45" s="11"/>
      <c r="AF45" s="11"/>
      <c r="AG45" s="11"/>
      <c r="AH45" s="11"/>
      <c r="AI45" s="11"/>
      <c r="AJ45" s="11"/>
      <c r="AK45" s="11"/>
    </row>
    <row r="46" spans="1:37" ht="15.75" customHeight="1">
      <c r="A46" s="69" t="s">
        <v>499</v>
      </c>
      <c r="B46" s="47" t="s">
        <v>500</v>
      </c>
      <c r="C46" s="50" t="s">
        <v>501</v>
      </c>
      <c r="D46" s="68" t="s">
        <v>502</v>
      </c>
      <c r="E46" s="68" t="s">
        <v>503</v>
      </c>
      <c r="F46" s="24" t="s">
        <v>504</v>
      </c>
      <c r="G46" s="68" t="s">
        <v>505</v>
      </c>
      <c r="H46" s="50"/>
      <c r="I46" s="50"/>
      <c r="J46" s="50"/>
      <c r="K46" s="50"/>
      <c r="L46" s="50"/>
      <c r="M46" s="71">
        <v>6</v>
      </c>
      <c r="N46" s="71">
        <v>6</v>
      </c>
      <c r="O46" s="71">
        <v>4</v>
      </c>
      <c r="P46" s="76">
        <v>6</v>
      </c>
      <c r="Q46" s="76">
        <v>6</v>
      </c>
      <c r="R46" s="11"/>
      <c r="S46" s="11"/>
      <c r="T46" s="11"/>
      <c r="U46" s="11"/>
      <c r="V46" s="11"/>
      <c r="W46" s="11"/>
      <c r="X46" s="11"/>
      <c r="Y46" s="11"/>
      <c r="Z46" s="11"/>
      <c r="AA46" s="11"/>
      <c r="AB46" s="11"/>
      <c r="AC46" s="11"/>
      <c r="AD46" s="11"/>
      <c r="AE46" s="11"/>
      <c r="AF46" s="11"/>
      <c r="AG46" s="11"/>
      <c r="AH46" s="11"/>
      <c r="AI46" s="11"/>
      <c r="AJ46" s="11"/>
      <c r="AK46" s="11"/>
    </row>
    <row r="47" spans="1:37" ht="15.75" customHeight="1">
      <c r="A47" s="49" t="s">
        <v>506</v>
      </c>
      <c r="B47" s="47"/>
      <c r="C47" s="50"/>
      <c r="D47" s="50"/>
      <c r="E47" s="50"/>
      <c r="F47" s="50"/>
      <c r="G47" s="50"/>
      <c r="H47" s="50"/>
      <c r="I47" s="50"/>
      <c r="J47" s="50"/>
      <c r="K47" s="50"/>
      <c r="L47" s="50"/>
      <c r="M47" s="77"/>
      <c r="N47" s="77"/>
      <c r="O47" s="77"/>
      <c r="P47" s="29"/>
      <c r="Q47" s="29"/>
      <c r="R47" s="11"/>
      <c r="S47" s="11"/>
      <c r="T47" s="11"/>
      <c r="U47" s="11"/>
      <c r="V47" s="11"/>
      <c r="W47" s="11"/>
      <c r="X47" s="11"/>
      <c r="Y47" s="11"/>
      <c r="Z47" s="11"/>
      <c r="AA47" s="11"/>
      <c r="AB47" s="11"/>
      <c r="AC47" s="11"/>
      <c r="AD47" s="11"/>
      <c r="AE47" s="11"/>
      <c r="AF47" s="11"/>
      <c r="AG47" s="11"/>
      <c r="AH47" s="11"/>
      <c r="AI47" s="11"/>
      <c r="AJ47" s="11"/>
      <c r="AK47" s="11"/>
    </row>
    <row r="48" spans="1:37" ht="15.75" customHeight="1">
      <c r="A48" s="46" t="s">
        <v>507</v>
      </c>
      <c r="B48" s="47" t="s">
        <v>162</v>
      </c>
      <c r="C48" s="50" t="s">
        <v>23</v>
      </c>
      <c r="D48" s="50" t="s">
        <v>17</v>
      </c>
      <c r="E48" s="50" t="s">
        <v>17</v>
      </c>
      <c r="F48" s="50" t="s">
        <v>17</v>
      </c>
      <c r="G48" s="50" t="s">
        <v>17</v>
      </c>
      <c r="H48" s="50"/>
      <c r="I48" s="50"/>
      <c r="J48" s="50"/>
      <c r="K48" s="50"/>
      <c r="L48" s="50"/>
      <c r="M48" s="48">
        <f t="shared" ref="M48:Q48" si="32">IF(TRIM(SUBSTITUTE(C48, "　", " "))=TRIM(SUBSTITUTE($B48, "　", " ")), 2, 0)</f>
        <v>0</v>
      </c>
      <c r="N48" s="48">
        <f t="shared" si="32"/>
        <v>2</v>
      </c>
      <c r="O48" s="48">
        <f t="shared" si="32"/>
        <v>2</v>
      </c>
      <c r="P48" s="48">
        <f t="shared" si="32"/>
        <v>2</v>
      </c>
      <c r="Q48" s="48">
        <f t="shared" si="32"/>
        <v>2</v>
      </c>
      <c r="R48" s="11"/>
      <c r="S48" s="11"/>
      <c r="T48" s="11"/>
      <c r="U48" s="11"/>
      <c r="V48" s="11"/>
      <c r="W48" s="11"/>
      <c r="X48" s="11"/>
      <c r="Y48" s="11"/>
      <c r="Z48" s="11"/>
      <c r="AA48" s="11"/>
      <c r="AB48" s="11"/>
      <c r="AC48" s="11"/>
      <c r="AD48" s="11"/>
      <c r="AE48" s="11"/>
      <c r="AF48" s="11"/>
      <c r="AG48" s="11"/>
      <c r="AH48" s="11"/>
      <c r="AI48" s="11"/>
      <c r="AJ48" s="11"/>
      <c r="AK48" s="11"/>
    </row>
    <row r="49" spans="1:37" ht="15.75" customHeight="1">
      <c r="A49" s="69" t="s">
        <v>508</v>
      </c>
      <c r="B49" s="47" t="s">
        <v>509</v>
      </c>
      <c r="C49" s="50" t="s">
        <v>510</v>
      </c>
      <c r="D49" s="68" t="s">
        <v>511</v>
      </c>
      <c r="E49" s="24" t="s">
        <v>512</v>
      </c>
      <c r="F49" s="78" t="s">
        <v>513</v>
      </c>
      <c r="G49" s="24" t="s">
        <v>514</v>
      </c>
      <c r="H49" s="50"/>
      <c r="I49" s="50"/>
      <c r="J49" s="50"/>
      <c r="K49" s="50"/>
      <c r="L49" s="50"/>
      <c r="M49" s="71">
        <v>4</v>
      </c>
      <c r="N49" s="71">
        <v>6</v>
      </c>
      <c r="O49" s="71">
        <v>4</v>
      </c>
      <c r="P49" s="76">
        <v>6</v>
      </c>
      <c r="Q49" s="76">
        <v>6</v>
      </c>
      <c r="R49" s="11"/>
      <c r="S49" s="11"/>
      <c r="T49" s="11"/>
      <c r="U49" s="11"/>
      <c r="V49" s="11"/>
      <c r="W49" s="11"/>
      <c r="X49" s="11"/>
      <c r="Y49" s="11"/>
      <c r="Z49" s="11"/>
      <c r="AA49" s="11"/>
      <c r="AB49" s="11"/>
      <c r="AC49" s="11"/>
      <c r="AD49" s="11"/>
      <c r="AE49" s="11"/>
      <c r="AF49" s="11"/>
      <c r="AG49" s="11"/>
      <c r="AH49" s="11"/>
      <c r="AI49" s="11"/>
      <c r="AJ49" s="11"/>
      <c r="AK49" s="11"/>
    </row>
    <row r="50" spans="1:37" ht="15.75" customHeight="1">
      <c r="A50" s="24"/>
      <c r="B50" s="25"/>
      <c r="C50" s="26"/>
      <c r="D50" s="26"/>
      <c r="E50" s="26"/>
      <c r="F50" s="26"/>
      <c r="G50" s="26"/>
      <c r="H50" s="26"/>
      <c r="I50" s="26"/>
      <c r="J50" s="26"/>
      <c r="K50" s="26"/>
      <c r="L50" s="26"/>
      <c r="M50" s="27"/>
      <c r="N50" s="27"/>
      <c r="O50" s="27"/>
      <c r="P50" s="27"/>
      <c r="Q50" s="27"/>
      <c r="R50" s="11"/>
      <c r="S50" s="11"/>
      <c r="T50" s="11"/>
      <c r="U50" s="11"/>
      <c r="V50" s="11"/>
      <c r="W50" s="11"/>
      <c r="X50" s="11"/>
      <c r="Y50" s="11"/>
      <c r="Z50" s="11"/>
      <c r="AA50" s="11"/>
      <c r="AB50" s="11"/>
      <c r="AC50" s="11"/>
      <c r="AD50" s="11"/>
      <c r="AE50" s="11"/>
      <c r="AF50" s="11"/>
      <c r="AG50" s="11"/>
      <c r="AH50" s="11"/>
      <c r="AI50" s="11"/>
      <c r="AJ50" s="11"/>
      <c r="AK50" s="11"/>
    </row>
    <row r="51" spans="1:37" ht="15.75" customHeight="1">
      <c r="A51" s="24"/>
      <c r="B51" s="25"/>
      <c r="C51" s="26"/>
      <c r="D51" s="26"/>
      <c r="E51" s="26"/>
      <c r="F51" s="26"/>
      <c r="G51" s="26"/>
      <c r="H51" s="26"/>
      <c r="I51" s="26"/>
      <c r="J51" s="26"/>
      <c r="K51" s="26"/>
      <c r="L51" s="26"/>
      <c r="M51" s="27"/>
      <c r="N51" s="27"/>
      <c r="O51" s="27"/>
      <c r="P51" s="27"/>
      <c r="Q51" s="27"/>
      <c r="R51" s="11"/>
      <c r="S51" s="11"/>
      <c r="T51" s="11"/>
      <c r="U51" s="11"/>
      <c r="V51" s="11"/>
      <c r="W51" s="11"/>
      <c r="X51" s="11"/>
      <c r="Y51" s="11"/>
      <c r="Z51" s="11"/>
      <c r="AA51" s="11"/>
      <c r="AB51" s="11"/>
      <c r="AC51" s="11"/>
      <c r="AD51" s="11"/>
      <c r="AE51" s="11"/>
      <c r="AF51" s="11"/>
      <c r="AG51" s="11"/>
      <c r="AH51" s="11"/>
      <c r="AI51" s="11"/>
      <c r="AJ51" s="11"/>
      <c r="AK51" s="11"/>
    </row>
    <row r="52" spans="1:37" ht="15.75" customHeight="1">
      <c r="A52" s="24"/>
      <c r="B52" s="25"/>
      <c r="C52" s="26"/>
      <c r="D52" s="26"/>
      <c r="E52" s="26"/>
      <c r="F52" s="26"/>
      <c r="G52" s="26"/>
      <c r="H52" s="26"/>
      <c r="I52" s="26"/>
      <c r="J52" s="26"/>
      <c r="K52" s="26"/>
      <c r="L52" s="26"/>
      <c r="M52" s="27"/>
      <c r="N52" s="27"/>
      <c r="O52" s="27"/>
      <c r="P52" s="27"/>
      <c r="Q52" s="27"/>
      <c r="R52" s="11"/>
      <c r="S52" s="11"/>
      <c r="T52" s="11"/>
      <c r="U52" s="11"/>
      <c r="V52" s="11"/>
      <c r="W52" s="11"/>
      <c r="X52" s="11"/>
      <c r="Y52" s="11"/>
      <c r="Z52" s="11"/>
      <c r="AA52" s="11"/>
      <c r="AB52" s="11"/>
      <c r="AC52" s="11"/>
      <c r="AD52" s="11"/>
      <c r="AE52" s="11"/>
      <c r="AF52" s="11"/>
      <c r="AG52" s="11"/>
      <c r="AH52" s="11"/>
      <c r="AI52" s="11"/>
      <c r="AJ52" s="11"/>
      <c r="AK52" s="11"/>
    </row>
    <row r="53" spans="1:37" ht="15.75" customHeight="1">
      <c r="A53" s="24"/>
      <c r="B53" s="25"/>
      <c r="C53" s="26"/>
      <c r="D53" s="26"/>
      <c r="E53" s="26"/>
      <c r="F53" s="26"/>
      <c r="G53" s="26"/>
      <c r="H53" s="26"/>
      <c r="I53" s="26"/>
      <c r="J53" s="26"/>
      <c r="K53" s="26"/>
      <c r="L53" s="26"/>
      <c r="M53" s="27"/>
      <c r="N53" s="27"/>
      <c r="O53" s="27"/>
      <c r="P53" s="27"/>
      <c r="Q53" s="27"/>
      <c r="R53" s="11"/>
      <c r="S53" s="11"/>
      <c r="T53" s="11"/>
      <c r="U53" s="11"/>
      <c r="V53" s="11"/>
      <c r="W53" s="11"/>
      <c r="X53" s="11"/>
      <c r="Y53" s="11"/>
      <c r="Z53" s="11"/>
      <c r="AA53" s="11"/>
      <c r="AB53" s="11"/>
      <c r="AC53" s="11"/>
      <c r="AD53" s="11"/>
      <c r="AE53" s="11"/>
      <c r="AF53" s="11"/>
      <c r="AG53" s="11"/>
      <c r="AH53" s="11"/>
      <c r="AI53" s="11"/>
      <c r="AJ53" s="11"/>
      <c r="AK53" s="11"/>
    </row>
    <row r="54" spans="1:37" ht="15.75" customHeight="1">
      <c r="A54" s="24"/>
      <c r="B54" s="25"/>
      <c r="C54" s="26"/>
      <c r="D54" s="26"/>
      <c r="E54" s="26"/>
      <c r="F54" s="26"/>
      <c r="G54" s="26"/>
      <c r="H54" s="25"/>
      <c r="I54" s="25"/>
      <c r="J54" s="25"/>
      <c r="K54" s="25"/>
      <c r="L54" s="25"/>
      <c r="M54" s="27"/>
      <c r="N54" s="27"/>
      <c r="O54" s="27"/>
      <c r="P54" s="27"/>
      <c r="Q54" s="27"/>
      <c r="R54" s="11"/>
      <c r="S54" s="11"/>
      <c r="T54" s="11"/>
      <c r="U54" s="11"/>
      <c r="V54" s="11"/>
      <c r="W54" s="11"/>
      <c r="X54" s="11"/>
      <c r="Y54" s="11"/>
      <c r="Z54" s="11"/>
      <c r="AA54" s="11"/>
      <c r="AB54" s="11"/>
      <c r="AC54" s="11"/>
      <c r="AD54" s="11"/>
      <c r="AE54" s="11"/>
      <c r="AF54" s="11"/>
      <c r="AG54" s="11"/>
      <c r="AH54" s="11"/>
      <c r="AI54" s="11"/>
      <c r="AJ54" s="11"/>
      <c r="AK54" s="11"/>
    </row>
    <row r="55" spans="1:37" ht="15.75" customHeight="1">
      <c r="A55" s="24"/>
      <c r="B55" s="25"/>
      <c r="C55" s="26"/>
      <c r="D55" s="26"/>
      <c r="E55" s="26"/>
      <c r="F55" s="26"/>
      <c r="G55" s="26"/>
      <c r="H55" s="26"/>
      <c r="I55" s="26"/>
      <c r="J55" s="26"/>
      <c r="K55" s="26"/>
      <c r="L55" s="26"/>
      <c r="M55" s="27"/>
      <c r="N55" s="27"/>
      <c r="O55" s="27"/>
      <c r="P55" s="27"/>
      <c r="Q55" s="27"/>
      <c r="R55" s="11"/>
      <c r="S55" s="11"/>
      <c r="T55" s="11"/>
      <c r="U55" s="11"/>
      <c r="V55" s="11"/>
      <c r="W55" s="11"/>
      <c r="X55" s="11"/>
      <c r="Y55" s="11"/>
      <c r="Z55" s="11"/>
      <c r="AA55" s="11"/>
      <c r="AB55" s="11"/>
      <c r="AC55" s="11"/>
      <c r="AD55" s="11"/>
      <c r="AE55" s="11"/>
      <c r="AF55" s="11"/>
      <c r="AG55" s="11"/>
      <c r="AH55" s="11"/>
      <c r="AI55" s="11"/>
      <c r="AJ55" s="11"/>
      <c r="AK55" s="11"/>
    </row>
    <row r="56" spans="1:37" ht="15.75" customHeight="1">
      <c r="A56" s="24"/>
      <c r="B56" s="25"/>
      <c r="C56" s="26"/>
      <c r="D56" s="26"/>
      <c r="E56" s="26"/>
      <c r="F56" s="26"/>
      <c r="G56" s="26"/>
      <c r="H56" s="26"/>
      <c r="I56" s="26"/>
      <c r="J56" s="26"/>
      <c r="K56" s="26"/>
      <c r="L56" s="26"/>
      <c r="M56" s="27"/>
      <c r="N56" s="27"/>
      <c r="O56" s="27"/>
      <c r="P56" s="27"/>
      <c r="Q56" s="27"/>
      <c r="R56" s="11"/>
      <c r="S56" s="11"/>
      <c r="T56" s="11"/>
      <c r="U56" s="11"/>
      <c r="V56" s="11"/>
      <c r="W56" s="11"/>
      <c r="X56" s="11"/>
      <c r="Y56" s="11"/>
      <c r="Z56" s="11"/>
      <c r="AA56" s="11"/>
      <c r="AB56" s="11"/>
      <c r="AC56" s="11"/>
      <c r="AD56" s="11"/>
      <c r="AE56" s="11"/>
      <c r="AF56" s="11"/>
      <c r="AG56" s="11"/>
      <c r="AH56" s="11"/>
      <c r="AI56" s="11"/>
      <c r="AJ56" s="11"/>
      <c r="AK56" s="11"/>
    </row>
    <row r="57" spans="1:37" ht="15.75" customHeight="1">
      <c r="A57" s="24"/>
      <c r="B57" s="25"/>
      <c r="C57" s="26"/>
      <c r="D57" s="26"/>
      <c r="E57" s="26"/>
      <c r="F57" s="26"/>
      <c r="G57" s="26"/>
      <c r="H57" s="26"/>
      <c r="I57" s="26"/>
      <c r="J57" s="26"/>
      <c r="K57" s="26"/>
      <c r="L57" s="26"/>
      <c r="M57" s="27"/>
      <c r="N57" s="27"/>
      <c r="O57" s="27"/>
      <c r="P57" s="27"/>
      <c r="Q57" s="27"/>
      <c r="R57" s="11"/>
      <c r="S57" s="11"/>
      <c r="T57" s="11"/>
      <c r="U57" s="11"/>
      <c r="V57" s="11"/>
      <c r="W57" s="11"/>
      <c r="X57" s="11"/>
      <c r="Y57" s="11"/>
      <c r="Z57" s="11"/>
      <c r="AA57" s="11"/>
      <c r="AB57" s="11"/>
      <c r="AC57" s="11"/>
      <c r="AD57" s="11"/>
      <c r="AE57" s="11"/>
      <c r="AF57" s="11"/>
      <c r="AG57" s="11"/>
      <c r="AH57" s="11"/>
      <c r="AI57" s="11"/>
      <c r="AJ57" s="11"/>
      <c r="AK57" s="11"/>
    </row>
    <row r="58" spans="1:37" ht="15.75" customHeight="1">
      <c r="A58" s="24"/>
      <c r="B58" s="25"/>
      <c r="C58" s="26"/>
      <c r="D58" s="26"/>
      <c r="E58" s="26"/>
      <c r="F58" s="26"/>
      <c r="G58" s="26"/>
      <c r="H58" s="26"/>
      <c r="I58" s="26"/>
      <c r="J58" s="26"/>
      <c r="K58" s="26"/>
      <c r="L58" s="26"/>
      <c r="M58" s="27"/>
      <c r="N58" s="27"/>
      <c r="O58" s="27"/>
      <c r="P58" s="27"/>
      <c r="Q58" s="27"/>
      <c r="R58" s="11"/>
      <c r="S58" s="11"/>
      <c r="T58" s="11"/>
      <c r="U58" s="11"/>
      <c r="V58" s="11"/>
      <c r="W58" s="11"/>
      <c r="X58" s="11"/>
      <c r="Y58" s="11"/>
      <c r="Z58" s="11"/>
      <c r="AA58" s="11"/>
      <c r="AB58" s="11"/>
      <c r="AC58" s="11"/>
      <c r="AD58" s="11"/>
      <c r="AE58" s="11"/>
      <c r="AF58" s="11"/>
      <c r="AG58" s="11"/>
      <c r="AH58" s="11"/>
      <c r="AI58" s="11"/>
      <c r="AJ58" s="11"/>
      <c r="AK58" s="11"/>
    </row>
    <row r="59" spans="1:37" ht="15.75" customHeight="1">
      <c r="A59" s="24"/>
      <c r="B59" s="25"/>
      <c r="C59" s="26"/>
      <c r="D59" s="26"/>
      <c r="E59" s="26"/>
      <c r="F59" s="26"/>
      <c r="G59" s="26"/>
      <c r="H59" s="26"/>
      <c r="I59" s="26"/>
      <c r="J59" s="26"/>
      <c r="K59" s="26"/>
      <c r="L59" s="26"/>
      <c r="M59" s="27"/>
      <c r="N59" s="27"/>
      <c r="O59" s="27"/>
      <c r="P59" s="27"/>
      <c r="Q59" s="27"/>
      <c r="R59" s="11"/>
      <c r="S59" s="11"/>
      <c r="T59" s="11"/>
      <c r="U59" s="11"/>
      <c r="V59" s="11"/>
      <c r="W59" s="11"/>
      <c r="X59" s="11"/>
      <c r="Y59" s="11"/>
      <c r="Z59" s="11"/>
      <c r="AA59" s="11"/>
      <c r="AB59" s="11"/>
      <c r="AC59" s="11"/>
      <c r="AD59" s="11"/>
      <c r="AE59" s="11"/>
      <c r="AF59" s="11"/>
      <c r="AG59" s="11"/>
      <c r="AH59" s="11"/>
      <c r="AI59" s="11"/>
      <c r="AJ59" s="11"/>
      <c r="AK59" s="11"/>
    </row>
    <row r="60" spans="1:37" ht="15.75" customHeight="1">
      <c r="A60" s="24"/>
      <c r="B60" s="25"/>
      <c r="C60" s="26"/>
      <c r="D60" s="26"/>
      <c r="E60" s="26"/>
      <c r="F60" s="26"/>
      <c r="G60" s="26"/>
      <c r="H60" s="26"/>
      <c r="I60" s="26"/>
      <c r="J60" s="26"/>
      <c r="K60" s="26"/>
      <c r="L60" s="26"/>
      <c r="M60" s="27"/>
      <c r="N60" s="27"/>
      <c r="O60" s="27"/>
      <c r="P60" s="27"/>
      <c r="Q60" s="27"/>
      <c r="R60" s="11"/>
      <c r="S60" s="24"/>
      <c r="T60" s="11"/>
      <c r="U60" s="11"/>
      <c r="V60" s="11"/>
      <c r="W60" s="11"/>
      <c r="X60" s="11"/>
      <c r="Y60" s="11"/>
      <c r="Z60" s="11"/>
      <c r="AA60" s="11"/>
      <c r="AB60" s="11"/>
      <c r="AC60" s="11"/>
      <c r="AD60" s="11"/>
      <c r="AE60" s="11"/>
      <c r="AF60" s="11"/>
      <c r="AG60" s="11"/>
      <c r="AH60" s="11"/>
      <c r="AI60" s="11"/>
      <c r="AJ60" s="11"/>
      <c r="AK60" s="11"/>
    </row>
    <row r="61" spans="1:37" ht="15.75" customHeight="1">
      <c r="A61" s="24"/>
      <c r="B61" s="25"/>
      <c r="C61" s="26"/>
      <c r="D61" s="26"/>
      <c r="E61" s="26"/>
      <c r="F61" s="26"/>
      <c r="G61" s="26"/>
      <c r="H61" s="26"/>
      <c r="I61" s="26"/>
      <c r="J61" s="26"/>
      <c r="K61" s="26"/>
      <c r="L61" s="26"/>
      <c r="M61" s="27"/>
      <c r="N61" s="27"/>
      <c r="O61" s="27"/>
      <c r="P61" s="27"/>
      <c r="Q61" s="27"/>
      <c r="R61" s="11"/>
      <c r="S61" s="11"/>
      <c r="T61" s="11"/>
      <c r="U61" s="11"/>
      <c r="V61" s="11"/>
      <c r="W61" s="11"/>
      <c r="X61" s="11"/>
      <c r="Y61" s="11"/>
      <c r="Z61" s="11"/>
      <c r="AA61" s="11"/>
      <c r="AB61" s="11"/>
      <c r="AC61" s="11"/>
      <c r="AD61" s="11"/>
      <c r="AE61" s="11"/>
      <c r="AF61" s="11"/>
      <c r="AG61" s="11"/>
      <c r="AH61" s="11"/>
      <c r="AI61" s="11"/>
      <c r="AJ61" s="11"/>
      <c r="AK61" s="11"/>
    </row>
    <row r="62" spans="1:37" ht="15.75" customHeight="1">
      <c r="A62" s="24"/>
      <c r="B62" s="25"/>
      <c r="C62" s="26"/>
      <c r="D62" s="26"/>
      <c r="E62" s="26"/>
      <c r="F62" s="26"/>
      <c r="G62" s="26"/>
      <c r="H62" s="26"/>
      <c r="I62" s="26"/>
      <c r="J62" s="26"/>
      <c r="K62" s="26"/>
      <c r="L62" s="26"/>
      <c r="M62" s="27"/>
      <c r="N62" s="27"/>
      <c r="O62" s="27"/>
      <c r="P62" s="27"/>
      <c r="Q62" s="27"/>
      <c r="R62" s="11"/>
      <c r="S62" s="11"/>
      <c r="T62" s="11"/>
      <c r="U62" s="11"/>
      <c r="V62" s="11"/>
      <c r="W62" s="11"/>
      <c r="X62" s="11"/>
      <c r="Y62" s="11"/>
      <c r="Z62" s="11"/>
      <c r="AA62" s="11"/>
      <c r="AB62" s="11"/>
      <c r="AC62" s="11"/>
      <c r="AD62" s="11"/>
      <c r="AE62" s="11"/>
      <c r="AF62" s="11"/>
      <c r="AG62" s="11"/>
      <c r="AH62" s="11"/>
      <c r="AI62" s="11"/>
      <c r="AJ62" s="11"/>
      <c r="AK62" s="11"/>
    </row>
    <row r="63" spans="1:37" ht="15.75" customHeight="1">
      <c r="A63" s="24"/>
      <c r="B63" s="25"/>
      <c r="C63" s="26"/>
      <c r="D63" s="26"/>
      <c r="E63" s="26"/>
      <c r="F63" s="26"/>
      <c r="G63" s="26"/>
      <c r="H63" s="26"/>
      <c r="I63" s="26"/>
      <c r="J63" s="26"/>
      <c r="K63" s="26"/>
      <c r="L63" s="26"/>
      <c r="M63" s="27"/>
      <c r="N63" s="27"/>
      <c r="O63" s="27"/>
      <c r="P63" s="27"/>
      <c r="Q63" s="27"/>
      <c r="R63" s="11"/>
      <c r="S63" s="11"/>
      <c r="T63" s="11"/>
      <c r="U63" s="11"/>
      <c r="V63" s="11"/>
      <c r="W63" s="11"/>
      <c r="X63" s="11"/>
      <c r="Y63" s="11"/>
      <c r="Z63" s="11"/>
      <c r="AA63" s="11"/>
      <c r="AB63" s="11"/>
      <c r="AC63" s="11"/>
      <c r="AD63" s="11"/>
      <c r="AE63" s="11"/>
      <c r="AF63" s="11"/>
      <c r="AG63" s="11"/>
      <c r="AH63" s="11"/>
      <c r="AI63" s="11"/>
      <c r="AJ63" s="11"/>
      <c r="AK63" s="11"/>
    </row>
    <row r="64" spans="1:37" ht="15.75" customHeight="1">
      <c r="A64" s="24"/>
      <c r="B64" s="25"/>
      <c r="C64" s="26"/>
      <c r="D64" s="26"/>
      <c r="E64" s="26"/>
      <c r="F64" s="26"/>
      <c r="G64" s="26"/>
      <c r="H64" s="26"/>
      <c r="I64" s="26"/>
      <c r="J64" s="26"/>
      <c r="K64" s="26"/>
      <c r="L64" s="26"/>
      <c r="M64" s="13"/>
      <c r="N64" s="13"/>
      <c r="O64" s="13"/>
      <c r="P64" s="26"/>
      <c r="Q64" s="26"/>
      <c r="R64" s="11"/>
      <c r="S64" s="11"/>
      <c r="T64" s="11"/>
      <c r="U64" s="11"/>
      <c r="V64" s="11"/>
      <c r="W64" s="11"/>
      <c r="X64" s="11"/>
      <c r="Y64" s="11"/>
      <c r="Z64" s="11"/>
      <c r="AA64" s="11"/>
      <c r="AB64" s="11"/>
      <c r="AC64" s="11"/>
      <c r="AD64" s="11"/>
      <c r="AE64" s="11"/>
      <c r="AF64" s="11"/>
      <c r="AG64" s="11"/>
      <c r="AH64" s="11"/>
      <c r="AI64" s="11"/>
      <c r="AJ64" s="11"/>
      <c r="AK64" s="11"/>
    </row>
    <row r="65" spans="1:37" ht="15.75" customHeight="1">
      <c r="A65" s="24"/>
      <c r="B65" s="25"/>
      <c r="C65" s="26"/>
      <c r="D65" s="26"/>
      <c r="E65" s="26"/>
      <c r="F65" s="26"/>
      <c r="G65" s="26"/>
      <c r="H65" s="26"/>
      <c r="I65" s="26"/>
      <c r="J65" s="26"/>
      <c r="K65" s="26"/>
      <c r="L65" s="26"/>
      <c r="M65" s="29"/>
      <c r="N65" s="29"/>
      <c r="O65" s="29"/>
      <c r="P65" s="29"/>
      <c r="Q65" s="29"/>
      <c r="R65" s="24"/>
      <c r="S65" s="11"/>
      <c r="T65" s="24"/>
      <c r="U65" s="24"/>
      <c r="V65" s="24"/>
      <c r="W65" s="24"/>
      <c r="X65" s="24"/>
      <c r="Y65" s="24"/>
      <c r="Z65" s="24"/>
      <c r="AA65" s="24"/>
      <c r="AB65" s="24"/>
      <c r="AC65" s="24"/>
      <c r="AD65" s="24"/>
      <c r="AE65" s="24"/>
      <c r="AF65" s="24"/>
      <c r="AG65" s="24"/>
      <c r="AH65" s="24"/>
      <c r="AI65" s="24"/>
      <c r="AJ65" s="24"/>
      <c r="AK65" s="24"/>
    </row>
    <row r="66" spans="1:37" ht="15.75" customHeight="1">
      <c r="A66" s="24"/>
      <c r="B66" s="25"/>
      <c r="C66" s="26"/>
      <c r="D66" s="26"/>
      <c r="E66" s="26"/>
      <c r="F66" s="26"/>
      <c r="G66" s="26"/>
      <c r="H66" s="26"/>
      <c r="I66" s="26"/>
      <c r="J66" s="26"/>
      <c r="K66" s="26"/>
      <c r="L66" s="26"/>
      <c r="M66" s="29"/>
      <c r="N66" s="29"/>
      <c r="O66" s="29"/>
      <c r="P66" s="29"/>
      <c r="Q66" s="29"/>
      <c r="R66" s="11"/>
      <c r="S66" s="11"/>
      <c r="T66" s="11"/>
      <c r="U66" s="11"/>
      <c r="V66" s="11"/>
      <c r="W66" s="11"/>
      <c r="X66" s="11"/>
      <c r="Y66" s="11"/>
      <c r="Z66" s="11"/>
      <c r="AA66" s="11"/>
      <c r="AB66" s="11"/>
      <c r="AC66" s="11"/>
      <c r="AD66" s="11"/>
      <c r="AE66" s="11"/>
      <c r="AF66" s="11"/>
      <c r="AG66" s="11"/>
      <c r="AH66" s="11"/>
      <c r="AI66" s="11"/>
      <c r="AJ66" s="11"/>
      <c r="AK66" s="11"/>
    </row>
    <row r="67" spans="1:37" ht="15.75" customHeight="1">
      <c r="A67" s="24"/>
      <c r="B67" s="25"/>
      <c r="C67" s="25"/>
      <c r="D67" s="25"/>
      <c r="E67" s="25"/>
      <c r="F67" s="25"/>
      <c r="G67" s="25"/>
      <c r="H67" s="26"/>
      <c r="I67" s="26"/>
      <c r="J67" s="26"/>
      <c r="K67" s="26"/>
      <c r="L67" s="26"/>
      <c r="M67" s="29"/>
      <c r="N67" s="29"/>
      <c r="O67" s="29"/>
      <c r="P67" s="29"/>
      <c r="Q67" s="29"/>
      <c r="R67" s="11"/>
      <c r="S67" s="11"/>
      <c r="T67" s="11"/>
      <c r="U67" s="11"/>
      <c r="V67" s="11"/>
      <c r="W67" s="11"/>
      <c r="X67" s="11"/>
      <c r="Y67" s="11"/>
      <c r="Z67" s="11"/>
      <c r="AA67" s="11"/>
      <c r="AB67" s="11"/>
      <c r="AC67" s="11"/>
      <c r="AD67" s="11"/>
      <c r="AE67" s="11"/>
      <c r="AF67" s="11"/>
      <c r="AG67" s="11"/>
      <c r="AH67" s="11"/>
      <c r="AI67" s="11"/>
      <c r="AJ67" s="11"/>
      <c r="AK67" s="11"/>
    </row>
    <row r="68" spans="1:37" ht="15.75" customHeight="1">
      <c r="A68" s="24"/>
      <c r="B68" s="25"/>
      <c r="C68" s="26"/>
      <c r="D68" s="26"/>
      <c r="E68" s="26"/>
      <c r="F68" s="26"/>
      <c r="G68" s="26"/>
      <c r="H68" s="26"/>
      <c r="I68" s="26"/>
      <c r="J68" s="26"/>
      <c r="K68" s="26"/>
      <c r="L68" s="26"/>
      <c r="M68" s="29"/>
      <c r="N68" s="29"/>
      <c r="O68" s="29"/>
      <c r="P68" s="29"/>
      <c r="Q68" s="29"/>
      <c r="R68" s="11"/>
      <c r="S68" s="11"/>
      <c r="T68" s="11"/>
      <c r="U68" s="11"/>
      <c r="V68" s="11"/>
      <c r="W68" s="11"/>
      <c r="X68" s="11"/>
      <c r="Y68" s="11"/>
      <c r="Z68" s="11"/>
      <c r="AA68" s="11"/>
      <c r="AB68" s="11"/>
      <c r="AC68" s="11"/>
      <c r="AD68" s="11"/>
      <c r="AE68" s="11"/>
      <c r="AF68" s="11"/>
      <c r="AG68" s="11"/>
      <c r="AH68" s="11"/>
      <c r="AI68" s="11"/>
      <c r="AJ68" s="11"/>
      <c r="AK68" s="11"/>
    </row>
    <row r="69" spans="1:37" ht="15.75" customHeight="1">
      <c r="A69" s="24"/>
      <c r="B69" s="25"/>
      <c r="C69" s="26"/>
      <c r="D69" s="26"/>
      <c r="E69" s="26"/>
      <c r="F69" s="26"/>
      <c r="G69" s="26"/>
      <c r="H69" s="26"/>
      <c r="I69" s="26"/>
      <c r="J69" s="26"/>
      <c r="K69" s="26"/>
      <c r="L69" s="26"/>
      <c r="M69" s="29"/>
      <c r="N69" s="29"/>
      <c r="O69" s="29"/>
      <c r="P69" s="29"/>
      <c r="Q69" s="29"/>
      <c r="R69" s="11"/>
      <c r="S69" s="11"/>
      <c r="T69" s="11"/>
      <c r="U69" s="11"/>
      <c r="V69" s="11"/>
      <c r="W69" s="11"/>
      <c r="X69" s="11"/>
      <c r="Y69" s="11"/>
      <c r="Z69" s="11"/>
      <c r="AA69" s="11"/>
      <c r="AB69" s="11"/>
      <c r="AC69" s="11"/>
      <c r="AD69" s="11"/>
      <c r="AE69" s="11"/>
      <c r="AF69" s="11"/>
      <c r="AG69" s="11"/>
      <c r="AH69" s="11"/>
      <c r="AI69" s="11"/>
      <c r="AJ69" s="11"/>
      <c r="AK69" s="11"/>
    </row>
    <row r="70" spans="1:37" ht="15.75" customHeight="1">
      <c r="A70" s="24"/>
      <c r="B70" s="25"/>
      <c r="C70" s="26"/>
      <c r="D70" s="26"/>
      <c r="E70" s="26"/>
      <c r="F70" s="26"/>
      <c r="G70" s="26"/>
      <c r="H70" s="26"/>
      <c r="I70" s="26"/>
      <c r="J70" s="26"/>
      <c r="K70" s="26"/>
      <c r="L70" s="26"/>
      <c r="M70" s="29"/>
      <c r="N70" s="29"/>
      <c r="O70" s="29"/>
      <c r="P70" s="29"/>
      <c r="Q70" s="29"/>
      <c r="R70" s="11"/>
      <c r="S70" s="11"/>
      <c r="T70" s="11"/>
      <c r="U70" s="11"/>
      <c r="V70" s="11"/>
      <c r="W70" s="11"/>
      <c r="X70" s="11"/>
      <c r="Y70" s="11"/>
      <c r="Z70" s="11"/>
      <c r="AA70" s="11"/>
      <c r="AB70" s="11"/>
      <c r="AC70" s="11"/>
      <c r="AD70" s="11"/>
      <c r="AE70" s="11"/>
      <c r="AF70" s="11"/>
      <c r="AG70" s="11"/>
      <c r="AH70" s="11"/>
      <c r="AI70" s="11"/>
      <c r="AJ70" s="11"/>
      <c r="AK70" s="11"/>
    </row>
    <row r="71" spans="1:37" ht="15.75" customHeight="1">
      <c r="A71" s="24"/>
      <c r="B71" s="25"/>
      <c r="C71" s="26"/>
      <c r="D71" s="26"/>
      <c r="E71" s="26"/>
      <c r="F71" s="26"/>
      <c r="G71" s="26"/>
      <c r="H71" s="26"/>
      <c r="I71" s="26"/>
      <c r="J71" s="26"/>
      <c r="K71" s="26"/>
      <c r="L71" s="26"/>
      <c r="M71" s="29"/>
      <c r="N71" s="29"/>
      <c r="O71" s="29"/>
      <c r="P71" s="29"/>
      <c r="Q71" s="29"/>
      <c r="R71" s="11"/>
      <c r="S71" s="11"/>
      <c r="T71" s="11"/>
      <c r="U71" s="11"/>
      <c r="V71" s="11"/>
      <c r="W71" s="11"/>
      <c r="X71" s="11"/>
      <c r="Y71" s="11"/>
      <c r="Z71" s="11"/>
      <c r="AA71" s="11"/>
      <c r="AB71" s="11"/>
      <c r="AC71" s="11"/>
      <c r="AD71" s="11"/>
      <c r="AE71" s="11"/>
      <c r="AF71" s="11"/>
      <c r="AG71" s="11"/>
      <c r="AH71" s="11"/>
      <c r="AI71" s="11"/>
      <c r="AJ71" s="11"/>
      <c r="AK71" s="11"/>
    </row>
    <row r="72" spans="1:37" ht="15.75" customHeight="1">
      <c r="A72" s="24"/>
      <c r="B72" s="25"/>
      <c r="C72" s="26"/>
      <c r="D72" s="26"/>
      <c r="E72" s="26"/>
      <c r="F72" s="26"/>
      <c r="G72" s="26"/>
      <c r="H72" s="26"/>
      <c r="I72" s="26"/>
      <c r="J72" s="26"/>
      <c r="K72" s="26"/>
      <c r="L72" s="26"/>
      <c r="M72" s="29"/>
      <c r="N72" s="29"/>
      <c r="O72" s="29"/>
      <c r="P72" s="29"/>
      <c r="Q72" s="29"/>
      <c r="R72" s="11"/>
      <c r="S72" s="11"/>
      <c r="T72" s="11"/>
      <c r="U72" s="11"/>
      <c r="V72" s="11"/>
      <c r="W72" s="11"/>
      <c r="X72" s="11"/>
      <c r="Y72" s="11"/>
      <c r="Z72" s="11"/>
      <c r="AA72" s="11"/>
      <c r="AB72" s="11"/>
      <c r="AC72" s="11"/>
      <c r="AD72" s="11"/>
      <c r="AE72" s="11"/>
      <c r="AF72" s="11"/>
      <c r="AG72" s="11"/>
      <c r="AH72" s="11"/>
      <c r="AI72" s="11"/>
      <c r="AJ72" s="11"/>
      <c r="AK72" s="11"/>
    </row>
    <row r="73" spans="1:37" ht="15.75" customHeight="1">
      <c r="A73" s="24"/>
      <c r="B73" s="25"/>
      <c r="C73" s="26"/>
      <c r="D73" s="26"/>
      <c r="E73" s="26"/>
      <c r="F73" s="26"/>
      <c r="G73" s="26"/>
      <c r="H73" s="26"/>
      <c r="I73" s="26"/>
      <c r="J73" s="26"/>
      <c r="K73" s="26"/>
      <c r="L73" s="26"/>
      <c r="M73" s="29"/>
      <c r="N73" s="29"/>
      <c r="O73" s="29"/>
      <c r="P73" s="29"/>
      <c r="Q73" s="29"/>
      <c r="R73" s="11"/>
      <c r="S73" s="11"/>
      <c r="T73" s="11"/>
      <c r="U73" s="11"/>
      <c r="V73" s="11"/>
      <c r="W73" s="11"/>
      <c r="X73" s="11"/>
      <c r="Y73" s="11"/>
      <c r="Z73" s="11"/>
      <c r="AA73" s="11"/>
      <c r="AB73" s="11"/>
      <c r="AC73" s="11"/>
      <c r="AD73" s="11"/>
      <c r="AE73" s="11"/>
      <c r="AF73" s="11"/>
      <c r="AG73" s="11"/>
      <c r="AH73" s="11"/>
      <c r="AI73" s="11"/>
      <c r="AJ73" s="11"/>
      <c r="AK73" s="11"/>
    </row>
    <row r="74" spans="1:37" ht="15.75" customHeight="1">
      <c r="A74" s="24"/>
      <c r="B74" s="25"/>
      <c r="C74" s="26"/>
      <c r="D74" s="26"/>
      <c r="E74" s="26"/>
      <c r="F74" s="26"/>
      <c r="G74" s="26"/>
      <c r="H74" s="26"/>
      <c r="I74" s="26"/>
      <c r="J74" s="26"/>
      <c r="K74" s="26"/>
      <c r="L74" s="26"/>
      <c r="M74" s="29"/>
      <c r="N74" s="29"/>
      <c r="O74" s="29"/>
      <c r="P74" s="29"/>
      <c r="Q74" s="29"/>
      <c r="R74" s="11"/>
      <c r="S74" s="11"/>
      <c r="T74" s="11"/>
      <c r="U74" s="11"/>
      <c r="V74" s="11"/>
      <c r="W74" s="11"/>
      <c r="X74" s="11"/>
      <c r="Y74" s="11"/>
      <c r="Z74" s="11"/>
      <c r="AA74" s="11"/>
      <c r="AB74" s="11"/>
      <c r="AC74" s="11"/>
      <c r="AD74" s="11"/>
      <c r="AE74" s="11"/>
      <c r="AF74" s="11"/>
      <c r="AG74" s="11"/>
      <c r="AH74" s="11"/>
      <c r="AI74" s="11"/>
      <c r="AJ74" s="11"/>
      <c r="AK74" s="11"/>
    </row>
    <row r="75" spans="1:37" ht="15.75" customHeight="1">
      <c r="A75" s="24"/>
      <c r="B75" s="25"/>
      <c r="C75" s="26"/>
      <c r="D75" s="26"/>
      <c r="E75" s="26"/>
      <c r="F75" s="26"/>
      <c r="G75" s="26"/>
      <c r="H75" s="26"/>
      <c r="I75" s="26"/>
      <c r="J75" s="26"/>
      <c r="K75" s="26"/>
      <c r="L75" s="26"/>
      <c r="M75" s="29"/>
      <c r="N75" s="29"/>
      <c r="O75" s="29"/>
      <c r="P75" s="29"/>
      <c r="Q75" s="29"/>
      <c r="R75" s="11"/>
      <c r="S75" s="11"/>
      <c r="T75" s="11"/>
      <c r="U75" s="11"/>
      <c r="V75" s="11"/>
      <c r="W75" s="11"/>
      <c r="X75" s="11"/>
      <c r="Y75" s="11"/>
      <c r="Z75" s="11"/>
      <c r="AA75" s="11"/>
      <c r="AB75" s="11"/>
      <c r="AC75" s="11"/>
      <c r="AD75" s="11"/>
      <c r="AE75" s="11"/>
      <c r="AF75" s="11"/>
      <c r="AG75" s="11"/>
      <c r="AH75" s="11"/>
      <c r="AI75" s="11"/>
      <c r="AJ75" s="11"/>
      <c r="AK75" s="11"/>
    </row>
    <row r="76" spans="1:37" ht="15.75" customHeight="1">
      <c r="A76" s="79"/>
      <c r="B76" s="25"/>
      <c r="C76" s="26"/>
      <c r="D76" s="26"/>
      <c r="E76" s="26"/>
      <c r="F76" s="26"/>
      <c r="G76" s="26"/>
      <c r="H76" s="26"/>
      <c r="I76" s="26"/>
      <c r="J76" s="26"/>
      <c r="K76" s="26"/>
      <c r="L76" s="26"/>
      <c r="M76" s="29"/>
      <c r="N76" s="29"/>
      <c r="O76" s="29"/>
      <c r="P76" s="29"/>
      <c r="Q76" s="29"/>
      <c r="R76" s="11"/>
      <c r="S76" s="11"/>
      <c r="T76" s="11"/>
      <c r="U76" s="11"/>
      <c r="V76" s="11"/>
      <c r="W76" s="11"/>
      <c r="X76" s="11"/>
      <c r="Y76" s="11"/>
      <c r="Z76" s="11"/>
      <c r="AA76" s="11"/>
      <c r="AB76" s="11"/>
      <c r="AC76" s="11"/>
      <c r="AD76" s="11"/>
      <c r="AE76" s="11"/>
      <c r="AF76" s="11"/>
      <c r="AG76" s="11"/>
      <c r="AH76" s="11"/>
      <c r="AI76" s="11"/>
      <c r="AJ76" s="11"/>
      <c r="AK76" s="11"/>
    </row>
    <row r="77" spans="1:37" ht="15.75" customHeight="1">
      <c r="A77" s="24"/>
      <c r="B77" s="25"/>
      <c r="C77" s="26"/>
      <c r="D77" s="26"/>
      <c r="E77" s="26"/>
      <c r="F77" s="26"/>
      <c r="G77" s="26"/>
      <c r="H77" s="26"/>
      <c r="I77" s="26"/>
      <c r="J77" s="26"/>
      <c r="K77" s="26"/>
      <c r="L77" s="26"/>
      <c r="M77" s="29"/>
      <c r="N77" s="29"/>
      <c r="O77" s="29"/>
      <c r="P77" s="29"/>
      <c r="Q77" s="29"/>
      <c r="R77" s="11"/>
      <c r="S77" s="11"/>
      <c r="T77" s="11"/>
      <c r="U77" s="11"/>
      <c r="V77" s="11"/>
      <c r="W77" s="11"/>
      <c r="X77" s="11"/>
      <c r="Y77" s="11"/>
      <c r="Z77" s="11"/>
      <c r="AA77" s="11"/>
      <c r="AB77" s="11"/>
      <c r="AC77" s="11"/>
      <c r="AD77" s="11"/>
      <c r="AE77" s="11"/>
      <c r="AF77" s="11"/>
      <c r="AG77" s="11"/>
      <c r="AH77" s="11"/>
      <c r="AI77" s="11"/>
      <c r="AJ77" s="11"/>
      <c r="AK77" s="11"/>
    </row>
    <row r="78" spans="1:37" ht="15.75" customHeight="1">
      <c r="A78" s="24"/>
      <c r="B78" s="25"/>
      <c r="C78" s="26"/>
      <c r="D78" s="26"/>
      <c r="E78" s="26"/>
      <c r="F78" s="26"/>
      <c r="G78" s="26"/>
      <c r="H78" s="26"/>
      <c r="I78" s="26"/>
      <c r="J78" s="26"/>
      <c r="K78" s="26"/>
      <c r="L78" s="26"/>
      <c r="M78" s="29"/>
      <c r="N78" s="29"/>
      <c r="O78" s="29"/>
      <c r="P78" s="29"/>
      <c r="Q78" s="29"/>
      <c r="R78" s="11"/>
      <c r="S78" s="11"/>
      <c r="T78" s="11"/>
      <c r="U78" s="11"/>
      <c r="V78" s="11"/>
      <c r="W78" s="11"/>
      <c r="X78" s="11"/>
      <c r="Y78" s="11"/>
      <c r="Z78" s="11"/>
      <c r="AA78" s="11"/>
      <c r="AB78" s="11"/>
      <c r="AC78" s="11"/>
      <c r="AD78" s="11"/>
      <c r="AE78" s="11"/>
      <c r="AF78" s="11"/>
      <c r="AG78" s="11"/>
      <c r="AH78" s="11"/>
      <c r="AI78" s="11"/>
      <c r="AJ78" s="11"/>
      <c r="AK78" s="11"/>
    </row>
    <row r="79" spans="1:37" ht="15.75" customHeight="1">
      <c r="A79" s="24"/>
      <c r="B79" s="25"/>
      <c r="C79" s="26"/>
      <c r="D79" s="26"/>
      <c r="E79" s="26"/>
      <c r="F79" s="26"/>
      <c r="G79" s="26"/>
      <c r="H79" s="26"/>
      <c r="I79" s="26"/>
      <c r="J79" s="26"/>
      <c r="K79" s="26"/>
      <c r="L79" s="26"/>
      <c r="M79" s="29"/>
      <c r="N79" s="29"/>
      <c r="O79" s="29"/>
      <c r="P79" s="29"/>
      <c r="Q79" s="29"/>
      <c r="R79" s="11"/>
      <c r="S79" s="11"/>
      <c r="T79" s="11"/>
      <c r="U79" s="11"/>
      <c r="V79" s="11"/>
      <c r="W79" s="11"/>
      <c r="X79" s="11"/>
      <c r="Y79" s="11"/>
      <c r="Z79" s="11"/>
      <c r="AA79" s="11"/>
      <c r="AB79" s="11"/>
      <c r="AC79" s="11"/>
      <c r="AD79" s="11"/>
      <c r="AE79" s="11"/>
      <c r="AF79" s="11"/>
      <c r="AG79" s="11"/>
      <c r="AH79" s="11"/>
      <c r="AI79" s="11"/>
      <c r="AJ79" s="11"/>
      <c r="AK79" s="11"/>
    </row>
    <row r="80" spans="1:37" ht="15.75" customHeight="1">
      <c r="A80" s="80"/>
      <c r="B80" s="25"/>
      <c r="C80" s="26"/>
      <c r="D80" s="26"/>
      <c r="E80" s="26"/>
      <c r="F80" s="26"/>
      <c r="G80" s="26"/>
      <c r="H80" s="26"/>
      <c r="I80" s="26"/>
      <c r="J80" s="26"/>
      <c r="K80" s="26"/>
      <c r="L80" s="26"/>
      <c r="M80" s="29"/>
      <c r="N80" s="29"/>
      <c r="O80" s="29"/>
      <c r="P80" s="29"/>
      <c r="Q80" s="29"/>
      <c r="R80" s="11"/>
      <c r="S80" s="11"/>
      <c r="T80" s="11"/>
      <c r="U80" s="11"/>
      <c r="V80" s="11"/>
      <c r="W80" s="11"/>
      <c r="X80" s="11"/>
      <c r="Y80" s="11"/>
      <c r="Z80" s="11"/>
      <c r="AA80" s="11"/>
      <c r="AB80" s="11"/>
      <c r="AC80" s="11"/>
      <c r="AD80" s="11"/>
      <c r="AE80" s="11"/>
      <c r="AF80" s="11"/>
      <c r="AG80" s="11"/>
      <c r="AH80" s="11"/>
      <c r="AI80" s="11"/>
      <c r="AJ80" s="11"/>
      <c r="AK80" s="11"/>
    </row>
    <row r="81" spans="1:37" ht="15.75" customHeight="1">
      <c r="A81" s="80"/>
      <c r="B81" s="25"/>
      <c r="C81" s="26"/>
      <c r="D81" s="26"/>
      <c r="E81" s="26"/>
      <c r="F81" s="26"/>
      <c r="G81" s="26"/>
      <c r="H81" s="26"/>
      <c r="I81" s="26"/>
      <c r="J81" s="26"/>
      <c r="K81" s="26"/>
      <c r="L81" s="26"/>
      <c r="M81" s="29"/>
      <c r="N81" s="29"/>
      <c r="O81" s="29"/>
      <c r="P81" s="29"/>
      <c r="Q81" s="29"/>
      <c r="R81" s="11"/>
      <c r="S81" s="11"/>
      <c r="T81" s="11"/>
      <c r="U81" s="11"/>
      <c r="V81" s="11"/>
      <c r="W81" s="11"/>
      <c r="X81" s="11"/>
      <c r="Y81" s="11"/>
      <c r="Z81" s="11"/>
      <c r="AA81" s="11"/>
      <c r="AB81" s="11"/>
      <c r="AC81" s="11"/>
      <c r="AD81" s="11"/>
      <c r="AE81" s="11"/>
      <c r="AF81" s="11"/>
      <c r="AG81" s="11"/>
      <c r="AH81" s="11"/>
      <c r="AI81" s="11"/>
      <c r="AJ81" s="11"/>
      <c r="AK81" s="11"/>
    </row>
    <row r="82" spans="1:37" ht="15.75" customHeight="1">
      <c r="A82" s="80"/>
      <c r="B82" s="25"/>
      <c r="C82" s="26"/>
      <c r="D82" s="26"/>
      <c r="E82" s="26"/>
      <c r="F82" s="26"/>
      <c r="G82" s="26"/>
      <c r="H82" s="26"/>
      <c r="I82" s="26"/>
      <c r="J82" s="26"/>
      <c r="K82" s="26"/>
      <c r="L82" s="26"/>
      <c r="M82" s="29"/>
      <c r="N82" s="29"/>
      <c r="O82" s="29"/>
      <c r="P82" s="29"/>
      <c r="Q82" s="29"/>
      <c r="R82" s="11"/>
      <c r="S82" s="11"/>
      <c r="T82" s="11"/>
      <c r="U82" s="11"/>
      <c r="V82" s="11"/>
      <c r="W82" s="11"/>
      <c r="X82" s="11"/>
      <c r="Y82" s="11"/>
      <c r="Z82" s="11"/>
      <c r="AA82" s="11"/>
      <c r="AB82" s="11"/>
      <c r="AC82" s="11"/>
      <c r="AD82" s="11"/>
      <c r="AE82" s="11"/>
      <c r="AF82" s="11"/>
      <c r="AG82" s="11"/>
      <c r="AH82" s="11"/>
      <c r="AI82" s="11"/>
      <c r="AJ82" s="11"/>
      <c r="AK82" s="11"/>
    </row>
    <row r="83" spans="1:37" ht="15.75" customHeight="1">
      <c r="A83" s="80"/>
      <c r="B83" s="25"/>
      <c r="C83" s="26"/>
      <c r="D83" s="26"/>
      <c r="E83" s="26"/>
      <c r="F83" s="26"/>
      <c r="G83" s="26"/>
      <c r="H83" s="26"/>
      <c r="I83" s="26"/>
      <c r="J83" s="26"/>
      <c r="K83" s="26"/>
      <c r="L83" s="26"/>
      <c r="M83" s="29"/>
      <c r="N83" s="29"/>
      <c r="O83" s="29"/>
      <c r="P83" s="29"/>
      <c r="Q83" s="29"/>
      <c r="R83" s="11"/>
      <c r="S83" s="11"/>
      <c r="T83" s="11"/>
      <c r="U83" s="11"/>
      <c r="V83" s="11"/>
      <c r="W83" s="11"/>
      <c r="X83" s="11"/>
      <c r="Y83" s="11"/>
      <c r="Z83" s="11"/>
      <c r="AA83" s="11"/>
      <c r="AB83" s="11"/>
      <c r="AC83" s="11"/>
      <c r="AD83" s="11"/>
      <c r="AE83" s="11"/>
      <c r="AF83" s="11"/>
      <c r="AG83" s="11"/>
      <c r="AH83" s="11"/>
      <c r="AI83" s="11"/>
      <c r="AJ83" s="11"/>
      <c r="AK83" s="11"/>
    </row>
    <row r="84" spans="1:37" ht="15.75" customHeight="1">
      <c r="A84" s="80"/>
      <c r="B84" s="25"/>
      <c r="C84" s="26"/>
      <c r="D84" s="26"/>
      <c r="E84" s="26"/>
      <c r="F84" s="26"/>
      <c r="G84" s="26"/>
      <c r="H84" s="26"/>
      <c r="I84" s="26"/>
      <c r="J84" s="26"/>
      <c r="K84" s="26"/>
      <c r="L84" s="26"/>
      <c r="M84" s="29"/>
      <c r="N84" s="29"/>
      <c r="O84" s="29"/>
      <c r="P84" s="29"/>
      <c r="Q84" s="29"/>
      <c r="R84" s="11"/>
      <c r="S84" s="11"/>
      <c r="T84" s="11"/>
      <c r="U84" s="11"/>
      <c r="V84" s="11"/>
      <c r="W84" s="11"/>
      <c r="X84" s="11"/>
      <c r="Y84" s="11"/>
      <c r="Z84" s="11"/>
      <c r="AA84" s="11"/>
      <c r="AB84" s="11"/>
      <c r="AC84" s="11"/>
      <c r="AD84" s="11"/>
      <c r="AE84" s="11"/>
      <c r="AF84" s="11"/>
      <c r="AG84" s="11"/>
      <c r="AH84" s="11"/>
      <c r="AI84" s="11"/>
      <c r="AJ84" s="11"/>
      <c r="AK84" s="11"/>
    </row>
    <row r="85" spans="1:37" ht="15.75" customHeight="1">
      <c r="A85" s="80"/>
      <c r="B85" s="25"/>
      <c r="C85" s="26"/>
      <c r="D85" s="26"/>
      <c r="E85" s="26"/>
      <c r="F85" s="26"/>
      <c r="G85" s="26"/>
      <c r="H85" s="26"/>
      <c r="I85" s="26"/>
      <c r="J85" s="26"/>
      <c r="K85" s="26"/>
      <c r="L85" s="26"/>
      <c r="M85" s="29"/>
      <c r="N85" s="29"/>
      <c r="O85" s="29"/>
      <c r="P85" s="29"/>
      <c r="Q85" s="29"/>
      <c r="R85" s="11"/>
      <c r="S85" s="11"/>
      <c r="T85" s="11"/>
      <c r="U85" s="11"/>
      <c r="V85" s="11"/>
      <c r="W85" s="11"/>
      <c r="X85" s="11"/>
      <c r="Y85" s="11"/>
      <c r="Z85" s="11"/>
      <c r="AA85" s="11"/>
      <c r="AB85" s="11"/>
      <c r="AC85" s="11"/>
      <c r="AD85" s="11"/>
      <c r="AE85" s="11"/>
      <c r="AF85" s="11"/>
      <c r="AG85" s="11"/>
      <c r="AH85" s="11"/>
      <c r="AI85" s="11"/>
      <c r="AJ85" s="11"/>
      <c r="AK85" s="11"/>
    </row>
    <row r="86" spans="1:37" ht="15.75" customHeight="1">
      <c r="A86" s="80"/>
      <c r="B86" s="25"/>
      <c r="C86" s="26"/>
      <c r="D86" s="26"/>
      <c r="E86" s="26"/>
      <c r="F86" s="26"/>
      <c r="G86" s="26"/>
      <c r="H86" s="26"/>
      <c r="I86" s="26"/>
      <c r="J86" s="26"/>
      <c r="K86" s="26"/>
      <c r="L86" s="26"/>
      <c r="M86" s="29"/>
      <c r="N86" s="29"/>
      <c r="O86" s="29"/>
      <c r="P86" s="29"/>
      <c r="Q86" s="29"/>
      <c r="R86" s="11"/>
      <c r="S86" s="11"/>
      <c r="T86" s="11"/>
      <c r="U86" s="11"/>
      <c r="V86" s="11"/>
      <c r="W86" s="11"/>
      <c r="X86" s="11"/>
      <c r="Y86" s="11"/>
      <c r="Z86" s="11"/>
      <c r="AA86" s="11"/>
      <c r="AB86" s="11"/>
      <c r="AC86" s="11"/>
      <c r="AD86" s="11"/>
      <c r="AE86" s="11"/>
      <c r="AF86" s="11"/>
      <c r="AG86" s="11"/>
      <c r="AH86" s="11"/>
      <c r="AI86" s="11"/>
      <c r="AJ86" s="11"/>
      <c r="AK86" s="11"/>
    </row>
    <row r="87" spans="1:37" ht="15.75" customHeight="1">
      <c r="A87" s="80"/>
      <c r="B87" s="25"/>
      <c r="C87" s="26"/>
      <c r="D87" s="26"/>
      <c r="E87" s="26"/>
      <c r="F87" s="26"/>
      <c r="G87" s="26"/>
      <c r="H87" s="26"/>
      <c r="I87" s="26"/>
      <c r="J87" s="26"/>
      <c r="K87" s="26"/>
      <c r="L87" s="26"/>
      <c r="M87" s="29"/>
      <c r="N87" s="29"/>
      <c r="O87" s="29"/>
      <c r="P87" s="29"/>
      <c r="Q87" s="29"/>
      <c r="R87" s="11"/>
      <c r="S87" s="11"/>
      <c r="T87" s="11"/>
      <c r="U87" s="11"/>
      <c r="V87" s="11"/>
      <c r="W87" s="11"/>
      <c r="X87" s="11"/>
      <c r="Y87" s="11"/>
      <c r="Z87" s="11"/>
      <c r="AA87" s="11"/>
      <c r="AB87" s="11"/>
      <c r="AC87" s="11"/>
      <c r="AD87" s="11"/>
      <c r="AE87" s="11"/>
      <c r="AF87" s="11"/>
      <c r="AG87" s="11"/>
      <c r="AH87" s="11"/>
      <c r="AI87" s="11"/>
      <c r="AJ87" s="11"/>
      <c r="AK87" s="11"/>
    </row>
    <row r="88" spans="1:37" ht="15.75" customHeight="1">
      <c r="A88" s="80"/>
      <c r="B88" s="25"/>
      <c r="C88" s="26"/>
      <c r="D88" s="26"/>
      <c r="E88" s="26"/>
      <c r="F88" s="26"/>
      <c r="G88" s="26"/>
      <c r="H88" s="26"/>
      <c r="I88" s="26"/>
      <c r="J88" s="26"/>
      <c r="K88" s="26"/>
      <c r="L88" s="26"/>
      <c r="M88" s="29"/>
      <c r="N88" s="29"/>
      <c r="O88" s="29"/>
      <c r="P88" s="29"/>
      <c r="Q88" s="29"/>
      <c r="R88" s="11"/>
      <c r="S88" s="11"/>
      <c r="T88" s="11"/>
      <c r="U88" s="11"/>
      <c r="V88" s="11"/>
      <c r="W88" s="11"/>
      <c r="X88" s="11"/>
      <c r="Y88" s="11"/>
      <c r="Z88" s="11"/>
      <c r="AA88" s="11"/>
      <c r="AB88" s="11"/>
      <c r="AC88" s="11"/>
      <c r="AD88" s="11"/>
      <c r="AE88" s="11"/>
      <c r="AF88" s="11"/>
      <c r="AG88" s="11"/>
      <c r="AH88" s="11"/>
      <c r="AI88" s="11"/>
      <c r="AJ88" s="11"/>
      <c r="AK88" s="11"/>
    </row>
    <row r="89" spans="1:37" ht="15.75" customHeight="1">
      <c r="A89" s="80"/>
      <c r="B89" s="25"/>
      <c r="C89" s="26"/>
      <c r="D89" s="26"/>
      <c r="E89" s="26"/>
      <c r="F89" s="26"/>
      <c r="G89" s="26"/>
      <c r="H89" s="26"/>
      <c r="I89" s="26"/>
      <c r="J89" s="26"/>
      <c r="K89" s="26"/>
      <c r="L89" s="26"/>
      <c r="M89" s="29"/>
      <c r="N89" s="29"/>
      <c r="O89" s="29"/>
      <c r="P89" s="29"/>
      <c r="Q89" s="29"/>
      <c r="R89" s="11"/>
      <c r="S89" s="11"/>
      <c r="T89" s="11"/>
      <c r="U89" s="11"/>
      <c r="V89" s="11"/>
      <c r="W89" s="11"/>
      <c r="X89" s="11"/>
      <c r="Y89" s="11"/>
      <c r="Z89" s="11"/>
      <c r="AA89" s="11"/>
      <c r="AB89" s="11"/>
      <c r="AC89" s="11"/>
      <c r="AD89" s="11"/>
      <c r="AE89" s="11"/>
      <c r="AF89" s="11"/>
      <c r="AG89" s="11"/>
      <c r="AH89" s="11"/>
      <c r="AI89" s="11"/>
      <c r="AJ89" s="11"/>
      <c r="AK89" s="11"/>
    </row>
    <row r="90" spans="1:37" ht="15.75" customHeight="1">
      <c r="A90" s="80"/>
      <c r="B90" s="25"/>
      <c r="C90" s="26"/>
      <c r="D90" s="26"/>
      <c r="E90" s="26"/>
      <c r="F90" s="26"/>
      <c r="G90" s="26"/>
      <c r="H90" s="26"/>
      <c r="I90" s="26"/>
      <c r="J90" s="26"/>
      <c r="K90" s="26"/>
      <c r="L90" s="26"/>
      <c r="M90" s="29"/>
      <c r="N90" s="29"/>
      <c r="O90" s="29"/>
      <c r="P90" s="29"/>
      <c r="Q90" s="29"/>
      <c r="R90" s="11"/>
      <c r="T90" s="11"/>
      <c r="U90" s="11"/>
      <c r="V90" s="11"/>
      <c r="W90" s="11"/>
      <c r="X90" s="11"/>
      <c r="Y90" s="11"/>
      <c r="Z90" s="11"/>
      <c r="AA90" s="11"/>
      <c r="AB90" s="11"/>
      <c r="AC90" s="11"/>
      <c r="AD90" s="11"/>
      <c r="AE90" s="11"/>
      <c r="AF90" s="11"/>
      <c r="AG90" s="11"/>
      <c r="AH90" s="11"/>
      <c r="AI90" s="11"/>
      <c r="AJ90" s="11"/>
      <c r="AK90" s="11"/>
    </row>
    <row r="91" spans="1:37" ht="15.75" customHeight="1">
      <c r="A91" s="79"/>
      <c r="B91" s="25"/>
      <c r="C91" s="26"/>
      <c r="D91" s="26"/>
      <c r="E91" s="26"/>
      <c r="F91" s="26"/>
      <c r="G91" s="26"/>
      <c r="H91" s="26"/>
      <c r="I91" s="26"/>
      <c r="J91" s="26"/>
      <c r="K91" s="26"/>
      <c r="L91" s="26"/>
      <c r="M91" s="29"/>
      <c r="N91" s="29"/>
      <c r="O91" s="29"/>
      <c r="P91" s="29"/>
      <c r="Q91" s="29"/>
      <c r="R91" s="11"/>
      <c r="T91" s="11"/>
      <c r="U91" s="11"/>
      <c r="V91" s="11"/>
      <c r="W91" s="11"/>
      <c r="X91" s="11"/>
      <c r="Y91" s="11"/>
      <c r="Z91" s="11"/>
      <c r="AA91" s="11"/>
      <c r="AB91" s="11"/>
      <c r="AC91" s="11"/>
      <c r="AD91" s="11"/>
      <c r="AE91" s="11"/>
      <c r="AF91" s="11"/>
      <c r="AG91" s="11"/>
      <c r="AH91" s="11"/>
      <c r="AI91" s="11"/>
      <c r="AJ91" s="11"/>
      <c r="AK91" s="11"/>
    </row>
    <row r="92" spans="1:37" ht="15.75" customHeight="1">
      <c r="A92" s="28"/>
      <c r="B92" s="25"/>
      <c r="C92" s="26"/>
      <c r="D92" s="26"/>
      <c r="E92" s="26"/>
      <c r="F92" s="26"/>
      <c r="G92" s="26"/>
      <c r="H92" s="26"/>
      <c r="I92" s="26"/>
      <c r="J92" s="26"/>
      <c r="K92" s="26"/>
      <c r="L92" s="26"/>
      <c r="M92" s="29"/>
      <c r="N92" s="29"/>
      <c r="O92" s="29"/>
      <c r="P92" s="29"/>
      <c r="Q92" s="29"/>
      <c r="R92" s="11"/>
      <c r="T92" s="11"/>
      <c r="U92" s="11"/>
      <c r="V92" s="11"/>
      <c r="W92" s="11"/>
      <c r="X92" s="11"/>
      <c r="Y92" s="11"/>
      <c r="Z92" s="11"/>
      <c r="AA92" s="11"/>
      <c r="AB92" s="11"/>
      <c r="AC92" s="11"/>
      <c r="AD92" s="11"/>
      <c r="AE92" s="11"/>
      <c r="AF92" s="11"/>
      <c r="AG92" s="11"/>
      <c r="AH92" s="11"/>
      <c r="AI92" s="11"/>
      <c r="AJ92" s="11"/>
      <c r="AK92" s="11"/>
    </row>
    <row r="93" spans="1:37" ht="15.75" customHeight="1">
      <c r="A93" s="28"/>
      <c r="B93" s="25"/>
      <c r="C93" s="26"/>
      <c r="D93" s="26"/>
      <c r="E93" s="26"/>
      <c r="F93" s="26"/>
      <c r="G93" s="26"/>
      <c r="H93" s="26"/>
      <c r="I93" s="26"/>
      <c r="J93" s="26"/>
      <c r="K93" s="26"/>
      <c r="L93" s="26"/>
      <c r="M93" s="29"/>
      <c r="N93" s="29"/>
      <c r="O93" s="29"/>
      <c r="P93" s="29"/>
      <c r="Q93" s="29"/>
      <c r="R93" s="11"/>
      <c r="T93" s="11"/>
      <c r="U93" s="11"/>
      <c r="V93" s="11"/>
      <c r="W93" s="11"/>
      <c r="X93" s="11"/>
      <c r="Y93" s="11"/>
      <c r="Z93" s="11"/>
      <c r="AA93" s="11"/>
      <c r="AB93" s="11"/>
      <c r="AC93" s="11"/>
      <c r="AD93" s="11"/>
      <c r="AE93" s="11"/>
      <c r="AF93" s="11"/>
      <c r="AG93" s="11"/>
      <c r="AH93" s="11"/>
      <c r="AI93" s="11"/>
      <c r="AJ93" s="11"/>
      <c r="AK93" s="11"/>
    </row>
    <row r="94" spans="1:37" ht="15.75" customHeight="1">
      <c r="A94" s="28"/>
      <c r="B94" s="25"/>
      <c r="C94" s="26"/>
      <c r="D94" s="26"/>
      <c r="E94" s="26"/>
      <c r="F94" s="26"/>
      <c r="G94" s="26"/>
      <c r="H94" s="26"/>
      <c r="I94" s="26"/>
      <c r="J94" s="26"/>
      <c r="K94" s="26"/>
      <c r="L94" s="26"/>
      <c r="M94" s="29"/>
      <c r="N94" s="29"/>
      <c r="O94" s="29"/>
      <c r="P94" s="29"/>
      <c r="Q94" s="29"/>
      <c r="R94" s="11"/>
      <c r="T94" s="11"/>
      <c r="U94" s="11"/>
      <c r="V94" s="11"/>
      <c r="W94" s="11"/>
      <c r="X94" s="11"/>
      <c r="Y94" s="11"/>
      <c r="Z94" s="11"/>
      <c r="AA94" s="11"/>
      <c r="AB94" s="11"/>
      <c r="AC94" s="11"/>
      <c r="AD94" s="11"/>
      <c r="AE94" s="11"/>
      <c r="AF94" s="11"/>
      <c r="AG94" s="11"/>
      <c r="AH94" s="11"/>
      <c r="AI94" s="11"/>
      <c r="AJ94" s="11"/>
      <c r="AK94" s="11"/>
    </row>
    <row r="95" spans="1:37" ht="15.75" customHeight="1">
      <c r="A95" s="28"/>
      <c r="B95" s="25"/>
      <c r="C95" s="26"/>
      <c r="D95" s="26"/>
      <c r="E95" s="26"/>
      <c r="F95" s="26"/>
      <c r="G95" s="26"/>
      <c r="H95" s="26"/>
      <c r="I95" s="26"/>
      <c r="J95" s="26"/>
      <c r="K95" s="26"/>
      <c r="L95" s="26"/>
      <c r="M95" s="29"/>
      <c r="N95" s="29"/>
      <c r="O95" s="29"/>
      <c r="P95" s="29"/>
      <c r="Q95" s="29"/>
      <c r="R95" s="11"/>
    </row>
    <row r="96" spans="1:37" ht="15.75" customHeight="1">
      <c r="A96" s="28"/>
      <c r="B96" s="25"/>
      <c r="C96" s="26"/>
      <c r="D96" s="26"/>
      <c r="E96" s="26"/>
      <c r="F96" s="26"/>
      <c r="G96" s="26"/>
      <c r="H96" s="26"/>
      <c r="I96" s="26"/>
      <c r="J96" s="26"/>
      <c r="K96" s="26"/>
      <c r="L96" s="26"/>
      <c r="M96" s="29"/>
      <c r="N96" s="29"/>
      <c r="O96" s="29"/>
      <c r="P96" s="29"/>
      <c r="Q96" s="29"/>
      <c r="R96" s="11"/>
    </row>
    <row r="97" spans="1:18" ht="15.75" customHeight="1">
      <c r="A97" s="28"/>
      <c r="B97" s="25"/>
      <c r="C97" s="26"/>
      <c r="D97" s="26"/>
      <c r="E97" s="26"/>
      <c r="F97" s="26"/>
      <c r="G97" s="26"/>
      <c r="H97" s="26"/>
      <c r="I97" s="26"/>
      <c r="J97" s="26"/>
      <c r="K97" s="26"/>
      <c r="L97" s="26"/>
      <c r="M97" s="29"/>
      <c r="N97" s="29"/>
      <c r="O97" s="29"/>
      <c r="P97" s="29"/>
      <c r="Q97" s="29"/>
      <c r="R97" s="11"/>
    </row>
    <row r="98" spans="1:18" ht="15.75" customHeight="1">
      <c r="A98" s="28"/>
      <c r="B98" s="25"/>
      <c r="C98" s="26"/>
      <c r="D98" s="26"/>
      <c r="E98" s="26"/>
      <c r="F98" s="26"/>
      <c r="G98" s="26"/>
      <c r="H98" s="26"/>
      <c r="I98" s="26"/>
      <c r="J98" s="26"/>
      <c r="K98" s="26"/>
      <c r="L98" s="26"/>
      <c r="M98" s="29"/>
      <c r="N98" s="29"/>
      <c r="O98" s="29"/>
      <c r="P98" s="29"/>
      <c r="Q98" s="29"/>
      <c r="R98" s="11"/>
    </row>
    <row r="99" spans="1:18" ht="15.75" customHeight="1">
      <c r="A99" s="28"/>
      <c r="B99" s="25"/>
      <c r="C99" s="26"/>
      <c r="D99" s="26"/>
      <c r="E99" s="26"/>
      <c r="F99" s="26"/>
      <c r="G99" s="26"/>
      <c r="H99" s="26"/>
      <c r="I99" s="26"/>
      <c r="J99" s="26"/>
      <c r="K99" s="26"/>
      <c r="L99" s="26"/>
      <c r="M99" s="29"/>
      <c r="N99" s="29"/>
      <c r="O99" s="29"/>
      <c r="P99" s="29"/>
      <c r="Q99" s="29"/>
      <c r="R99" s="11"/>
    </row>
    <row r="100" spans="1:18" ht="15.75" customHeight="1">
      <c r="A100" s="28"/>
      <c r="B100" s="25"/>
      <c r="C100" s="26"/>
      <c r="D100" s="26"/>
      <c r="E100" s="26"/>
      <c r="F100" s="26"/>
      <c r="G100" s="26"/>
      <c r="H100" s="26"/>
      <c r="I100" s="26"/>
      <c r="J100" s="26"/>
      <c r="K100" s="26"/>
      <c r="L100" s="26"/>
      <c r="M100" s="29"/>
      <c r="N100" s="29"/>
      <c r="O100" s="29"/>
      <c r="P100" s="29"/>
      <c r="Q100" s="29"/>
      <c r="R100" s="11"/>
    </row>
    <row r="101" spans="1:18" ht="15.75" customHeight="1">
      <c r="A101" s="28"/>
      <c r="B101" s="25"/>
      <c r="C101" s="26"/>
      <c r="D101" s="26"/>
      <c r="E101" s="26"/>
      <c r="F101" s="26"/>
      <c r="G101" s="26"/>
      <c r="H101" s="26"/>
      <c r="I101" s="26"/>
      <c r="J101" s="26"/>
      <c r="K101" s="26"/>
      <c r="L101" s="26"/>
      <c r="M101" s="29"/>
      <c r="N101" s="29"/>
      <c r="O101" s="29"/>
      <c r="P101" s="29"/>
      <c r="Q101" s="29"/>
      <c r="R101" s="11"/>
    </row>
    <row r="102" spans="1:18" ht="15.75" customHeight="1">
      <c r="A102" s="28"/>
      <c r="B102" s="25"/>
      <c r="C102" s="26"/>
      <c r="D102" s="26"/>
      <c r="E102" s="26"/>
      <c r="F102" s="26"/>
      <c r="G102" s="26"/>
      <c r="H102" s="26"/>
      <c r="I102" s="26"/>
      <c r="J102" s="26"/>
      <c r="K102" s="26"/>
      <c r="L102" s="26"/>
      <c r="M102" s="29"/>
      <c r="N102" s="29"/>
      <c r="O102" s="29"/>
      <c r="P102" s="29"/>
      <c r="Q102" s="29"/>
      <c r="R102" s="11"/>
    </row>
    <row r="103" spans="1:18" ht="15.75" customHeight="1">
      <c r="A103" s="28"/>
      <c r="B103" s="25"/>
      <c r="C103" s="26"/>
      <c r="D103" s="26"/>
      <c r="E103" s="26"/>
      <c r="F103" s="26"/>
      <c r="G103" s="26"/>
      <c r="H103" s="26"/>
      <c r="I103" s="26"/>
      <c r="J103" s="26"/>
      <c r="K103" s="26"/>
      <c r="L103" s="26"/>
      <c r="M103" s="29"/>
      <c r="N103" s="29"/>
      <c r="O103" s="29"/>
      <c r="P103" s="29"/>
      <c r="Q103" s="29"/>
      <c r="R103" s="11"/>
    </row>
    <row r="104" spans="1:18" ht="15.75" customHeight="1">
      <c r="A104" s="28"/>
      <c r="B104" s="25"/>
      <c r="C104" s="26"/>
      <c r="D104" s="26"/>
      <c r="E104" s="26"/>
      <c r="F104" s="26"/>
      <c r="G104" s="26"/>
      <c r="H104" s="26"/>
      <c r="I104" s="26"/>
      <c r="J104" s="26"/>
      <c r="K104" s="26"/>
      <c r="L104" s="26"/>
      <c r="M104" s="29"/>
      <c r="N104" s="29"/>
      <c r="O104" s="29"/>
      <c r="P104" s="29"/>
      <c r="Q104" s="29"/>
      <c r="R104" s="11"/>
    </row>
    <row r="105" spans="1:18" ht="15.75" customHeight="1">
      <c r="A105" s="28"/>
      <c r="B105" s="25"/>
      <c r="C105" s="26"/>
      <c r="D105" s="26"/>
      <c r="E105" s="26"/>
      <c r="F105" s="26"/>
      <c r="G105" s="26"/>
      <c r="H105" s="26"/>
      <c r="I105" s="26"/>
      <c r="J105" s="26"/>
      <c r="K105" s="26"/>
      <c r="L105" s="26"/>
      <c r="M105" s="29"/>
      <c r="N105" s="29"/>
      <c r="O105" s="29"/>
      <c r="P105" s="29"/>
      <c r="Q105" s="29"/>
      <c r="R105" s="11"/>
    </row>
    <row r="106" spans="1:18" ht="15.75" customHeight="1">
      <c r="A106" s="28"/>
      <c r="B106" s="25"/>
      <c r="C106" s="26"/>
      <c r="D106" s="26"/>
      <c r="E106" s="26"/>
      <c r="F106" s="26"/>
      <c r="G106" s="26"/>
      <c r="H106" s="26"/>
      <c r="I106" s="26"/>
      <c r="J106" s="26"/>
      <c r="K106" s="26"/>
      <c r="L106" s="26"/>
      <c r="M106" s="29"/>
      <c r="N106" s="29"/>
      <c r="O106" s="29"/>
      <c r="P106" s="29"/>
      <c r="Q106" s="29"/>
      <c r="R106" s="11"/>
    </row>
    <row r="107" spans="1:18" ht="15.75" customHeight="1">
      <c r="A107" s="28"/>
      <c r="B107" s="25"/>
      <c r="C107" s="26"/>
      <c r="D107" s="26"/>
      <c r="E107" s="26"/>
      <c r="F107" s="26"/>
      <c r="G107" s="26"/>
      <c r="H107" s="26"/>
      <c r="I107" s="26"/>
      <c r="J107" s="26"/>
      <c r="K107" s="26"/>
      <c r="L107" s="26"/>
      <c r="M107" s="29"/>
      <c r="N107" s="29"/>
      <c r="O107" s="29"/>
      <c r="P107" s="29"/>
      <c r="Q107" s="29"/>
      <c r="R107" s="11"/>
    </row>
    <row r="108" spans="1:18" ht="15.75" customHeight="1">
      <c r="A108" s="28"/>
      <c r="B108" s="25"/>
      <c r="C108" s="26"/>
      <c r="D108" s="26"/>
      <c r="E108" s="26"/>
      <c r="F108" s="26"/>
      <c r="G108" s="26"/>
      <c r="H108" s="26"/>
      <c r="I108" s="26"/>
      <c r="J108" s="26"/>
      <c r="K108" s="26"/>
      <c r="L108" s="26"/>
      <c r="M108" s="29"/>
      <c r="N108" s="29"/>
      <c r="O108" s="29"/>
      <c r="P108" s="29"/>
      <c r="Q108" s="29"/>
      <c r="R108" s="11"/>
    </row>
    <row r="109" spans="1:18" ht="15.75" customHeight="1">
      <c r="A109" s="28"/>
      <c r="B109" s="25"/>
      <c r="C109" s="26"/>
      <c r="D109" s="26"/>
      <c r="E109" s="26"/>
      <c r="F109" s="26"/>
      <c r="G109" s="26"/>
      <c r="H109" s="26"/>
      <c r="I109" s="26"/>
      <c r="J109" s="26"/>
      <c r="K109" s="26"/>
      <c r="L109" s="26"/>
      <c r="M109" s="29"/>
      <c r="N109" s="29"/>
      <c r="O109" s="29"/>
      <c r="P109" s="29"/>
      <c r="Q109" s="29"/>
      <c r="R109" s="11"/>
    </row>
    <row r="110" spans="1:18" ht="15.75" customHeight="1">
      <c r="A110" s="28"/>
      <c r="B110" s="25"/>
      <c r="C110" s="26"/>
      <c r="D110" s="26"/>
      <c r="E110" s="26"/>
      <c r="F110" s="26"/>
      <c r="G110" s="26"/>
      <c r="H110" s="26"/>
      <c r="I110" s="26"/>
      <c r="J110" s="26"/>
      <c r="K110" s="26"/>
      <c r="L110" s="26"/>
      <c r="M110" s="29"/>
      <c r="N110" s="29"/>
      <c r="O110" s="29"/>
      <c r="P110" s="29"/>
      <c r="Q110" s="29"/>
      <c r="R110" s="11"/>
    </row>
    <row r="111" spans="1:18" ht="15.75" customHeight="1">
      <c r="A111" s="28"/>
      <c r="B111" s="25"/>
      <c r="C111" s="26"/>
      <c r="D111" s="26"/>
      <c r="E111" s="26"/>
      <c r="F111" s="26"/>
      <c r="G111" s="26"/>
      <c r="H111" s="26"/>
      <c r="I111" s="26"/>
      <c r="J111" s="26"/>
      <c r="K111" s="26"/>
      <c r="L111" s="26"/>
      <c r="M111" s="29"/>
      <c r="N111" s="29"/>
      <c r="O111" s="29"/>
      <c r="P111" s="29"/>
      <c r="Q111" s="29"/>
      <c r="R111" s="11"/>
    </row>
    <row r="112" spans="1:18" ht="15.75" customHeight="1">
      <c r="A112" s="28"/>
      <c r="B112" s="25"/>
      <c r="C112" s="26"/>
      <c r="D112" s="26"/>
      <c r="E112" s="26"/>
      <c r="F112" s="26"/>
      <c r="G112" s="26"/>
      <c r="H112" s="26"/>
      <c r="I112" s="26"/>
      <c r="J112" s="26"/>
      <c r="K112" s="26"/>
      <c r="L112" s="26"/>
      <c r="M112" s="29"/>
      <c r="N112" s="29"/>
      <c r="O112" s="29"/>
      <c r="P112" s="29"/>
      <c r="Q112" s="29"/>
      <c r="R112" s="11"/>
    </row>
    <row r="113" spans="1:18" ht="15.75" customHeight="1">
      <c r="A113" s="28"/>
      <c r="B113" s="25"/>
      <c r="C113" s="26"/>
      <c r="D113" s="26"/>
      <c r="E113" s="26"/>
      <c r="F113" s="26"/>
      <c r="G113" s="26"/>
      <c r="H113" s="26"/>
      <c r="I113" s="26"/>
      <c r="J113" s="26"/>
      <c r="K113" s="26"/>
      <c r="L113" s="26"/>
      <c r="M113" s="29"/>
      <c r="N113" s="29"/>
      <c r="O113" s="29"/>
      <c r="P113" s="29"/>
      <c r="Q113" s="29"/>
      <c r="R113" s="11"/>
    </row>
    <row r="114" spans="1:18" ht="15.75" customHeight="1">
      <c r="A114" s="28"/>
      <c r="B114" s="25"/>
      <c r="C114" s="26"/>
      <c r="D114" s="26"/>
      <c r="E114" s="26"/>
      <c r="F114" s="26"/>
      <c r="G114" s="26"/>
      <c r="H114" s="26"/>
      <c r="I114" s="26"/>
      <c r="J114" s="26"/>
      <c r="K114" s="26"/>
      <c r="L114" s="26"/>
      <c r="M114" s="29"/>
      <c r="N114" s="29"/>
      <c r="O114" s="29"/>
      <c r="P114" s="29"/>
      <c r="Q114" s="29"/>
      <c r="R114" s="11"/>
    </row>
    <row r="115" spans="1:18" ht="15.75" customHeight="1">
      <c r="A115" s="28"/>
      <c r="B115" s="25"/>
      <c r="C115" s="26"/>
      <c r="D115" s="26"/>
      <c r="E115" s="26"/>
      <c r="F115" s="26"/>
      <c r="G115" s="26"/>
      <c r="H115" s="26"/>
      <c r="I115" s="26"/>
      <c r="J115" s="26"/>
      <c r="K115" s="26"/>
      <c r="L115" s="26"/>
      <c r="M115" s="29"/>
      <c r="N115" s="29"/>
      <c r="O115" s="29"/>
      <c r="P115" s="29"/>
      <c r="Q115" s="29"/>
      <c r="R115" s="11"/>
    </row>
    <row r="116" spans="1:18" ht="15.75" customHeight="1">
      <c r="A116" s="28"/>
      <c r="B116" s="25"/>
      <c r="C116" s="26"/>
      <c r="D116" s="26"/>
      <c r="E116" s="26"/>
      <c r="F116" s="26"/>
      <c r="G116" s="26"/>
      <c r="H116" s="26"/>
      <c r="I116" s="26"/>
      <c r="J116" s="26"/>
      <c r="K116" s="26"/>
      <c r="L116" s="26"/>
      <c r="M116" s="29"/>
      <c r="N116" s="29"/>
      <c r="O116" s="29"/>
      <c r="P116" s="29"/>
      <c r="Q116" s="29"/>
      <c r="R116" s="11"/>
    </row>
    <row r="117" spans="1:18" ht="15.75" customHeight="1">
      <c r="A117" s="28"/>
      <c r="B117" s="25"/>
      <c r="C117" s="26"/>
      <c r="D117" s="26"/>
      <c r="E117" s="26"/>
      <c r="F117" s="26"/>
      <c r="G117" s="26"/>
      <c r="H117" s="26"/>
      <c r="I117" s="26"/>
      <c r="J117" s="26"/>
      <c r="K117" s="26"/>
      <c r="L117" s="26"/>
      <c r="M117" s="29"/>
      <c r="N117" s="29"/>
      <c r="O117" s="29"/>
      <c r="P117" s="29"/>
      <c r="Q117" s="29"/>
      <c r="R117" s="11"/>
    </row>
    <row r="118" spans="1:18" ht="15.75" customHeight="1">
      <c r="A118" s="28"/>
      <c r="B118" s="25"/>
      <c r="C118" s="26"/>
      <c r="D118" s="26"/>
      <c r="E118" s="26"/>
      <c r="F118" s="26"/>
      <c r="G118" s="26"/>
      <c r="H118" s="26"/>
      <c r="I118" s="26"/>
      <c r="J118" s="26"/>
      <c r="K118" s="26"/>
      <c r="L118" s="26"/>
      <c r="M118" s="29"/>
      <c r="N118" s="29"/>
      <c r="O118" s="29"/>
      <c r="P118" s="29"/>
      <c r="Q118" s="29"/>
      <c r="R118" s="11"/>
    </row>
    <row r="119" spans="1:18" ht="15.75" customHeight="1">
      <c r="A119" s="28"/>
      <c r="B119" s="25"/>
      <c r="C119" s="26"/>
      <c r="D119" s="26"/>
      <c r="E119" s="26"/>
      <c r="F119" s="26"/>
      <c r="G119" s="26"/>
      <c r="H119" s="26"/>
      <c r="I119" s="26"/>
      <c r="J119" s="26"/>
      <c r="K119" s="26"/>
      <c r="L119" s="26"/>
      <c r="M119" s="29"/>
      <c r="N119" s="29"/>
      <c r="O119" s="29"/>
      <c r="P119" s="29"/>
      <c r="Q119" s="29"/>
      <c r="R119" s="11"/>
    </row>
    <row r="120" spans="1:18" ht="15.75" customHeight="1">
      <c r="A120" s="28"/>
      <c r="B120" s="25"/>
      <c r="C120" s="26"/>
      <c r="D120" s="26"/>
      <c r="E120" s="26"/>
      <c r="F120" s="26"/>
      <c r="G120" s="26"/>
      <c r="H120" s="26"/>
      <c r="I120" s="26"/>
      <c r="J120" s="26"/>
      <c r="K120" s="26"/>
      <c r="L120" s="26"/>
      <c r="M120" s="29"/>
      <c r="N120" s="29"/>
      <c r="O120" s="29"/>
      <c r="P120" s="29"/>
      <c r="Q120" s="29"/>
      <c r="R120" s="11"/>
    </row>
    <row r="121" spans="1:18" ht="15.75" customHeight="1">
      <c r="A121" s="28"/>
      <c r="B121" s="25"/>
      <c r="C121" s="26"/>
      <c r="D121" s="26"/>
      <c r="E121" s="26"/>
      <c r="F121" s="26"/>
      <c r="G121" s="26"/>
      <c r="H121" s="26"/>
      <c r="I121" s="26"/>
      <c r="J121" s="26"/>
      <c r="K121" s="26"/>
      <c r="L121" s="26"/>
      <c r="M121" s="29"/>
      <c r="N121" s="29"/>
      <c r="O121" s="29"/>
      <c r="P121" s="29"/>
      <c r="Q121" s="29"/>
      <c r="R121" s="11"/>
    </row>
    <row r="122" spans="1:18" ht="15.75" customHeight="1">
      <c r="A122" s="28"/>
      <c r="B122" s="25"/>
      <c r="C122" s="26"/>
      <c r="D122" s="26"/>
      <c r="E122" s="26"/>
      <c r="F122" s="26"/>
      <c r="G122" s="26"/>
      <c r="H122" s="26"/>
      <c r="I122" s="26"/>
      <c r="J122" s="26"/>
      <c r="K122" s="26"/>
      <c r="L122" s="26"/>
      <c r="M122" s="29"/>
      <c r="N122" s="29"/>
      <c r="O122" s="29"/>
      <c r="P122" s="29"/>
      <c r="Q122" s="29"/>
      <c r="R122" s="11"/>
    </row>
    <row r="123" spans="1:18" ht="15.75" customHeight="1">
      <c r="A123" s="28"/>
      <c r="B123" s="25"/>
      <c r="C123" s="26"/>
      <c r="D123" s="26"/>
      <c r="E123" s="26"/>
      <c r="F123" s="26"/>
      <c r="G123" s="26"/>
      <c r="H123" s="26"/>
      <c r="I123" s="26"/>
      <c r="J123" s="26"/>
      <c r="K123" s="26"/>
      <c r="L123" s="26"/>
      <c r="M123" s="29"/>
      <c r="N123" s="29"/>
      <c r="O123" s="29"/>
      <c r="P123" s="29"/>
      <c r="Q123" s="29"/>
      <c r="R123" s="11"/>
    </row>
    <row r="124" spans="1:18" ht="15.75" customHeight="1">
      <c r="A124" s="28"/>
      <c r="B124" s="25"/>
      <c r="C124" s="26"/>
      <c r="D124" s="26"/>
      <c r="E124" s="26"/>
      <c r="F124" s="26"/>
      <c r="G124" s="26"/>
      <c r="H124" s="26"/>
      <c r="I124" s="26"/>
      <c r="J124" s="26"/>
      <c r="K124" s="26"/>
      <c r="L124" s="26"/>
      <c r="M124" s="29"/>
      <c r="N124" s="29"/>
      <c r="O124" s="29"/>
      <c r="P124" s="29"/>
      <c r="Q124" s="29"/>
      <c r="R124" s="11"/>
    </row>
    <row r="125" spans="1:18" ht="15.75" customHeight="1">
      <c r="A125" s="28"/>
      <c r="B125" s="25"/>
      <c r="C125" s="26"/>
      <c r="D125" s="26"/>
      <c r="E125" s="26"/>
      <c r="F125" s="26"/>
      <c r="G125" s="26"/>
      <c r="H125" s="26"/>
      <c r="I125" s="26"/>
      <c r="J125" s="26"/>
      <c r="K125" s="26"/>
      <c r="L125" s="26"/>
      <c r="M125" s="29"/>
      <c r="N125" s="29"/>
      <c r="O125" s="29"/>
      <c r="P125" s="29"/>
      <c r="Q125" s="29"/>
      <c r="R125" s="11"/>
    </row>
    <row r="126" spans="1:18" ht="15.75" customHeight="1">
      <c r="A126" s="28"/>
      <c r="B126" s="25"/>
      <c r="C126" s="26"/>
      <c r="D126" s="26"/>
      <c r="E126" s="26"/>
      <c r="F126" s="26"/>
      <c r="G126" s="26"/>
      <c r="H126" s="26"/>
      <c r="I126" s="26"/>
      <c r="J126" s="26"/>
      <c r="K126" s="26"/>
      <c r="L126" s="26"/>
      <c r="M126" s="29"/>
      <c r="N126" s="29"/>
      <c r="O126" s="29"/>
      <c r="P126" s="29"/>
      <c r="Q126" s="29"/>
      <c r="R126" s="11"/>
    </row>
    <row r="127" spans="1:18" ht="15.75" customHeight="1">
      <c r="A127" s="28"/>
      <c r="B127" s="25"/>
      <c r="C127" s="26"/>
      <c r="D127" s="26"/>
      <c r="E127" s="26"/>
      <c r="F127" s="26"/>
      <c r="G127" s="26"/>
      <c r="H127" s="26"/>
      <c r="I127" s="26"/>
      <c r="J127" s="26"/>
      <c r="K127" s="26"/>
      <c r="L127" s="26"/>
      <c r="M127" s="29"/>
      <c r="N127" s="29"/>
      <c r="O127" s="29"/>
      <c r="P127" s="29"/>
      <c r="Q127" s="29"/>
      <c r="R127" s="11"/>
    </row>
    <row r="128" spans="1:18" ht="15.75" customHeight="1">
      <c r="A128" s="28"/>
      <c r="B128" s="25"/>
      <c r="C128" s="26"/>
      <c r="D128" s="26"/>
      <c r="E128" s="26"/>
      <c r="F128" s="26"/>
      <c r="G128" s="26"/>
      <c r="H128" s="26"/>
      <c r="I128" s="26"/>
      <c r="J128" s="26"/>
      <c r="K128" s="26"/>
      <c r="L128" s="26"/>
      <c r="M128" s="29"/>
      <c r="N128" s="29"/>
      <c r="O128" s="29"/>
      <c r="P128" s="29"/>
      <c r="Q128" s="29"/>
      <c r="R128" s="11"/>
    </row>
    <row r="129" spans="1:18" ht="15.75" customHeight="1">
      <c r="A129" s="28"/>
      <c r="B129" s="25"/>
      <c r="C129" s="26"/>
      <c r="D129" s="26"/>
      <c r="E129" s="26"/>
      <c r="F129" s="26"/>
      <c r="G129" s="26"/>
      <c r="H129" s="26"/>
      <c r="I129" s="26"/>
      <c r="J129" s="26"/>
      <c r="K129" s="26"/>
      <c r="L129" s="26"/>
      <c r="M129" s="29"/>
      <c r="N129" s="29"/>
      <c r="O129" s="29"/>
      <c r="P129" s="29"/>
      <c r="Q129" s="29"/>
      <c r="R129" s="11"/>
    </row>
    <row r="130" spans="1:18" ht="15.75" customHeight="1">
      <c r="A130" s="28"/>
      <c r="B130" s="25"/>
      <c r="C130" s="26"/>
      <c r="D130" s="26"/>
      <c r="E130" s="26"/>
      <c r="F130" s="26"/>
      <c r="G130" s="26"/>
      <c r="H130" s="26"/>
      <c r="I130" s="26"/>
      <c r="J130" s="26"/>
      <c r="K130" s="26"/>
      <c r="L130" s="26"/>
      <c r="M130" s="29"/>
      <c r="N130" s="29"/>
      <c r="O130" s="29"/>
      <c r="P130" s="29"/>
      <c r="Q130" s="29"/>
      <c r="R130" s="11"/>
    </row>
    <row r="131" spans="1:18" ht="15.75" customHeight="1">
      <c r="A131" s="28"/>
      <c r="B131" s="25"/>
      <c r="C131" s="26"/>
      <c r="D131" s="26"/>
      <c r="E131" s="26"/>
      <c r="F131" s="26"/>
      <c r="G131" s="26"/>
      <c r="H131" s="26"/>
      <c r="I131" s="26"/>
      <c r="J131" s="26"/>
      <c r="K131" s="26"/>
      <c r="L131" s="26"/>
      <c r="M131" s="29"/>
      <c r="N131" s="29"/>
      <c r="O131" s="29"/>
      <c r="P131" s="29"/>
      <c r="Q131" s="29"/>
      <c r="R131" s="11"/>
    </row>
    <row r="132" spans="1:18" ht="15.75" customHeight="1">
      <c r="A132" s="28"/>
      <c r="B132" s="25"/>
      <c r="C132" s="26"/>
      <c r="D132" s="26"/>
      <c r="E132" s="26"/>
      <c r="F132" s="26"/>
      <c r="G132" s="26"/>
      <c r="H132" s="26"/>
      <c r="I132" s="26"/>
      <c r="J132" s="26"/>
      <c r="K132" s="26"/>
      <c r="L132" s="26"/>
      <c r="M132" s="29"/>
      <c r="N132" s="29"/>
      <c r="O132" s="29"/>
      <c r="P132" s="29"/>
      <c r="Q132" s="29"/>
      <c r="R132" s="11"/>
    </row>
    <row r="133" spans="1:18" ht="15.75" customHeight="1">
      <c r="A133" s="28"/>
      <c r="B133" s="25"/>
      <c r="C133" s="26"/>
      <c r="D133" s="26"/>
      <c r="E133" s="26"/>
      <c r="F133" s="26"/>
      <c r="G133" s="26"/>
      <c r="H133" s="26"/>
      <c r="I133" s="26"/>
      <c r="J133" s="26"/>
      <c r="K133" s="26"/>
      <c r="L133" s="26"/>
      <c r="M133" s="29"/>
      <c r="N133" s="29"/>
      <c r="O133" s="29"/>
      <c r="P133" s="29"/>
      <c r="Q133" s="29"/>
      <c r="R133" s="11"/>
    </row>
    <row r="134" spans="1:18" ht="15.75" customHeight="1">
      <c r="A134" s="28"/>
      <c r="B134" s="25"/>
      <c r="C134" s="26"/>
      <c r="D134" s="26"/>
      <c r="E134" s="26"/>
      <c r="F134" s="26"/>
      <c r="G134" s="26"/>
      <c r="H134" s="26"/>
      <c r="I134" s="26"/>
      <c r="J134" s="26"/>
      <c r="K134" s="26"/>
      <c r="L134" s="26"/>
      <c r="M134" s="29"/>
      <c r="N134" s="29"/>
      <c r="O134" s="29"/>
      <c r="P134" s="29"/>
      <c r="Q134" s="29"/>
      <c r="R134" s="11"/>
    </row>
    <row r="135" spans="1:18" ht="15.75" customHeight="1">
      <c r="A135" s="28"/>
      <c r="B135" s="25"/>
      <c r="C135" s="26"/>
      <c r="D135" s="26"/>
      <c r="E135" s="26"/>
      <c r="F135" s="26"/>
      <c r="G135" s="26"/>
      <c r="H135" s="26"/>
      <c r="I135" s="26"/>
      <c r="J135" s="26"/>
      <c r="K135" s="26"/>
      <c r="L135" s="26"/>
      <c r="M135" s="29"/>
      <c r="N135" s="29"/>
      <c r="O135" s="29"/>
      <c r="P135" s="29"/>
      <c r="Q135" s="29"/>
      <c r="R135" s="11"/>
    </row>
    <row r="136" spans="1:18" ht="15.75" customHeight="1">
      <c r="A136" s="28"/>
      <c r="B136" s="25"/>
      <c r="C136" s="26"/>
      <c r="D136" s="26"/>
      <c r="E136" s="26"/>
      <c r="F136" s="26"/>
      <c r="G136" s="26"/>
      <c r="H136" s="26"/>
      <c r="I136" s="26"/>
      <c r="J136" s="26"/>
      <c r="K136" s="26"/>
      <c r="L136" s="26"/>
      <c r="M136" s="29"/>
      <c r="N136" s="29"/>
      <c r="O136" s="29"/>
      <c r="P136" s="29"/>
      <c r="Q136" s="29"/>
      <c r="R136" s="11"/>
    </row>
    <row r="137" spans="1:18" ht="15.75" customHeight="1">
      <c r="A137" s="28"/>
      <c r="B137" s="25"/>
      <c r="C137" s="26"/>
      <c r="D137" s="26"/>
      <c r="E137" s="26"/>
      <c r="F137" s="26"/>
      <c r="G137" s="26"/>
      <c r="H137" s="26"/>
      <c r="I137" s="26"/>
      <c r="J137" s="26"/>
      <c r="K137" s="26"/>
      <c r="L137" s="26"/>
      <c r="M137" s="29"/>
      <c r="N137" s="29"/>
      <c r="O137" s="29"/>
      <c r="P137" s="29"/>
      <c r="Q137" s="29"/>
      <c r="R137" s="11"/>
    </row>
    <row r="138" spans="1:18" ht="15.75" customHeight="1">
      <c r="A138" s="28"/>
      <c r="B138" s="25"/>
      <c r="C138" s="26"/>
      <c r="D138" s="26"/>
      <c r="E138" s="26"/>
      <c r="F138" s="26"/>
      <c r="G138" s="26"/>
      <c r="H138" s="26"/>
      <c r="I138" s="26"/>
      <c r="J138" s="26"/>
      <c r="K138" s="26"/>
      <c r="L138" s="26"/>
      <c r="M138" s="29"/>
      <c r="N138" s="29"/>
      <c r="O138" s="29"/>
      <c r="P138" s="29"/>
      <c r="Q138" s="29"/>
      <c r="R138" s="11"/>
    </row>
    <row r="139" spans="1:18" ht="15.75" customHeight="1">
      <c r="A139" s="28"/>
      <c r="B139" s="25"/>
      <c r="C139" s="26"/>
      <c r="D139" s="26"/>
      <c r="E139" s="26"/>
      <c r="F139" s="26"/>
      <c r="G139" s="26"/>
      <c r="H139" s="26"/>
      <c r="I139" s="26"/>
      <c r="J139" s="26"/>
      <c r="K139" s="26"/>
      <c r="L139" s="26"/>
      <c r="M139" s="29"/>
      <c r="N139" s="29"/>
      <c r="O139" s="29"/>
      <c r="P139" s="29"/>
      <c r="Q139" s="29"/>
      <c r="R139" s="11"/>
    </row>
    <row r="140" spans="1:18" ht="15.75" customHeight="1">
      <c r="A140" s="28"/>
      <c r="B140" s="25"/>
      <c r="C140" s="26"/>
      <c r="D140" s="26"/>
      <c r="E140" s="26"/>
      <c r="F140" s="26"/>
      <c r="G140" s="26"/>
      <c r="H140" s="26"/>
      <c r="I140" s="26"/>
      <c r="J140" s="26"/>
      <c r="K140" s="26"/>
      <c r="L140" s="26"/>
      <c r="M140" s="29"/>
      <c r="N140" s="29"/>
      <c r="O140" s="29"/>
      <c r="P140" s="29"/>
      <c r="Q140" s="29"/>
      <c r="R140" s="11"/>
    </row>
    <row r="141" spans="1:18" ht="15.75" customHeight="1">
      <c r="A141" s="28"/>
      <c r="B141" s="25"/>
      <c r="C141" s="26"/>
      <c r="D141" s="26"/>
      <c r="E141" s="26"/>
      <c r="F141" s="26"/>
      <c r="G141" s="26"/>
      <c r="H141" s="26"/>
      <c r="I141" s="26"/>
      <c r="J141" s="26"/>
      <c r="K141" s="26"/>
      <c r="L141" s="26"/>
      <c r="M141" s="29"/>
      <c r="N141" s="29"/>
      <c r="O141" s="29"/>
      <c r="P141" s="29"/>
      <c r="Q141" s="29"/>
      <c r="R141" s="11"/>
    </row>
    <row r="142" spans="1:18" ht="15.75" customHeight="1">
      <c r="A142" s="28"/>
      <c r="B142" s="25"/>
      <c r="C142" s="26"/>
      <c r="D142" s="26"/>
      <c r="E142" s="26"/>
      <c r="F142" s="26"/>
      <c r="G142" s="26"/>
      <c r="H142" s="26"/>
      <c r="I142" s="26"/>
      <c r="J142" s="26"/>
      <c r="K142" s="26"/>
      <c r="L142" s="26"/>
      <c r="M142" s="29"/>
      <c r="N142" s="29"/>
      <c r="O142" s="29"/>
      <c r="P142" s="29"/>
      <c r="Q142" s="29"/>
      <c r="R142" s="11"/>
    </row>
    <row r="143" spans="1:18" ht="15.75" customHeight="1">
      <c r="A143" s="28"/>
      <c r="B143" s="25"/>
      <c r="C143" s="26"/>
      <c r="D143" s="26"/>
      <c r="E143" s="26"/>
      <c r="F143" s="26"/>
      <c r="G143" s="26"/>
      <c r="H143" s="26"/>
      <c r="I143" s="26"/>
      <c r="J143" s="26"/>
      <c r="K143" s="26"/>
      <c r="L143" s="26"/>
      <c r="M143" s="29"/>
      <c r="N143" s="29"/>
      <c r="O143" s="29"/>
      <c r="P143" s="29"/>
      <c r="Q143" s="29"/>
      <c r="R143" s="11"/>
    </row>
    <row r="144" spans="1:18" ht="15.75" customHeight="1">
      <c r="A144" s="28"/>
      <c r="B144" s="25"/>
      <c r="C144" s="26"/>
      <c r="D144" s="26"/>
      <c r="E144" s="26"/>
      <c r="F144" s="26"/>
      <c r="G144" s="26"/>
      <c r="H144" s="26"/>
      <c r="I144" s="26"/>
      <c r="J144" s="26"/>
      <c r="K144" s="26"/>
      <c r="L144" s="26"/>
      <c r="M144" s="29"/>
      <c r="N144" s="29"/>
      <c r="O144" s="29"/>
      <c r="P144" s="29"/>
      <c r="Q144" s="29"/>
      <c r="R144" s="11"/>
    </row>
    <row r="145" spans="1:18" ht="15.75" customHeight="1">
      <c r="A145" s="28"/>
      <c r="B145" s="25"/>
      <c r="C145" s="26"/>
      <c r="D145" s="26"/>
      <c r="E145" s="26"/>
      <c r="F145" s="26"/>
      <c r="G145" s="26"/>
      <c r="H145" s="26"/>
      <c r="I145" s="26"/>
      <c r="J145" s="26"/>
      <c r="K145" s="26"/>
      <c r="L145" s="26"/>
      <c r="M145" s="29"/>
      <c r="N145" s="29"/>
      <c r="O145" s="29"/>
      <c r="P145" s="29"/>
      <c r="Q145" s="29"/>
      <c r="R145" s="11"/>
    </row>
    <row r="146" spans="1:18" ht="15.75" customHeight="1">
      <c r="A146" s="28"/>
      <c r="B146" s="25"/>
      <c r="C146" s="26"/>
      <c r="D146" s="26"/>
      <c r="E146" s="26"/>
      <c r="F146" s="26"/>
      <c r="G146" s="26"/>
      <c r="H146" s="26"/>
      <c r="I146" s="26"/>
      <c r="J146" s="26"/>
      <c r="K146" s="26"/>
      <c r="L146" s="26"/>
      <c r="M146" s="29"/>
      <c r="N146" s="29"/>
      <c r="O146" s="29"/>
      <c r="P146" s="29"/>
      <c r="Q146" s="29"/>
      <c r="R146" s="11"/>
    </row>
    <row r="147" spans="1:18" ht="15.75" customHeight="1">
      <c r="A147" s="28"/>
      <c r="B147" s="25"/>
      <c r="C147" s="26"/>
      <c r="D147" s="26"/>
      <c r="E147" s="26"/>
      <c r="F147" s="26"/>
      <c r="G147" s="26"/>
      <c r="H147" s="26"/>
      <c r="I147" s="26"/>
      <c r="J147" s="26"/>
      <c r="K147" s="26"/>
      <c r="L147" s="26"/>
      <c r="M147" s="29"/>
      <c r="N147" s="29"/>
      <c r="O147" s="29"/>
      <c r="P147" s="29"/>
      <c r="Q147" s="29"/>
      <c r="R147" s="11"/>
    </row>
    <row r="148" spans="1:18" ht="15.75" customHeight="1">
      <c r="A148" s="28"/>
      <c r="B148" s="25"/>
      <c r="C148" s="26"/>
      <c r="D148" s="26"/>
      <c r="E148" s="26"/>
      <c r="F148" s="26"/>
      <c r="G148" s="26"/>
      <c r="H148" s="26"/>
      <c r="I148" s="26"/>
      <c r="J148" s="26"/>
      <c r="K148" s="26"/>
      <c r="L148" s="26"/>
      <c r="M148" s="29"/>
      <c r="N148" s="29"/>
      <c r="O148" s="29"/>
      <c r="P148" s="29"/>
      <c r="Q148" s="29"/>
      <c r="R148" s="11"/>
    </row>
    <row r="149" spans="1:18" ht="15.75" customHeight="1">
      <c r="A149" s="28"/>
      <c r="B149" s="25"/>
      <c r="C149" s="26"/>
      <c r="D149" s="26"/>
      <c r="E149" s="26"/>
      <c r="F149" s="26"/>
      <c r="G149" s="26"/>
      <c r="H149" s="26"/>
      <c r="I149" s="26"/>
      <c r="J149" s="26"/>
      <c r="K149" s="26"/>
      <c r="L149" s="26"/>
      <c r="M149" s="29"/>
      <c r="N149" s="29"/>
      <c r="O149" s="29"/>
      <c r="P149" s="29"/>
      <c r="Q149" s="29"/>
      <c r="R149" s="11"/>
    </row>
    <row r="150" spans="1:18" ht="15.75" customHeight="1">
      <c r="A150" s="28"/>
      <c r="B150" s="25"/>
      <c r="C150" s="26"/>
      <c r="D150" s="26"/>
      <c r="E150" s="26"/>
      <c r="F150" s="26"/>
      <c r="G150" s="26"/>
      <c r="H150" s="26"/>
      <c r="I150" s="26"/>
      <c r="J150" s="26"/>
      <c r="K150" s="26"/>
      <c r="L150" s="26"/>
      <c r="M150" s="29"/>
      <c r="N150" s="29"/>
      <c r="O150" s="29"/>
      <c r="P150" s="29"/>
      <c r="Q150" s="29"/>
      <c r="R150" s="11"/>
    </row>
    <row r="151" spans="1:18" ht="15.75" customHeight="1">
      <c r="A151" s="28"/>
      <c r="B151" s="25"/>
      <c r="C151" s="26"/>
      <c r="D151" s="26"/>
      <c r="E151" s="26"/>
      <c r="F151" s="26"/>
      <c r="G151" s="26"/>
      <c r="H151" s="26"/>
      <c r="I151" s="26"/>
      <c r="J151" s="26"/>
      <c r="K151" s="26"/>
      <c r="L151" s="26"/>
      <c r="M151" s="29"/>
      <c r="N151" s="29"/>
      <c r="O151" s="29"/>
      <c r="P151" s="29"/>
      <c r="Q151" s="29"/>
      <c r="R151" s="11"/>
    </row>
    <row r="152" spans="1:18" ht="15.75" customHeight="1">
      <c r="A152" s="28"/>
      <c r="B152" s="25"/>
      <c r="C152" s="26"/>
      <c r="D152" s="26"/>
      <c r="E152" s="26"/>
      <c r="F152" s="26"/>
      <c r="G152" s="26"/>
      <c r="H152" s="26"/>
      <c r="I152" s="26"/>
      <c r="J152" s="26"/>
      <c r="K152" s="26"/>
      <c r="L152" s="26"/>
      <c r="M152" s="29"/>
      <c r="N152" s="29"/>
      <c r="O152" s="29"/>
      <c r="P152" s="29"/>
      <c r="Q152" s="29"/>
      <c r="R152" s="11"/>
    </row>
    <row r="153" spans="1:18" ht="15.75" customHeight="1">
      <c r="A153" s="28"/>
      <c r="B153" s="25"/>
      <c r="C153" s="26"/>
      <c r="D153" s="26"/>
      <c r="E153" s="26"/>
      <c r="F153" s="26"/>
      <c r="G153" s="26"/>
      <c r="H153" s="26"/>
      <c r="I153" s="26"/>
      <c r="J153" s="26"/>
      <c r="K153" s="26"/>
      <c r="L153" s="26"/>
      <c r="M153" s="29"/>
      <c r="N153" s="29"/>
      <c r="O153" s="29"/>
      <c r="P153" s="29"/>
      <c r="Q153" s="29"/>
      <c r="R153" s="11"/>
    </row>
    <row r="154" spans="1:18" ht="15.75" customHeight="1">
      <c r="A154" s="28"/>
      <c r="B154" s="25"/>
      <c r="C154" s="26"/>
      <c r="D154" s="26"/>
      <c r="E154" s="26"/>
      <c r="F154" s="26"/>
      <c r="G154" s="26"/>
      <c r="H154" s="26"/>
      <c r="I154" s="26"/>
      <c r="J154" s="26"/>
      <c r="K154" s="26"/>
      <c r="L154" s="26"/>
      <c r="M154" s="29"/>
      <c r="N154" s="29"/>
      <c r="O154" s="29"/>
      <c r="P154" s="29"/>
      <c r="Q154" s="29"/>
      <c r="R154" s="11"/>
    </row>
    <row r="155" spans="1:18" ht="15.75" customHeight="1">
      <c r="A155" s="28"/>
      <c r="B155" s="25"/>
      <c r="C155" s="26"/>
      <c r="D155" s="26"/>
      <c r="E155" s="26"/>
      <c r="F155" s="26"/>
      <c r="G155" s="26"/>
      <c r="H155" s="26"/>
      <c r="I155" s="26"/>
      <c r="J155" s="26"/>
      <c r="K155" s="26"/>
      <c r="L155" s="26"/>
      <c r="M155" s="29"/>
      <c r="N155" s="29"/>
      <c r="O155" s="29"/>
      <c r="P155" s="29"/>
      <c r="Q155" s="29"/>
      <c r="R155" s="11"/>
    </row>
    <row r="156" spans="1:18" ht="15.75" customHeight="1">
      <c r="A156" s="28"/>
      <c r="B156" s="25"/>
      <c r="C156" s="26"/>
      <c r="D156" s="26"/>
      <c r="E156" s="26"/>
      <c r="F156" s="26"/>
      <c r="G156" s="26"/>
      <c r="H156" s="26"/>
      <c r="I156" s="26"/>
      <c r="J156" s="26"/>
      <c r="K156" s="26"/>
      <c r="L156" s="26"/>
      <c r="M156" s="29"/>
      <c r="N156" s="29"/>
      <c r="O156" s="29"/>
      <c r="P156" s="29"/>
      <c r="Q156" s="29"/>
      <c r="R156" s="11"/>
    </row>
    <row r="157" spans="1:18" ht="15.75" customHeight="1">
      <c r="A157" s="28"/>
      <c r="B157" s="25"/>
      <c r="C157" s="26"/>
      <c r="D157" s="26"/>
      <c r="E157" s="26"/>
      <c r="F157" s="26"/>
      <c r="G157" s="26"/>
      <c r="H157" s="26"/>
      <c r="I157" s="26"/>
      <c r="J157" s="26"/>
      <c r="K157" s="26"/>
      <c r="L157" s="26"/>
      <c r="M157" s="29"/>
      <c r="N157" s="29"/>
      <c r="O157" s="29"/>
      <c r="P157" s="29"/>
      <c r="Q157" s="29"/>
      <c r="R157" s="11"/>
    </row>
    <row r="158" spans="1:18" ht="15.75" customHeight="1">
      <c r="A158" s="28"/>
      <c r="B158" s="25"/>
      <c r="C158" s="26"/>
      <c r="D158" s="26"/>
      <c r="E158" s="26"/>
      <c r="F158" s="26"/>
      <c r="G158" s="26"/>
      <c r="H158" s="26"/>
      <c r="I158" s="26"/>
      <c r="J158" s="26"/>
      <c r="K158" s="26"/>
      <c r="L158" s="26"/>
      <c r="M158" s="29"/>
      <c r="N158" s="29"/>
      <c r="O158" s="29"/>
      <c r="P158" s="29"/>
      <c r="Q158" s="29"/>
      <c r="R158" s="11"/>
    </row>
    <row r="159" spans="1:18" ht="15.75" customHeight="1">
      <c r="A159" s="28"/>
      <c r="B159" s="25"/>
      <c r="C159" s="26"/>
      <c r="D159" s="26"/>
      <c r="E159" s="26"/>
      <c r="F159" s="26"/>
      <c r="G159" s="26"/>
      <c r="H159" s="26"/>
      <c r="I159" s="26"/>
      <c r="J159" s="26"/>
      <c r="K159" s="26"/>
      <c r="L159" s="26"/>
      <c r="M159" s="29"/>
      <c r="N159" s="29"/>
      <c r="O159" s="29"/>
      <c r="P159" s="29"/>
      <c r="Q159" s="29"/>
      <c r="R159" s="11"/>
    </row>
    <row r="160" spans="1:18" ht="15.75" customHeight="1">
      <c r="A160" s="28"/>
      <c r="B160" s="25"/>
      <c r="C160" s="26"/>
      <c r="D160" s="26"/>
      <c r="E160" s="26"/>
      <c r="F160" s="26"/>
      <c r="G160" s="26"/>
      <c r="H160" s="26"/>
      <c r="I160" s="26"/>
      <c r="J160" s="26"/>
      <c r="K160" s="26"/>
      <c r="L160" s="26"/>
      <c r="M160" s="29"/>
      <c r="N160" s="29"/>
      <c r="O160" s="29"/>
      <c r="P160" s="29"/>
      <c r="Q160" s="29"/>
      <c r="R160" s="11"/>
    </row>
    <row r="161" spans="1:18" ht="15.75" customHeight="1">
      <c r="A161" s="28"/>
      <c r="B161" s="25"/>
      <c r="C161" s="26"/>
      <c r="D161" s="26"/>
      <c r="E161" s="26"/>
      <c r="F161" s="26"/>
      <c r="G161" s="26"/>
      <c r="H161" s="26"/>
      <c r="I161" s="26"/>
      <c r="J161" s="26"/>
      <c r="K161" s="26"/>
      <c r="L161" s="26"/>
      <c r="M161" s="29"/>
      <c r="N161" s="29"/>
      <c r="O161" s="29"/>
      <c r="P161" s="29"/>
      <c r="Q161" s="29"/>
      <c r="R161" s="11"/>
    </row>
    <row r="162" spans="1:18" ht="15.75" customHeight="1">
      <c r="A162" s="28"/>
      <c r="B162" s="25"/>
      <c r="C162" s="26"/>
      <c r="D162" s="26"/>
      <c r="E162" s="26"/>
      <c r="F162" s="26"/>
      <c r="G162" s="26"/>
      <c r="H162" s="26"/>
      <c r="I162" s="26"/>
      <c r="J162" s="26"/>
      <c r="K162" s="26"/>
      <c r="L162" s="26"/>
      <c r="M162" s="29"/>
      <c r="N162" s="29"/>
      <c r="O162" s="29"/>
      <c r="P162" s="29"/>
      <c r="Q162" s="29"/>
      <c r="R162" s="11"/>
    </row>
    <row r="163" spans="1:18" ht="15.75" customHeight="1">
      <c r="A163" s="28"/>
      <c r="B163" s="25"/>
      <c r="C163" s="26"/>
      <c r="D163" s="26"/>
      <c r="E163" s="26"/>
      <c r="F163" s="26"/>
      <c r="G163" s="26"/>
      <c r="H163" s="26"/>
      <c r="I163" s="26"/>
      <c r="J163" s="26"/>
      <c r="K163" s="26"/>
      <c r="L163" s="26"/>
      <c r="M163" s="29"/>
      <c r="N163" s="29"/>
      <c r="O163" s="29"/>
      <c r="P163" s="29"/>
      <c r="Q163" s="29"/>
      <c r="R163" s="11"/>
    </row>
    <row r="164" spans="1:18" ht="15.75" customHeight="1">
      <c r="A164" s="28"/>
      <c r="B164" s="25"/>
      <c r="C164" s="26"/>
      <c r="D164" s="26"/>
      <c r="E164" s="26"/>
      <c r="F164" s="26"/>
      <c r="G164" s="26"/>
      <c r="H164" s="26"/>
      <c r="I164" s="26"/>
      <c r="J164" s="26"/>
      <c r="K164" s="26"/>
      <c r="L164" s="26"/>
      <c r="M164" s="29"/>
      <c r="N164" s="29"/>
      <c r="O164" s="29"/>
      <c r="P164" s="29"/>
      <c r="Q164" s="29"/>
      <c r="R164" s="11"/>
    </row>
    <row r="165" spans="1:18" ht="15.75" customHeight="1">
      <c r="A165" s="28"/>
      <c r="B165" s="25"/>
      <c r="C165" s="26"/>
      <c r="D165" s="26"/>
      <c r="E165" s="26"/>
      <c r="F165" s="26"/>
      <c r="G165" s="26"/>
      <c r="H165" s="26"/>
      <c r="I165" s="26"/>
      <c r="J165" s="26"/>
      <c r="K165" s="26"/>
      <c r="L165" s="26"/>
      <c r="M165" s="29"/>
      <c r="N165" s="29"/>
      <c r="O165" s="29"/>
      <c r="P165" s="29"/>
      <c r="Q165" s="29"/>
      <c r="R165" s="11"/>
    </row>
    <row r="166" spans="1:18" ht="15.75" customHeight="1">
      <c r="A166" s="28"/>
      <c r="B166" s="25"/>
      <c r="C166" s="26"/>
      <c r="D166" s="26"/>
      <c r="E166" s="26"/>
      <c r="F166" s="26"/>
      <c r="G166" s="26"/>
      <c r="H166" s="26"/>
      <c r="I166" s="26"/>
      <c r="J166" s="26"/>
      <c r="K166" s="26"/>
      <c r="L166" s="26"/>
      <c r="M166" s="29"/>
      <c r="N166" s="29"/>
      <c r="O166" s="29"/>
      <c r="P166" s="29"/>
      <c r="Q166" s="29"/>
      <c r="R166" s="11"/>
    </row>
    <row r="167" spans="1:18" ht="15.75" customHeight="1">
      <c r="A167" s="28"/>
      <c r="B167" s="25"/>
      <c r="C167" s="26"/>
      <c r="D167" s="26"/>
      <c r="E167" s="26"/>
      <c r="F167" s="26"/>
      <c r="G167" s="26"/>
      <c r="H167" s="26"/>
      <c r="I167" s="26"/>
      <c r="J167" s="26"/>
      <c r="K167" s="26"/>
      <c r="L167" s="26"/>
      <c r="M167" s="29"/>
      <c r="N167" s="29"/>
      <c r="O167" s="29"/>
      <c r="P167" s="29"/>
      <c r="Q167" s="29"/>
      <c r="R167" s="11"/>
    </row>
    <row r="168" spans="1:18" ht="15.75" customHeight="1">
      <c r="A168" s="28"/>
      <c r="B168" s="25"/>
      <c r="C168" s="26"/>
      <c r="D168" s="26"/>
      <c r="E168" s="26"/>
      <c r="F168" s="26"/>
      <c r="G168" s="26"/>
      <c r="H168" s="26"/>
      <c r="I168" s="26"/>
      <c r="J168" s="26"/>
      <c r="K168" s="26"/>
      <c r="L168" s="26"/>
      <c r="M168" s="29"/>
      <c r="N168" s="29"/>
      <c r="O168" s="29"/>
      <c r="P168" s="29"/>
      <c r="Q168" s="29"/>
      <c r="R168" s="11"/>
    </row>
    <row r="169" spans="1:18" ht="15.75" customHeight="1">
      <c r="A169" s="28"/>
      <c r="B169" s="25"/>
      <c r="C169" s="26"/>
      <c r="D169" s="26"/>
      <c r="E169" s="26"/>
      <c r="F169" s="26"/>
      <c r="G169" s="26"/>
      <c r="H169" s="26"/>
      <c r="I169" s="26"/>
      <c r="J169" s="26"/>
      <c r="K169" s="26"/>
      <c r="L169" s="26"/>
      <c r="M169" s="29"/>
      <c r="N169" s="29"/>
      <c r="O169" s="29"/>
      <c r="P169" s="29"/>
      <c r="Q169" s="29"/>
      <c r="R169" s="11"/>
    </row>
    <row r="170" spans="1:18" ht="15.75" customHeight="1">
      <c r="A170" s="28"/>
      <c r="B170" s="25"/>
      <c r="C170" s="26"/>
      <c r="D170" s="26"/>
      <c r="E170" s="26"/>
      <c r="F170" s="26"/>
      <c r="G170" s="26"/>
      <c r="H170" s="26"/>
      <c r="I170" s="26"/>
      <c r="J170" s="26"/>
      <c r="K170" s="26"/>
      <c r="L170" s="26"/>
      <c r="M170" s="29"/>
      <c r="N170" s="29"/>
      <c r="O170" s="29"/>
      <c r="P170" s="29"/>
      <c r="Q170" s="29"/>
      <c r="R170" s="11"/>
    </row>
    <row r="171" spans="1:18" ht="15.75" customHeight="1">
      <c r="A171" s="28"/>
      <c r="B171" s="25"/>
      <c r="C171" s="26"/>
      <c r="D171" s="26"/>
      <c r="E171" s="26"/>
      <c r="F171" s="26"/>
      <c r="G171" s="26"/>
      <c r="H171" s="26"/>
      <c r="I171" s="26"/>
      <c r="J171" s="26"/>
      <c r="K171" s="26"/>
      <c r="L171" s="26"/>
      <c r="M171" s="29"/>
      <c r="N171" s="29"/>
      <c r="O171" s="29"/>
      <c r="P171" s="29"/>
      <c r="Q171" s="29"/>
      <c r="R171" s="11"/>
    </row>
    <row r="172" spans="1:18" ht="15.75" customHeight="1">
      <c r="A172" s="28"/>
      <c r="B172" s="25"/>
      <c r="C172" s="26"/>
      <c r="D172" s="26"/>
      <c r="E172" s="26"/>
      <c r="F172" s="26"/>
      <c r="G172" s="26"/>
      <c r="H172" s="26"/>
      <c r="I172" s="26"/>
      <c r="J172" s="26"/>
      <c r="K172" s="26"/>
      <c r="L172" s="26"/>
      <c r="M172" s="29"/>
      <c r="N172" s="29"/>
      <c r="O172" s="29"/>
      <c r="P172" s="29"/>
      <c r="Q172" s="29"/>
      <c r="R172" s="11"/>
    </row>
    <row r="173" spans="1:18" ht="15.75" customHeight="1">
      <c r="A173" s="28"/>
      <c r="B173" s="25"/>
      <c r="C173" s="26"/>
      <c r="D173" s="26"/>
      <c r="E173" s="26"/>
      <c r="F173" s="26"/>
      <c r="G173" s="26"/>
      <c r="H173" s="26"/>
      <c r="I173" s="26"/>
      <c r="J173" s="26"/>
      <c r="K173" s="26"/>
      <c r="L173" s="26"/>
      <c r="M173" s="29"/>
      <c r="N173" s="29"/>
      <c r="O173" s="29"/>
      <c r="P173" s="29"/>
      <c r="Q173" s="29"/>
      <c r="R173" s="11"/>
    </row>
    <row r="174" spans="1:18" ht="15.75" customHeight="1">
      <c r="A174" s="28"/>
      <c r="B174" s="25"/>
      <c r="C174" s="26"/>
      <c r="D174" s="26"/>
      <c r="E174" s="26"/>
      <c r="F174" s="26"/>
      <c r="G174" s="26"/>
      <c r="H174" s="26"/>
      <c r="I174" s="26"/>
      <c r="J174" s="26"/>
      <c r="K174" s="26"/>
      <c r="L174" s="26"/>
      <c r="M174" s="29"/>
      <c r="N174" s="29"/>
      <c r="O174" s="29"/>
      <c r="P174" s="29"/>
      <c r="Q174" s="29"/>
      <c r="R174" s="11"/>
    </row>
    <row r="175" spans="1:18" ht="15.75" customHeight="1">
      <c r="A175" s="28"/>
      <c r="B175" s="25"/>
      <c r="C175" s="26"/>
      <c r="D175" s="26"/>
      <c r="E175" s="26"/>
      <c r="F175" s="26"/>
      <c r="G175" s="26"/>
      <c r="H175" s="26"/>
      <c r="I175" s="26"/>
      <c r="J175" s="26"/>
      <c r="K175" s="26"/>
      <c r="L175" s="26"/>
      <c r="M175" s="29"/>
      <c r="N175" s="29"/>
      <c r="O175" s="29"/>
      <c r="P175" s="29"/>
      <c r="Q175" s="29"/>
      <c r="R175" s="11"/>
    </row>
    <row r="176" spans="1:18" ht="15.75" customHeight="1">
      <c r="A176" s="28"/>
      <c r="B176" s="25"/>
      <c r="C176" s="26"/>
      <c r="D176" s="26"/>
      <c r="E176" s="26"/>
      <c r="F176" s="26"/>
      <c r="G176" s="26"/>
      <c r="H176" s="26"/>
      <c r="I176" s="26"/>
      <c r="J176" s="26"/>
      <c r="K176" s="26"/>
      <c r="L176" s="26"/>
      <c r="M176" s="29"/>
      <c r="N176" s="29"/>
      <c r="O176" s="29"/>
      <c r="P176" s="29"/>
      <c r="Q176" s="29"/>
      <c r="R176" s="11"/>
    </row>
    <row r="177" spans="1:18" ht="15.75" customHeight="1">
      <c r="A177" s="28"/>
      <c r="B177" s="25"/>
      <c r="C177" s="26"/>
      <c r="D177" s="26"/>
      <c r="E177" s="26"/>
      <c r="F177" s="26"/>
      <c r="G177" s="26"/>
      <c r="H177" s="26"/>
      <c r="I177" s="26"/>
      <c r="J177" s="26"/>
      <c r="K177" s="26"/>
      <c r="L177" s="26"/>
      <c r="M177" s="29"/>
      <c r="N177" s="29"/>
      <c r="O177" s="29"/>
      <c r="P177" s="29"/>
      <c r="Q177" s="29"/>
      <c r="R177" s="11"/>
    </row>
    <row r="178" spans="1:18" ht="15.75" customHeight="1">
      <c r="A178" s="28"/>
      <c r="B178" s="25"/>
      <c r="C178" s="26"/>
      <c r="D178" s="26"/>
      <c r="E178" s="26"/>
      <c r="F178" s="26"/>
      <c r="G178" s="26"/>
      <c r="H178" s="26"/>
      <c r="I178" s="26"/>
      <c r="J178" s="26"/>
      <c r="K178" s="26"/>
      <c r="L178" s="26"/>
      <c r="M178" s="29"/>
      <c r="N178" s="29"/>
      <c r="O178" s="29"/>
      <c r="P178" s="29"/>
      <c r="Q178" s="29"/>
      <c r="R178" s="11"/>
    </row>
    <row r="179" spans="1:18" ht="15.75" customHeight="1">
      <c r="A179" s="28"/>
      <c r="B179" s="25"/>
      <c r="C179" s="26"/>
      <c r="D179" s="26"/>
      <c r="E179" s="26"/>
      <c r="F179" s="26"/>
      <c r="G179" s="26"/>
      <c r="H179" s="26"/>
      <c r="I179" s="26"/>
      <c r="J179" s="26"/>
      <c r="K179" s="26"/>
      <c r="L179" s="26"/>
      <c r="M179" s="29"/>
      <c r="N179" s="29"/>
      <c r="O179" s="29"/>
      <c r="P179" s="29"/>
      <c r="Q179" s="29"/>
      <c r="R179" s="11"/>
    </row>
    <row r="180" spans="1:18" ht="15.75" customHeight="1">
      <c r="A180" s="28"/>
      <c r="B180" s="25"/>
      <c r="C180" s="26"/>
      <c r="D180" s="26"/>
      <c r="E180" s="26"/>
      <c r="F180" s="26"/>
      <c r="G180" s="26"/>
      <c r="H180" s="26"/>
      <c r="I180" s="26"/>
      <c r="J180" s="26"/>
      <c r="K180" s="26"/>
      <c r="L180" s="26"/>
      <c r="M180" s="29"/>
      <c r="N180" s="29"/>
      <c r="O180" s="29"/>
      <c r="P180" s="29"/>
      <c r="Q180" s="29"/>
      <c r="R180" s="11"/>
    </row>
    <row r="181" spans="1:18" ht="15.75" customHeight="1">
      <c r="A181" s="28"/>
      <c r="B181" s="25"/>
      <c r="C181" s="26"/>
      <c r="D181" s="26"/>
      <c r="E181" s="26"/>
      <c r="F181" s="26"/>
      <c r="G181" s="26"/>
      <c r="H181" s="26"/>
      <c r="I181" s="26"/>
      <c r="J181" s="26"/>
      <c r="K181" s="26"/>
      <c r="L181" s="26"/>
      <c r="M181" s="29"/>
      <c r="N181" s="29"/>
      <c r="O181" s="29"/>
      <c r="P181" s="29"/>
      <c r="Q181" s="29"/>
      <c r="R181" s="11"/>
    </row>
    <row r="182" spans="1:18" ht="15.75" customHeight="1">
      <c r="A182" s="28"/>
      <c r="B182" s="25"/>
      <c r="C182" s="26"/>
      <c r="D182" s="26"/>
      <c r="E182" s="26"/>
      <c r="F182" s="26"/>
      <c r="G182" s="26"/>
      <c r="H182" s="26"/>
      <c r="I182" s="26"/>
      <c r="J182" s="26"/>
      <c r="K182" s="26"/>
      <c r="L182" s="26"/>
      <c r="M182" s="29"/>
      <c r="N182" s="29"/>
      <c r="O182" s="29"/>
      <c r="P182" s="29"/>
      <c r="Q182" s="29"/>
      <c r="R182" s="11"/>
    </row>
    <row r="183" spans="1:18" ht="15.75" customHeight="1">
      <c r="A183" s="28"/>
      <c r="B183" s="25"/>
      <c r="C183" s="26"/>
      <c r="D183" s="26"/>
      <c r="E183" s="26"/>
      <c r="F183" s="26"/>
      <c r="G183" s="26"/>
      <c r="H183" s="26"/>
      <c r="I183" s="26"/>
      <c r="J183" s="26"/>
      <c r="K183" s="26"/>
      <c r="L183" s="26"/>
      <c r="M183" s="29"/>
      <c r="N183" s="29"/>
      <c r="O183" s="29"/>
      <c r="P183" s="29"/>
      <c r="Q183" s="29"/>
      <c r="R183" s="11"/>
    </row>
    <row r="184" spans="1:18" ht="15.75" customHeight="1">
      <c r="A184" s="28"/>
      <c r="B184" s="25"/>
      <c r="C184" s="26"/>
      <c r="D184" s="26"/>
      <c r="E184" s="26"/>
      <c r="F184" s="26"/>
      <c r="G184" s="26"/>
      <c r="H184" s="26"/>
      <c r="I184" s="26"/>
      <c r="J184" s="26"/>
      <c r="K184" s="26"/>
      <c r="L184" s="26"/>
      <c r="M184" s="29"/>
      <c r="N184" s="29"/>
      <c r="O184" s="29"/>
      <c r="P184" s="29"/>
      <c r="Q184" s="29"/>
      <c r="R184" s="11"/>
    </row>
    <row r="185" spans="1:18" ht="15.75" customHeight="1">
      <c r="A185" s="28"/>
      <c r="B185" s="25"/>
      <c r="C185" s="26"/>
      <c r="D185" s="26"/>
      <c r="E185" s="26"/>
      <c r="F185" s="26"/>
      <c r="G185" s="26"/>
      <c r="H185" s="26"/>
      <c r="I185" s="26"/>
      <c r="J185" s="26"/>
      <c r="K185" s="26"/>
      <c r="L185" s="26"/>
      <c r="M185" s="29"/>
      <c r="N185" s="29"/>
      <c r="O185" s="29"/>
      <c r="P185" s="29"/>
      <c r="Q185" s="29"/>
      <c r="R185" s="11"/>
    </row>
    <row r="186" spans="1:18" ht="15.75" customHeight="1">
      <c r="A186" s="28"/>
      <c r="B186" s="25"/>
      <c r="C186" s="26"/>
      <c r="D186" s="26"/>
      <c r="E186" s="26"/>
      <c r="F186" s="26"/>
      <c r="G186" s="26"/>
      <c r="H186" s="26"/>
      <c r="I186" s="26"/>
      <c r="J186" s="26"/>
      <c r="K186" s="26"/>
      <c r="L186" s="26"/>
      <c r="M186" s="29"/>
      <c r="N186" s="29"/>
      <c r="O186" s="29"/>
      <c r="P186" s="29"/>
      <c r="Q186" s="29"/>
      <c r="R186" s="11"/>
    </row>
    <row r="187" spans="1:18" ht="15.75" customHeight="1">
      <c r="A187" s="28"/>
      <c r="B187" s="25"/>
      <c r="C187" s="26"/>
      <c r="D187" s="26"/>
      <c r="E187" s="26"/>
      <c r="F187" s="26"/>
      <c r="G187" s="26"/>
      <c r="H187" s="26"/>
      <c r="I187" s="26"/>
      <c r="J187" s="26"/>
      <c r="K187" s="26"/>
      <c r="L187" s="26"/>
      <c r="M187" s="29"/>
      <c r="N187" s="29"/>
      <c r="O187" s="29"/>
      <c r="P187" s="29"/>
      <c r="Q187" s="29"/>
      <c r="R187" s="11"/>
    </row>
    <row r="188" spans="1:18" ht="15.75" customHeight="1">
      <c r="A188" s="28"/>
      <c r="B188" s="25"/>
      <c r="C188" s="26"/>
      <c r="D188" s="26"/>
      <c r="E188" s="26"/>
      <c r="F188" s="26"/>
      <c r="G188" s="26"/>
      <c r="H188" s="26"/>
      <c r="I188" s="26"/>
      <c r="J188" s="26"/>
      <c r="K188" s="26"/>
      <c r="L188" s="26"/>
      <c r="M188" s="29"/>
      <c r="N188" s="29"/>
      <c r="O188" s="29"/>
      <c r="P188" s="29"/>
      <c r="Q188" s="29"/>
      <c r="R188" s="11"/>
    </row>
    <row r="189" spans="1:18" ht="15.75" customHeight="1">
      <c r="A189" s="28"/>
      <c r="B189" s="25"/>
      <c r="C189" s="26"/>
      <c r="D189" s="26"/>
      <c r="E189" s="26"/>
      <c r="F189" s="26"/>
      <c r="G189" s="26"/>
      <c r="H189" s="26"/>
      <c r="I189" s="26"/>
      <c r="J189" s="26"/>
      <c r="K189" s="26"/>
      <c r="L189" s="26"/>
      <c r="M189" s="29"/>
      <c r="N189" s="29"/>
      <c r="O189" s="29"/>
      <c r="P189" s="29"/>
      <c r="Q189" s="29"/>
      <c r="R189" s="11"/>
    </row>
    <row r="190" spans="1:18" ht="15.75" customHeight="1">
      <c r="A190" s="28"/>
      <c r="B190" s="25"/>
      <c r="C190" s="26"/>
      <c r="D190" s="26"/>
      <c r="E190" s="26"/>
      <c r="F190" s="26"/>
      <c r="G190" s="26"/>
      <c r="H190" s="26"/>
      <c r="I190" s="26"/>
      <c r="J190" s="26"/>
      <c r="K190" s="26"/>
      <c r="L190" s="26"/>
      <c r="M190" s="29"/>
      <c r="N190" s="29"/>
      <c r="O190" s="29"/>
      <c r="P190" s="29"/>
      <c r="Q190" s="29"/>
      <c r="R190" s="11"/>
    </row>
    <row r="191" spans="1:18" ht="15.75" customHeight="1">
      <c r="A191" s="28"/>
      <c r="B191" s="25"/>
      <c r="C191" s="26"/>
      <c r="D191" s="26"/>
      <c r="E191" s="26"/>
      <c r="F191" s="26"/>
      <c r="G191" s="26"/>
      <c r="H191" s="26"/>
      <c r="I191" s="26"/>
      <c r="J191" s="26"/>
      <c r="K191" s="26"/>
      <c r="L191" s="26"/>
      <c r="M191" s="29"/>
      <c r="N191" s="29"/>
      <c r="O191" s="29"/>
      <c r="P191" s="29"/>
      <c r="Q191" s="29"/>
      <c r="R191" s="11"/>
    </row>
    <row r="192" spans="1:18" ht="15.75" customHeight="1">
      <c r="A192" s="28"/>
      <c r="B192" s="25"/>
      <c r="C192" s="26"/>
      <c r="D192" s="26"/>
      <c r="E192" s="26"/>
      <c r="F192" s="26"/>
      <c r="G192" s="26"/>
      <c r="H192" s="26"/>
      <c r="I192" s="26"/>
      <c r="J192" s="26"/>
      <c r="K192" s="26"/>
      <c r="L192" s="26"/>
      <c r="M192" s="29"/>
      <c r="N192" s="29"/>
      <c r="O192" s="29"/>
      <c r="P192" s="29"/>
      <c r="Q192" s="29"/>
      <c r="R192" s="11"/>
    </row>
    <row r="193" spans="1:18" ht="15.75" customHeight="1">
      <c r="A193" s="28"/>
      <c r="B193" s="25"/>
      <c r="C193" s="26"/>
      <c r="D193" s="26"/>
      <c r="E193" s="26"/>
      <c r="F193" s="26"/>
      <c r="G193" s="26"/>
      <c r="H193" s="26"/>
      <c r="I193" s="26"/>
      <c r="J193" s="26"/>
      <c r="K193" s="26"/>
      <c r="L193" s="26"/>
      <c r="M193" s="29"/>
      <c r="N193" s="29"/>
      <c r="O193" s="29"/>
      <c r="P193" s="29"/>
      <c r="Q193" s="29"/>
      <c r="R193" s="11"/>
    </row>
    <row r="194" spans="1:18" ht="15.75" customHeight="1">
      <c r="A194" s="28"/>
      <c r="B194" s="25"/>
      <c r="C194" s="26"/>
      <c r="D194" s="26"/>
      <c r="E194" s="26"/>
      <c r="F194" s="26"/>
      <c r="G194" s="26"/>
      <c r="H194" s="26"/>
      <c r="I194" s="26"/>
      <c r="J194" s="26"/>
      <c r="K194" s="26"/>
      <c r="L194" s="26"/>
      <c r="M194" s="29"/>
      <c r="N194" s="29"/>
      <c r="O194" s="29"/>
      <c r="P194" s="29"/>
      <c r="Q194" s="29"/>
      <c r="R194" s="11"/>
    </row>
    <row r="195" spans="1:18" ht="15.75" customHeight="1">
      <c r="A195" s="28"/>
      <c r="B195" s="25"/>
      <c r="C195" s="26"/>
      <c r="D195" s="26"/>
      <c r="E195" s="26"/>
      <c r="F195" s="26"/>
      <c r="G195" s="26"/>
      <c r="H195" s="26"/>
      <c r="I195" s="26"/>
      <c r="J195" s="26"/>
      <c r="K195" s="26"/>
      <c r="L195" s="26"/>
      <c r="M195" s="29"/>
      <c r="N195" s="29"/>
      <c r="O195" s="29"/>
      <c r="P195" s="29"/>
      <c r="Q195" s="29"/>
      <c r="R195" s="11"/>
    </row>
    <row r="196" spans="1:18" ht="15.75" customHeight="1">
      <c r="A196" s="28"/>
      <c r="B196" s="25"/>
      <c r="C196" s="26"/>
      <c r="D196" s="26"/>
      <c r="E196" s="26"/>
      <c r="F196" s="26"/>
      <c r="G196" s="26"/>
      <c r="H196" s="26"/>
      <c r="I196" s="26"/>
      <c r="J196" s="26"/>
      <c r="K196" s="26"/>
      <c r="L196" s="26"/>
      <c r="M196" s="29"/>
      <c r="N196" s="29"/>
      <c r="O196" s="29"/>
      <c r="P196" s="29"/>
      <c r="Q196" s="29"/>
      <c r="R196" s="11"/>
    </row>
    <row r="197" spans="1:18" ht="15.75" customHeight="1">
      <c r="A197" s="28"/>
      <c r="B197" s="25"/>
      <c r="C197" s="26"/>
      <c r="D197" s="26"/>
      <c r="E197" s="26"/>
      <c r="F197" s="26"/>
      <c r="G197" s="26"/>
      <c r="H197" s="26"/>
      <c r="I197" s="26"/>
      <c r="J197" s="26"/>
      <c r="K197" s="26"/>
      <c r="L197" s="26"/>
      <c r="M197" s="29"/>
      <c r="N197" s="29"/>
      <c r="O197" s="29"/>
      <c r="P197" s="29"/>
      <c r="Q197" s="29"/>
      <c r="R197" s="11"/>
    </row>
    <row r="198" spans="1:18" ht="15.75" customHeight="1">
      <c r="A198" s="28"/>
      <c r="B198" s="25"/>
      <c r="C198" s="26"/>
      <c r="D198" s="26"/>
      <c r="E198" s="26"/>
      <c r="F198" s="26"/>
      <c r="G198" s="26"/>
      <c r="H198" s="26"/>
      <c r="I198" s="26"/>
      <c r="J198" s="26"/>
      <c r="K198" s="26"/>
      <c r="L198" s="26"/>
      <c r="M198" s="29"/>
      <c r="N198" s="29"/>
      <c r="O198" s="29"/>
      <c r="P198" s="29"/>
      <c r="Q198" s="29"/>
      <c r="R198" s="11"/>
    </row>
    <row r="199" spans="1:18" ht="15.75" customHeight="1">
      <c r="A199" s="28"/>
      <c r="B199" s="25"/>
      <c r="C199" s="26"/>
      <c r="D199" s="26"/>
      <c r="E199" s="26"/>
      <c r="F199" s="26"/>
      <c r="G199" s="26"/>
      <c r="H199" s="26"/>
      <c r="I199" s="26"/>
      <c r="J199" s="26"/>
      <c r="K199" s="26"/>
      <c r="L199" s="26"/>
      <c r="M199" s="29"/>
      <c r="N199" s="29"/>
      <c r="O199" s="29"/>
      <c r="P199" s="29"/>
      <c r="Q199" s="29"/>
      <c r="R199" s="11"/>
    </row>
    <row r="200" spans="1:18" ht="15.75" customHeight="1">
      <c r="A200" s="28"/>
      <c r="B200" s="25"/>
      <c r="C200" s="26"/>
      <c r="D200" s="26"/>
      <c r="E200" s="26"/>
      <c r="F200" s="26"/>
      <c r="G200" s="26"/>
      <c r="H200" s="26"/>
      <c r="I200" s="26"/>
      <c r="J200" s="26"/>
      <c r="K200" s="26"/>
      <c r="L200" s="26"/>
      <c r="M200" s="29"/>
      <c r="N200" s="29"/>
      <c r="O200" s="29"/>
      <c r="P200" s="29"/>
      <c r="Q200" s="29"/>
      <c r="R200" s="11"/>
    </row>
    <row r="201" spans="1:18" ht="15.75" customHeight="1">
      <c r="A201" s="28"/>
      <c r="B201" s="25"/>
      <c r="C201" s="26"/>
      <c r="D201" s="26"/>
      <c r="E201" s="26"/>
      <c r="F201" s="26"/>
      <c r="G201" s="26"/>
      <c r="H201" s="26"/>
      <c r="I201" s="26"/>
      <c r="J201" s="26"/>
      <c r="K201" s="26"/>
      <c r="L201" s="26"/>
      <c r="M201" s="29"/>
      <c r="N201" s="29"/>
      <c r="O201" s="29"/>
      <c r="P201" s="29"/>
      <c r="Q201" s="29"/>
      <c r="R201" s="11"/>
    </row>
    <row r="202" spans="1:18" ht="15.75" customHeight="1">
      <c r="A202" s="28"/>
      <c r="B202" s="25"/>
      <c r="C202" s="26"/>
      <c r="D202" s="26"/>
      <c r="E202" s="26"/>
      <c r="F202" s="26"/>
      <c r="G202" s="26"/>
      <c r="H202" s="26"/>
      <c r="I202" s="26"/>
      <c r="J202" s="26"/>
      <c r="K202" s="26"/>
      <c r="L202" s="26"/>
      <c r="M202" s="29"/>
      <c r="N202" s="29"/>
      <c r="O202" s="29"/>
      <c r="P202" s="29"/>
      <c r="Q202" s="29"/>
      <c r="R202" s="11"/>
    </row>
    <row r="203" spans="1:18" ht="15.75" customHeight="1">
      <c r="A203" s="28"/>
      <c r="B203" s="25"/>
      <c r="C203" s="26"/>
      <c r="D203" s="26"/>
      <c r="E203" s="26"/>
      <c r="F203" s="26"/>
      <c r="G203" s="26"/>
      <c r="H203" s="26"/>
      <c r="I203" s="26"/>
      <c r="J203" s="26"/>
      <c r="K203" s="26"/>
      <c r="L203" s="26"/>
      <c r="M203" s="29"/>
      <c r="N203" s="29"/>
      <c r="O203" s="29"/>
      <c r="P203" s="29"/>
      <c r="Q203" s="29"/>
      <c r="R203" s="11"/>
    </row>
    <row r="204" spans="1:18" ht="15.75" customHeight="1">
      <c r="A204" s="28"/>
      <c r="B204" s="25"/>
      <c r="C204" s="26"/>
      <c r="D204" s="26"/>
      <c r="E204" s="26"/>
      <c r="F204" s="26"/>
      <c r="G204" s="26"/>
      <c r="H204" s="26"/>
      <c r="I204" s="26"/>
      <c r="J204" s="26"/>
      <c r="K204" s="26"/>
      <c r="L204" s="26"/>
      <c r="M204" s="29"/>
      <c r="N204" s="29"/>
      <c r="O204" s="29"/>
      <c r="P204" s="29"/>
      <c r="Q204" s="29"/>
      <c r="R204" s="11"/>
    </row>
    <row r="205" spans="1:18" ht="15.75" customHeight="1">
      <c r="A205" s="28"/>
      <c r="B205" s="25"/>
      <c r="C205" s="26"/>
      <c r="D205" s="26"/>
      <c r="E205" s="26"/>
      <c r="F205" s="26"/>
      <c r="G205" s="26"/>
      <c r="H205" s="26"/>
      <c r="I205" s="26"/>
      <c r="J205" s="26"/>
      <c r="K205" s="26"/>
      <c r="L205" s="26"/>
      <c r="M205" s="29"/>
      <c r="N205" s="29"/>
      <c r="O205" s="29"/>
      <c r="P205" s="29"/>
      <c r="Q205" s="29"/>
      <c r="R205" s="11"/>
    </row>
    <row r="206" spans="1:18" ht="15.75" customHeight="1">
      <c r="A206" s="28"/>
      <c r="B206" s="25"/>
      <c r="C206" s="26"/>
      <c r="D206" s="26"/>
      <c r="E206" s="26"/>
      <c r="F206" s="26"/>
      <c r="G206" s="26"/>
      <c r="H206" s="26"/>
      <c r="I206" s="26"/>
      <c r="J206" s="26"/>
      <c r="K206" s="26"/>
      <c r="L206" s="26"/>
      <c r="M206" s="29"/>
      <c r="N206" s="29"/>
      <c r="O206" s="29"/>
      <c r="P206" s="29"/>
      <c r="Q206" s="29"/>
      <c r="R206" s="11"/>
    </row>
    <row r="207" spans="1:18" ht="15.75" customHeight="1">
      <c r="A207" s="28"/>
      <c r="B207" s="25"/>
      <c r="C207" s="26"/>
      <c r="D207" s="26"/>
      <c r="E207" s="26"/>
      <c r="F207" s="26"/>
      <c r="G207" s="26"/>
      <c r="H207" s="26"/>
      <c r="I207" s="26"/>
      <c r="J207" s="26"/>
      <c r="K207" s="26"/>
      <c r="L207" s="26"/>
      <c r="M207" s="29"/>
      <c r="N207" s="29"/>
      <c r="O207" s="29"/>
      <c r="P207" s="29"/>
      <c r="Q207" s="29"/>
      <c r="R207" s="11"/>
    </row>
    <row r="208" spans="1:18" ht="15.75" customHeight="1">
      <c r="A208" s="28"/>
      <c r="B208" s="25"/>
      <c r="C208" s="26"/>
      <c r="D208" s="26"/>
      <c r="E208" s="26"/>
      <c r="F208" s="26"/>
      <c r="G208" s="26"/>
      <c r="H208" s="26"/>
      <c r="I208" s="26"/>
      <c r="J208" s="26"/>
      <c r="K208" s="26"/>
      <c r="L208" s="26"/>
      <c r="M208" s="29"/>
      <c r="N208" s="29"/>
      <c r="O208" s="29"/>
      <c r="P208" s="29"/>
      <c r="Q208" s="29"/>
      <c r="R208" s="11"/>
    </row>
    <row r="209" spans="1:18" ht="15.75" customHeight="1">
      <c r="A209" s="28"/>
      <c r="B209" s="25"/>
      <c r="C209" s="26"/>
      <c r="D209" s="26"/>
      <c r="E209" s="26"/>
      <c r="F209" s="26"/>
      <c r="G209" s="26"/>
      <c r="H209" s="26"/>
      <c r="I209" s="26"/>
      <c r="J209" s="26"/>
      <c r="K209" s="26"/>
      <c r="L209" s="26"/>
      <c r="M209" s="29"/>
      <c r="N209" s="29"/>
      <c r="O209" s="29"/>
      <c r="P209" s="29"/>
      <c r="Q209" s="29"/>
      <c r="R209" s="11"/>
    </row>
    <row r="210" spans="1:18" ht="15.75" customHeight="1">
      <c r="A210" s="28"/>
      <c r="B210" s="25"/>
      <c r="C210" s="26"/>
      <c r="D210" s="26"/>
      <c r="E210" s="26"/>
      <c r="F210" s="26"/>
      <c r="G210" s="26"/>
      <c r="H210" s="26"/>
      <c r="I210" s="26"/>
      <c r="J210" s="26"/>
      <c r="K210" s="26"/>
      <c r="L210" s="26"/>
      <c r="M210" s="29"/>
      <c r="N210" s="29"/>
      <c r="O210" s="29"/>
      <c r="P210" s="29"/>
      <c r="Q210" s="29"/>
      <c r="R210" s="11"/>
    </row>
    <row r="211" spans="1:18" ht="15.75" customHeight="1">
      <c r="A211" s="28"/>
      <c r="B211" s="25"/>
      <c r="C211" s="26"/>
      <c r="D211" s="26"/>
      <c r="E211" s="26"/>
      <c r="F211" s="26"/>
      <c r="G211" s="26"/>
      <c r="H211" s="26"/>
      <c r="I211" s="26"/>
      <c r="J211" s="26"/>
      <c r="K211" s="26"/>
      <c r="L211" s="26"/>
      <c r="M211" s="29"/>
      <c r="N211" s="29"/>
      <c r="O211" s="29"/>
      <c r="P211" s="29"/>
      <c r="Q211" s="29"/>
      <c r="R211" s="11"/>
    </row>
    <row r="212" spans="1:18" ht="15.75" customHeight="1">
      <c r="A212" s="28"/>
      <c r="B212" s="25"/>
      <c r="C212" s="26"/>
      <c r="D212" s="26"/>
      <c r="E212" s="26"/>
      <c r="F212" s="26"/>
      <c r="G212" s="26"/>
      <c r="H212" s="26"/>
      <c r="I212" s="26"/>
      <c r="J212" s="26"/>
      <c r="K212" s="26"/>
      <c r="L212" s="26"/>
      <c r="M212" s="29"/>
      <c r="N212" s="29"/>
      <c r="O212" s="29"/>
      <c r="P212" s="29"/>
      <c r="Q212" s="29"/>
      <c r="R212" s="11"/>
    </row>
    <row r="213" spans="1:18" ht="15.75" customHeight="1">
      <c r="A213" s="28"/>
      <c r="B213" s="25"/>
      <c r="C213" s="26"/>
      <c r="D213" s="26"/>
      <c r="E213" s="26"/>
      <c r="F213" s="26"/>
      <c r="G213" s="26"/>
      <c r="H213" s="26"/>
      <c r="I213" s="26"/>
      <c r="J213" s="26"/>
      <c r="K213" s="26"/>
      <c r="L213" s="26"/>
      <c r="M213" s="29"/>
      <c r="N213" s="29"/>
      <c r="O213" s="29"/>
      <c r="P213" s="29"/>
      <c r="Q213" s="29"/>
      <c r="R213" s="11"/>
    </row>
    <row r="214" spans="1:18" ht="15.75" customHeight="1">
      <c r="A214" s="28"/>
      <c r="B214" s="25"/>
      <c r="C214" s="26"/>
      <c r="D214" s="26"/>
      <c r="E214" s="26"/>
      <c r="F214" s="26"/>
      <c r="G214" s="26"/>
      <c r="H214" s="26"/>
      <c r="I214" s="26"/>
      <c r="J214" s="26"/>
      <c r="K214" s="26"/>
      <c r="L214" s="26"/>
      <c r="M214" s="29"/>
      <c r="N214" s="29"/>
      <c r="O214" s="29"/>
      <c r="P214" s="29"/>
      <c r="Q214" s="29"/>
      <c r="R214" s="11"/>
    </row>
    <row r="215" spans="1:18" ht="15.75" customHeight="1">
      <c r="A215" s="28"/>
      <c r="B215" s="25"/>
      <c r="C215" s="26"/>
      <c r="D215" s="26"/>
      <c r="E215" s="26"/>
      <c r="F215" s="26"/>
      <c r="G215" s="26"/>
      <c r="H215" s="26"/>
      <c r="I215" s="26"/>
      <c r="J215" s="26"/>
      <c r="K215" s="26"/>
      <c r="L215" s="26"/>
      <c r="M215" s="29"/>
      <c r="N215" s="29"/>
      <c r="O215" s="29"/>
      <c r="P215" s="29"/>
      <c r="Q215" s="29"/>
      <c r="R215" s="11"/>
    </row>
    <row r="216" spans="1:18" ht="15.75" customHeight="1">
      <c r="A216" s="28"/>
      <c r="B216" s="25"/>
      <c r="C216" s="26"/>
      <c r="D216" s="26"/>
      <c r="E216" s="26"/>
      <c r="F216" s="26"/>
      <c r="G216" s="26"/>
      <c r="H216" s="26"/>
      <c r="I216" s="26"/>
      <c r="J216" s="26"/>
      <c r="K216" s="26"/>
      <c r="L216" s="26"/>
      <c r="M216" s="29"/>
      <c r="N216" s="29"/>
      <c r="O216" s="29"/>
      <c r="P216" s="29"/>
      <c r="Q216" s="29"/>
      <c r="R216" s="11"/>
    </row>
    <row r="217" spans="1:18" ht="15.75" customHeight="1">
      <c r="A217" s="28"/>
      <c r="B217" s="25"/>
      <c r="C217" s="26"/>
      <c r="D217" s="26"/>
      <c r="E217" s="26"/>
      <c r="F217" s="26"/>
      <c r="G217" s="26"/>
      <c r="H217" s="26"/>
      <c r="I217" s="26"/>
      <c r="J217" s="26"/>
      <c r="K217" s="26"/>
      <c r="L217" s="26"/>
      <c r="M217" s="29"/>
      <c r="N217" s="29"/>
      <c r="O217" s="29"/>
      <c r="P217" s="29"/>
      <c r="Q217" s="29"/>
      <c r="R217" s="11"/>
    </row>
    <row r="218" spans="1:18" ht="15.75" customHeight="1">
      <c r="A218" s="28"/>
      <c r="B218" s="25"/>
      <c r="C218" s="26"/>
      <c r="D218" s="26"/>
      <c r="E218" s="26"/>
      <c r="F218" s="26"/>
      <c r="G218" s="26"/>
      <c r="H218" s="26"/>
      <c r="I218" s="26"/>
      <c r="J218" s="26"/>
      <c r="K218" s="26"/>
      <c r="L218" s="26"/>
      <c r="M218" s="29"/>
      <c r="N218" s="29"/>
      <c r="O218" s="29"/>
      <c r="P218" s="29"/>
      <c r="Q218" s="29"/>
      <c r="R218" s="11"/>
    </row>
    <row r="219" spans="1:18" ht="15.75" customHeight="1">
      <c r="A219" s="28"/>
      <c r="B219" s="25"/>
      <c r="C219" s="26"/>
      <c r="D219" s="26"/>
      <c r="E219" s="26"/>
      <c r="F219" s="26"/>
      <c r="G219" s="26"/>
      <c r="H219" s="26"/>
      <c r="I219" s="26"/>
      <c r="J219" s="26"/>
      <c r="K219" s="26"/>
      <c r="L219" s="26"/>
      <c r="M219" s="29"/>
      <c r="N219" s="29"/>
      <c r="O219" s="29"/>
      <c r="P219" s="29"/>
      <c r="Q219" s="29"/>
      <c r="R219" s="11"/>
    </row>
    <row r="220" spans="1:18" ht="15.75" customHeight="1">
      <c r="A220" s="28"/>
      <c r="B220" s="25"/>
      <c r="C220" s="26"/>
      <c r="D220" s="26"/>
      <c r="E220" s="26"/>
      <c r="F220" s="26"/>
      <c r="G220" s="26"/>
      <c r="H220" s="26"/>
      <c r="I220" s="26"/>
      <c r="J220" s="26"/>
      <c r="K220" s="26"/>
      <c r="L220" s="26"/>
      <c r="M220" s="29"/>
      <c r="N220" s="29"/>
      <c r="O220" s="29"/>
      <c r="P220" s="29"/>
      <c r="Q220" s="29"/>
      <c r="R220" s="11"/>
    </row>
    <row r="221" spans="1:18" ht="15.75" customHeight="1">
      <c r="A221" s="28"/>
      <c r="B221" s="25"/>
      <c r="C221" s="26"/>
      <c r="D221" s="26"/>
      <c r="E221" s="26"/>
      <c r="F221" s="26"/>
      <c r="G221" s="26"/>
      <c r="H221" s="26"/>
      <c r="I221" s="26"/>
      <c r="J221" s="26"/>
      <c r="K221" s="26"/>
      <c r="L221" s="26"/>
      <c r="M221" s="29"/>
      <c r="N221" s="29"/>
      <c r="O221" s="29"/>
      <c r="P221" s="29"/>
      <c r="Q221" s="29"/>
      <c r="R221" s="11"/>
    </row>
    <row r="222" spans="1:18" ht="15.75" customHeight="1">
      <c r="A222" s="28"/>
      <c r="B222" s="25"/>
      <c r="C222" s="26"/>
      <c r="D222" s="26"/>
      <c r="E222" s="26"/>
      <c r="F222" s="26"/>
      <c r="G222" s="26"/>
      <c r="H222" s="26"/>
      <c r="I222" s="26"/>
      <c r="J222" s="26"/>
      <c r="K222" s="26"/>
      <c r="L222" s="26"/>
      <c r="M222" s="29"/>
      <c r="N222" s="29"/>
      <c r="O222" s="29"/>
      <c r="P222" s="29"/>
      <c r="Q222" s="29"/>
      <c r="R222" s="11"/>
    </row>
    <row r="223" spans="1:18" ht="15.75" customHeight="1">
      <c r="A223" s="28"/>
      <c r="B223" s="25"/>
      <c r="C223" s="26"/>
      <c r="D223" s="26"/>
      <c r="E223" s="26"/>
      <c r="F223" s="26"/>
      <c r="G223" s="26"/>
      <c r="H223" s="26"/>
      <c r="I223" s="26"/>
      <c r="J223" s="26"/>
      <c r="K223" s="26"/>
      <c r="L223" s="26"/>
      <c r="M223" s="29"/>
      <c r="N223" s="29"/>
      <c r="O223" s="29"/>
      <c r="P223" s="29"/>
      <c r="Q223" s="29"/>
      <c r="R223" s="11"/>
    </row>
    <row r="224" spans="1:18" ht="15.75" customHeight="1">
      <c r="A224" s="28"/>
      <c r="B224" s="25"/>
      <c r="C224" s="26"/>
      <c r="D224" s="26"/>
      <c r="E224" s="26"/>
      <c r="F224" s="26"/>
      <c r="G224" s="26"/>
      <c r="H224" s="26"/>
      <c r="I224" s="26"/>
      <c r="J224" s="26"/>
      <c r="K224" s="26"/>
      <c r="L224" s="26"/>
      <c r="M224" s="29"/>
      <c r="N224" s="29"/>
      <c r="O224" s="29"/>
      <c r="P224" s="29"/>
      <c r="Q224" s="29"/>
      <c r="R224" s="11"/>
    </row>
    <row r="225" spans="1:18" ht="15.75" customHeight="1">
      <c r="A225" s="28"/>
      <c r="B225" s="25"/>
      <c r="C225" s="26"/>
      <c r="D225" s="26"/>
      <c r="E225" s="26"/>
      <c r="F225" s="26"/>
      <c r="G225" s="26"/>
      <c r="H225" s="26"/>
      <c r="I225" s="26"/>
      <c r="J225" s="26"/>
      <c r="K225" s="26"/>
      <c r="L225" s="26"/>
      <c r="M225" s="29"/>
      <c r="N225" s="29"/>
      <c r="O225" s="29"/>
      <c r="P225" s="29"/>
      <c r="Q225" s="29"/>
      <c r="R225" s="11"/>
    </row>
    <row r="226" spans="1:18" ht="15.75" customHeight="1">
      <c r="A226" s="28"/>
      <c r="B226" s="25"/>
      <c r="C226" s="26"/>
      <c r="D226" s="26"/>
      <c r="E226" s="26"/>
      <c r="F226" s="26"/>
      <c r="G226" s="26"/>
      <c r="H226" s="26"/>
      <c r="I226" s="26"/>
      <c r="J226" s="26"/>
      <c r="K226" s="26"/>
      <c r="L226" s="26"/>
      <c r="M226" s="29"/>
      <c r="N226" s="29"/>
      <c r="O226" s="29"/>
      <c r="P226" s="29"/>
      <c r="Q226" s="29"/>
      <c r="R226" s="11"/>
    </row>
    <row r="227" spans="1:18" ht="15.75" customHeight="1">
      <c r="A227" s="28"/>
      <c r="B227" s="25"/>
      <c r="C227" s="26"/>
      <c r="D227" s="26"/>
      <c r="E227" s="26"/>
      <c r="F227" s="26"/>
      <c r="G227" s="26"/>
      <c r="H227" s="26"/>
      <c r="I227" s="26"/>
      <c r="J227" s="26"/>
      <c r="K227" s="26"/>
      <c r="L227" s="26"/>
      <c r="M227" s="29"/>
      <c r="N227" s="29"/>
      <c r="O227" s="29"/>
      <c r="P227" s="29"/>
      <c r="Q227" s="29"/>
      <c r="R227" s="11"/>
    </row>
    <row r="228" spans="1:18" ht="15.75" customHeight="1">
      <c r="A228" s="28"/>
      <c r="B228" s="25"/>
      <c r="C228" s="26"/>
      <c r="D228" s="26"/>
      <c r="E228" s="26"/>
      <c r="F228" s="26"/>
      <c r="G228" s="26"/>
      <c r="H228" s="26"/>
      <c r="I228" s="26"/>
      <c r="J228" s="26"/>
      <c r="K228" s="26"/>
      <c r="L228" s="26"/>
      <c r="M228" s="29"/>
      <c r="N228" s="29"/>
      <c r="O228" s="29"/>
      <c r="P228" s="29"/>
      <c r="Q228" s="29"/>
      <c r="R228" s="11"/>
    </row>
    <row r="229" spans="1:18" ht="15.75" customHeight="1">
      <c r="A229" s="28"/>
      <c r="B229" s="25"/>
      <c r="C229" s="26"/>
      <c r="D229" s="26"/>
      <c r="E229" s="26"/>
      <c r="F229" s="26"/>
      <c r="G229" s="26"/>
      <c r="H229" s="26"/>
      <c r="I229" s="26"/>
      <c r="J229" s="26"/>
      <c r="K229" s="26"/>
      <c r="L229" s="26"/>
      <c r="M229" s="29"/>
      <c r="N229" s="29"/>
      <c r="O229" s="29"/>
      <c r="P229" s="29"/>
      <c r="Q229" s="29"/>
      <c r="R229" s="11"/>
    </row>
    <row r="230" spans="1:18" ht="15.75" customHeight="1">
      <c r="A230" s="28"/>
      <c r="B230" s="25"/>
      <c r="C230" s="26"/>
      <c r="D230" s="26"/>
      <c r="E230" s="26"/>
      <c r="F230" s="26"/>
      <c r="G230" s="26"/>
      <c r="H230" s="26"/>
      <c r="I230" s="26"/>
      <c r="J230" s="26"/>
      <c r="K230" s="26"/>
      <c r="L230" s="26"/>
      <c r="M230" s="29"/>
      <c r="N230" s="29"/>
      <c r="O230" s="29"/>
      <c r="P230" s="29"/>
      <c r="Q230" s="29"/>
      <c r="R230" s="11"/>
    </row>
    <row r="231" spans="1:18" ht="15.75" customHeight="1">
      <c r="A231" s="28"/>
      <c r="B231" s="25"/>
      <c r="C231" s="26"/>
      <c r="D231" s="26"/>
      <c r="E231" s="26"/>
      <c r="F231" s="26"/>
      <c r="G231" s="26"/>
      <c r="H231" s="26"/>
      <c r="I231" s="26"/>
      <c r="J231" s="26"/>
      <c r="K231" s="26"/>
      <c r="L231" s="26"/>
      <c r="M231" s="29"/>
      <c r="N231" s="29"/>
      <c r="O231" s="29"/>
      <c r="P231" s="29"/>
      <c r="Q231" s="29"/>
      <c r="R231" s="11"/>
    </row>
    <row r="232" spans="1:18" ht="15.75" customHeight="1">
      <c r="A232" s="28"/>
      <c r="B232" s="25"/>
      <c r="C232" s="26"/>
      <c r="D232" s="26"/>
      <c r="E232" s="26"/>
      <c r="F232" s="26"/>
      <c r="G232" s="26"/>
      <c r="H232" s="26"/>
      <c r="I232" s="26"/>
      <c r="J232" s="26"/>
      <c r="K232" s="26"/>
      <c r="L232" s="26"/>
      <c r="M232" s="29"/>
      <c r="N232" s="29"/>
      <c r="O232" s="29"/>
      <c r="P232" s="29"/>
      <c r="Q232" s="29"/>
      <c r="R232" s="11"/>
    </row>
    <row r="233" spans="1:18" ht="15.75" customHeight="1">
      <c r="A233" s="28"/>
      <c r="B233" s="25"/>
      <c r="C233" s="26"/>
      <c r="D233" s="26"/>
      <c r="E233" s="26"/>
      <c r="F233" s="26"/>
      <c r="G233" s="26"/>
      <c r="H233" s="26"/>
      <c r="I233" s="26"/>
      <c r="J233" s="26"/>
      <c r="K233" s="26"/>
      <c r="L233" s="26"/>
      <c r="M233" s="29"/>
      <c r="N233" s="29"/>
      <c r="O233" s="29"/>
      <c r="P233" s="29"/>
      <c r="Q233" s="29"/>
      <c r="R233" s="11"/>
    </row>
    <row r="234" spans="1:18" ht="15.75" customHeight="1">
      <c r="A234" s="28"/>
      <c r="B234" s="25"/>
      <c r="C234" s="26"/>
      <c r="D234" s="26"/>
      <c r="E234" s="26"/>
      <c r="F234" s="26"/>
      <c r="G234" s="26"/>
      <c r="H234" s="26"/>
      <c r="I234" s="26"/>
      <c r="J234" s="26"/>
      <c r="K234" s="26"/>
      <c r="L234" s="26"/>
      <c r="M234" s="29"/>
      <c r="N234" s="29"/>
      <c r="O234" s="29"/>
      <c r="P234" s="29"/>
      <c r="Q234" s="29"/>
      <c r="R234" s="11"/>
    </row>
    <row r="235" spans="1:18" ht="15.75" customHeight="1">
      <c r="A235" s="28"/>
      <c r="B235" s="25"/>
      <c r="C235" s="26"/>
      <c r="D235" s="26"/>
      <c r="E235" s="26"/>
      <c r="F235" s="26"/>
      <c r="G235" s="26"/>
      <c r="H235" s="26"/>
      <c r="I235" s="26"/>
      <c r="J235" s="26"/>
      <c r="K235" s="26"/>
      <c r="L235" s="26"/>
      <c r="M235" s="29"/>
      <c r="N235" s="29"/>
      <c r="O235" s="29"/>
      <c r="P235" s="29"/>
      <c r="Q235" s="29"/>
      <c r="R235" s="11"/>
    </row>
    <row r="236" spans="1:18" ht="15.75" customHeight="1">
      <c r="A236" s="28"/>
      <c r="B236" s="25"/>
      <c r="C236" s="26"/>
      <c r="D236" s="26"/>
      <c r="E236" s="26"/>
      <c r="F236" s="26"/>
      <c r="G236" s="26"/>
      <c r="H236" s="26"/>
      <c r="I236" s="26"/>
      <c r="J236" s="26"/>
      <c r="K236" s="26"/>
      <c r="L236" s="26"/>
      <c r="M236" s="29"/>
      <c r="N236" s="29"/>
      <c r="O236" s="29"/>
      <c r="P236" s="29"/>
      <c r="Q236" s="29"/>
      <c r="R236" s="11"/>
    </row>
    <row r="237" spans="1:18" ht="15.75" customHeight="1">
      <c r="A237" s="28"/>
      <c r="B237" s="25"/>
      <c r="C237" s="26"/>
      <c r="D237" s="26"/>
      <c r="E237" s="26"/>
      <c r="F237" s="26"/>
      <c r="G237" s="26"/>
      <c r="H237" s="26"/>
      <c r="I237" s="26"/>
      <c r="J237" s="26"/>
      <c r="K237" s="26"/>
      <c r="L237" s="26"/>
      <c r="M237" s="29"/>
      <c r="N237" s="29"/>
      <c r="O237" s="29"/>
      <c r="P237" s="29"/>
      <c r="Q237" s="29"/>
      <c r="R237" s="11"/>
    </row>
    <row r="238" spans="1:18" ht="15.75" customHeight="1">
      <c r="A238" s="28"/>
      <c r="B238" s="25"/>
      <c r="C238" s="26"/>
      <c r="D238" s="26"/>
      <c r="E238" s="26"/>
      <c r="F238" s="26"/>
      <c r="G238" s="26"/>
      <c r="H238" s="26"/>
      <c r="I238" s="26"/>
      <c r="J238" s="26"/>
      <c r="K238" s="26"/>
      <c r="L238" s="26"/>
      <c r="M238" s="29"/>
      <c r="N238" s="29"/>
      <c r="O238" s="29"/>
      <c r="P238" s="29"/>
      <c r="Q238" s="29"/>
      <c r="R238" s="11"/>
    </row>
    <row r="239" spans="1:18" ht="15.75" customHeight="1">
      <c r="A239" s="28"/>
      <c r="B239" s="25"/>
      <c r="C239" s="26"/>
      <c r="D239" s="26"/>
      <c r="E239" s="26"/>
      <c r="F239" s="26"/>
      <c r="G239" s="26"/>
      <c r="H239" s="26"/>
      <c r="I239" s="26"/>
      <c r="J239" s="26"/>
      <c r="K239" s="26"/>
      <c r="L239" s="26"/>
      <c r="M239" s="29"/>
      <c r="N239" s="29"/>
      <c r="O239" s="29"/>
      <c r="P239" s="29"/>
      <c r="Q239" s="29"/>
      <c r="R239" s="11"/>
    </row>
    <row r="240" spans="1:18" ht="15.75" customHeight="1">
      <c r="A240" s="28"/>
      <c r="B240" s="25"/>
      <c r="C240" s="26"/>
      <c r="D240" s="26"/>
      <c r="E240" s="26"/>
      <c r="F240" s="26"/>
      <c r="G240" s="26"/>
      <c r="H240" s="26"/>
      <c r="I240" s="26"/>
      <c r="J240" s="26"/>
      <c r="K240" s="26"/>
      <c r="L240" s="26"/>
      <c r="M240" s="29"/>
      <c r="N240" s="29"/>
      <c r="O240" s="29"/>
      <c r="P240" s="29"/>
      <c r="Q240" s="29"/>
      <c r="R240" s="11"/>
    </row>
    <row r="241" spans="1:18" ht="15.75" customHeight="1">
      <c r="A241" s="28"/>
      <c r="B241" s="25"/>
      <c r="C241" s="26"/>
      <c r="D241" s="26"/>
      <c r="E241" s="26"/>
      <c r="F241" s="26"/>
      <c r="G241" s="26"/>
      <c r="H241" s="26"/>
      <c r="I241" s="26"/>
      <c r="J241" s="26"/>
      <c r="K241" s="26"/>
      <c r="L241" s="26"/>
      <c r="M241" s="29"/>
      <c r="N241" s="29"/>
      <c r="O241" s="29"/>
      <c r="P241" s="29"/>
      <c r="Q241" s="29"/>
      <c r="R241" s="11"/>
    </row>
    <row r="242" spans="1:18" ht="15.75" customHeight="1">
      <c r="A242" s="28"/>
      <c r="B242" s="25"/>
      <c r="C242" s="26"/>
      <c r="D242" s="26"/>
      <c r="E242" s="26"/>
      <c r="F242" s="26"/>
      <c r="G242" s="26"/>
      <c r="H242" s="26"/>
      <c r="I242" s="26"/>
      <c r="J242" s="26"/>
      <c r="K242" s="26"/>
      <c r="L242" s="26"/>
      <c r="M242" s="29"/>
      <c r="N242" s="29"/>
      <c r="O242" s="29"/>
      <c r="P242" s="29"/>
      <c r="Q242" s="29"/>
      <c r="R242" s="11"/>
    </row>
    <row r="243" spans="1:18" ht="15.75" customHeight="1">
      <c r="A243" s="28"/>
      <c r="B243" s="25"/>
      <c r="C243" s="26"/>
      <c r="D243" s="26"/>
      <c r="E243" s="26"/>
      <c r="F243" s="26"/>
      <c r="G243" s="26"/>
      <c r="H243" s="26"/>
      <c r="I243" s="26"/>
      <c r="J243" s="26"/>
      <c r="K243" s="26"/>
      <c r="L243" s="26"/>
      <c r="M243" s="29"/>
      <c r="N243" s="29"/>
      <c r="O243" s="29"/>
      <c r="P243" s="29"/>
      <c r="Q243" s="29"/>
      <c r="R243" s="11"/>
    </row>
    <row r="244" spans="1:18" ht="15.75" customHeight="1">
      <c r="A244" s="28"/>
      <c r="B244" s="25"/>
      <c r="C244" s="26"/>
      <c r="D244" s="26"/>
      <c r="E244" s="26"/>
      <c r="F244" s="26"/>
      <c r="G244" s="26"/>
      <c r="H244" s="26"/>
      <c r="I244" s="26"/>
      <c r="J244" s="26"/>
      <c r="K244" s="26"/>
      <c r="L244" s="26"/>
      <c r="M244" s="29"/>
      <c r="N244" s="29"/>
      <c r="O244" s="29"/>
      <c r="P244" s="29"/>
      <c r="Q244" s="29"/>
      <c r="R244" s="11"/>
    </row>
    <row r="245" spans="1:18" ht="15.75" customHeight="1">
      <c r="A245" s="28"/>
      <c r="B245" s="25"/>
      <c r="C245" s="26"/>
      <c r="D245" s="26"/>
      <c r="E245" s="26"/>
      <c r="F245" s="26"/>
      <c r="G245" s="26"/>
      <c r="H245" s="26"/>
      <c r="I245" s="26"/>
      <c r="J245" s="26"/>
      <c r="K245" s="26"/>
      <c r="L245" s="26"/>
      <c r="M245" s="29"/>
      <c r="N245" s="29"/>
      <c r="O245" s="29"/>
      <c r="P245" s="29"/>
      <c r="Q245" s="29"/>
      <c r="R245" s="11"/>
    </row>
    <row r="246" spans="1:18" ht="15.75" customHeight="1">
      <c r="A246" s="28"/>
      <c r="B246" s="25"/>
      <c r="C246" s="26"/>
      <c r="D246" s="26"/>
      <c r="E246" s="26"/>
      <c r="F246" s="26"/>
      <c r="G246" s="26"/>
      <c r="H246" s="26"/>
      <c r="I246" s="26"/>
      <c r="J246" s="26"/>
      <c r="K246" s="26"/>
      <c r="L246" s="26"/>
      <c r="M246" s="29"/>
      <c r="N246" s="29"/>
      <c r="O246" s="29"/>
      <c r="P246" s="29"/>
      <c r="Q246" s="29"/>
      <c r="R246" s="11"/>
    </row>
    <row r="247" spans="1:18" ht="15.75" customHeight="1">
      <c r="A247" s="28"/>
      <c r="B247" s="25"/>
      <c r="C247" s="26"/>
      <c r="D247" s="26"/>
      <c r="E247" s="26"/>
      <c r="F247" s="26"/>
      <c r="G247" s="26"/>
      <c r="H247" s="26"/>
      <c r="I247" s="26"/>
      <c r="J247" s="26"/>
      <c r="K247" s="26"/>
      <c r="L247" s="26"/>
      <c r="M247" s="29"/>
      <c r="N247" s="29"/>
      <c r="O247" s="29"/>
      <c r="P247" s="29"/>
      <c r="Q247" s="29"/>
      <c r="R247" s="11"/>
    </row>
    <row r="248" spans="1:18" ht="15.75" customHeight="1">
      <c r="A248" s="28"/>
      <c r="B248" s="25"/>
      <c r="C248" s="26"/>
      <c r="D248" s="26"/>
      <c r="E248" s="26"/>
      <c r="F248" s="26"/>
      <c r="G248" s="26"/>
      <c r="H248" s="26"/>
      <c r="I248" s="26"/>
      <c r="J248" s="26"/>
      <c r="K248" s="26"/>
      <c r="L248" s="26"/>
      <c r="M248" s="29"/>
      <c r="N248" s="29"/>
      <c r="O248" s="29"/>
      <c r="P248" s="29"/>
      <c r="Q248" s="29"/>
      <c r="R248" s="11"/>
    </row>
    <row r="249" spans="1:18" ht="15.75" customHeight="1">
      <c r="A249" s="28"/>
      <c r="B249" s="25"/>
      <c r="C249" s="26"/>
      <c r="D249" s="26"/>
      <c r="E249" s="26"/>
      <c r="F249" s="26"/>
      <c r="G249" s="26"/>
      <c r="H249" s="26"/>
      <c r="I249" s="26"/>
      <c r="J249" s="26"/>
      <c r="K249" s="26"/>
      <c r="L249" s="26"/>
      <c r="M249" s="29"/>
      <c r="N249" s="29"/>
      <c r="O249" s="29"/>
      <c r="P249" s="29"/>
      <c r="Q249" s="29"/>
      <c r="R249" s="11"/>
    </row>
    <row r="250" spans="1:18" ht="15.75" customHeight="1"/>
    <row r="251" spans="1:18" ht="15.75" customHeight="1"/>
    <row r="252" spans="1:18" ht="15.75" customHeight="1"/>
    <row r="253" spans="1:18" ht="15.75" customHeight="1"/>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1" type="noConversion"/>
  <pageMargins left="0.7" right="0.7" top="0.75" bottom="0.75"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999"/>
  <sheetViews>
    <sheetView workbookViewId="0">
      <pane ySplit="1" topLeftCell="A32" activePane="bottomLeft" state="frozen"/>
      <selection pane="bottomLeft" activeCell="A49" sqref="A49:XFD49"/>
    </sheetView>
  </sheetViews>
  <sheetFormatPr defaultColWidth="14.42578125" defaultRowHeight="15" customHeight="1"/>
  <cols>
    <col min="1" max="1" width="50.7109375" customWidth="1"/>
    <col min="2" max="2" width="11.85546875" customWidth="1"/>
    <col min="3" max="3" width="8.28515625" customWidth="1"/>
    <col min="4" max="4" width="11" customWidth="1"/>
    <col min="5" max="5" width="8.140625" customWidth="1"/>
    <col min="6" max="6" width="18.140625" customWidth="1"/>
    <col min="7" max="7" width="31.140625" customWidth="1"/>
    <col min="8" max="8" width="18.85546875" customWidth="1"/>
    <col min="9" max="9" width="21.7109375" customWidth="1"/>
    <col min="10" max="10" width="18.7109375" customWidth="1"/>
    <col min="11" max="11" width="29" customWidth="1"/>
    <col min="12" max="12" width="42" customWidth="1"/>
    <col min="13" max="13" width="14.28515625" customWidth="1"/>
    <col min="14" max="14" width="17.140625" customWidth="1"/>
    <col min="15" max="15" width="14.140625" customWidth="1"/>
    <col min="16" max="16" width="24.42578125" customWidth="1"/>
    <col min="17" max="17" width="37.42578125" customWidth="1"/>
    <col min="18" max="18" width="6.28515625" customWidth="1"/>
    <col min="19" max="37" width="8.7109375" customWidth="1"/>
  </cols>
  <sheetData>
    <row r="1" spans="1:18" ht="15.75" customHeight="1">
      <c r="A1" s="45" t="s">
        <v>515</v>
      </c>
      <c r="B1" s="4" t="s">
        <v>4</v>
      </c>
      <c r="C1" s="5" t="s">
        <v>0</v>
      </c>
      <c r="D1" s="6" t="s">
        <v>1</v>
      </c>
      <c r="E1" s="6" t="s">
        <v>2</v>
      </c>
      <c r="F1" s="6" t="s">
        <v>5</v>
      </c>
      <c r="G1" s="6" t="s">
        <v>3</v>
      </c>
      <c r="H1" s="7" t="s">
        <v>6</v>
      </c>
      <c r="I1" s="7" t="s">
        <v>7</v>
      </c>
      <c r="J1" s="7" t="s">
        <v>8</v>
      </c>
      <c r="K1" s="7" t="s">
        <v>9</v>
      </c>
      <c r="L1" s="7" t="s">
        <v>10</v>
      </c>
      <c r="M1" s="8" t="s">
        <v>11</v>
      </c>
      <c r="N1" s="9" t="s">
        <v>12</v>
      </c>
      <c r="O1" s="9" t="s">
        <v>13</v>
      </c>
      <c r="P1" s="9" t="s">
        <v>14</v>
      </c>
      <c r="Q1" s="9" t="s">
        <v>15</v>
      </c>
      <c r="R1" s="2"/>
    </row>
    <row r="2" spans="1:18" ht="15.75" customHeight="1">
      <c r="A2" s="46" t="s">
        <v>516</v>
      </c>
      <c r="B2" s="47" t="s">
        <v>162</v>
      </c>
      <c r="C2" s="48" t="s">
        <v>18</v>
      </c>
      <c r="D2" s="48" t="s">
        <v>17</v>
      </c>
      <c r="E2" s="48" t="s">
        <v>17</v>
      </c>
      <c r="F2" s="48" t="s">
        <v>17</v>
      </c>
      <c r="G2" s="48" t="s">
        <v>17</v>
      </c>
      <c r="H2" s="48"/>
      <c r="I2" s="48"/>
      <c r="J2" s="48"/>
      <c r="K2" s="48"/>
      <c r="L2" s="48"/>
      <c r="M2" s="48">
        <f t="shared" ref="M2:Q2" si="0">IF(TRIM(SUBSTITUTE(C2, "　", " "))=TRIM(SUBSTITUTE($B2, "　", " ")), 2, 0)</f>
        <v>0</v>
      </c>
      <c r="N2" s="48">
        <f t="shared" si="0"/>
        <v>2</v>
      </c>
      <c r="O2" s="48">
        <f t="shared" si="0"/>
        <v>2</v>
      </c>
      <c r="P2" s="48">
        <f t="shared" si="0"/>
        <v>2</v>
      </c>
      <c r="Q2" s="48">
        <f t="shared" si="0"/>
        <v>2</v>
      </c>
      <c r="R2" s="2"/>
    </row>
    <row r="3" spans="1:18" ht="15.75" customHeight="1">
      <c r="A3" s="46" t="s">
        <v>517</v>
      </c>
      <c r="B3" s="47" t="s">
        <v>162</v>
      </c>
      <c r="C3" s="48" t="s">
        <v>17</v>
      </c>
      <c r="D3" s="48" t="s">
        <v>17</v>
      </c>
      <c r="E3" s="48" t="s">
        <v>17</v>
      </c>
      <c r="F3" s="48" t="s">
        <v>17</v>
      </c>
      <c r="G3" s="48" t="s">
        <v>17</v>
      </c>
      <c r="H3" s="48"/>
      <c r="I3" s="48"/>
      <c r="J3" s="48"/>
      <c r="K3" s="48"/>
      <c r="L3" s="48"/>
      <c r="M3" s="48">
        <f t="shared" ref="M3:Q3" si="1">IF(TRIM(SUBSTITUTE(C3, "　", " "))=TRIM(SUBSTITUTE($B3, "　", " ")), 2, 0)</f>
        <v>2</v>
      </c>
      <c r="N3" s="48">
        <f t="shared" si="1"/>
        <v>2</v>
      </c>
      <c r="O3" s="48">
        <f t="shared" si="1"/>
        <v>2</v>
      </c>
      <c r="P3" s="48">
        <f t="shared" si="1"/>
        <v>2</v>
      </c>
      <c r="Q3" s="48">
        <f t="shared" si="1"/>
        <v>2</v>
      </c>
      <c r="R3" s="29"/>
    </row>
    <row r="4" spans="1:18" ht="15.75" customHeight="1">
      <c r="A4" s="46" t="s">
        <v>518</v>
      </c>
      <c r="B4" s="47" t="s">
        <v>148</v>
      </c>
      <c r="C4" s="48" t="s">
        <v>17</v>
      </c>
      <c r="D4" s="48" t="s">
        <v>23</v>
      </c>
      <c r="E4" s="48" t="s">
        <v>17</v>
      </c>
      <c r="F4" s="48" t="s">
        <v>23</v>
      </c>
      <c r="G4" s="48" t="s">
        <v>23</v>
      </c>
      <c r="H4" s="48"/>
      <c r="I4" s="48"/>
      <c r="J4" s="48"/>
      <c r="K4" s="48"/>
      <c r="L4" s="48"/>
      <c r="M4" s="48">
        <f t="shared" ref="M4:Q4" si="2">IF(TRIM(SUBSTITUTE(C4, "　", " "))=TRIM(SUBSTITUTE($B4, "　", " ")), 2, 0)</f>
        <v>0</v>
      </c>
      <c r="N4" s="48">
        <f t="shared" si="2"/>
        <v>2</v>
      </c>
      <c r="O4" s="48">
        <f t="shared" si="2"/>
        <v>0</v>
      </c>
      <c r="P4" s="48">
        <f t="shared" si="2"/>
        <v>2</v>
      </c>
      <c r="Q4" s="48">
        <f t="shared" si="2"/>
        <v>2</v>
      </c>
      <c r="R4" s="29"/>
    </row>
    <row r="5" spans="1:18" ht="15.75" customHeight="1">
      <c r="A5" s="46" t="s">
        <v>519</v>
      </c>
      <c r="B5" s="47" t="s">
        <v>155</v>
      </c>
      <c r="C5" s="48" t="s">
        <v>20</v>
      </c>
      <c r="D5" s="48" t="s">
        <v>20</v>
      </c>
      <c r="E5" s="48" t="s">
        <v>20</v>
      </c>
      <c r="F5" s="48" t="s">
        <v>20</v>
      </c>
      <c r="G5" s="48" t="s">
        <v>20</v>
      </c>
      <c r="H5" s="48"/>
      <c r="I5" s="48"/>
      <c r="J5" s="48"/>
      <c r="K5" s="48"/>
      <c r="L5" s="48"/>
      <c r="M5" s="48">
        <f t="shared" ref="M5:Q5" si="3">IF(TRIM(SUBSTITUTE(C5, "　", " "))=TRIM(SUBSTITUTE($B5, "　", " ")), 2, 0)</f>
        <v>2</v>
      </c>
      <c r="N5" s="48">
        <f t="shared" si="3"/>
        <v>2</v>
      </c>
      <c r="O5" s="48">
        <f t="shared" si="3"/>
        <v>2</v>
      </c>
      <c r="P5" s="48">
        <f t="shared" si="3"/>
        <v>2</v>
      </c>
      <c r="Q5" s="48">
        <f t="shared" si="3"/>
        <v>2</v>
      </c>
      <c r="R5" s="2"/>
    </row>
    <row r="6" spans="1:18" ht="15.75" customHeight="1">
      <c r="A6" s="46" t="s">
        <v>520</v>
      </c>
      <c r="B6" s="47" t="s">
        <v>155</v>
      </c>
      <c r="C6" s="48" t="s">
        <v>23</v>
      </c>
      <c r="D6" s="48" t="s">
        <v>20</v>
      </c>
      <c r="E6" s="48" t="s">
        <v>18</v>
      </c>
      <c r="F6" s="48" t="s">
        <v>20</v>
      </c>
      <c r="G6" s="48" t="s">
        <v>20</v>
      </c>
      <c r="H6" s="48"/>
      <c r="I6" s="48"/>
      <c r="J6" s="48"/>
      <c r="K6" s="48"/>
      <c r="L6" s="48"/>
      <c r="M6" s="48">
        <f t="shared" ref="M6:Q6" si="4">IF(TRIM(SUBSTITUTE(C6, "　", " "))=TRIM(SUBSTITUTE($B6, "　", " ")), 2, 0)</f>
        <v>0</v>
      </c>
      <c r="N6" s="48">
        <f t="shared" si="4"/>
        <v>2</v>
      </c>
      <c r="O6" s="48">
        <f t="shared" si="4"/>
        <v>0</v>
      </c>
      <c r="P6" s="48">
        <f t="shared" si="4"/>
        <v>2</v>
      </c>
      <c r="Q6" s="48">
        <f t="shared" si="4"/>
        <v>2</v>
      </c>
      <c r="R6" s="2"/>
    </row>
    <row r="7" spans="1:18" ht="15.75" customHeight="1">
      <c r="A7" s="49" t="s">
        <v>521</v>
      </c>
      <c r="B7" s="47"/>
      <c r="C7" s="48"/>
      <c r="D7" s="48"/>
      <c r="E7" s="48"/>
      <c r="F7" s="48"/>
      <c r="G7" s="48"/>
      <c r="H7" s="48"/>
      <c r="I7" s="48"/>
      <c r="J7" s="48"/>
      <c r="K7" s="48"/>
      <c r="L7" s="48"/>
      <c r="M7" s="48"/>
      <c r="N7" s="48"/>
      <c r="O7" s="48"/>
      <c r="P7" s="48"/>
      <c r="Q7" s="48"/>
      <c r="R7" s="2"/>
    </row>
    <row r="8" spans="1:18" ht="15.75" customHeight="1">
      <c r="A8" s="46" t="s">
        <v>522</v>
      </c>
      <c r="B8" s="47" t="s">
        <v>155</v>
      </c>
      <c r="C8" s="48" t="s">
        <v>20</v>
      </c>
      <c r="D8" s="48" t="s">
        <v>20</v>
      </c>
      <c r="E8" s="48" t="s">
        <v>20</v>
      </c>
      <c r="F8" s="48" t="s">
        <v>20</v>
      </c>
      <c r="G8" s="48" t="s">
        <v>20</v>
      </c>
      <c r="H8" s="48"/>
      <c r="I8" s="48"/>
      <c r="J8" s="48"/>
      <c r="K8" s="48"/>
      <c r="L8" s="48"/>
      <c r="M8" s="48">
        <f t="shared" ref="M8:Q8" si="5">IF(TRIM(SUBSTITUTE(C8, "　", " "))=TRIM(SUBSTITUTE($B8, "　", " ")), 2, 0)</f>
        <v>2</v>
      </c>
      <c r="N8" s="48">
        <f t="shared" si="5"/>
        <v>2</v>
      </c>
      <c r="O8" s="48">
        <f t="shared" si="5"/>
        <v>2</v>
      </c>
      <c r="P8" s="48">
        <f t="shared" si="5"/>
        <v>2</v>
      </c>
      <c r="Q8" s="48">
        <f t="shared" si="5"/>
        <v>2</v>
      </c>
      <c r="R8" s="2"/>
    </row>
    <row r="9" spans="1:18" ht="15.75" customHeight="1">
      <c r="A9" s="46" t="s">
        <v>523</v>
      </c>
      <c r="B9" s="47" t="s">
        <v>148</v>
      </c>
      <c r="C9" s="48" t="s">
        <v>23</v>
      </c>
      <c r="D9" s="48" t="s">
        <v>23</v>
      </c>
      <c r="E9" s="48" t="s">
        <v>18</v>
      </c>
      <c r="F9" s="48" t="s">
        <v>23</v>
      </c>
      <c r="G9" s="48" t="s">
        <v>23</v>
      </c>
      <c r="H9" s="48"/>
      <c r="I9" s="48"/>
      <c r="J9" s="48"/>
      <c r="K9" s="48"/>
      <c r="L9" s="48"/>
      <c r="M9" s="48">
        <f t="shared" ref="M9:Q9" si="6">IF(TRIM(SUBSTITUTE(C9, "　", " "))=TRIM(SUBSTITUTE($B9, "　", " ")), 2, 0)</f>
        <v>2</v>
      </c>
      <c r="N9" s="48">
        <f t="shared" si="6"/>
        <v>2</v>
      </c>
      <c r="O9" s="48">
        <f t="shared" si="6"/>
        <v>0</v>
      </c>
      <c r="P9" s="48">
        <f t="shared" si="6"/>
        <v>2</v>
      </c>
      <c r="Q9" s="48">
        <f t="shared" si="6"/>
        <v>2</v>
      </c>
      <c r="R9" s="2"/>
    </row>
    <row r="10" spans="1:18" ht="15.75" customHeight="1">
      <c r="A10" s="46" t="s">
        <v>524</v>
      </c>
      <c r="B10" s="47" t="s">
        <v>150</v>
      </c>
      <c r="C10" s="48" t="s">
        <v>20</v>
      </c>
      <c r="D10" s="48" t="s">
        <v>18</v>
      </c>
      <c r="E10" s="47" t="s">
        <v>20</v>
      </c>
      <c r="F10" s="47" t="s">
        <v>18</v>
      </c>
      <c r="G10" s="47" t="s">
        <v>18</v>
      </c>
      <c r="H10" s="47"/>
      <c r="I10" s="47"/>
      <c r="J10" s="47"/>
      <c r="K10" s="47"/>
      <c r="L10" s="47"/>
      <c r="M10" s="48">
        <f t="shared" ref="M10:Q10" si="7">IF(TRIM(SUBSTITUTE(C10, "　", " "))=TRIM(SUBSTITUTE($B10, "　", " ")), 2, 0)</f>
        <v>0</v>
      </c>
      <c r="N10" s="48">
        <f t="shared" si="7"/>
        <v>2</v>
      </c>
      <c r="O10" s="48">
        <f t="shared" si="7"/>
        <v>0</v>
      </c>
      <c r="P10" s="48">
        <f t="shared" si="7"/>
        <v>2</v>
      </c>
      <c r="Q10" s="48">
        <f t="shared" si="7"/>
        <v>2</v>
      </c>
      <c r="R10" s="2"/>
    </row>
    <row r="11" spans="1:18" ht="15.75" customHeight="1">
      <c r="A11" s="49" t="s">
        <v>525</v>
      </c>
      <c r="B11" s="47"/>
      <c r="C11" s="48"/>
      <c r="D11" s="48"/>
      <c r="E11" s="47"/>
      <c r="F11" s="47"/>
      <c r="G11" s="47"/>
      <c r="H11" s="47"/>
      <c r="I11" s="47"/>
      <c r="J11" s="47"/>
      <c r="K11" s="47"/>
      <c r="L11" s="47"/>
      <c r="M11" s="48"/>
      <c r="N11" s="48"/>
      <c r="O11" s="48"/>
      <c r="P11" s="48"/>
      <c r="Q11" s="48"/>
      <c r="R11" s="2"/>
    </row>
    <row r="12" spans="1:18" ht="15.75" customHeight="1">
      <c r="A12" s="46" t="s">
        <v>526</v>
      </c>
      <c r="B12" s="47" t="s">
        <v>150</v>
      </c>
      <c r="C12" s="48" t="s">
        <v>18</v>
      </c>
      <c r="D12" s="48" t="s">
        <v>18</v>
      </c>
      <c r="E12" s="47" t="s">
        <v>18</v>
      </c>
      <c r="F12" s="47" t="s">
        <v>18</v>
      </c>
      <c r="G12" s="47" t="s">
        <v>18</v>
      </c>
      <c r="H12" s="47"/>
      <c r="I12" s="47"/>
      <c r="J12" s="47"/>
      <c r="K12" s="47"/>
      <c r="L12" s="47"/>
      <c r="M12" s="48">
        <f t="shared" ref="M12:Q12" si="8">IF(TRIM(SUBSTITUTE(C12, "　", " "))=TRIM(SUBSTITUTE($B12, "　", " ")), 2, 0)</f>
        <v>2</v>
      </c>
      <c r="N12" s="48">
        <f t="shared" si="8"/>
        <v>2</v>
      </c>
      <c r="O12" s="48">
        <f t="shared" si="8"/>
        <v>2</v>
      </c>
      <c r="P12" s="48">
        <f t="shared" si="8"/>
        <v>2</v>
      </c>
      <c r="Q12" s="48">
        <f t="shared" si="8"/>
        <v>2</v>
      </c>
      <c r="R12" s="2"/>
    </row>
    <row r="13" spans="1:18" ht="15.75" customHeight="1">
      <c r="A13" s="46" t="s">
        <v>527</v>
      </c>
      <c r="B13" s="47" t="s">
        <v>162</v>
      </c>
      <c r="C13" s="48" t="s">
        <v>17</v>
      </c>
      <c r="D13" s="48" t="s">
        <v>17</v>
      </c>
      <c r="E13" s="48" t="s">
        <v>17</v>
      </c>
      <c r="F13" s="48" t="s">
        <v>17</v>
      </c>
      <c r="G13" s="48" t="s">
        <v>17</v>
      </c>
      <c r="H13" s="48"/>
      <c r="I13" s="48"/>
      <c r="J13" s="48"/>
      <c r="K13" s="48"/>
      <c r="L13" s="48"/>
      <c r="M13" s="48">
        <f t="shared" ref="M13:Q13" si="9">IF(TRIM(SUBSTITUTE(C13, "　", " "))=TRIM(SUBSTITUTE($B13, "　", " ")), 2, 0)</f>
        <v>2</v>
      </c>
      <c r="N13" s="48">
        <f t="shared" si="9"/>
        <v>2</v>
      </c>
      <c r="O13" s="48">
        <f t="shared" si="9"/>
        <v>2</v>
      </c>
      <c r="P13" s="48">
        <f t="shared" si="9"/>
        <v>2</v>
      </c>
      <c r="Q13" s="48">
        <f t="shared" si="9"/>
        <v>2</v>
      </c>
      <c r="R13" s="2"/>
    </row>
    <row r="14" spans="1:18" ht="15.75" customHeight="1">
      <c r="A14" s="49" t="s">
        <v>528</v>
      </c>
      <c r="B14" s="47"/>
      <c r="C14" s="48"/>
      <c r="D14" s="48"/>
      <c r="E14" s="48"/>
      <c r="F14" s="48"/>
      <c r="G14" s="48"/>
      <c r="H14" s="48"/>
      <c r="I14" s="48"/>
      <c r="J14" s="48"/>
      <c r="K14" s="48"/>
      <c r="L14" s="48"/>
      <c r="M14" s="48"/>
      <c r="N14" s="48"/>
      <c r="O14" s="48"/>
      <c r="P14" s="48"/>
      <c r="Q14" s="48"/>
      <c r="R14" s="2"/>
    </row>
    <row r="15" spans="1:18" ht="15.75" customHeight="1">
      <c r="A15" s="46" t="s">
        <v>529</v>
      </c>
      <c r="B15" s="47" t="s">
        <v>148</v>
      </c>
      <c r="C15" s="48" t="s">
        <v>23</v>
      </c>
      <c r="D15" s="48" t="s">
        <v>23</v>
      </c>
      <c r="E15" s="48" t="s">
        <v>23</v>
      </c>
      <c r="F15" s="48" t="s">
        <v>23</v>
      </c>
      <c r="G15" s="48" t="s">
        <v>23</v>
      </c>
      <c r="H15" s="48"/>
      <c r="I15" s="48"/>
      <c r="J15" s="48"/>
      <c r="K15" s="48"/>
      <c r="L15" s="48"/>
      <c r="M15" s="48">
        <f t="shared" ref="M15:Q15" si="10">IF(TRIM(SUBSTITUTE(C15, "　", " "))=TRIM(SUBSTITUTE($B15, "　", " ")), 2, 0)</f>
        <v>2</v>
      </c>
      <c r="N15" s="48">
        <f t="shared" si="10"/>
        <v>2</v>
      </c>
      <c r="O15" s="48">
        <f t="shared" si="10"/>
        <v>2</v>
      </c>
      <c r="P15" s="48">
        <f t="shared" si="10"/>
        <v>2</v>
      </c>
      <c r="Q15" s="48">
        <f t="shared" si="10"/>
        <v>2</v>
      </c>
      <c r="R15" s="2"/>
    </row>
    <row r="16" spans="1:18" ht="15.75" customHeight="1">
      <c r="A16" s="46" t="s">
        <v>530</v>
      </c>
      <c r="B16" s="47" t="s">
        <v>162</v>
      </c>
      <c r="C16" s="48" t="s">
        <v>17</v>
      </c>
      <c r="D16" s="48" t="s">
        <v>17</v>
      </c>
      <c r="E16" s="48" t="s">
        <v>17</v>
      </c>
      <c r="F16" s="48" t="s">
        <v>17</v>
      </c>
      <c r="G16" s="48" t="s">
        <v>20</v>
      </c>
      <c r="H16" s="48"/>
      <c r="I16" s="48"/>
      <c r="J16" s="48"/>
      <c r="K16" s="48"/>
      <c r="L16" s="48"/>
      <c r="M16" s="48">
        <f t="shared" ref="M16:Q16" si="11">IF(TRIM(SUBSTITUTE(C16, "　", " "))=TRIM(SUBSTITUTE($B16, "　", " ")), 2, 0)</f>
        <v>2</v>
      </c>
      <c r="N16" s="48">
        <f t="shared" si="11"/>
        <v>2</v>
      </c>
      <c r="O16" s="48">
        <f t="shared" si="11"/>
        <v>2</v>
      </c>
      <c r="P16" s="48">
        <f t="shared" si="11"/>
        <v>2</v>
      </c>
      <c r="Q16" s="48">
        <f t="shared" si="11"/>
        <v>0</v>
      </c>
      <c r="R16" s="2"/>
    </row>
    <row r="17" spans="1:20" ht="15.75" customHeight="1">
      <c r="A17" s="49" t="s">
        <v>531</v>
      </c>
      <c r="B17" s="47"/>
      <c r="C17" s="48"/>
      <c r="D17" s="48"/>
      <c r="E17" s="48"/>
      <c r="F17" s="48"/>
      <c r="G17" s="48"/>
      <c r="H17" s="50"/>
      <c r="I17" s="50"/>
      <c r="J17" s="50"/>
      <c r="K17" s="50"/>
      <c r="L17" s="50"/>
      <c r="M17" s="48"/>
      <c r="N17" s="48"/>
      <c r="O17" s="48"/>
      <c r="P17" s="48"/>
      <c r="Q17" s="48"/>
      <c r="R17" s="2"/>
    </row>
    <row r="18" spans="1:20" ht="15.75" customHeight="1">
      <c r="A18" s="46" t="s">
        <v>532</v>
      </c>
      <c r="B18" s="47" t="s">
        <v>148</v>
      </c>
      <c r="C18" s="50" t="s">
        <v>18</v>
      </c>
      <c r="D18" s="50" t="s">
        <v>18</v>
      </c>
      <c r="E18" s="50" t="s">
        <v>23</v>
      </c>
      <c r="F18" s="50" t="s">
        <v>23</v>
      </c>
      <c r="G18" s="50" t="s">
        <v>18</v>
      </c>
      <c r="H18" s="50"/>
      <c r="I18" s="50"/>
      <c r="J18" s="50"/>
      <c r="K18" s="50"/>
      <c r="L18" s="50"/>
      <c r="M18" s="48">
        <f t="shared" ref="M18:Q18" si="12">IF(TRIM(SUBSTITUTE(C18, "　", " "))=TRIM(SUBSTITUTE($B18, "　", " ")), 2, 0)</f>
        <v>0</v>
      </c>
      <c r="N18" s="48">
        <f t="shared" si="12"/>
        <v>0</v>
      </c>
      <c r="O18" s="48">
        <f t="shared" si="12"/>
        <v>2</v>
      </c>
      <c r="P18" s="48">
        <f t="shared" si="12"/>
        <v>2</v>
      </c>
      <c r="Q18" s="48">
        <f t="shared" si="12"/>
        <v>0</v>
      </c>
      <c r="R18" s="2"/>
    </row>
    <row r="19" spans="1:20" ht="15.75" customHeight="1">
      <c r="A19" s="46" t="s">
        <v>533</v>
      </c>
      <c r="B19" s="47" t="s">
        <v>148</v>
      </c>
      <c r="C19" s="50" t="s">
        <v>23</v>
      </c>
      <c r="D19" s="50" t="s">
        <v>23</v>
      </c>
      <c r="E19" s="50" t="s">
        <v>23</v>
      </c>
      <c r="F19" s="50" t="s">
        <v>23</v>
      </c>
      <c r="G19" s="50" t="s">
        <v>23</v>
      </c>
      <c r="H19" s="50"/>
      <c r="I19" s="50"/>
      <c r="J19" s="50"/>
      <c r="K19" s="50"/>
      <c r="L19" s="50"/>
      <c r="M19" s="48">
        <f t="shared" ref="M19:Q19" si="13">IF(TRIM(SUBSTITUTE(C19, "　", " "))=TRIM(SUBSTITUTE($B19, "　", " ")), 2, 0)</f>
        <v>2</v>
      </c>
      <c r="N19" s="48">
        <f t="shared" si="13"/>
        <v>2</v>
      </c>
      <c r="O19" s="48">
        <f t="shared" si="13"/>
        <v>2</v>
      </c>
      <c r="P19" s="48">
        <f t="shared" si="13"/>
        <v>2</v>
      </c>
      <c r="Q19" s="48">
        <f t="shared" si="13"/>
        <v>2</v>
      </c>
      <c r="R19" s="2"/>
    </row>
    <row r="20" spans="1:20" ht="15.75" customHeight="1">
      <c r="A20" s="46" t="s">
        <v>534</v>
      </c>
      <c r="B20" s="47" t="s">
        <v>155</v>
      </c>
      <c r="C20" s="50" t="s">
        <v>20</v>
      </c>
      <c r="D20" s="50" t="s">
        <v>20</v>
      </c>
      <c r="E20" s="50" t="s">
        <v>18</v>
      </c>
      <c r="F20" s="50" t="s">
        <v>20</v>
      </c>
      <c r="G20" s="50" t="s">
        <v>20</v>
      </c>
      <c r="H20" s="50"/>
      <c r="I20" s="50"/>
      <c r="J20" s="50"/>
      <c r="K20" s="50"/>
      <c r="L20" s="50"/>
      <c r="M20" s="48">
        <f t="shared" ref="M20:Q20" si="14">IF(TRIM(SUBSTITUTE(C20, "　", " "))=TRIM(SUBSTITUTE($B20, "　", " ")), 2, 0)</f>
        <v>2</v>
      </c>
      <c r="N20" s="48">
        <f t="shared" si="14"/>
        <v>2</v>
      </c>
      <c r="O20" s="48">
        <f t="shared" si="14"/>
        <v>0</v>
      </c>
      <c r="P20" s="48">
        <f t="shared" si="14"/>
        <v>2</v>
      </c>
      <c r="Q20" s="48">
        <f t="shared" si="14"/>
        <v>2</v>
      </c>
      <c r="R20" s="2"/>
    </row>
    <row r="21" spans="1:20" ht="15.75" customHeight="1">
      <c r="A21" s="49" t="s">
        <v>535</v>
      </c>
      <c r="B21" s="47"/>
      <c r="C21" s="50"/>
      <c r="D21" s="50"/>
      <c r="E21" s="50"/>
      <c r="F21" s="50"/>
      <c r="G21" s="50"/>
      <c r="H21" s="50"/>
      <c r="I21" s="50"/>
      <c r="J21" s="50"/>
      <c r="K21" s="50"/>
      <c r="L21" s="50"/>
      <c r="M21" s="48"/>
      <c r="N21" s="48"/>
      <c r="O21" s="48"/>
      <c r="P21" s="48"/>
      <c r="Q21" s="48"/>
      <c r="R21" s="2"/>
    </row>
    <row r="22" spans="1:20" ht="15.75" customHeight="1">
      <c r="A22" s="46" t="s">
        <v>536</v>
      </c>
      <c r="B22" s="47" t="s">
        <v>150</v>
      </c>
      <c r="C22" s="50" t="s">
        <v>17</v>
      </c>
      <c r="D22" s="50" t="s">
        <v>17</v>
      </c>
      <c r="E22" s="50" t="s">
        <v>17</v>
      </c>
      <c r="F22" s="50" t="s">
        <v>17</v>
      </c>
      <c r="G22" s="50" t="s">
        <v>18</v>
      </c>
      <c r="H22" s="50"/>
      <c r="I22" s="50"/>
      <c r="J22" s="50"/>
      <c r="K22" s="50"/>
      <c r="L22" s="50"/>
      <c r="M22" s="48">
        <f t="shared" ref="M22:Q22" si="15">IF(TRIM(SUBSTITUTE(C22, "　", " "))=TRIM(SUBSTITUTE($B22, "　", " ")), 2, 0)</f>
        <v>0</v>
      </c>
      <c r="N22" s="48">
        <f t="shared" si="15"/>
        <v>0</v>
      </c>
      <c r="O22" s="48">
        <f t="shared" si="15"/>
        <v>0</v>
      </c>
      <c r="P22" s="48">
        <f t="shared" si="15"/>
        <v>0</v>
      </c>
      <c r="Q22" s="48">
        <f t="shared" si="15"/>
        <v>2</v>
      </c>
      <c r="R22" s="29"/>
    </row>
    <row r="23" spans="1:20" ht="15.75" customHeight="1">
      <c r="A23" s="46" t="s">
        <v>537</v>
      </c>
      <c r="B23" s="47" t="s">
        <v>150</v>
      </c>
      <c r="C23" s="50" t="s">
        <v>18</v>
      </c>
      <c r="D23" s="50" t="s">
        <v>18</v>
      </c>
      <c r="E23" s="50" t="s">
        <v>18</v>
      </c>
      <c r="F23" s="50" t="s">
        <v>18</v>
      </c>
      <c r="G23" s="50" t="s">
        <v>18</v>
      </c>
      <c r="H23" s="50"/>
      <c r="I23" s="50"/>
      <c r="J23" s="50"/>
      <c r="K23" s="50"/>
      <c r="L23" s="50"/>
      <c r="M23" s="48">
        <f t="shared" ref="M23:Q23" si="16">IF(TRIM(SUBSTITUTE(C23, "　", " "))=TRIM(SUBSTITUTE($B23, "　", " ")), 2, 0)</f>
        <v>2</v>
      </c>
      <c r="N23" s="48">
        <f t="shared" si="16"/>
        <v>2</v>
      </c>
      <c r="O23" s="48">
        <f t="shared" si="16"/>
        <v>2</v>
      </c>
      <c r="P23" s="48">
        <f t="shared" si="16"/>
        <v>2</v>
      </c>
      <c r="Q23" s="48">
        <f t="shared" si="16"/>
        <v>2</v>
      </c>
      <c r="R23" s="29"/>
    </row>
    <row r="24" spans="1:20" ht="15.75" customHeight="1">
      <c r="A24" s="51" t="s">
        <v>538</v>
      </c>
      <c r="B24" s="47"/>
      <c r="C24" s="50"/>
      <c r="D24" s="50"/>
      <c r="E24" s="50"/>
      <c r="F24" s="50"/>
      <c r="G24" s="50"/>
      <c r="H24" s="50"/>
      <c r="I24" s="50"/>
      <c r="J24" s="50"/>
      <c r="K24" s="50"/>
      <c r="L24" s="50"/>
      <c r="M24" s="48"/>
      <c r="N24" s="48"/>
      <c r="O24" s="48"/>
      <c r="P24" s="48"/>
      <c r="Q24" s="48"/>
      <c r="R24" s="29"/>
    </row>
    <row r="25" spans="1:20" ht="15.75" customHeight="1">
      <c r="A25" s="46" t="s">
        <v>539</v>
      </c>
      <c r="B25" s="47" t="s">
        <v>148</v>
      </c>
      <c r="C25" s="50" t="s">
        <v>23</v>
      </c>
      <c r="D25" s="50" t="s">
        <v>23</v>
      </c>
      <c r="E25" s="50" t="s">
        <v>23</v>
      </c>
      <c r="F25" s="50" t="s">
        <v>23</v>
      </c>
      <c r="G25" s="50" t="s">
        <v>23</v>
      </c>
      <c r="H25" s="50"/>
      <c r="I25" s="50"/>
      <c r="J25" s="50"/>
      <c r="K25" s="50"/>
      <c r="L25" s="50"/>
      <c r="M25" s="48">
        <f t="shared" ref="M25:Q25" si="17">IF(TRIM(SUBSTITUTE(C25, "　", " "))=TRIM(SUBSTITUTE($B25, "　", " ")), 2, 0)</f>
        <v>2</v>
      </c>
      <c r="N25" s="48">
        <f t="shared" si="17"/>
        <v>2</v>
      </c>
      <c r="O25" s="48">
        <f t="shared" si="17"/>
        <v>2</v>
      </c>
      <c r="P25" s="48">
        <f t="shared" si="17"/>
        <v>2</v>
      </c>
      <c r="Q25" s="48">
        <f t="shared" si="17"/>
        <v>2</v>
      </c>
      <c r="R25" s="29"/>
    </row>
    <row r="26" spans="1:20" ht="15.75" customHeight="1">
      <c r="A26" s="46" t="s">
        <v>540</v>
      </c>
      <c r="B26" s="47" t="s">
        <v>162</v>
      </c>
      <c r="C26" s="50" t="s">
        <v>17</v>
      </c>
      <c r="D26" s="50" t="s">
        <v>17</v>
      </c>
      <c r="E26" s="50" t="s">
        <v>23</v>
      </c>
      <c r="F26" s="50" t="s">
        <v>17</v>
      </c>
      <c r="G26" s="50" t="s">
        <v>17</v>
      </c>
      <c r="H26" s="50"/>
      <c r="I26" s="50"/>
      <c r="J26" s="50"/>
      <c r="K26" s="50"/>
      <c r="L26" s="50"/>
      <c r="M26" s="48">
        <f t="shared" ref="M26:Q26" si="18">IF(TRIM(SUBSTITUTE(C26, "　", " "))=TRIM(SUBSTITUTE($B26, "　", " ")), 2, 0)</f>
        <v>2</v>
      </c>
      <c r="N26" s="48">
        <f t="shared" si="18"/>
        <v>2</v>
      </c>
      <c r="O26" s="48">
        <f t="shared" si="18"/>
        <v>0</v>
      </c>
      <c r="P26" s="48">
        <f t="shared" si="18"/>
        <v>2</v>
      </c>
      <c r="Q26" s="48">
        <f t="shared" si="18"/>
        <v>2</v>
      </c>
      <c r="R26" s="29"/>
    </row>
    <row r="27" spans="1:20" ht="15.75" customHeight="1">
      <c r="A27" s="46" t="s">
        <v>541</v>
      </c>
      <c r="B27" s="47" t="s">
        <v>155</v>
      </c>
      <c r="C27" s="50" t="s">
        <v>20</v>
      </c>
      <c r="D27" s="50" t="s">
        <v>20</v>
      </c>
      <c r="E27" s="50" t="s">
        <v>20</v>
      </c>
      <c r="F27" s="50" t="s">
        <v>20</v>
      </c>
      <c r="G27" s="50" t="s">
        <v>20</v>
      </c>
      <c r="H27" s="50"/>
      <c r="I27" s="50"/>
      <c r="J27" s="50"/>
      <c r="K27" s="50"/>
      <c r="L27" s="50"/>
      <c r="M27" s="48">
        <f t="shared" ref="M27:Q27" si="19">IF(TRIM(SUBSTITUTE(C27, "　", " "))=TRIM(SUBSTITUTE($B27, "　", " ")), 2, 0)</f>
        <v>2</v>
      </c>
      <c r="N27" s="48">
        <f t="shared" si="19"/>
        <v>2</v>
      </c>
      <c r="O27" s="48">
        <f t="shared" si="19"/>
        <v>2</v>
      </c>
      <c r="P27" s="48">
        <f t="shared" si="19"/>
        <v>2</v>
      </c>
      <c r="Q27" s="48">
        <f t="shared" si="19"/>
        <v>2</v>
      </c>
      <c r="R27" s="29"/>
    </row>
    <row r="28" spans="1:20" ht="15.75" customHeight="1">
      <c r="A28" s="51" t="s">
        <v>542</v>
      </c>
      <c r="B28" s="47"/>
      <c r="C28" s="50"/>
      <c r="D28" s="50"/>
      <c r="E28" s="50"/>
      <c r="F28" s="50"/>
      <c r="G28" s="50"/>
      <c r="H28" s="50"/>
      <c r="I28" s="50"/>
      <c r="J28" s="50"/>
      <c r="K28" s="50"/>
      <c r="L28" s="50"/>
      <c r="M28" s="48"/>
      <c r="N28" s="48"/>
      <c r="O28" s="48"/>
      <c r="P28" s="48"/>
      <c r="Q28" s="48"/>
      <c r="R28" s="29"/>
    </row>
    <row r="29" spans="1:20" ht="15.75" customHeight="1">
      <c r="A29" s="46" t="s">
        <v>543</v>
      </c>
      <c r="B29" s="47" t="s">
        <v>150</v>
      </c>
      <c r="C29" s="50" t="s">
        <v>18</v>
      </c>
      <c r="D29" s="50" t="s">
        <v>18</v>
      </c>
      <c r="E29" s="50" t="s">
        <v>17</v>
      </c>
      <c r="F29" s="50" t="s">
        <v>18</v>
      </c>
      <c r="G29" s="50" t="s">
        <v>18</v>
      </c>
      <c r="H29" s="50"/>
      <c r="I29" s="50"/>
      <c r="J29" s="50"/>
      <c r="K29" s="50"/>
      <c r="L29" s="50"/>
      <c r="M29" s="48">
        <f t="shared" ref="M29:Q29" si="20">IF(TRIM(SUBSTITUTE(C29, "　", " "))=TRIM(SUBSTITUTE($B29, "　", " ")), 2, 0)</f>
        <v>2</v>
      </c>
      <c r="N29" s="48">
        <f t="shared" si="20"/>
        <v>2</v>
      </c>
      <c r="O29" s="48">
        <f t="shared" si="20"/>
        <v>0</v>
      </c>
      <c r="P29" s="48">
        <f t="shared" si="20"/>
        <v>2</v>
      </c>
      <c r="Q29" s="48">
        <f t="shared" si="20"/>
        <v>2</v>
      </c>
      <c r="R29" s="29"/>
      <c r="S29" s="11"/>
      <c r="T29" s="11"/>
    </row>
    <row r="30" spans="1:20" ht="15.75" customHeight="1">
      <c r="A30" s="46" t="s">
        <v>544</v>
      </c>
      <c r="B30" s="47" t="s">
        <v>155</v>
      </c>
      <c r="C30" s="50" t="s">
        <v>20</v>
      </c>
      <c r="D30" s="50" t="s">
        <v>20</v>
      </c>
      <c r="E30" s="50" t="s">
        <v>23</v>
      </c>
      <c r="F30" s="50" t="s">
        <v>20</v>
      </c>
      <c r="G30" s="50" t="s">
        <v>20</v>
      </c>
      <c r="H30" s="50"/>
      <c r="I30" s="50"/>
      <c r="J30" s="50"/>
      <c r="K30" s="50"/>
      <c r="L30" s="50"/>
      <c r="M30" s="48">
        <f t="shared" ref="M30:Q30" si="21">IF(TRIM(SUBSTITUTE(C30, "　", " "))=TRIM(SUBSTITUTE($B30, "　", " ")), 2, 0)</f>
        <v>2</v>
      </c>
      <c r="N30" s="48">
        <f t="shared" si="21"/>
        <v>2</v>
      </c>
      <c r="O30" s="48">
        <f t="shared" si="21"/>
        <v>0</v>
      </c>
      <c r="P30" s="48">
        <f t="shared" si="21"/>
        <v>2</v>
      </c>
      <c r="Q30" s="48">
        <f t="shared" si="21"/>
        <v>2</v>
      </c>
      <c r="R30" s="29"/>
      <c r="S30" s="11"/>
      <c r="T30" s="11"/>
    </row>
    <row r="31" spans="1:20" ht="15.75" customHeight="1">
      <c r="A31" s="51" t="s">
        <v>545</v>
      </c>
      <c r="B31" s="47"/>
      <c r="C31" s="50"/>
      <c r="D31" s="50"/>
      <c r="E31" s="50"/>
      <c r="F31" s="50"/>
      <c r="G31" s="50"/>
      <c r="H31" s="50"/>
      <c r="I31" s="50"/>
      <c r="J31" s="50"/>
      <c r="K31" s="50"/>
      <c r="L31" s="50"/>
      <c r="M31" s="48"/>
      <c r="N31" s="48"/>
      <c r="O31" s="48"/>
      <c r="P31" s="48"/>
      <c r="Q31" s="48"/>
      <c r="R31" s="29"/>
      <c r="S31" s="11"/>
      <c r="T31" s="11"/>
    </row>
    <row r="32" spans="1:20" ht="15.75" customHeight="1">
      <c r="A32" s="46" t="s">
        <v>546</v>
      </c>
      <c r="B32" s="47" t="s">
        <v>155</v>
      </c>
      <c r="C32" s="50" t="s">
        <v>20</v>
      </c>
      <c r="D32" s="50" t="s">
        <v>20</v>
      </c>
      <c r="E32" s="50" t="s">
        <v>99</v>
      </c>
      <c r="F32" s="50" t="s">
        <v>20</v>
      </c>
      <c r="G32" s="50" t="s">
        <v>20</v>
      </c>
      <c r="H32" s="50"/>
      <c r="I32" s="50"/>
      <c r="J32" s="50"/>
      <c r="K32" s="50"/>
      <c r="L32" s="50"/>
      <c r="M32" s="48">
        <f t="shared" ref="M32:Q32" si="22">IF(TRIM(SUBSTITUTE(C32, "　", " "))=TRIM(SUBSTITUTE($B32, "　", " ")), 2, 0)</f>
        <v>2</v>
      </c>
      <c r="N32" s="48">
        <f t="shared" si="22"/>
        <v>2</v>
      </c>
      <c r="O32" s="48">
        <f t="shared" si="22"/>
        <v>0</v>
      </c>
      <c r="P32" s="48">
        <f t="shared" si="22"/>
        <v>2</v>
      </c>
      <c r="Q32" s="48">
        <f t="shared" si="22"/>
        <v>2</v>
      </c>
      <c r="R32" s="29"/>
      <c r="S32" s="11"/>
      <c r="T32" s="11"/>
    </row>
    <row r="33" spans="1:37" ht="15.75" customHeight="1">
      <c r="A33" s="46" t="s">
        <v>547</v>
      </c>
      <c r="B33" s="47" t="s">
        <v>150</v>
      </c>
      <c r="C33" s="50" t="s">
        <v>18</v>
      </c>
      <c r="D33" s="50" t="s">
        <v>18</v>
      </c>
      <c r="E33" s="50" t="s">
        <v>17</v>
      </c>
      <c r="F33" s="50" t="s">
        <v>18</v>
      </c>
      <c r="G33" s="50" t="s">
        <v>18</v>
      </c>
      <c r="H33" s="50"/>
      <c r="I33" s="50"/>
      <c r="J33" s="50"/>
      <c r="K33" s="50"/>
      <c r="L33" s="50"/>
      <c r="M33" s="48">
        <f t="shared" ref="M33:Q33" si="23">IF(TRIM(SUBSTITUTE(C33, "　", " "))=TRIM(SUBSTITUTE($B33, "　", " ")), 2, 0)</f>
        <v>2</v>
      </c>
      <c r="N33" s="48">
        <f t="shared" si="23"/>
        <v>2</v>
      </c>
      <c r="O33" s="48">
        <f t="shared" si="23"/>
        <v>0</v>
      </c>
      <c r="P33" s="48">
        <f t="shared" si="23"/>
        <v>2</v>
      </c>
      <c r="Q33" s="48">
        <f t="shared" si="23"/>
        <v>2</v>
      </c>
      <c r="R33" s="29"/>
      <c r="S33" s="11"/>
      <c r="T33" s="11"/>
    </row>
    <row r="34" spans="1:37" ht="15.75" customHeight="1">
      <c r="A34" s="81" t="s">
        <v>548</v>
      </c>
      <c r="B34" s="47"/>
      <c r="C34" s="50"/>
      <c r="D34" s="50"/>
      <c r="E34" s="50"/>
      <c r="F34" s="50"/>
      <c r="G34" s="50"/>
      <c r="H34" s="50"/>
      <c r="I34" s="50"/>
      <c r="J34" s="50"/>
      <c r="K34" s="50"/>
      <c r="L34" s="50"/>
      <c r="M34" s="48"/>
      <c r="N34" s="48"/>
      <c r="O34" s="48"/>
      <c r="P34" s="48"/>
      <c r="Q34" s="48"/>
      <c r="R34" s="29"/>
      <c r="S34" s="11"/>
      <c r="T34" s="11"/>
      <c r="U34" s="11"/>
      <c r="V34" s="11"/>
      <c r="W34" s="11"/>
      <c r="X34" s="11"/>
      <c r="Y34" s="11"/>
      <c r="Z34" s="11"/>
      <c r="AA34" s="11"/>
      <c r="AB34" s="11"/>
      <c r="AC34" s="11"/>
      <c r="AD34" s="11"/>
      <c r="AE34" s="11"/>
      <c r="AF34" s="11"/>
      <c r="AG34" s="11"/>
      <c r="AH34" s="11"/>
      <c r="AI34" s="11"/>
      <c r="AJ34" s="11"/>
      <c r="AK34" s="11"/>
    </row>
    <row r="35" spans="1:37" ht="15.75" customHeight="1">
      <c r="A35" s="46" t="s">
        <v>549</v>
      </c>
      <c r="B35" s="47" t="s">
        <v>204</v>
      </c>
      <c r="C35" s="50" t="s">
        <v>41</v>
      </c>
      <c r="D35" s="50" t="s">
        <v>41</v>
      </c>
      <c r="E35" s="50" t="s">
        <v>39</v>
      </c>
      <c r="F35" s="50" t="s">
        <v>41</v>
      </c>
      <c r="G35" s="50" t="s">
        <v>41</v>
      </c>
      <c r="H35" s="53" cm="1">
        <f t="array" ref="H35">_xlfn.LET(
_xlpm.opts,{"A","B","C","D","E"},
_xlpm.ans,UPPER(SUBSTITUTE(SUBSTITUTE(SUBSTITUTE(SUBSTITUTE(SUBSTITUTE(TRIM($B35),"　","")," ",""),",",""),"，",""),"、","")),
_xlpm.resp,UPPER(SUBSTITUTE(SUBSTITUTE(SUBSTITUTE(SUBSTITUTE(SUBSTITUTE(TRIM(C35),"　","")," ",""),",",""),"，",""),"、","")),
IF(_xlpm.resp="",99,
SUMPRODUCT(--(ISNUMBER(SEARCH(_xlpm.opts,_xlpm.ans))&lt;&gt;ISNUMBER(SEARCH(_xlpm.opts,_xlpm.resp)))))
)</f>
        <v>0</v>
      </c>
      <c r="I35" s="53" cm="1">
        <f t="array" ref="I35">_xlfn.LET(
_xlpm.opts,{"A","B","C","D","E"},
_xlpm.ans,UPPER(SUBSTITUTE(SUBSTITUTE(SUBSTITUTE(SUBSTITUTE(SUBSTITUTE(TRIM($B35),"　","")," ",""),",",""),"，",""),"、","")),
_xlpm.resp,UPPER(SUBSTITUTE(SUBSTITUTE(SUBSTITUTE(SUBSTITUTE(SUBSTITUTE(TRIM(D35),"　","")," ",""),",",""),"，",""),"、","")),
IF(_xlpm.resp="",99,
SUMPRODUCT(--(ISNUMBER(SEARCH(_xlpm.opts,_xlpm.ans))&lt;&gt;ISNUMBER(SEARCH(_xlpm.opts,_xlpm.resp)))))
)</f>
        <v>0</v>
      </c>
      <c r="J35" s="53" cm="1">
        <f t="array" ref="J35">_xlfn.LET(
_xlpm.opts,{"A","B","C","D","E"},
_xlpm.ans,UPPER(SUBSTITUTE(SUBSTITUTE(SUBSTITUTE(SUBSTITUTE(SUBSTITUTE(TRIM($B35),"　","")," ",""),",",""),"，",""),"、","")),
_xlpm.resp,UPPER(SUBSTITUTE(SUBSTITUTE(SUBSTITUTE(SUBSTITUTE(SUBSTITUTE(TRIM(E35),"　","")," ",""),",",""),"，",""),"、","")),
IF(_xlpm.resp="",99,
SUMPRODUCT(--(ISNUMBER(SEARCH(_xlpm.opts,_xlpm.ans))&lt;&gt;ISNUMBER(SEARCH(_xlpm.opts,_xlpm.resp)))))
)</f>
        <v>1</v>
      </c>
      <c r="K35" s="53" cm="1">
        <f t="array" ref="K35">_xlfn.LET(
_xlpm.opts,{"A","B","C","D","E"},
_xlpm.ans,UPPER(SUBSTITUTE(SUBSTITUTE(SUBSTITUTE(SUBSTITUTE(SUBSTITUTE(TRIM($B35),"　","")," ",""),",",""),"，",""),"、","")),
_xlpm.resp,UPPER(SUBSTITUTE(SUBSTITUTE(SUBSTITUTE(SUBSTITUTE(SUBSTITUTE(TRIM(F35),"　","")," ",""),",",""),"，",""),"、","")),
IF(_xlpm.resp="",99,
SUMPRODUCT(--(ISNUMBER(SEARCH(_xlpm.opts,_xlpm.ans))&lt;&gt;ISNUMBER(SEARCH(_xlpm.opts,_xlpm.resp)))))
)</f>
        <v>0</v>
      </c>
      <c r="L35" s="53" cm="1">
        <f t="array" ref="L35">_xlfn.LET(
_xlpm.opts,{"A","B","C","D","E"},
_xlpm.ans,UPPER(SUBSTITUTE(SUBSTITUTE(SUBSTITUTE(SUBSTITUTE(SUBSTITUTE(TRIM($B35),"　","")," ",""),",",""),"，",""),"、","")),
_xlpm.resp,UPPER(SUBSTITUTE(SUBSTITUTE(SUBSTITUTE(SUBSTITUTE(SUBSTITUTE(TRIM(G35),"　","")," ",""),",",""),"，",""),"、","")),
IF(_xlpm.resp="",99,
SUMPRODUCT(--(ISNUMBER(SEARCH(_xlpm.opts,_xlpm.ans))&lt;&gt;ISNUMBER(SEARCH(_xlpm.opts,_xlpm.resp)))))
)</f>
        <v>0</v>
      </c>
      <c r="M35" s="54">
        <f>IF(H35=0,3,IF(H35=1,1.8,IF(H35=2,0.6,0)))</f>
        <v>3</v>
      </c>
      <c r="N35" s="54">
        <f t="shared" ref="N35:Q35" si="24">IF(I35=0,3,IF(I35=1,1.8,IF(I35=2,0.6,0)))</f>
        <v>3</v>
      </c>
      <c r="O35" s="54">
        <f t="shared" si="24"/>
        <v>1.8</v>
      </c>
      <c r="P35" s="54">
        <f t="shared" si="24"/>
        <v>3</v>
      </c>
      <c r="Q35" s="54">
        <f t="shared" si="24"/>
        <v>3</v>
      </c>
      <c r="R35" s="29"/>
      <c r="S35" s="11"/>
      <c r="T35" s="11"/>
      <c r="U35" s="11"/>
      <c r="V35" s="11"/>
      <c r="W35" s="11"/>
      <c r="X35" s="11"/>
      <c r="Y35" s="11"/>
      <c r="Z35" s="11"/>
      <c r="AA35" s="11"/>
      <c r="AB35" s="11"/>
      <c r="AC35" s="11"/>
      <c r="AD35" s="11"/>
      <c r="AE35" s="11"/>
      <c r="AF35" s="11"/>
      <c r="AG35" s="11"/>
      <c r="AH35" s="11"/>
      <c r="AI35" s="11"/>
      <c r="AJ35" s="11"/>
      <c r="AK35" s="11"/>
    </row>
    <row r="36" spans="1:37" ht="15.75" customHeight="1">
      <c r="A36" s="46" t="s">
        <v>550</v>
      </c>
      <c r="B36" s="47" t="s">
        <v>266</v>
      </c>
      <c r="C36" s="50" t="s">
        <v>53</v>
      </c>
      <c r="D36" s="50" t="s">
        <v>95</v>
      </c>
      <c r="E36" s="50" t="s">
        <v>95</v>
      </c>
      <c r="F36" s="50" t="s">
        <v>89</v>
      </c>
      <c r="G36" s="50" t="s">
        <v>89</v>
      </c>
      <c r="H36" s="53" cm="1">
        <f t="array" ref="H36">_xlfn.LET(
_xlpm.opts,{"A","B","C","D","E"},
_xlpm.ans,UPPER(SUBSTITUTE(SUBSTITUTE(SUBSTITUTE(SUBSTITUTE(SUBSTITUTE(TRIM($B36),"　","")," ",""),",",""),"，",""),"、","")),
_xlpm.resp,UPPER(SUBSTITUTE(SUBSTITUTE(SUBSTITUTE(SUBSTITUTE(SUBSTITUTE(TRIM(C36),"　","")," ",""),",",""),"，",""),"、","")),
IF(_xlpm.resp="",99,
SUMPRODUCT(--(ISNUMBER(SEARCH(_xlpm.opts,_xlpm.ans))&lt;&gt;ISNUMBER(SEARCH(_xlpm.opts,_xlpm.resp)))))
)</f>
        <v>1</v>
      </c>
      <c r="I36" s="53" cm="1">
        <f t="array" ref="I36">_xlfn.LET(
_xlpm.opts,{"A","B","C","D","E"},
_xlpm.ans,UPPER(SUBSTITUTE(SUBSTITUTE(SUBSTITUTE(SUBSTITUTE(SUBSTITUTE(TRIM($B36),"　","")," ",""),",",""),"，",""),"、","")),
_xlpm.resp,UPPER(SUBSTITUTE(SUBSTITUTE(SUBSTITUTE(SUBSTITUTE(SUBSTITUTE(TRIM(D36),"　","")," ",""),",",""),"，",""),"、","")),
IF(_xlpm.resp="",99,
SUMPRODUCT(--(ISNUMBER(SEARCH(_xlpm.opts,_xlpm.ans))&lt;&gt;ISNUMBER(SEARCH(_xlpm.opts,_xlpm.resp)))))
)</f>
        <v>2</v>
      </c>
      <c r="J36" s="53" cm="1">
        <f t="array" ref="J36">_xlfn.LET(
_xlpm.opts,{"A","B","C","D","E"},
_xlpm.ans,UPPER(SUBSTITUTE(SUBSTITUTE(SUBSTITUTE(SUBSTITUTE(SUBSTITUTE(TRIM($B36),"　","")," ",""),",",""),"，",""),"、","")),
_xlpm.resp,UPPER(SUBSTITUTE(SUBSTITUTE(SUBSTITUTE(SUBSTITUTE(SUBSTITUTE(TRIM(E36),"　","")," ",""),",",""),"，",""),"、","")),
IF(_xlpm.resp="",99,
SUMPRODUCT(--(ISNUMBER(SEARCH(_xlpm.opts,_xlpm.ans))&lt;&gt;ISNUMBER(SEARCH(_xlpm.opts,_xlpm.resp)))))
)</f>
        <v>2</v>
      </c>
      <c r="K36" s="53" cm="1">
        <f t="array" ref="K36">_xlfn.LET(
_xlpm.opts,{"A","B","C","D","E"},
_xlpm.ans,UPPER(SUBSTITUTE(SUBSTITUTE(SUBSTITUTE(SUBSTITUTE(SUBSTITUTE(TRIM($B36),"　","")," ",""),",",""),"，",""),"、","")),
_xlpm.resp,UPPER(SUBSTITUTE(SUBSTITUTE(SUBSTITUTE(SUBSTITUTE(SUBSTITUTE(TRIM(F36),"　","")," ",""),",",""),"，",""),"、","")),
IF(_xlpm.resp="",99,
SUMPRODUCT(--(ISNUMBER(SEARCH(_xlpm.opts,_xlpm.ans))&lt;&gt;ISNUMBER(SEARCH(_xlpm.opts,_xlpm.resp)))))
)</f>
        <v>0</v>
      </c>
      <c r="L36" s="53" cm="1">
        <f t="array" ref="L36">_xlfn.LET(
_xlpm.opts,{"A","B","C","D","E"},
_xlpm.ans,UPPER(SUBSTITUTE(SUBSTITUTE(SUBSTITUTE(SUBSTITUTE(SUBSTITUTE(TRIM($B36),"　","")," ",""),",",""),"，",""),"、","")),
_xlpm.resp,UPPER(SUBSTITUTE(SUBSTITUTE(SUBSTITUTE(SUBSTITUTE(SUBSTITUTE(TRIM(G36),"　","")," ",""),",",""),"，",""),"、","")),
IF(_xlpm.resp="",99,
SUMPRODUCT(--(ISNUMBER(SEARCH(_xlpm.opts,_xlpm.ans))&lt;&gt;ISNUMBER(SEARCH(_xlpm.opts,_xlpm.resp)))))
)</f>
        <v>0</v>
      </c>
      <c r="M36" s="54">
        <f t="shared" ref="M36:M39" si="25">IF(H36=0,3,IF(H36=1,1.8,IF(H36=2,0.6,0)))</f>
        <v>1.8</v>
      </c>
      <c r="N36" s="54">
        <f t="shared" ref="N36:N39" si="26">IF(I36=0,3,IF(I36=1,1.8,IF(I36=2,0.6,0)))</f>
        <v>0.6</v>
      </c>
      <c r="O36" s="54">
        <f t="shared" ref="O36:O39" si="27">IF(J36=0,3,IF(J36=1,1.8,IF(J36=2,0.6,0)))</f>
        <v>0.6</v>
      </c>
      <c r="P36" s="54">
        <f t="shared" ref="P36:P39" si="28">IF(K36=0,3,IF(K36=1,1.8,IF(K36=2,0.6,0)))</f>
        <v>3</v>
      </c>
      <c r="Q36" s="54">
        <f t="shared" ref="Q36:Q39" si="29">IF(L36=0,3,IF(L36=1,1.8,IF(L36=2,0.6,0)))</f>
        <v>3</v>
      </c>
      <c r="R36" s="29"/>
      <c r="S36" s="11"/>
      <c r="T36" s="11"/>
      <c r="U36" s="11"/>
      <c r="V36" s="11"/>
      <c r="W36" s="11"/>
      <c r="X36" s="11"/>
      <c r="Y36" s="11"/>
      <c r="Z36" s="11"/>
      <c r="AA36" s="11"/>
      <c r="AB36" s="11"/>
      <c r="AC36" s="11"/>
      <c r="AD36" s="11"/>
      <c r="AE36" s="11"/>
      <c r="AF36" s="11"/>
      <c r="AG36" s="11"/>
      <c r="AH36" s="11"/>
      <c r="AI36" s="11"/>
      <c r="AJ36" s="11"/>
      <c r="AK36" s="11"/>
    </row>
    <row r="37" spans="1:37" ht="15.75" customHeight="1">
      <c r="A37" s="46" t="s">
        <v>551</v>
      </c>
      <c r="B37" s="47" t="s">
        <v>485</v>
      </c>
      <c r="C37" s="50" t="s">
        <v>102</v>
      </c>
      <c r="D37" s="50" t="s">
        <v>39</v>
      </c>
      <c r="E37" s="50" t="s">
        <v>51</v>
      </c>
      <c r="F37" s="50" t="s">
        <v>90</v>
      </c>
      <c r="G37" s="50" t="s">
        <v>90</v>
      </c>
      <c r="H37" s="53" cm="1">
        <f t="array" ref="H37">_xlfn.LET(
_xlpm.opts,{"A","B","C","D","E"},
_xlpm.ans,UPPER(SUBSTITUTE(SUBSTITUTE(SUBSTITUTE(SUBSTITUTE(SUBSTITUTE(TRIM($B37),"　","")," ",""),",",""),"，",""),"、","")),
_xlpm.resp,UPPER(SUBSTITUTE(SUBSTITUTE(SUBSTITUTE(SUBSTITUTE(SUBSTITUTE(TRIM(C37),"　","")," ",""),",",""),"，",""),"、","")),
IF(_xlpm.resp="",99,
SUMPRODUCT(--(ISNUMBER(SEARCH(_xlpm.opts,_xlpm.ans))&lt;&gt;ISNUMBER(SEARCH(_xlpm.opts,_xlpm.resp)))))
)</f>
        <v>4</v>
      </c>
      <c r="I37" s="53" cm="1">
        <f t="array" ref="I37">_xlfn.LET(
_xlpm.opts,{"A","B","C","D","E"},
_xlpm.ans,UPPER(SUBSTITUTE(SUBSTITUTE(SUBSTITUTE(SUBSTITUTE(SUBSTITUTE(TRIM($B37),"　","")," ",""),",",""),"，",""),"、","")),
_xlpm.resp,UPPER(SUBSTITUTE(SUBSTITUTE(SUBSTITUTE(SUBSTITUTE(SUBSTITUTE(TRIM(D37),"　","")," ",""),",",""),"，",""),"、","")),
IF(_xlpm.resp="",99,
SUMPRODUCT(--(ISNUMBER(SEARCH(_xlpm.opts,_xlpm.ans))&lt;&gt;ISNUMBER(SEARCH(_xlpm.opts,_xlpm.resp)))))
)</f>
        <v>2</v>
      </c>
      <c r="J37" s="53" cm="1">
        <f t="array" ref="J37">_xlfn.LET(
_xlpm.opts,{"A","B","C","D","E"},
_xlpm.ans,UPPER(SUBSTITUTE(SUBSTITUTE(SUBSTITUTE(SUBSTITUTE(SUBSTITUTE(TRIM($B37),"　","")," ",""),",",""),"，",""),"、","")),
_xlpm.resp,UPPER(SUBSTITUTE(SUBSTITUTE(SUBSTITUTE(SUBSTITUTE(SUBSTITUTE(TRIM(E37),"　","")," ",""),",",""),"，",""),"、","")),
IF(_xlpm.resp="",99,
SUMPRODUCT(--(ISNUMBER(SEARCH(_xlpm.opts,_xlpm.ans))&lt;&gt;ISNUMBER(SEARCH(_xlpm.opts,_xlpm.resp)))))
)</f>
        <v>5</v>
      </c>
      <c r="K37" s="53" cm="1">
        <f t="array" ref="K37">_xlfn.LET(
_xlpm.opts,{"A","B","C","D","E"},
_xlpm.ans,UPPER(SUBSTITUTE(SUBSTITUTE(SUBSTITUTE(SUBSTITUTE(SUBSTITUTE(TRIM($B37),"　","")," ",""),",",""),"，",""),"、","")),
_xlpm.resp,UPPER(SUBSTITUTE(SUBSTITUTE(SUBSTITUTE(SUBSTITUTE(SUBSTITUTE(TRIM(F37),"　","")," ",""),",",""),"，",""),"、","")),
IF(_xlpm.resp="",99,
SUMPRODUCT(--(ISNUMBER(SEARCH(_xlpm.opts,_xlpm.ans))&lt;&gt;ISNUMBER(SEARCH(_xlpm.opts,_xlpm.resp)))))
)</f>
        <v>0</v>
      </c>
      <c r="L37" s="53" cm="1">
        <f t="array" ref="L37">_xlfn.LET(
_xlpm.opts,{"A","B","C","D","E"},
_xlpm.ans,UPPER(SUBSTITUTE(SUBSTITUTE(SUBSTITUTE(SUBSTITUTE(SUBSTITUTE(TRIM($B37),"　","")," ",""),",",""),"，",""),"、","")),
_xlpm.resp,UPPER(SUBSTITUTE(SUBSTITUTE(SUBSTITUTE(SUBSTITUTE(SUBSTITUTE(TRIM(G37),"　","")," ",""),",",""),"，",""),"、","")),
IF(_xlpm.resp="",99,
SUMPRODUCT(--(ISNUMBER(SEARCH(_xlpm.opts,_xlpm.ans))&lt;&gt;ISNUMBER(SEARCH(_xlpm.opts,_xlpm.resp)))))
)</f>
        <v>0</v>
      </c>
      <c r="M37" s="54">
        <f t="shared" si="25"/>
        <v>0</v>
      </c>
      <c r="N37" s="54">
        <f t="shared" si="26"/>
        <v>0.6</v>
      </c>
      <c r="O37" s="54">
        <f t="shared" si="27"/>
        <v>0</v>
      </c>
      <c r="P37" s="54">
        <f t="shared" si="28"/>
        <v>3</v>
      </c>
      <c r="Q37" s="54">
        <f t="shared" si="29"/>
        <v>3</v>
      </c>
      <c r="R37" s="29"/>
      <c r="S37" s="11"/>
      <c r="T37" s="11"/>
      <c r="U37" s="11"/>
      <c r="V37" s="11"/>
      <c r="W37" s="11"/>
      <c r="X37" s="11"/>
      <c r="Y37" s="11"/>
      <c r="Z37" s="11"/>
      <c r="AA37" s="11"/>
      <c r="AB37" s="11"/>
      <c r="AC37" s="11"/>
      <c r="AD37" s="11"/>
      <c r="AE37" s="11"/>
      <c r="AF37" s="11"/>
      <c r="AG37" s="11"/>
      <c r="AH37" s="11"/>
      <c r="AI37" s="11"/>
      <c r="AJ37" s="11"/>
      <c r="AK37" s="11"/>
    </row>
    <row r="38" spans="1:37" ht="15.75" customHeight="1">
      <c r="A38" s="46" t="s">
        <v>552</v>
      </c>
      <c r="B38" s="47" t="s">
        <v>414</v>
      </c>
      <c r="C38" s="50" t="s">
        <v>54</v>
      </c>
      <c r="D38" s="50" t="s">
        <v>54</v>
      </c>
      <c r="E38" s="50" t="s">
        <v>95</v>
      </c>
      <c r="F38" s="50" t="s">
        <v>54</v>
      </c>
      <c r="G38" s="50" t="s">
        <v>54</v>
      </c>
      <c r="H38" s="53" cm="1">
        <f t="array" ref="H38">_xlfn.LET(
_xlpm.opts,{"A","B","C","D","E"},
_xlpm.ans,UPPER(SUBSTITUTE(SUBSTITUTE(SUBSTITUTE(SUBSTITUTE(SUBSTITUTE(TRIM($B38),"　","")," ",""),",",""),"，",""),"、","")),
_xlpm.resp,UPPER(SUBSTITUTE(SUBSTITUTE(SUBSTITUTE(SUBSTITUTE(SUBSTITUTE(TRIM(C38),"　","")," ",""),",",""),"，",""),"、","")),
IF(_xlpm.resp="",99,
SUMPRODUCT(--(ISNUMBER(SEARCH(_xlpm.opts,_xlpm.ans))&lt;&gt;ISNUMBER(SEARCH(_xlpm.opts,_xlpm.resp)))))
)</f>
        <v>0</v>
      </c>
      <c r="I38" s="53" cm="1">
        <f t="array" ref="I38">_xlfn.LET(
_xlpm.opts,{"A","B","C","D","E"},
_xlpm.ans,UPPER(SUBSTITUTE(SUBSTITUTE(SUBSTITUTE(SUBSTITUTE(SUBSTITUTE(TRIM($B38),"　","")," ",""),",",""),"，",""),"、","")),
_xlpm.resp,UPPER(SUBSTITUTE(SUBSTITUTE(SUBSTITUTE(SUBSTITUTE(SUBSTITUTE(TRIM(D38),"　","")," ",""),",",""),"，",""),"、","")),
IF(_xlpm.resp="",99,
SUMPRODUCT(--(ISNUMBER(SEARCH(_xlpm.opts,_xlpm.ans))&lt;&gt;ISNUMBER(SEARCH(_xlpm.opts,_xlpm.resp)))))
)</f>
        <v>0</v>
      </c>
      <c r="J38" s="53" cm="1">
        <f t="array" ref="J38">_xlfn.LET(
_xlpm.opts,{"A","B","C","D","E"},
_xlpm.ans,UPPER(SUBSTITUTE(SUBSTITUTE(SUBSTITUTE(SUBSTITUTE(SUBSTITUTE(TRIM($B38),"　","")," ",""),",",""),"，",""),"、","")),
_xlpm.resp,UPPER(SUBSTITUTE(SUBSTITUTE(SUBSTITUTE(SUBSTITUTE(SUBSTITUTE(TRIM(E38),"　","")," ",""),",",""),"，",""),"、","")),
IF(_xlpm.resp="",99,
SUMPRODUCT(--(ISNUMBER(SEARCH(_xlpm.opts,_xlpm.ans))&lt;&gt;ISNUMBER(SEARCH(_xlpm.opts,_xlpm.resp)))))
)</f>
        <v>2</v>
      </c>
      <c r="K38" s="53" cm="1">
        <f t="array" ref="K38">_xlfn.LET(
_xlpm.opts,{"A","B","C","D","E"},
_xlpm.ans,UPPER(SUBSTITUTE(SUBSTITUTE(SUBSTITUTE(SUBSTITUTE(SUBSTITUTE(TRIM($B38),"　","")," ",""),",",""),"，",""),"、","")),
_xlpm.resp,UPPER(SUBSTITUTE(SUBSTITUTE(SUBSTITUTE(SUBSTITUTE(SUBSTITUTE(TRIM(F38),"　","")," ",""),",",""),"，",""),"、","")),
IF(_xlpm.resp="",99,
SUMPRODUCT(--(ISNUMBER(SEARCH(_xlpm.opts,_xlpm.ans))&lt;&gt;ISNUMBER(SEARCH(_xlpm.opts,_xlpm.resp)))))
)</f>
        <v>0</v>
      </c>
      <c r="L38" s="53" cm="1">
        <f t="array" ref="L38">_xlfn.LET(
_xlpm.opts,{"A","B","C","D","E"},
_xlpm.ans,UPPER(SUBSTITUTE(SUBSTITUTE(SUBSTITUTE(SUBSTITUTE(SUBSTITUTE(TRIM($B38),"　","")," ",""),",",""),"，",""),"、","")),
_xlpm.resp,UPPER(SUBSTITUTE(SUBSTITUTE(SUBSTITUTE(SUBSTITUTE(SUBSTITUTE(TRIM(G38),"　","")," ",""),",",""),"，",""),"、","")),
IF(_xlpm.resp="",99,
SUMPRODUCT(--(ISNUMBER(SEARCH(_xlpm.opts,_xlpm.ans))&lt;&gt;ISNUMBER(SEARCH(_xlpm.opts,_xlpm.resp)))))
)</f>
        <v>0</v>
      </c>
      <c r="M38" s="54">
        <f t="shared" si="25"/>
        <v>3</v>
      </c>
      <c r="N38" s="54">
        <f t="shared" si="26"/>
        <v>3</v>
      </c>
      <c r="O38" s="54">
        <f t="shared" si="27"/>
        <v>0.6</v>
      </c>
      <c r="P38" s="54">
        <f t="shared" si="28"/>
        <v>3</v>
      </c>
      <c r="Q38" s="54">
        <f t="shared" si="29"/>
        <v>3</v>
      </c>
      <c r="R38" s="29"/>
      <c r="S38" s="11"/>
      <c r="T38" s="11"/>
      <c r="U38" s="11"/>
      <c r="V38" s="11"/>
      <c r="W38" s="11"/>
      <c r="X38" s="11"/>
      <c r="Y38" s="11"/>
      <c r="Z38" s="11"/>
      <c r="AA38" s="11"/>
      <c r="AB38" s="11"/>
      <c r="AC38" s="11"/>
      <c r="AD38" s="11"/>
      <c r="AE38" s="11"/>
      <c r="AF38" s="11"/>
      <c r="AG38" s="11"/>
      <c r="AH38" s="11"/>
      <c r="AI38" s="11"/>
      <c r="AJ38" s="11"/>
      <c r="AK38" s="11"/>
    </row>
    <row r="39" spans="1:37" ht="15.75" customHeight="1">
      <c r="A39" s="46" t="s">
        <v>553</v>
      </c>
      <c r="B39" s="47" t="s">
        <v>376</v>
      </c>
      <c r="C39" s="50" t="s">
        <v>53</v>
      </c>
      <c r="D39" s="50" t="s">
        <v>89</v>
      </c>
      <c r="E39" s="50" t="s">
        <v>51</v>
      </c>
      <c r="F39" s="50" t="s">
        <v>40</v>
      </c>
      <c r="G39" s="50" t="s">
        <v>57</v>
      </c>
      <c r="H39" s="53" cm="1">
        <f t="array" ref="H39">_xlfn.LET(
_xlpm.opts,{"A","B","C","D","E"},
_xlpm.ans,UPPER(SUBSTITUTE(SUBSTITUTE(SUBSTITUTE(SUBSTITUTE(SUBSTITUTE(TRIM($B39),"　","")," ",""),",",""),"，",""),"、","")),
_xlpm.resp,UPPER(SUBSTITUTE(SUBSTITUTE(SUBSTITUTE(SUBSTITUTE(SUBSTITUTE(TRIM(C39),"　","")," ",""),",",""),"，",""),"、","")),
IF(_xlpm.resp="",99,
SUMPRODUCT(--(ISNUMBER(SEARCH(_xlpm.opts,_xlpm.ans))&lt;&gt;ISNUMBER(SEARCH(_xlpm.opts,_xlpm.resp)))))
)</f>
        <v>3</v>
      </c>
      <c r="I39" s="53" cm="1">
        <f t="array" ref="I39">_xlfn.LET(
_xlpm.opts,{"A","B","C","D","E"},
_xlpm.ans,UPPER(SUBSTITUTE(SUBSTITUTE(SUBSTITUTE(SUBSTITUTE(SUBSTITUTE(TRIM($B39),"　","")," ",""),",",""),"，",""),"、","")),
_xlpm.resp,UPPER(SUBSTITUTE(SUBSTITUTE(SUBSTITUTE(SUBSTITUTE(SUBSTITUTE(TRIM(D39),"　","")," ",""),",",""),"，",""),"、","")),
IF(_xlpm.resp="",99,
SUMPRODUCT(--(ISNUMBER(SEARCH(_xlpm.opts,_xlpm.ans))&lt;&gt;ISNUMBER(SEARCH(_xlpm.opts,_xlpm.resp)))))
)</f>
        <v>2</v>
      </c>
      <c r="J39" s="53" cm="1">
        <f t="array" ref="J39">_xlfn.LET(
_xlpm.opts,{"A","B","C","D","E"},
_xlpm.ans,UPPER(SUBSTITUTE(SUBSTITUTE(SUBSTITUTE(SUBSTITUTE(SUBSTITUTE(TRIM($B39),"　","")," ",""),",",""),"，",""),"、","")),
_xlpm.resp,UPPER(SUBSTITUTE(SUBSTITUTE(SUBSTITUTE(SUBSTITUTE(SUBSTITUTE(TRIM(E39),"　","")," ",""),",",""),"，",""),"、","")),
IF(_xlpm.resp="",99,
SUMPRODUCT(--(ISNUMBER(SEARCH(_xlpm.opts,_xlpm.ans))&lt;&gt;ISNUMBER(SEARCH(_xlpm.opts,_xlpm.resp)))))
)</f>
        <v>4</v>
      </c>
      <c r="K39" s="53" cm="1">
        <f t="array" ref="K39">_xlfn.LET(
_xlpm.opts,{"A","B","C","D","E"},
_xlpm.ans,UPPER(SUBSTITUTE(SUBSTITUTE(SUBSTITUTE(SUBSTITUTE(SUBSTITUTE(TRIM($B39),"　","")," ",""),",",""),"，",""),"、","")),
_xlpm.resp,UPPER(SUBSTITUTE(SUBSTITUTE(SUBSTITUTE(SUBSTITUTE(SUBSTITUTE(TRIM(F39),"　","")," ",""),",",""),"，",""),"、","")),
IF(_xlpm.resp="",99,
SUMPRODUCT(--(ISNUMBER(SEARCH(_xlpm.opts,_xlpm.ans))&lt;&gt;ISNUMBER(SEARCH(_xlpm.opts,_xlpm.resp)))))
)</f>
        <v>1</v>
      </c>
      <c r="L39" s="53" cm="1">
        <f t="array" ref="L39">_xlfn.LET(
_xlpm.opts,{"A","B","C","D","E"},
_xlpm.ans,UPPER(SUBSTITUTE(SUBSTITUTE(SUBSTITUTE(SUBSTITUTE(SUBSTITUTE(TRIM($B39),"　","")," ",""),",",""),"，",""),"、","")),
_xlpm.resp,UPPER(SUBSTITUTE(SUBSTITUTE(SUBSTITUTE(SUBSTITUTE(SUBSTITUTE(TRIM(G39),"　","")," ",""),",",""),"，",""),"、","")),
IF(_xlpm.resp="",99,
SUMPRODUCT(--(ISNUMBER(SEARCH(_xlpm.opts,_xlpm.ans))&lt;&gt;ISNUMBER(SEARCH(_xlpm.opts,_xlpm.resp)))))
)</f>
        <v>0</v>
      </c>
      <c r="M39" s="54">
        <f t="shared" si="25"/>
        <v>0</v>
      </c>
      <c r="N39" s="54">
        <f t="shared" si="26"/>
        <v>0.6</v>
      </c>
      <c r="O39" s="54">
        <f t="shared" si="27"/>
        <v>0</v>
      </c>
      <c r="P39" s="54">
        <f t="shared" si="28"/>
        <v>1.8</v>
      </c>
      <c r="Q39" s="54">
        <f t="shared" si="29"/>
        <v>3</v>
      </c>
      <c r="R39" s="29"/>
      <c r="S39" s="11"/>
      <c r="T39" s="11"/>
      <c r="U39" s="11"/>
      <c r="V39" s="11"/>
      <c r="W39" s="11"/>
      <c r="X39" s="11"/>
      <c r="Y39" s="11"/>
      <c r="Z39" s="11"/>
      <c r="AA39" s="11"/>
      <c r="AB39" s="11"/>
      <c r="AC39" s="11"/>
      <c r="AD39" s="11"/>
      <c r="AE39" s="11"/>
      <c r="AF39" s="11"/>
      <c r="AG39" s="11"/>
      <c r="AH39" s="11"/>
      <c r="AI39" s="11"/>
      <c r="AJ39" s="11"/>
      <c r="AK39" s="11"/>
    </row>
    <row r="40" spans="1:37" ht="15.75" customHeight="1">
      <c r="A40" s="49" t="s">
        <v>554</v>
      </c>
      <c r="B40" s="47"/>
      <c r="C40" s="50"/>
      <c r="D40" s="50"/>
      <c r="E40" s="50"/>
      <c r="F40" s="50"/>
      <c r="G40" s="50"/>
      <c r="H40" s="55"/>
      <c r="I40" s="50"/>
      <c r="J40" s="50"/>
      <c r="K40" s="50"/>
      <c r="L40" s="50"/>
      <c r="M40" s="48"/>
      <c r="N40" s="48"/>
      <c r="O40" s="48"/>
      <c r="P40" s="48"/>
      <c r="Q40" s="48"/>
      <c r="R40" s="29"/>
      <c r="S40" s="11"/>
      <c r="T40" s="11"/>
      <c r="U40" s="11"/>
      <c r="V40" s="11"/>
      <c r="W40" s="11"/>
      <c r="X40" s="11"/>
      <c r="Y40" s="11"/>
      <c r="Z40" s="11"/>
      <c r="AA40" s="11"/>
      <c r="AB40" s="11"/>
      <c r="AC40" s="11"/>
      <c r="AD40" s="11"/>
      <c r="AE40" s="11"/>
      <c r="AF40" s="11"/>
      <c r="AG40" s="11"/>
      <c r="AH40" s="11"/>
      <c r="AI40" s="11"/>
      <c r="AJ40" s="11"/>
      <c r="AK40" s="11"/>
    </row>
    <row r="41" spans="1:37" ht="15.75" customHeight="1">
      <c r="A41" s="46" t="s">
        <v>555</v>
      </c>
      <c r="B41" s="47" t="s">
        <v>256</v>
      </c>
      <c r="C41" s="47" t="s">
        <v>256</v>
      </c>
      <c r="D41" s="50" t="s">
        <v>89</v>
      </c>
      <c r="E41" s="50" t="s">
        <v>54</v>
      </c>
      <c r="F41" s="50" t="s">
        <v>47</v>
      </c>
      <c r="G41" s="50" t="s">
        <v>53</v>
      </c>
      <c r="H41" s="53" cm="1">
        <f t="array" ref="H41">_xlfn.LET(
_xlpm.opts,{"A","B","C","D","E"},
_xlpm.ans,UPPER(SUBSTITUTE(SUBSTITUTE(SUBSTITUTE(SUBSTITUTE(SUBSTITUTE(TRIM($B41),"　","")," ",""),",",""),"，",""),"、","")),
_xlpm.resp,UPPER(SUBSTITUTE(SUBSTITUTE(SUBSTITUTE(SUBSTITUTE(SUBSTITUTE(TRIM(C41),"　","")," ",""),",",""),"，",""),"、","")),
IF(_xlpm.resp="",99,
SUMPRODUCT(--(ISNUMBER(SEARCH(_xlpm.opts,_xlpm.ans))&lt;&gt;ISNUMBER(SEARCH(_xlpm.opts,_xlpm.resp)))))
)</f>
        <v>0</v>
      </c>
      <c r="I41" s="53" cm="1">
        <f t="array" ref="I41">_xlfn.LET(
_xlpm.opts,{"A","B","C","D","E"},
_xlpm.ans,UPPER(SUBSTITUTE(SUBSTITUTE(SUBSTITUTE(SUBSTITUTE(SUBSTITUTE(TRIM($B41),"　","")," ",""),",",""),"，",""),"、","")),
_xlpm.resp,UPPER(SUBSTITUTE(SUBSTITUTE(SUBSTITUTE(SUBSTITUTE(SUBSTITUTE(TRIM(D41),"　","")," ",""),",",""),"，",""),"、","")),
IF(_xlpm.resp="",99,
SUMPRODUCT(--(ISNUMBER(SEARCH(_xlpm.opts,_xlpm.ans))&lt;&gt;ISNUMBER(SEARCH(_xlpm.opts,_xlpm.resp)))))
)</f>
        <v>1</v>
      </c>
      <c r="J41" s="53" cm="1">
        <f t="array" ref="J41">_xlfn.LET(
_xlpm.opts,{"A","B","C","D","E"},
_xlpm.ans,UPPER(SUBSTITUTE(SUBSTITUTE(SUBSTITUTE(SUBSTITUTE(SUBSTITUTE(TRIM($B41),"　","")," ",""),",",""),"，",""),"、","")),
_xlpm.resp,UPPER(SUBSTITUTE(SUBSTITUTE(SUBSTITUTE(SUBSTITUTE(SUBSTITUTE(TRIM(E41),"　","")," ",""),",",""),"，",""),"、","")),
IF(_xlpm.resp="",99,
SUMPRODUCT(--(ISNUMBER(SEARCH(_xlpm.opts,_xlpm.ans))&lt;&gt;ISNUMBER(SEARCH(_xlpm.opts,_xlpm.resp)))))
)</f>
        <v>1</v>
      </c>
      <c r="K41" s="53" cm="1">
        <f t="array" ref="K41">_xlfn.LET(
_xlpm.opts,{"A","B","C","D","E"},
_xlpm.ans,UPPER(SUBSTITUTE(SUBSTITUTE(SUBSTITUTE(SUBSTITUTE(SUBSTITUTE(TRIM($B41),"　","")," ",""),",",""),"，",""),"、","")),
_xlpm.resp,UPPER(SUBSTITUTE(SUBSTITUTE(SUBSTITUTE(SUBSTITUTE(SUBSTITUTE(TRIM(F41),"　","")," ",""),",",""),"，",""),"、","")),
IF(_xlpm.resp="",99,
SUMPRODUCT(--(ISNUMBER(SEARCH(_xlpm.opts,_xlpm.ans))&lt;&gt;ISNUMBER(SEARCH(_xlpm.opts,_xlpm.resp)))))
)</f>
        <v>1</v>
      </c>
      <c r="L41" s="53" cm="1">
        <f t="array" ref="L41">_xlfn.LET(
_xlpm.opts,{"A","B","C","D","E"},
_xlpm.ans,UPPER(SUBSTITUTE(SUBSTITUTE(SUBSTITUTE(SUBSTITUTE(SUBSTITUTE(TRIM($B41),"　","")," ",""),",",""),"，",""),"、","")),
_xlpm.resp,UPPER(SUBSTITUTE(SUBSTITUTE(SUBSTITUTE(SUBSTITUTE(SUBSTITUTE(TRIM(G41),"　","")," ",""),",",""),"，",""),"、","")),
IF(_xlpm.resp="",99,
SUMPRODUCT(--(ISNUMBER(SEARCH(_xlpm.opts,_xlpm.ans))&lt;&gt;ISNUMBER(SEARCH(_xlpm.opts,_xlpm.resp)))))
)</f>
        <v>0</v>
      </c>
      <c r="M41" s="54">
        <f t="shared" ref="M41:M42" si="30">IF(H41=0,3,IF(H41=1,1.8,IF(H41=2,0.6,0)))</f>
        <v>3</v>
      </c>
      <c r="N41" s="54">
        <f t="shared" ref="N41:N42" si="31">IF(I41=0,3,IF(I41=1,1.8,IF(I41=2,0.6,0)))</f>
        <v>1.8</v>
      </c>
      <c r="O41" s="54">
        <f t="shared" ref="O41:O42" si="32">IF(J41=0,3,IF(J41=1,1.8,IF(J41=2,0.6,0)))</f>
        <v>1.8</v>
      </c>
      <c r="P41" s="54">
        <f t="shared" ref="P41:P42" si="33">IF(K41=0,3,IF(K41=1,1.8,IF(K41=2,0.6,0)))</f>
        <v>1.8</v>
      </c>
      <c r="Q41" s="54">
        <f t="shared" ref="Q41:Q42" si="34">IF(L41=0,3,IF(L41=1,1.8,IF(L41=2,0.6,0)))</f>
        <v>3</v>
      </c>
      <c r="R41" s="29"/>
      <c r="S41" s="11"/>
      <c r="T41" s="11"/>
      <c r="U41" s="11"/>
      <c r="V41" s="11"/>
      <c r="W41" s="11"/>
      <c r="X41" s="11"/>
      <c r="Y41" s="11"/>
      <c r="Z41" s="11"/>
      <c r="AA41" s="11"/>
      <c r="AB41" s="11"/>
      <c r="AC41" s="11"/>
      <c r="AD41" s="11"/>
      <c r="AE41" s="11"/>
      <c r="AF41" s="11"/>
      <c r="AG41" s="11"/>
      <c r="AH41" s="11"/>
      <c r="AI41" s="11"/>
      <c r="AJ41" s="11"/>
      <c r="AK41" s="11"/>
    </row>
    <row r="42" spans="1:37" ht="15.75" customHeight="1">
      <c r="A42" s="46" t="s">
        <v>556</v>
      </c>
      <c r="B42" s="47" t="s">
        <v>200</v>
      </c>
      <c r="C42" s="50" t="s">
        <v>23</v>
      </c>
      <c r="D42" s="50" t="s">
        <v>99</v>
      </c>
      <c r="E42" s="50" t="s">
        <v>23</v>
      </c>
      <c r="F42" s="50" t="s">
        <v>47</v>
      </c>
      <c r="G42" s="50" t="s">
        <v>23</v>
      </c>
      <c r="H42" s="53" cm="1">
        <f t="array" ref="H42">_xlfn.LET(
_xlpm.opts,{"A","B","C","D","E"},
_xlpm.ans,UPPER(SUBSTITUTE(SUBSTITUTE(SUBSTITUTE(SUBSTITUTE(SUBSTITUTE(TRIM($B42),"　","")," ",""),",",""),"，",""),"、","")),
_xlpm.resp,UPPER(SUBSTITUTE(SUBSTITUTE(SUBSTITUTE(SUBSTITUTE(SUBSTITUTE(TRIM(C42),"　","")," ",""),",",""),"，",""),"、","")),
IF(_xlpm.resp="",99,
SUMPRODUCT(--(ISNUMBER(SEARCH(_xlpm.opts,_xlpm.ans))&lt;&gt;ISNUMBER(SEARCH(_xlpm.opts,_xlpm.resp)))))
)</f>
        <v>1</v>
      </c>
      <c r="I42" s="53" cm="1">
        <f t="array" ref="I42">_xlfn.LET(
_xlpm.opts,{"A","B","C","D","E"},
_xlpm.ans,UPPER(SUBSTITUTE(SUBSTITUTE(SUBSTITUTE(SUBSTITUTE(SUBSTITUTE(TRIM($B42),"　","")," ",""),",",""),"，",""),"、","")),
_xlpm.resp,UPPER(SUBSTITUTE(SUBSTITUTE(SUBSTITUTE(SUBSTITUTE(SUBSTITUTE(TRIM(D42),"　","")," ",""),",",""),"，",""),"、","")),
IF(_xlpm.resp="",99,
SUMPRODUCT(--(ISNUMBER(SEARCH(_xlpm.opts,_xlpm.ans))&lt;&gt;ISNUMBER(SEARCH(_xlpm.opts,_xlpm.resp)))))
)</f>
        <v>2</v>
      </c>
      <c r="J42" s="53" cm="1">
        <f t="array" ref="J42">_xlfn.LET(
_xlpm.opts,{"A","B","C","D","E"},
_xlpm.ans,UPPER(SUBSTITUTE(SUBSTITUTE(SUBSTITUTE(SUBSTITUTE(SUBSTITUTE(TRIM($B42),"　","")," ",""),",",""),"，",""),"、","")),
_xlpm.resp,UPPER(SUBSTITUTE(SUBSTITUTE(SUBSTITUTE(SUBSTITUTE(SUBSTITUTE(TRIM(E42),"　","")," ",""),",",""),"，",""),"、","")),
IF(_xlpm.resp="",99,
SUMPRODUCT(--(ISNUMBER(SEARCH(_xlpm.opts,_xlpm.ans))&lt;&gt;ISNUMBER(SEARCH(_xlpm.opts,_xlpm.resp)))))
)</f>
        <v>1</v>
      </c>
      <c r="K42" s="53" cm="1">
        <f t="array" ref="K42">_xlfn.LET(
_xlpm.opts,{"A","B","C","D","E"},
_xlpm.ans,UPPER(SUBSTITUTE(SUBSTITUTE(SUBSTITUTE(SUBSTITUTE(SUBSTITUTE(TRIM($B42),"　","")," ",""),",",""),"，",""),"、","")),
_xlpm.resp,UPPER(SUBSTITUTE(SUBSTITUTE(SUBSTITUTE(SUBSTITUTE(SUBSTITUTE(TRIM(F42),"　","")," ",""),",",""),"，",""),"、","")),
IF(_xlpm.resp="",99,
SUMPRODUCT(--(ISNUMBER(SEARCH(_xlpm.opts,_xlpm.ans))&lt;&gt;ISNUMBER(SEARCH(_xlpm.opts,_xlpm.resp)))))
)</f>
        <v>1</v>
      </c>
      <c r="L42" s="53" cm="1">
        <f t="array" ref="L42">_xlfn.LET(
_xlpm.opts,{"A","B","C","D","E"},
_xlpm.ans,UPPER(SUBSTITUTE(SUBSTITUTE(SUBSTITUTE(SUBSTITUTE(SUBSTITUTE(TRIM($B42),"　","")," ",""),",",""),"，",""),"、","")),
_xlpm.resp,UPPER(SUBSTITUTE(SUBSTITUTE(SUBSTITUTE(SUBSTITUTE(SUBSTITUTE(TRIM(G42),"　","")," ",""),",",""),"，",""),"、","")),
IF(_xlpm.resp="",99,
SUMPRODUCT(--(ISNUMBER(SEARCH(_xlpm.opts,_xlpm.ans))&lt;&gt;ISNUMBER(SEARCH(_xlpm.opts,_xlpm.resp)))))
)</f>
        <v>1</v>
      </c>
      <c r="M42" s="54">
        <f t="shared" si="30"/>
        <v>1.8</v>
      </c>
      <c r="N42" s="54">
        <f t="shared" si="31"/>
        <v>0.6</v>
      </c>
      <c r="O42" s="54">
        <f t="shared" si="32"/>
        <v>1.8</v>
      </c>
      <c r="P42" s="54">
        <f t="shared" si="33"/>
        <v>1.8</v>
      </c>
      <c r="Q42" s="54">
        <f t="shared" si="34"/>
        <v>1.8</v>
      </c>
      <c r="R42" s="29"/>
      <c r="S42" s="11"/>
      <c r="T42" s="11"/>
      <c r="U42" s="11"/>
      <c r="V42" s="11"/>
      <c r="W42" s="11"/>
      <c r="X42" s="11"/>
      <c r="Y42" s="11"/>
      <c r="Z42" s="11"/>
      <c r="AA42" s="11"/>
      <c r="AB42" s="11"/>
      <c r="AC42" s="11"/>
      <c r="AD42" s="11"/>
      <c r="AE42" s="11"/>
      <c r="AF42" s="11"/>
      <c r="AG42" s="11"/>
      <c r="AH42" s="11"/>
      <c r="AI42" s="11"/>
      <c r="AJ42" s="11"/>
      <c r="AK42" s="11"/>
    </row>
    <row r="43" spans="1:37" ht="15.75" customHeight="1">
      <c r="A43" s="51" t="s">
        <v>557</v>
      </c>
      <c r="B43" s="47"/>
      <c r="C43" s="50"/>
      <c r="D43" s="50"/>
      <c r="E43" s="50"/>
      <c r="F43" s="50"/>
      <c r="G43" s="50"/>
      <c r="H43" s="50"/>
      <c r="I43" s="50"/>
      <c r="J43" s="50"/>
      <c r="K43" s="50"/>
      <c r="L43" s="50"/>
      <c r="M43" s="48"/>
      <c r="N43" s="48"/>
      <c r="O43" s="48"/>
      <c r="P43" s="48"/>
      <c r="Q43" s="48"/>
      <c r="R43" s="29"/>
      <c r="S43" s="11"/>
      <c r="T43" s="11"/>
      <c r="U43" s="11"/>
      <c r="V43" s="11"/>
      <c r="W43" s="11"/>
      <c r="X43" s="11"/>
      <c r="Y43" s="11"/>
      <c r="Z43" s="11"/>
      <c r="AA43" s="11"/>
      <c r="AB43" s="11"/>
      <c r="AC43" s="11"/>
      <c r="AD43" s="11"/>
      <c r="AE43" s="11"/>
      <c r="AF43" s="11"/>
      <c r="AG43" s="11"/>
      <c r="AH43" s="11"/>
      <c r="AI43" s="11"/>
      <c r="AJ43" s="11"/>
      <c r="AK43" s="11"/>
    </row>
    <row r="44" spans="1:37" ht="15.75" customHeight="1">
      <c r="A44" s="69" t="s">
        <v>558</v>
      </c>
      <c r="B44" s="47" t="s">
        <v>559</v>
      </c>
      <c r="C44" s="50" t="s">
        <v>560</v>
      </c>
      <c r="D44" s="68" t="s">
        <v>561</v>
      </c>
      <c r="E44" s="68" t="s">
        <v>562</v>
      </c>
      <c r="F44" s="68" t="s">
        <v>563</v>
      </c>
      <c r="G44" s="68" t="s">
        <v>564</v>
      </c>
      <c r="H44" s="50"/>
      <c r="I44" s="50"/>
      <c r="J44" s="50"/>
      <c r="K44" s="50"/>
      <c r="L44" s="50"/>
      <c r="M44" s="71">
        <v>6</v>
      </c>
      <c r="N44" s="71">
        <v>6</v>
      </c>
      <c r="O44" s="71">
        <v>6</v>
      </c>
      <c r="P44" s="71">
        <v>6</v>
      </c>
      <c r="Q44" s="71">
        <v>6</v>
      </c>
      <c r="R44" s="29"/>
      <c r="S44" s="11"/>
      <c r="T44" s="11"/>
      <c r="U44" s="11"/>
      <c r="V44" s="11"/>
      <c r="W44" s="11"/>
      <c r="X44" s="11"/>
      <c r="Y44" s="11"/>
      <c r="Z44" s="11"/>
      <c r="AA44" s="11"/>
      <c r="AB44" s="11"/>
      <c r="AC44" s="11"/>
      <c r="AD44" s="11"/>
      <c r="AE44" s="11"/>
      <c r="AF44" s="11"/>
      <c r="AG44" s="11"/>
      <c r="AH44" s="11"/>
      <c r="AI44" s="11"/>
      <c r="AJ44" s="11"/>
      <c r="AK44" s="11"/>
    </row>
    <row r="45" spans="1:37" ht="15.75" customHeight="1">
      <c r="A45" s="69" t="s">
        <v>565</v>
      </c>
      <c r="B45" s="47" t="s">
        <v>566</v>
      </c>
      <c r="C45" s="50" t="s">
        <v>567</v>
      </c>
      <c r="D45" s="68" t="s">
        <v>568</v>
      </c>
      <c r="E45" s="68" t="s">
        <v>569</v>
      </c>
      <c r="F45" s="68" t="s">
        <v>570</v>
      </c>
      <c r="G45" s="68" t="s">
        <v>571</v>
      </c>
      <c r="H45" s="50"/>
      <c r="I45" s="50"/>
      <c r="J45" s="50"/>
      <c r="K45" s="50"/>
      <c r="L45" s="50"/>
      <c r="M45" s="71">
        <v>8</v>
      </c>
      <c r="N45" s="71">
        <v>8</v>
      </c>
      <c r="O45" s="71">
        <v>8</v>
      </c>
      <c r="P45" s="71">
        <v>8</v>
      </c>
      <c r="Q45" s="71">
        <v>8</v>
      </c>
      <c r="R45" s="29"/>
      <c r="S45" s="11"/>
      <c r="T45" s="11"/>
      <c r="U45" s="11"/>
      <c r="V45" s="11"/>
      <c r="W45" s="11"/>
      <c r="X45" s="11"/>
      <c r="Y45" s="11"/>
      <c r="Z45" s="11"/>
      <c r="AA45" s="11"/>
      <c r="AB45" s="11"/>
      <c r="AC45" s="11"/>
      <c r="AD45" s="11"/>
      <c r="AE45" s="11"/>
      <c r="AF45" s="11"/>
      <c r="AG45" s="11"/>
      <c r="AH45" s="11"/>
      <c r="AI45" s="11"/>
      <c r="AJ45" s="11"/>
      <c r="AK45" s="11"/>
    </row>
    <row r="46" spans="1:37" ht="15.75" customHeight="1">
      <c r="A46" s="46" t="s">
        <v>572</v>
      </c>
      <c r="B46" s="47" t="s">
        <v>150</v>
      </c>
      <c r="C46" s="50" t="s">
        <v>20</v>
      </c>
      <c r="D46" s="50" t="s">
        <v>20</v>
      </c>
      <c r="E46" s="50" t="s">
        <v>23</v>
      </c>
      <c r="F46" s="50" t="s">
        <v>18</v>
      </c>
      <c r="G46" s="50" t="s">
        <v>18</v>
      </c>
      <c r="H46" s="50"/>
      <c r="I46" s="50"/>
      <c r="J46" s="50"/>
      <c r="K46" s="50"/>
      <c r="L46" s="50"/>
      <c r="M46" s="48">
        <f t="shared" ref="M46:Q46" si="35">IF(TRIM(SUBSTITUTE(C46, "　", " "))=TRIM(SUBSTITUTE($B46, "　", " ")), 2, 0)</f>
        <v>0</v>
      </c>
      <c r="N46" s="48">
        <f t="shared" si="35"/>
        <v>0</v>
      </c>
      <c r="O46" s="48">
        <f t="shared" si="35"/>
        <v>0</v>
      </c>
      <c r="P46" s="48">
        <f t="shared" si="35"/>
        <v>2</v>
      </c>
      <c r="Q46" s="48">
        <f t="shared" si="35"/>
        <v>2</v>
      </c>
      <c r="R46" s="29"/>
      <c r="S46" s="11"/>
      <c r="T46" s="11"/>
      <c r="U46" s="11"/>
      <c r="V46" s="11"/>
      <c r="W46" s="11"/>
      <c r="X46" s="11"/>
      <c r="Y46" s="11"/>
      <c r="Z46" s="11"/>
      <c r="AA46" s="11"/>
      <c r="AB46" s="11"/>
      <c r="AC46" s="11"/>
      <c r="AD46" s="11"/>
      <c r="AE46" s="11"/>
      <c r="AF46" s="11"/>
      <c r="AG46" s="11"/>
      <c r="AH46" s="11"/>
      <c r="AI46" s="11"/>
      <c r="AJ46" s="11"/>
      <c r="AK46" s="11"/>
    </row>
    <row r="47" spans="1:37" ht="15.75" customHeight="1">
      <c r="A47" s="46" t="s">
        <v>573</v>
      </c>
      <c r="B47" s="47" t="s">
        <v>155</v>
      </c>
      <c r="C47" s="50" t="s">
        <v>20</v>
      </c>
      <c r="D47" s="50" t="s">
        <v>17</v>
      </c>
      <c r="E47" s="50" t="s">
        <v>17</v>
      </c>
      <c r="F47" s="50" t="s">
        <v>20</v>
      </c>
      <c r="G47" s="50" t="s">
        <v>20</v>
      </c>
      <c r="H47" s="50"/>
      <c r="I47" s="50"/>
      <c r="J47" s="50"/>
      <c r="K47" s="50"/>
      <c r="L47" s="50"/>
      <c r="M47" s="48">
        <f t="shared" ref="M47:Q47" si="36">IF(TRIM(SUBSTITUTE(C47, "　", " "))=TRIM(SUBSTITUTE($B47, "　", " ")), 2, 0)</f>
        <v>2</v>
      </c>
      <c r="N47" s="48">
        <f t="shared" si="36"/>
        <v>0</v>
      </c>
      <c r="O47" s="48">
        <f t="shared" si="36"/>
        <v>0</v>
      </c>
      <c r="P47" s="48">
        <f t="shared" si="36"/>
        <v>2</v>
      </c>
      <c r="Q47" s="48">
        <f t="shared" si="36"/>
        <v>2</v>
      </c>
      <c r="R47" s="29"/>
      <c r="S47" s="11"/>
      <c r="T47" s="11"/>
      <c r="U47" s="11"/>
      <c r="V47" s="11"/>
      <c r="W47" s="11"/>
      <c r="X47" s="11"/>
      <c r="Y47" s="11"/>
      <c r="Z47" s="11"/>
      <c r="AA47" s="11"/>
      <c r="AB47" s="11"/>
      <c r="AC47" s="11"/>
      <c r="AD47" s="11"/>
      <c r="AE47" s="11"/>
      <c r="AF47" s="11"/>
      <c r="AG47" s="11"/>
      <c r="AH47" s="11"/>
      <c r="AI47" s="11"/>
      <c r="AJ47" s="11"/>
      <c r="AK47" s="11"/>
    </row>
    <row r="48" spans="1:37" ht="15.75" customHeight="1">
      <c r="A48" s="69" t="s">
        <v>574</v>
      </c>
      <c r="B48" s="47" t="s">
        <v>575</v>
      </c>
      <c r="C48" s="50" t="s">
        <v>576</v>
      </c>
      <c r="D48" s="68" t="s">
        <v>577</v>
      </c>
      <c r="E48" s="68" t="s">
        <v>578</v>
      </c>
      <c r="F48" s="72" t="s">
        <v>579</v>
      </c>
      <c r="G48" s="72" t="s">
        <v>580</v>
      </c>
      <c r="H48" s="50"/>
      <c r="I48" s="50"/>
      <c r="J48" s="50"/>
      <c r="K48" s="50"/>
      <c r="L48" s="50"/>
      <c r="M48" s="48">
        <f t="shared" ref="M48:Q48" si="37">IF(TRIM(SUBSTITUTE(C48, "　", " "))=TRIM(SUBSTITUTE($B48, "　", " ")), 2, 0)</f>
        <v>0</v>
      </c>
      <c r="N48" s="48">
        <f t="shared" si="37"/>
        <v>0</v>
      </c>
      <c r="O48" s="48">
        <f t="shared" si="37"/>
        <v>0</v>
      </c>
      <c r="P48" s="48">
        <f t="shared" si="37"/>
        <v>0</v>
      </c>
      <c r="Q48" s="48">
        <f t="shared" si="37"/>
        <v>0</v>
      </c>
      <c r="R48" s="29"/>
      <c r="S48" s="11"/>
      <c r="T48" s="11"/>
      <c r="U48" s="11"/>
      <c r="V48" s="11"/>
      <c r="W48" s="11"/>
      <c r="X48" s="11"/>
      <c r="Y48" s="11"/>
      <c r="Z48" s="11"/>
      <c r="AA48" s="11"/>
      <c r="AB48" s="11"/>
      <c r="AC48" s="11"/>
      <c r="AD48" s="11"/>
      <c r="AE48" s="11"/>
      <c r="AF48" s="11"/>
      <c r="AG48" s="11"/>
      <c r="AH48" s="11"/>
      <c r="AI48" s="11"/>
      <c r="AJ48" s="11"/>
      <c r="AK48" s="11"/>
    </row>
    <row r="49" spans="1:37" ht="15.75" customHeight="1">
      <c r="A49" s="24"/>
      <c r="B49" s="25"/>
      <c r="C49" s="26"/>
      <c r="D49" s="26"/>
      <c r="E49" s="26"/>
      <c r="F49" s="26"/>
      <c r="G49" s="26"/>
      <c r="H49" s="26"/>
      <c r="I49" s="26"/>
      <c r="J49" s="26"/>
      <c r="K49" s="26"/>
      <c r="L49" s="26"/>
      <c r="M49" s="27"/>
      <c r="N49" s="27"/>
      <c r="O49" s="27"/>
      <c r="P49" s="27"/>
      <c r="Q49" s="27"/>
      <c r="R49" s="29"/>
      <c r="S49" s="11"/>
      <c r="T49" s="11"/>
      <c r="U49" s="11"/>
      <c r="V49" s="11"/>
      <c r="W49" s="11"/>
      <c r="X49" s="11"/>
      <c r="Y49" s="11"/>
      <c r="Z49" s="11"/>
      <c r="AA49" s="11"/>
      <c r="AB49" s="11"/>
      <c r="AC49" s="11"/>
      <c r="AD49" s="11"/>
      <c r="AE49" s="11"/>
      <c r="AF49" s="11"/>
      <c r="AG49" s="11"/>
      <c r="AH49" s="11"/>
      <c r="AI49" s="11"/>
      <c r="AJ49" s="11"/>
      <c r="AK49" s="11"/>
    </row>
    <row r="50" spans="1:37" ht="15.75" customHeight="1">
      <c r="A50" s="24"/>
      <c r="B50" s="25"/>
      <c r="C50" s="26"/>
      <c r="D50" s="26"/>
      <c r="E50" s="26"/>
      <c r="F50" s="26"/>
      <c r="G50" s="26"/>
      <c r="H50" s="26"/>
      <c r="I50" s="26"/>
      <c r="J50" s="26"/>
      <c r="K50" s="26"/>
      <c r="L50" s="26"/>
      <c r="M50" s="27"/>
      <c r="N50" s="27"/>
      <c r="O50" s="27"/>
      <c r="P50" s="27"/>
      <c r="Q50" s="27"/>
      <c r="R50" s="29"/>
      <c r="S50" s="11"/>
      <c r="T50" s="11"/>
      <c r="U50" s="11"/>
      <c r="V50" s="11"/>
      <c r="W50" s="11"/>
      <c r="X50" s="11"/>
      <c r="Y50" s="11"/>
      <c r="Z50" s="11"/>
      <c r="AA50" s="11"/>
      <c r="AB50" s="11"/>
      <c r="AC50" s="11"/>
      <c r="AD50" s="11"/>
      <c r="AE50" s="11"/>
      <c r="AF50" s="11"/>
      <c r="AG50" s="11"/>
      <c r="AH50" s="11"/>
      <c r="AI50" s="11"/>
      <c r="AJ50" s="11"/>
      <c r="AK50" s="11"/>
    </row>
    <row r="51" spans="1:37" ht="15.75" customHeight="1">
      <c r="A51" s="24"/>
      <c r="B51" s="25"/>
      <c r="C51" s="26"/>
      <c r="D51" s="26"/>
      <c r="E51" s="26"/>
      <c r="F51" s="26"/>
      <c r="G51" s="26"/>
      <c r="H51" s="26"/>
      <c r="I51" s="26"/>
      <c r="J51" s="26"/>
      <c r="K51" s="26"/>
      <c r="L51" s="26"/>
      <c r="M51" s="27"/>
      <c r="N51" s="27"/>
      <c r="O51" s="27"/>
      <c r="P51" s="27"/>
      <c r="Q51" s="27"/>
      <c r="R51" s="29"/>
      <c r="S51" s="11"/>
      <c r="T51" s="11"/>
      <c r="U51" s="11"/>
      <c r="V51" s="11"/>
      <c r="W51" s="11"/>
      <c r="X51" s="11"/>
      <c r="Y51" s="11"/>
      <c r="Z51" s="11"/>
      <c r="AA51" s="11"/>
      <c r="AB51" s="11"/>
      <c r="AC51" s="11"/>
      <c r="AD51" s="11"/>
      <c r="AE51" s="11"/>
      <c r="AF51" s="11"/>
      <c r="AG51" s="11"/>
      <c r="AH51" s="11"/>
      <c r="AI51" s="11"/>
      <c r="AJ51" s="11"/>
      <c r="AK51" s="11"/>
    </row>
    <row r="52" spans="1:37" ht="15.75" customHeight="1">
      <c r="A52" s="24"/>
      <c r="B52" s="25"/>
      <c r="C52" s="26"/>
      <c r="D52" s="26"/>
      <c r="E52" s="26"/>
      <c r="F52" s="26"/>
      <c r="G52" s="26"/>
      <c r="H52" s="26"/>
      <c r="I52" s="26"/>
      <c r="J52" s="26"/>
      <c r="K52" s="26"/>
      <c r="L52" s="26"/>
      <c r="M52" s="27"/>
      <c r="N52" s="27"/>
      <c r="O52" s="27"/>
      <c r="P52" s="27"/>
      <c r="Q52" s="27"/>
      <c r="R52" s="29"/>
      <c r="S52" s="11"/>
      <c r="T52" s="11"/>
      <c r="U52" s="11"/>
      <c r="V52" s="11"/>
      <c r="W52" s="11"/>
      <c r="X52" s="11"/>
      <c r="Y52" s="11"/>
      <c r="Z52" s="11"/>
      <c r="AA52" s="11"/>
      <c r="AB52" s="11"/>
      <c r="AC52" s="11"/>
      <c r="AD52" s="11"/>
      <c r="AE52" s="11"/>
      <c r="AF52" s="11"/>
      <c r="AG52" s="11"/>
      <c r="AH52" s="11"/>
      <c r="AI52" s="11"/>
      <c r="AJ52" s="11"/>
      <c r="AK52" s="11"/>
    </row>
    <row r="53" spans="1:37" ht="15.75" customHeight="1">
      <c r="A53" s="24"/>
      <c r="B53" s="25"/>
      <c r="C53" s="26"/>
      <c r="D53" s="26"/>
      <c r="E53" s="26"/>
      <c r="F53" s="26"/>
      <c r="G53" s="26"/>
      <c r="H53" s="26"/>
      <c r="I53" s="26"/>
      <c r="J53" s="26"/>
      <c r="K53" s="26"/>
      <c r="L53" s="26"/>
      <c r="M53" s="27"/>
      <c r="N53" s="27"/>
      <c r="O53" s="27"/>
      <c r="P53" s="27"/>
      <c r="Q53" s="27"/>
      <c r="R53" s="29"/>
      <c r="S53" s="11"/>
      <c r="T53" s="11"/>
      <c r="U53" s="11"/>
      <c r="V53" s="11"/>
      <c r="W53" s="11"/>
      <c r="X53" s="11"/>
      <c r="Y53" s="11"/>
      <c r="Z53" s="11"/>
      <c r="AA53" s="11"/>
      <c r="AB53" s="11"/>
      <c r="AC53" s="11"/>
      <c r="AD53" s="11"/>
      <c r="AE53" s="11"/>
      <c r="AF53" s="11"/>
      <c r="AG53" s="11"/>
      <c r="AH53" s="11"/>
      <c r="AI53" s="11"/>
      <c r="AJ53" s="11"/>
      <c r="AK53" s="11"/>
    </row>
    <row r="54" spans="1:37" ht="15.75" customHeight="1">
      <c r="A54" s="24"/>
      <c r="B54" s="25"/>
      <c r="C54" s="26"/>
      <c r="D54" s="26"/>
      <c r="E54" s="26"/>
      <c r="F54" s="26"/>
      <c r="G54" s="26"/>
      <c r="H54" s="25"/>
      <c r="I54" s="25"/>
      <c r="J54" s="25"/>
      <c r="K54" s="25"/>
      <c r="L54" s="25"/>
      <c r="M54" s="27"/>
      <c r="N54" s="27"/>
      <c r="O54" s="27"/>
      <c r="P54" s="27"/>
      <c r="Q54" s="27"/>
      <c r="R54" s="29"/>
      <c r="S54" s="11"/>
      <c r="T54" s="11"/>
      <c r="U54" s="11"/>
      <c r="V54" s="11"/>
      <c r="W54" s="11"/>
      <c r="X54" s="11"/>
      <c r="Y54" s="11"/>
      <c r="Z54" s="11"/>
      <c r="AA54" s="11"/>
      <c r="AB54" s="11"/>
      <c r="AC54" s="11"/>
      <c r="AD54" s="11"/>
      <c r="AE54" s="11"/>
      <c r="AF54" s="11"/>
      <c r="AG54" s="11"/>
      <c r="AH54" s="11"/>
      <c r="AI54" s="11"/>
      <c r="AJ54" s="11"/>
      <c r="AK54" s="11"/>
    </row>
    <row r="55" spans="1:37" ht="15.75" customHeight="1">
      <c r="A55" s="24"/>
      <c r="B55" s="25"/>
      <c r="C55" s="26"/>
      <c r="D55" s="26"/>
      <c r="E55" s="26"/>
      <c r="F55" s="26"/>
      <c r="G55" s="26"/>
      <c r="H55" s="26"/>
      <c r="I55" s="26"/>
      <c r="J55" s="26"/>
      <c r="K55" s="26"/>
      <c r="L55" s="26"/>
      <c r="M55" s="27"/>
      <c r="N55" s="27"/>
      <c r="O55" s="27"/>
      <c r="P55" s="27"/>
      <c r="Q55" s="27"/>
      <c r="R55" s="29"/>
      <c r="S55" s="11"/>
      <c r="T55" s="11"/>
      <c r="U55" s="11"/>
      <c r="V55" s="11"/>
      <c r="W55" s="11"/>
      <c r="X55" s="11"/>
      <c r="Y55" s="11"/>
      <c r="Z55" s="11"/>
      <c r="AA55" s="11"/>
      <c r="AB55" s="11"/>
      <c r="AC55" s="11"/>
      <c r="AD55" s="11"/>
      <c r="AE55" s="11"/>
      <c r="AF55" s="11"/>
      <c r="AG55" s="11"/>
      <c r="AH55" s="11"/>
      <c r="AI55" s="11"/>
      <c r="AJ55" s="11"/>
      <c r="AK55" s="11"/>
    </row>
    <row r="56" spans="1:37" ht="15.75" customHeight="1">
      <c r="A56" s="24"/>
      <c r="B56" s="25"/>
      <c r="C56" s="26"/>
      <c r="D56" s="26"/>
      <c r="E56" s="26"/>
      <c r="F56" s="26"/>
      <c r="G56" s="26"/>
      <c r="H56" s="26"/>
      <c r="I56" s="26"/>
      <c r="J56" s="26"/>
      <c r="K56" s="26"/>
      <c r="L56" s="26"/>
      <c r="M56" s="27"/>
      <c r="N56" s="27"/>
      <c r="O56" s="27"/>
      <c r="P56" s="27"/>
      <c r="Q56" s="27"/>
      <c r="R56" s="29"/>
      <c r="S56" s="11"/>
      <c r="T56" s="11"/>
      <c r="U56" s="11"/>
      <c r="V56" s="11"/>
      <c r="W56" s="11"/>
      <c r="X56" s="11"/>
      <c r="Y56" s="11"/>
      <c r="Z56" s="11"/>
      <c r="AA56" s="11"/>
      <c r="AB56" s="11"/>
      <c r="AC56" s="11"/>
      <c r="AD56" s="11"/>
      <c r="AE56" s="11"/>
      <c r="AF56" s="11"/>
      <c r="AG56" s="11"/>
      <c r="AH56" s="11"/>
      <c r="AI56" s="11"/>
      <c r="AJ56" s="11"/>
      <c r="AK56" s="11"/>
    </row>
    <row r="57" spans="1:37" ht="15.75" customHeight="1">
      <c r="A57" s="24"/>
      <c r="B57" s="25"/>
      <c r="C57" s="26"/>
      <c r="D57" s="26"/>
      <c r="E57" s="26"/>
      <c r="F57" s="26"/>
      <c r="G57" s="26"/>
      <c r="H57" s="26"/>
      <c r="I57" s="26"/>
      <c r="J57" s="26"/>
      <c r="K57" s="26"/>
      <c r="L57" s="26"/>
      <c r="M57" s="27"/>
      <c r="N57" s="27"/>
      <c r="O57" s="27"/>
      <c r="P57" s="27"/>
      <c r="Q57" s="27"/>
      <c r="R57" s="29"/>
      <c r="S57" s="11"/>
      <c r="T57" s="11"/>
      <c r="U57" s="11"/>
      <c r="V57" s="11"/>
      <c r="W57" s="11"/>
      <c r="X57" s="11"/>
      <c r="Y57" s="11"/>
      <c r="Z57" s="11"/>
      <c r="AA57" s="11"/>
      <c r="AB57" s="11"/>
      <c r="AC57" s="11"/>
      <c r="AD57" s="11"/>
      <c r="AE57" s="11"/>
      <c r="AF57" s="11"/>
      <c r="AG57" s="11"/>
      <c r="AH57" s="11"/>
      <c r="AI57" s="11"/>
      <c r="AJ57" s="11"/>
      <c r="AK57" s="11"/>
    </row>
    <row r="58" spans="1:37" ht="15.75" customHeight="1">
      <c r="A58" s="24"/>
      <c r="B58" s="25"/>
      <c r="C58" s="26"/>
      <c r="D58" s="26"/>
      <c r="E58" s="26"/>
      <c r="F58" s="26"/>
      <c r="G58" s="26"/>
      <c r="H58" s="26"/>
      <c r="I58" s="26"/>
      <c r="J58" s="26"/>
      <c r="K58" s="26"/>
      <c r="L58" s="26"/>
      <c r="M58" s="27"/>
      <c r="N58" s="27"/>
      <c r="O58" s="27"/>
      <c r="P58" s="27"/>
      <c r="Q58" s="27"/>
      <c r="R58" s="29"/>
      <c r="S58" s="24"/>
      <c r="T58" s="24"/>
      <c r="U58" s="11"/>
      <c r="V58" s="11"/>
      <c r="W58" s="11"/>
      <c r="X58" s="11"/>
      <c r="Y58" s="11"/>
      <c r="Z58" s="11"/>
      <c r="AA58" s="11"/>
      <c r="AB58" s="11"/>
      <c r="AC58" s="11"/>
      <c r="AD58" s="11"/>
      <c r="AE58" s="11"/>
      <c r="AF58" s="11"/>
      <c r="AG58" s="11"/>
      <c r="AH58" s="11"/>
      <c r="AI58" s="11"/>
      <c r="AJ58" s="11"/>
      <c r="AK58" s="11"/>
    </row>
    <row r="59" spans="1:37" ht="15.75" customHeight="1">
      <c r="A59" s="24"/>
      <c r="B59" s="25"/>
      <c r="C59" s="26"/>
      <c r="D59" s="26"/>
      <c r="E59" s="26"/>
      <c r="F59" s="26"/>
      <c r="G59" s="26"/>
      <c r="H59" s="26"/>
      <c r="I59" s="26"/>
      <c r="J59" s="26"/>
      <c r="K59" s="26"/>
      <c r="L59" s="26"/>
      <c r="M59" s="27"/>
      <c r="N59" s="27"/>
      <c r="O59" s="27"/>
      <c r="P59" s="27"/>
      <c r="Q59" s="27"/>
      <c r="R59" s="29"/>
      <c r="S59" s="11"/>
      <c r="T59" s="11"/>
      <c r="U59" s="11"/>
      <c r="V59" s="11"/>
      <c r="W59" s="11"/>
      <c r="X59" s="11"/>
      <c r="Y59" s="11"/>
      <c r="Z59" s="11"/>
      <c r="AA59" s="11"/>
      <c r="AB59" s="11"/>
      <c r="AC59" s="11"/>
      <c r="AD59" s="11"/>
      <c r="AE59" s="11"/>
      <c r="AF59" s="11"/>
      <c r="AG59" s="11"/>
      <c r="AH59" s="11"/>
      <c r="AI59" s="11"/>
      <c r="AJ59" s="11"/>
      <c r="AK59" s="11"/>
    </row>
    <row r="60" spans="1:37" ht="15.75" customHeight="1">
      <c r="A60" s="24"/>
      <c r="B60" s="25"/>
      <c r="C60" s="26"/>
      <c r="D60" s="26"/>
      <c r="E60" s="26"/>
      <c r="F60" s="26"/>
      <c r="G60" s="26"/>
      <c r="H60" s="26"/>
      <c r="I60" s="26"/>
      <c r="J60" s="26"/>
      <c r="K60" s="26"/>
      <c r="L60" s="26"/>
      <c r="M60" s="27"/>
      <c r="N60" s="27"/>
      <c r="O60" s="27"/>
      <c r="P60" s="27"/>
      <c r="Q60" s="27"/>
      <c r="R60" s="29"/>
      <c r="S60" s="11"/>
      <c r="T60" s="11"/>
      <c r="U60" s="11"/>
      <c r="V60" s="11"/>
      <c r="W60" s="11"/>
      <c r="X60" s="11"/>
      <c r="Y60" s="11"/>
      <c r="Z60" s="11"/>
      <c r="AA60" s="11"/>
      <c r="AB60" s="11"/>
      <c r="AC60" s="11"/>
      <c r="AD60" s="11"/>
      <c r="AE60" s="11"/>
      <c r="AF60" s="11"/>
      <c r="AG60" s="11"/>
      <c r="AH60" s="11"/>
      <c r="AI60" s="11"/>
      <c r="AJ60" s="11"/>
      <c r="AK60" s="11"/>
    </row>
    <row r="61" spans="1:37" ht="15.75" customHeight="1">
      <c r="A61" s="24"/>
      <c r="B61" s="25"/>
      <c r="C61" s="26"/>
      <c r="D61" s="26"/>
      <c r="E61" s="26"/>
      <c r="F61" s="26"/>
      <c r="G61" s="26"/>
      <c r="H61" s="26"/>
      <c r="I61" s="26"/>
      <c r="J61" s="26"/>
      <c r="K61" s="26"/>
      <c r="L61" s="26"/>
      <c r="M61" s="27"/>
      <c r="N61" s="27"/>
      <c r="O61" s="27"/>
      <c r="P61" s="27"/>
      <c r="Q61" s="27"/>
      <c r="R61" s="29"/>
      <c r="S61" s="11"/>
      <c r="T61" s="11"/>
      <c r="U61" s="11"/>
      <c r="V61" s="11"/>
      <c r="W61" s="11"/>
      <c r="X61" s="11"/>
      <c r="Y61" s="11"/>
      <c r="Z61" s="11"/>
      <c r="AA61" s="11"/>
      <c r="AB61" s="11"/>
      <c r="AC61" s="11"/>
      <c r="AD61" s="11"/>
      <c r="AE61" s="11"/>
      <c r="AF61" s="11"/>
      <c r="AG61" s="11"/>
      <c r="AH61" s="11"/>
      <c r="AI61" s="11"/>
      <c r="AJ61" s="11"/>
      <c r="AK61" s="11"/>
    </row>
    <row r="62" spans="1:37" ht="15.75" customHeight="1">
      <c r="A62" s="24"/>
      <c r="B62" s="25"/>
      <c r="C62" s="26"/>
      <c r="D62" s="26"/>
      <c r="E62" s="26"/>
      <c r="F62" s="26"/>
      <c r="G62" s="26"/>
      <c r="H62" s="26"/>
      <c r="I62" s="26"/>
      <c r="J62" s="26"/>
      <c r="K62" s="26"/>
      <c r="L62" s="26"/>
      <c r="M62" s="27"/>
      <c r="N62" s="27"/>
      <c r="O62" s="27"/>
      <c r="P62" s="27"/>
      <c r="Q62" s="27"/>
      <c r="R62" s="29"/>
      <c r="S62" s="11"/>
      <c r="T62" s="11"/>
      <c r="U62" s="11"/>
      <c r="V62" s="11"/>
      <c r="W62" s="11"/>
      <c r="X62" s="11"/>
      <c r="Y62" s="11"/>
      <c r="Z62" s="11"/>
      <c r="AA62" s="11"/>
      <c r="AB62" s="11"/>
      <c r="AC62" s="11"/>
      <c r="AD62" s="11"/>
      <c r="AE62" s="11"/>
      <c r="AF62" s="11"/>
      <c r="AG62" s="11"/>
      <c r="AH62" s="11"/>
      <c r="AI62" s="11"/>
      <c r="AJ62" s="11"/>
      <c r="AK62" s="11"/>
    </row>
    <row r="63" spans="1:37" ht="15.75" customHeight="1">
      <c r="A63" s="24"/>
      <c r="B63" s="25"/>
      <c r="C63" s="26"/>
      <c r="D63" s="26"/>
      <c r="E63" s="26"/>
      <c r="F63" s="26"/>
      <c r="G63" s="26"/>
      <c r="H63" s="26"/>
      <c r="I63" s="26"/>
      <c r="J63" s="26"/>
      <c r="K63" s="26"/>
      <c r="L63" s="26"/>
      <c r="M63" s="13"/>
      <c r="N63" s="13"/>
      <c r="O63" s="13"/>
      <c r="P63" s="26"/>
      <c r="Q63" s="26"/>
      <c r="R63" s="24"/>
      <c r="S63" s="11"/>
      <c r="T63" s="11"/>
      <c r="U63" s="24"/>
      <c r="V63" s="24"/>
      <c r="W63" s="24"/>
      <c r="X63" s="24"/>
      <c r="Y63" s="24"/>
      <c r="Z63" s="24"/>
      <c r="AA63" s="24"/>
      <c r="AB63" s="24"/>
      <c r="AC63" s="24"/>
      <c r="AD63" s="24"/>
      <c r="AE63" s="24"/>
      <c r="AF63" s="24"/>
      <c r="AG63" s="24"/>
      <c r="AH63" s="24"/>
      <c r="AI63" s="24"/>
      <c r="AJ63" s="24"/>
      <c r="AK63" s="24"/>
    </row>
    <row r="64" spans="1:37" ht="15.75" customHeight="1">
      <c r="A64" s="24"/>
      <c r="B64" s="25"/>
      <c r="C64" s="26"/>
      <c r="D64" s="26"/>
      <c r="E64" s="26"/>
      <c r="F64" s="26"/>
      <c r="G64" s="26"/>
      <c r="H64" s="26"/>
      <c r="I64" s="26"/>
      <c r="J64" s="26"/>
      <c r="K64" s="26"/>
      <c r="L64" s="26"/>
      <c r="M64" s="29"/>
      <c r="N64" s="29"/>
      <c r="O64" s="29"/>
      <c r="P64" s="29"/>
      <c r="Q64" s="29"/>
      <c r="R64" s="29"/>
      <c r="S64" s="11"/>
      <c r="T64" s="11"/>
      <c r="U64" s="11"/>
      <c r="V64" s="11"/>
      <c r="W64" s="11"/>
      <c r="X64" s="11"/>
      <c r="Y64" s="11"/>
      <c r="Z64" s="11"/>
      <c r="AA64" s="11"/>
      <c r="AB64" s="11"/>
      <c r="AC64" s="11"/>
      <c r="AD64" s="11"/>
      <c r="AE64" s="11"/>
      <c r="AF64" s="11"/>
      <c r="AG64" s="11"/>
      <c r="AH64" s="11"/>
      <c r="AI64" s="11"/>
      <c r="AJ64" s="11"/>
      <c r="AK64" s="11"/>
    </row>
    <row r="65" spans="1:37" ht="15.75" customHeight="1">
      <c r="A65" s="24"/>
      <c r="B65" s="25"/>
      <c r="C65" s="26"/>
      <c r="D65" s="26"/>
      <c r="E65" s="26"/>
      <c r="F65" s="26"/>
      <c r="G65" s="26"/>
      <c r="H65" s="26"/>
      <c r="I65" s="26"/>
      <c r="J65" s="26"/>
      <c r="K65" s="26"/>
      <c r="L65" s="26"/>
      <c r="M65" s="29"/>
      <c r="N65" s="29"/>
      <c r="O65" s="29"/>
      <c r="P65" s="29"/>
      <c r="Q65" s="29"/>
      <c r="R65" s="29"/>
      <c r="S65" s="11"/>
      <c r="T65" s="11"/>
      <c r="U65" s="11"/>
      <c r="V65" s="11"/>
      <c r="W65" s="11"/>
      <c r="X65" s="11"/>
      <c r="Y65" s="11"/>
      <c r="Z65" s="11"/>
      <c r="AA65" s="11"/>
      <c r="AB65" s="11"/>
      <c r="AC65" s="11"/>
      <c r="AD65" s="11"/>
      <c r="AE65" s="11"/>
      <c r="AF65" s="11"/>
      <c r="AG65" s="11"/>
      <c r="AH65" s="11"/>
      <c r="AI65" s="11"/>
      <c r="AJ65" s="11"/>
      <c r="AK65" s="11"/>
    </row>
    <row r="66" spans="1:37" ht="15.75" customHeight="1">
      <c r="A66" s="79"/>
      <c r="B66" s="25"/>
      <c r="C66" s="26"/>
      <c r="D66" s="26"/>
      <c r="E66" s="26"/>
      <c r="F66" s="26"/>
      <c r="G66" s="26"/>
      <c r="H66" s="26"/>
      <c r="I66" s="26"/>
      <c r="J66" s="26"/>
      <c r="K66" s="26"/>
      <c r="L66" s="26"/>
      <c r="M66" s="29"/>
      <c r="N66" s="29"/>
      <c r="O66" s="29"/>
      <c r="P66" s="29"/>
      <c r="Q66" s="29"/>
      <c r="R66" s="29"/>
      <c r="S66" s="11"/>
      <c r="T66" s="11"/>
      <c r="U66" s="11"/>
      <c r="V66" s="11"/>
      <c r="W66" s="11"/>
      <c r="X66" s="11"/>
      <c r="Y66" s="11"/>
      <c r="Z66" s="11"/>
      <c r="AA66" s="11"/>
      <c r="AB66" s="11"/>
      <c r="AC66" s="11"/>
      <c r="AD66" s="11"/>
      <c r="AE66" s="11"/>
      <c r="AF66" s="11"/>
      <c r="AG66" s="11"/>
      <c r="AH66" s="11"/>
      <c r="AI66" s="11"/>
      <c r="AJ66" s="11"/>
      <c r="AK66" s="11"/>
    </row>
    <row r="67" spans="1:37" ht="15.75" customHeight="1">
      <c r="A67" s="24"/>
      <c r="B67" s="25"/>
      <c r="C67" s="25"/>
      <c r="D67" s="25"/>
      <c r="E67" s="25"/>
      <c r="F67" s="25"/>
      <c r="G67" s="25"/>
      <c r="H67" s="26"/>
      <c r="I67" s="26"/>
      <c r="J67" s="26"/>
      <c r="K67" s="26"/>
      <c r="L67" s="26"/>
      <c r="M67" s="29"/>
      <c r="N67" s="29"/>
      <c r="O67" s="29"/>
      <c r="P67" s="29"/>
      <c r="Q67" s="29"/>
      <c r="R67" s="29"/>
      <c r="S67" s="11"/>
      <c r="T67" s="11"/>
      <c r="U67" s="11"/>
      <c r="V67" s="11"/>
      <c r="W67" s="11"/>
      <c r="X67" s="11"/>
      <c r="Y67" s="11"/>
      <c r="Z67" s="11"/>
      <c r="AA67" s="11"/>
      <c r="AB67" s="11"/>
      <c r="AC67" s="11"/>
      <c r="AD67" s="11"/>
      <c r="AE67" s="11"/>
      <c r="AF67" s="11"/>
      <c r="AG67" s="11"/>
      <c r="AH67" s="11"/>
      <c r="AI67" s="11"/>
      <c r="AJ67" s="11"/>
      <c r="AK67" s="11"/>
    </row>
    <row r="68" spans="1:37" ht="15.75" customHeight="1">
      <c r="A68" s="24"/>
      <c r="B68" s="25"/>
      <c r="C68" s="26"/>
      <c r="D68" s="26"/>
      <c r="E68" s="26"/>
      <c r="F68" s="26"/>
      <c r="G68" s="26"/>
      <c r="H68" s="26"/>
      <c r="I68" s="26"/>
      <c r="J68" s="26"/>
      <c r="K68" s="26"/>
      <c r="L68" s="26"/>
      <c r="M68" s="29"/>
      <c r="N68" s="29"/>
      <c r="O68" s="29"/>
      <c r="P68" s="29"/>
      <c r="Q68" s="29"/>
      <c r="R68" s="29"/>
      <c r="S68" s="11"/>
      <c r="T68" s="11"/>
      <c r="U68" s="11"/>
      <c r="V68" s="11"/>
      <c r="W68" s="11"/>
      <c r="X68" s="11"/>
      <c r="Y68" s="11"/>
      <c r="Z68" s="11"/>
      <c r="AA68" s="11"/>
      <c r="AB68" s="11"/>
      <c r="AC68" s="11"/>
      <c r="AD68" s="11"/>
      <c r="AE68" s="11"/>
      <c r="AF68" s="11"/>
      <c r="AG68" s="11"/>
      <c r="AH68" s="11"/>
      <c r="AI68" s="11"/>
      <c r="AJ68" s="11"/>
      <c r="AK68" s="11"/>
    </row>
    <row r="69" spans="1:37" ht="15.75" customHeight="1">
      <c r="A69" s="24"/>
      <c r="B69" s="25"/>
      <c r="C69" s="26"/>
      <c r="D69" s="26"/>
      <c r="E69" s="26"/>
      <c r="F69" s="26"/>
      <c r="G69" s="26"/>
      <c r="H69" s="26"/>
      <c r="I69" s="26"/>
      <c r="J69" s="26"/>
      <c r="K69" s="26"/>
      <c r="L69" s="26"/>
      <c r="M69" s="29"/>
      <c r="N69" s="29"/>
      <c r="O69" s="29"/>
      <c r="P69" s="29"/>
      <c r="Q69" s="29"/>
      <c r="R69" s="29"/>
      <c r="S69" s="11"/>
      <c r="T69" s="11"/>
      <c r="U69" s="11"/>
      <c r="V69" s="11"/>
      <c r="W69" s="11"/>
      <c r="X69" s="11"/>
      <c r="Y69" s="11"/>
      <c r="Z69" s="11"/>
      <c r="AA69" s="11"/>
      <c r="AB69" s="11"/>
      <c r="AC69" s="11"/>
      <c r="AD69" s="11"/>
      <c r="AE69" s="11"/>
      <c r="AF69" s="11"/>
      <c r="AG69" s="11"/>
      <c r="AH69" s="11"/>
      <c r="AI69" s="11"/>
      <c r="AJ69" s="11"/>
      <c r="AK69" s="11"/>
    </row>
    <row r="70" spans="1:37" ht="15.75" customHeight="1">
      <c r="A70" s="80"/>
      <c r="B70" s="25"/>
      <c r="C70" s="26"/>
      <c r="D70" s="26"/>
      <c r="E70" s="26"/>
      <c r="F70" s="26"/>
      <c r="G70" s="26"/>
      <c r="H70" s="26"/>
      <c r="I70" s="26"/>
      <c r="J70" s="26"/>
      <c r="K70" s="26"/>
      <c r="L70" s="26"/>
      <c r="M70" s="29"/>
      <c r="N70" s="29"/>
      <c r="O70" s="29"/>
      <c r="P70" s="29"/>
      <c r="Q70" s="29"/>
      <c r="R70" s="29"/>
      <c r="S70" s="11"/>
      <c r="T70" s="11"/>
      <c r="U70" s="11"/>
      <c r="V70" s="11"/>
      <c r="W70" s="11"/>
      <c r="X70" s="11"/>
      <c r="Y70" s="11"/>
      <c r="Z70" s="11"/>
      <c r="AA70" s="11"/>
      <c r="AB70" s="11"/>
      <c r="AC70" s="11"/>
      <c r="AD70" s="11"/>
      <c r="AE70" s="11"/>
      <c r="AF70" s="11"/>
      <c r="AG70" s="11"/>
      <c r="AH70" s="11"/>
      <c r="AI70" s="11"/>
      <c r="AJ70" s="11"/>
      <c r="AK70" s="11"/>
    </row>
    <row r="71" spans="1:37" ht="15.75" customHeight="1">
      <c r="A71" s="80"/>
      <c r="B71" s="25"/>
      <c r="C71" s="26"/>
      <c r="D71" s="26"/>
      <c r="E71" s="26"/>
      <c r="F71" s="26"/>
      <c r="G71" s="26"/>
      <c r="H71" s="26"/>
      <c r="I71" s="26"/>
      <c r="J71" s="26"/>
      <c r="K71" s="26"/>
      <c r="L71" s="26"/>
      <c r="M71" s="29"/>
      <c r="N71" s="29"/>
      <c r="O71" s="29"/>
      <c r="P71" s="29"/>
      <c r="Q71" s="29"/>
      <c r="R71" s="29"/>
      <c r="S71" s="11"/>
      <c r="T71" s="11"/>
      <c r="U71" s="11"/>
      <c r="V71" s="11"/>
      <c r="W71" s="11"/>
      <c r="X71" s="11"/>
      <c r="Y71" s="11"/>
      <c r="Z71" s="11"/>
      <c r="AA71" s="11"/>
      <c r="AB71" s="11"/>
      <c r="AC71" s="11"/>
      <c r="AD71" s="11"/>
      <c r="AE71" s="11"/>
      <c r="AF71" s="11"/>
      <c r="AG71" s="11"/>
      <c r="AH71" s="11"/>
      <c r="AI71" s="11"/>
      <c r="AJ71" s="11"/>
      <c r="AK71" s="11"/>
    </row>
    <row r="72" spans="1:37" ht="15.75" customHeight="1">
      <c r="A72" s="80"/>
      <c r="B72" s="25"/>
      <c r="C72" s="26"/>
      <c r="D72" s="26"/>
      <c r="E72" s="26"/>
      <c r="F72" s="26"/>
      <c r="G72" s="26"/>
      <c r="H72" s="26"/>
      <c r="I72" s="26"/>
      <c r="J72" s="26"/>
      <c r="K72" s="26"/>
      <c r="L72" s="26"/>
      <c r="M72" s="29"/>
      <c r="N72" s="29"/>
      <c r="O72" s="29"/>
      <c r="P72" s="29"/>
      <c r="Q72" s="29"/>
      <c r="R72" s="29"/>
      <c r="S72" s="11"/>
      <c r="T72" s="11"/>
      <c r="U72" s="11"/>
      <c r="V72" s="11"/>
      <c r="W72" s="11"/>
      <c r="X72" s="11"/>
      <c r="Y72" s="11"/>
      <c r="Z72" s="11"/>
      <c r="AA72" s="11"/>
      <c r="AB72" s="11"/>
      <c r="AC72" s="11"/>
      <c r="AD72" s="11"/>
      <c r="AE72" s="11"/>
      <c r="AF72" s="11"/>
      <c r="AG72" s="11"/>
      <c r="AH72" s="11"/>
      <c r="AI72" s="11"/>
      <c r="AJ72" s="11"/>
      <c r="AK72" s="11"/>
    </row>
    <row r="73" spans="1:37" ht="15.75" customHeight="1">
      <c r="A73" s="80"/>
      <c r="B73" s="25"/>
      <c r="C73" s="26"/>
      <c r="D73" s="26"/>
      <c r="E73" s="26"/>
      <c r="F73" s="26"/>
      <c r="G73" s="26"/>
      <c r="H73" s="26"/>
      <c r="I73" s="26"/>
      <c r="J73" s="26"/>
      <c r="K73" s="26"/>
      <c r="L73" s="26"/>
      <c r="M73" s="29"/>
      <c r="N73" s="29"/>
      <c r="O73" s="29"/>
      <c r="P73" s="29"/>
      <c r="Q73" s="29"/>
      <c r="R73" s="29"/>
      <c r="S73" s="11"/>
      <c r="T73" s="11"/>
      <c r="U73" s="11"/>
      <c r="V73" s="11"/>
      <c r="W73" s="11"/>
      <c r="X73" s="11"/>
      <c r="Y73" s="11"/>
      <c r="Z73" s="11"/>
      <c r="AA73" s="11"/>
      <c r="AB73" s="11"/>
      <c r="AC73" s="11"/>
      <c r="AD73" s="11"/>
      <c r="AE73" s="11"/>
      <c r="AF73" s="11"/>
      <c r="AG73" s="11"/>
      <c r="AH73" s="11"/>
      <c r="AI73" s="11"/>
      <c r="AJ73" s="11"/>
      <c r="AK73" s="11"/>
    </row>
    <row r="74" spans="1:37" ht="15.75" customHeight="1">
      <c r="A74" s="80"/>
      <c r="B74" s="25"/>
      <c r="C74" s="26"/>
      <c r="D74" s="26"/>
      <c r="E74" s="26"/>
      <c r="F74" s="26"/>
      <c r="G74" s="26"/>
      <c r="H74" s="26"/>
      <c r="I74" s="26"/>
      <c r="J74" s="26"/>
      <c r="K74" s="26"/>
      <c r="L74" s="26"/>
      <c r="M74" s="29"/>
      <c r="N74" s="29"/>
      <c r="O74" s="29"/>
      <c r="P74" s="29"/>
      <c r="Q74" s="29"/>
      <c r="R74" s="29"/>
      <c r="S74" s="11"/>
      <c r="T74" s="11"/>
      <c r="U74" s="11"/>
      <c r="V74" s="11"/>
      <c r="W74" s="11"/>
      <c r="X74" s="11"/>
      <c r="Y74" s="11"/>
      <c r="Z74" s="11"/>
      <c r="AA74" s="11"/>
      <c r="AB74" s="11"/>
      <c r="AC74" s="11"/>
      <c r="AD74" s="11"/>
      <c r="AE74" s="11"/>
      <c r="AF74" s="11"/>
      <c r="AG74" s="11"/>
      <c r="AH74" s="11"/>
      <c r="AI74" s="11"/>
      <c r="AJ74" s="11"/>
      <c r="AK74" s="11"/>
    </row>
    <row r="75" spans="1:37" ht="15.75" customHeight="1">
      <c r="A75" s="80"/>
      <c r="B75" s="25"/>
      <c r="C75" s="26"/>
      <c r="D75" s="26"/>
      <c r="E75" s="26"/>
      <c r="F75" s="26"/>
      <c r="G75" s="26"/>
      <c r="H75" s="26"/>
      <c r="I75" s="26"/>
      <c r="J75" s="26"/>
      <c r="K75" s="26"/>
      <c r="L75" s="26"/>
      <c r="M75" s="29"/>
      <c r="N75" s="29"/>
      <c r="O75" s="29"/>
      <c r="P75" s="29"/>
      <c r="Q75" s="29"/>
      <c r="R75" s="29"/>
      <c r="S75" s="11"/>
      <c r="T75" s="11"/>
      <c r="U75" s="11"/>
      <c r="V75" s="11"/>
      <c r="W75" s="11"/>
      <c r="X75" s="11"/>
      <c r="Y75" s="11"/>
      <c r="Z75" s="11"/>
      <c r="AA75" s="11"/>
      <c r="AB75" s="11"/>
      <c r="AC75" s="11"/>
      <c r="AD75" s="11"/>
      <c r="AE75" s="11"/>
      <c r="AF75" s="11"/>
      <c r="AG75" s="11"/>
      <c r="AH75" s="11"/>
      <c r="AI75" s="11"/>
      <c r="AJ75" s="11"/>
      <c r="AK75" s="11"/>
    </row>
    <row r="76" spans="1:37" ht="15.75" customHeight="1">
      <c r="A76" s="80"/>
      <c r="B76" s="25"/>
      <c r="C76" s="26"/>
      <c r="D76" s="26"/>
      <c r="E76" s="26"/>
      <c r="F76" s="26"/>
      <c r="G76" s="26"/>
      <c r="H76" s="26"/>
      <c r="I76" s="26"/>
      <c r="J76" s="26"/>
      <c r="K76" s="26"/>
      <c r="L76" s="26"/>
      <c r="M76" s="29"/>
      <c r="N76" s="29"/>
      <c r="O76" s="29"/>
      <c r="P76" s="29"/>
      <c r="Q76" s="29"/>
      <c r="R76" s="29"/>
      <c r="S76" s="11"/>
      <c r="T76" s="11"/>
      <c r="U76" s="11"/>
      <c r="V76" s="11"/>
      <c r="W76" s="11"/>
      <c r="X76" s="11"/>
      <c r="Y76" s="11"/>
      <c r="Z76" s="11"/>
      <c r="AA76" s="11"/>
      <c r="AB76" s="11"/>
      <c r="AC76" s="11"/>
      <c r="AD76" s="11"/>
      <c r="AE76" s="11"/>
      <c r="AF76" s="11"/>
      <c r="AG76" s="11"/>
      <c r="AH76" s="11"/>
      <c r="AI76" s="11"/>
      <c r="AJ76" s="11"/>
      <c r="AK76" s="11"/>
    </row>
    <row r="77" spans="1:37" ht="15.75" customHeight="1">
      <c r="A77" s="80"/>
      <c r="B77" s="25"/>
      <c r="C77" s="26"/>
      <c r="D77" s="26"/>
      <c r="E77" s="26"/>
      <c r="F77" s="26"/>
      <c r="G77" s="26"/>
      <c r="H77" s="26"/>
      <c r="I77" s="26"/>
      <c r="J77" s="26"/>
      <c r="K77" s="26"/>
      <c r="L77" s="26"/>
      <c r="M77" s="29"/>
      <c r="N77" s="29"/>
      <c r="O77" s="29"/>
      <c r="P77" s="29"/>
      <c r="Q77" s="29"/>
      <c r="R77" s="29"/>
      <c r="S77" s="11"/>
      <c r="T77" s="11"/>
      <c r="U77" s="11"/>
      <c r="V77" s="11"/>
      <c r="W77" s="11"/>
      <c r="X77" s="11"/>
      <c r="Y77" s="11"/>
      <c r="Z77" s="11"/>
      <c r="AA77" s="11"/>
      <c r="AB77" s="11"/>
      <c r="AC77" s="11"/>
      <c r="AD77" s="11"/>
      <c r="AE77" s="11"/>
      <c r="AF77" s="11"/>
      <c r="AG77" s="11"/>
      <c r="AH77" s="11"/>
      <c r="AI77" s="11"/>
      <c r="AJ77" s="11"/>
      <c r="AK77" s="11"/>
    </row>
    <row r="78" spans="1:37" ht="15.75" customHeight="1">
      <c r="A78" s="80"/>
      <c r="B78" s="25"/>
      <c r="C78" s="26"/>
      <c r="D78" s="26"/>
      <c r="E78" s="26"/>
      <c r="F78" s="26"/>
      <c r="G78" s="26"/>
      <c r="H78" s="26"/>
      <c r="I78" s="26"/>
      <c r="J78" s="26"/>
      <c r="K78" s="26"/>
      <c r="L78" s="26"/>
      <c r="M78" s="29"/>
      <c r="N78" s="29"/>
      <c r="O78" s="29"/>
      <c r="P78" s="29"/>
      <c r="Q78" s="29"/>
      <c r="R78" s="29"/>
      <c r="S78" s="11"/>
      <c r="T78" s="11"/>
      <c r="U78" s="11"/>
      <c r="V78" s="11"/>
      <c r="W78" s="11"/>
      <c r="X78" s="11"/>
      <c r="Y78" s="11"/>
      <c r="Z78" s="11"/>
      <c r="AA78" s="11"/>
      <c r="AB78" s="11"/>
      <c r="AC78" s="11"/>
      <c r="AD78" s="11"/>
      <c r="AE78" s="11"/>
      <c r="AF78" s="11"/>
      <c r="AG78" s="11"/>
      <c r="AH78" s="11"/>
      <c r="AI78" s="11"/>
      <c r="AJ78" s="11"/>
      <c r="AK78" s="11"/>
    </row>
    <row r="79" spans="1:37" ht="15.75" customHeight="1">
      <c r="A79" s="80"/>
      <c r="B79" s="25"/>
      <c r="C79" s="26"/>
      <c r="D79" s="26"/>
      <c r="E79" s="26"/>
      <c r="F79" s="26"/>
      <c r="G79" s="26"/>
      <c r="H79" s="26"/>
      <c r="I79" s="26"/>
      <c r="J79" s="26"/>
      <c r="K79" s="26"/>
      <c r="L79" s="26"/>
      <c r="M79" s="29"/>
      <c r="N79" s="29"/>
      <c r="O79" s="29"/>
      <c r="P79" s="29"/>
      <c r="Q79" s="29"/>
      <c r="R79" s="29"/>
      <c r="S79" s="11"/>
      <c r="T79" s="11"/>
      <c r="U79" s="11"/>
      <c r="V79" s="11"/>
      <c r="W79" s="11"/>
      <c r="X79" s="11"/>
      <c r="Y79" s="11"/>
      <c r="Z79" s="11"/>
      <c r="AA79" s="11"/>
      <c r="AB79" s="11"/>
      <c r="AC79" s="11"/>
      <c r="AD79" s="11"/>
      <c r="AE79" s="11"/>
      <c r="AF79" s="11"/>
      <c r="AG79" s="11"/>
      <c r="AH79" s="11"/>
      <c r="AI79" s="11"/>
      <c r="AJ79" s="11"/>
      <c r="AK79" s="11"/>
    </row>
    <row r="80" spans="1:37" ht="15.75" customHeight="1">
      <c r="A80" s="80"/>
      <c r="B80" s="25"/>
      <c r="C80" s="26"/>
      <c r="D80" s="26"/>
      <c r="E80" s="26"/>
      <c r="F80" s="26"/>
      <c r="G80" s="26"/>
      <c r="H80" s="26"/>
      <c r="I80" s="26"/>
      <c r="J80" s="26"/>
      <c r="K80" s="26"/>
      <c r="L80" s="26"/>
      <c r="M80" s="29"/>
      <c r="N80" s="29"/>
      <c r="O80" s="29"/>
      <c r="P80" s="29"/>
      <c r="Q80" s="29"/>
      <c r="R80" s="29"/>
      <c r="S80" s="11"/>
      <c r="T80" s="11"/>
      <c r="U80" s="11"/>
      <c r="V80" s="11"/>
      <c r="W80" s="11"/>
      <c r="X80" s="11"/>
      <c r="Y80" s="11"/>
      <c r="Z80" s="11"/>
      <c r="AA80" s="11"/>
      <c r="AB80" s="11"/>
      <c r="AC80" s="11"/>
      <c r="AD80" s="11"/>
      <c r="AE80" s="11"/>
      <c r="AF80" s="11"/>
      <c r="AG80" s="11"/>
      <c r="AH80" s="11"/>
      <c r="AI80" s="11"/>
      <c r="AJ80" s="11"/>
      <c r="AK80" s="11"/>
    </row>
    <row r="81" spans="1:37" ht="15.75" customHeight="1">
      <c r="A81" s="79"/>
      <c r="B81" s="25"/>
      <c r="C81" s="26"/>
      <c r="D81" s="26"/>
      <c r="E81" s="26"/>
      <c r="F81" s="26"/>
      <c r="G81" s="26"/>
      <c r="H81" s="26"/>
      <c r="I81" s="26"/>
      <c r="J81" s="26"/>
      <c r="K81" s="26"/>
      <c r="L81" s="26"/>
      <c r="M81" s="29"/>
      <c r="N81" s="29"/>
      <c r="O81" s="29"/>
      <c r="P81" s="29"/>
      <c r="Q81" s="29"/>
      <c r="R81" s="29"/>
      <c r="S81" s="11"/>
      <c r="T81" s="11"/>
      <c r="U81" s="11"/>
      <c r="V81" s="11"/>
      <c r="W81" s="11"/>
      <c r="X81" s="11"/>
      <c r="Y81" s="11"/>
      <c r="Z81" s="11"/>
      <c r="AA81" s="11"/>
      <c r="AB81" s="11"/>
      <c r="AC81" s="11"/>
      <c r="AD81" s="11"/>
      <c r="AE81" s="11"/>
      <c r="AF81" s="11"/>
      <c r="AG81" s="11"/>
      <c r="AH81" s="11"/>
      <c r="AI81" s="11"/>
      <c r="AJ81" s="11"/>
      <c r="AK81" s="11"/>
    </row>
    <row r="82" spans="1:37" ht="15.75" customHeight="1">
      <c r="A82" s="28"/>
      <c r="B82" s="25"/>
      <c r="C82" s="26"/>
      <c r="D82" s="26"/>
      <c r="E82" s="26"/>
      <c r="F82" s="26"/>
      <c r="G82" s="26"/>
      <c r="H82" s="26"/>
      <c r="I82" s="26"/>
      <c r="J82" s="26"/>
      <c r="K82" s="26"/>
      <c r="L82" s="26"/>
      <c r="M82" s="29"/>
      <c r="N82" s="29"/>
      <c r="O82" s="29"/>
      <c r="P82" s="29"/>
      <c r="Q82" s="29"/>
      <c r="R82" s="29"/>
      <c r="S82" s="11"/>
      <c r="T82" s="11"/>
      <c r="U82" s="11"/>
      <c r="V82" s="11"/>
      <c r="W82" s="11"/>
      <c r="X82" s="11"/>
      <c r="Y82" s="11"/>
      <c r="Z82" s="11"/>
      <c r="AA82" s="11"/>
      <c r="AB82" s="11"/>
      <c r="AC82" s="11"/>
      <c r="AD82" s="11"/>
      <c r="AE82" s="11"/>
      <c r="AF82" s="11"/>
      <c r="AG82" s="11"/>
      <c r="AH82" s="11"/>
      <c r="AI82" s="11"/>
      <c r="AJ82" s="11"/>
      <c r="AK82" s="11"/>
    </row>
    <row r="83" spans="1:37" ht="15.75" customHeight="1">
      <c r="A83" s="28"/>
      <c r="B83" s="25"/>
      <c r="C83" s="26"/>
      <c r="D83" s="26"/>
      <c r="E83" s="26"/>
      <c r="F83" s="26"/>
      <c r="G83" s="26"/>
      <c r="H83" s="26"/>
      <c r="I83" s="26"/>
      <c r="J83" s="26"/>
      <c r="K83" s="26"/>
      <c r="L83" s="26"/>
      <c r="M83" s="29"/>
      <c r="N83" s="29"/>
      <c r="O83" s="29"/>
      <c r="P83" s="29"/>
      <c r="Q83" s="29"/>
      <c r="R83" s="29"/>
      <c r="S83" s="11"/>
      <c r="T83" s="11"/>
      <c r="U83" s="11"/>
      <c r="V83" s="11"/>
      <c r="W83" s="11"/>
      <c r="X83" s="11"/>
      <c r="Y83" s="11"/>
      <c r="Z83" s="11"/>
      <c r="AA83" s="11"/>
      <c r="AB83" s="11"/>
      <c r="AC83" s="11"/>
      <c r="AD83" s="11"/>
      <c r="AE83" s="11"/>
      <c r="AF83" s="11"/>
      <c r="AG83" s="11"/>
      <c r="AH83" s="11"/>
      <c r="AI83" s="11"/>
      <c r="AJ83" s="11"/>
      <c r="AK83" s="11"/>
    </row>
    <row r="84" spans="1:37" ht="15.75" customHeight="1">
      <c r="A84" s="28"/>
      <c r="B84" s="25"/>
      <c r="C84" s="26"/>
      <c r="D84" s="26"/>
      <c r="E84" s="26"/>
      <c r="F84" s="26"/>
      <c r="G84" s="26"/>
      <c r="H84" s="26"/>
      <c r="I84" s="26"/>
      <c r="J84" s="26"/>
      <c r="K84" s="26"/>
      <c r="L84" s="26"/>
      <c r="M84" s="29"/>
      <c r="N84" s="29"/>
      <c r="O84" s="29"/>
      <c r="P84" s="29"/>
      <c r="Q84" s="29"/>
      <c r="R84" s="29"/>
      <c r="S84" s="11"/>
      <c r="T84" s="11"/>
      <c r="U84" s="11"/>
      <c r="V84" s="11"/>
      <c r="W84" s="11"/>
      <c r="X84" s="11"/>
      <c r="Y84" s="11"/>
      <c r="Z84" s="11"/>
      <c r="AA84" s="11"/>
      <c r="AB84" s="11"/>
      <c r="AC84" s="11"/>
      <c r="AD84" s="11"/>
      <c r="AE84" s="11"/>
      <c r="AF84" s="11"/>
      <c r="AG84" s="11"/>
      <c r="AH84" s="11"/>
      <c r="AI84" s="11"/>
      <c r="AJ84" s="11"/>
      <c r="AK84" s="11"/>
    </row>
    <row r="85" spans="1:37" ht="15.75" customHeight="1">
      <c r="A85" s="28"/>
      <c r="B85" s="25"/>
      <c r="C85" s="26"/>
      <c r="D85" s="26"/>
      <c r="E85" s="26"/>
      <c r="F85" s="26"/>
      <c r="G85" s="26"/>
      <c r="H85" s="26"/>
      <c r="I85" s="26"/>
      <c r="J85" s="26"/>
      <c r="K85" s="26"/>
      <c r="L85" s="26"/>
      <c r="M85" s="29"/>
      <c r="N85" s="29"/>
      <c r="O85" s="29"/>
      <c r="P85" s="29"/>
      <c r="Q85" s="29"/>
      <c r="R85" s="29"/>
      <c r="S85" s="11"/>
      <c r="T85" s="11"/>
      <c r="U85" s="11"/>
      <c r="V85" s="11"/>
      <c r="W85" s="11"/>
      <c r="X85" s="11"/>
      <c r="Y85" s="11"/>
      <c r="Z85" s="11"/>
      <c r="AA85" s="11"/>
      <c r="AB85" s="11"/>
      <c r="AC85" s="11"/>
      <c r="AD85" s="11"/>
      <c r="AE85" s="11"/>
      <c r="AF85" s="11"/>
      <c r="AG85" s="11"/>
      <c r="AH85" s="11"/>
      <c r="AI85" s="11"/>
      <c r="AJ85" s="11"/>
      <c r="AK85" s="11"/>
    </row>
    <row r="86" spans="1:37" ht="15.75" customHeight="1">
      <c r="A86" s="28"/>
      <c r="B86" s="25"/>
      <c r="C86" s="26"/>
      <c r="D86" s="26"/>
      <c r="E86" s="26"/>
      <c r="F86" s="26"/>
      <c r="G86" s="26"/>
      <c r="H86" s="26"/>
      <c r="I86" s="26"/>
      <c r="J86" s="26"/>
      <c r="K86" s="26"/>
      <c r="L86" s="26"/>
      <c r="M86" s="29"/>
      <c r="N86" s="29"/>
      <c r="O86" s="29"/>
      <c r="P86" s="29"/>
      <c r="Q86" s="29"/>
      <c r="R86" s="29"/>
      <c r="S86" s="11"/>
      <c r="T86" s="11"/>
      <c r="U86" s="11"/>
      <c r="V86" s="11"/>
      <c r="W86" s="11"/>
      <c r="X86" s="11"/>
      <c r="Y86" s="11"/>
      <c r="Z86" s="11"/>
      <c r="AA86" s="11"/>
      <c r="AB86" s="11"/>
      <c r="AC86" s="11"/>
      <c r="AD86" s="11"/>
      <c r="AE86" s="11"/>
      <c r="AF86" s="11"/>
      <c r="AG86" s="11"/>
      <c r="AH86" s="11"/>
      <c r="AI86" s="11"/>
      <c r="AJ86" s="11"/>
      <c r="AK86" s="11"/>
    </row>
    <row r="87" spans="1:37" ht="15.75" customHeight="1">
      <c r="A87" s="28"/>
      <c r="B87" s="25"/>
      <c r="C87" s="26"/>
      <c r="D87" s="26"/>
      <c r="E87" s="26"/>
      <c r="F87" s="26"/>
      <c r="G87" s="26"/>
      <c r="H87" s="26"/>
      <c r="I87" s="26"/>
      <c r="J87" s="26"/>
      <c r="K87" s="26"/>
      <c r="L87" s="26"/>
      <c r="M87" s="29"/>
      <c r="N87" s="29"/>
      <c r="O87" s="29"/>
      <c r="P87" s="29"/>
      <c r="Q87" s="29"/>
      <c r="R87" s="29"/>
      <c r="S87" s="11"/>
      <c r="T87" s="11"/>
      <c r="U87" s="11"/>
      <c r="V87" s="11"/>
      <c r="W87" s="11"/>
      <c r="X87" s="11"/>
      <c r="Y87" s="11"/>
      <c r="Z87" s="11"/>
      <c r="AA87" s="11"/>
      <c r="AB87" s="11"/>
      <c r="AC87" s="11"/>
      <c r="AD87" s="11"/>
      <c r="AE87" s="11"/>
      <c r="AF87" s="11"/>
      <c r="AG87" s="11"/>
      <c r="AH87" s="11"/>
      <c r="AI87" s="11"/>
      <c r="AJ87" s="11"/>
      <c r="AK87" s="11"/>
    </row>
    <row r="88" spans="1:37" ht="15.75" customHeight="1">
      <c r="A88" s="28"/>
      <c r="B88" s="25"/>
      <c r="C88" s="26"/>
      <c r="D88" s="26"/>
      <c r="E88" s="26"/>
      <c r="F88" s="26"/>
      <c r="G88" s="26"/>
      <c r="H88" s="26"/>
      <c r="I88" s="26"/>
      <c r="J88" s="26"/>
      <c r="K88" s="26"/>
      <c r="L88" s="26"/>
      <c r="M88" s="29"/>
      <c r="N88" s="29"/>
      <c r="O88" s="29"/>
      <c r="P88" s="29"/>
      <c r="Q88" s="29"/>
      <c r="R88" s="29"/>
      <c r="U88" s="11"/>
      <c r="V88" s="11"/>
      <c r="W88" s="11"/>
      <c r="X88" s="11"/>
      <c r="Y88" s="11"/>
      <c r="Z88" s="11"/>
      <c r="AA88" s="11"/>
      <c r="AB88" s="11"/>
      <c r="AC88" s="11"/>
      <c r="AD88" s="11"/>
      <c r="AE88" s="11"/>
      <c r="AF88" s="11"/>
      <c r="AG88" s="11"/>
      <c r="AH88" s="11"/>
      <c r="AI88" s="11"/>
      <c r="AJ88" s="11"/>
      <c r="AK88" s="11"/>
    </row>
    <row r="89" spans="1:37" ht="15.75" customHeight="1">
      <c r="A89" s="28"/>
      <c r="B89" s="25"/>
      <c r="C89" s="26"/>
      <c r="D89" s="26"/>
      <c r="E89" s="26"/>
      <c r="F89" s="26"/>
      <c r="G89" s="26"/>
      <c r="H89" s="26"/>
      <c r="I89" s="26"/>
      <c r="J89" s="26"/>
      <c r="K89" s="26"/>
      <c r="L89" s="26"/>
      <c r="M89" s="29"/>
      <c r="N89" s="29"/>
      <c r="O89" s="29"/>
      <c r="P89" s="29"/>
      <c r="Q89" s="29"/>
      <c r="R89" s="29"/>
      <c r="U89" s="11"/>
      <c r="V89" s="11"/>
      <c r="W89" s="11"/>
      <c r="X89" s="11"/>
      <c r="Y89" s="11"/>
      <c r="Z89" s="11"/>
      <c r="AA89" s="11"/>
      <c r="AB89" s="11"/>
      <c r="AC89" s="11"/>
      <c r="AD89" s="11"/>
      <c r="AE89" s="11"/>
      <c r="AF89" s="11"/>
      <c r="AG89" s="11"/>
      <c r="AH89" s="11"/>
      <c r="AI89" s="11"/>
      <c r="AJ89" s="11"/>
      <c r="AK89" s="11"/>
    </row>
    <row r="90" spans="1:37" ht="15.75" customHeight="1">
      <c r="A90" s="28"/>
      <c r="B90" s="25"/>
      <c r="C90" s="26"/>
      <c r="D90" s="26"/>
      <c r="E90" s="26"/>
      <c r="F90" s="26"/>
      <c r="G90" s="26"/>
      <c r="H90" s="26"/>
      <c r="I90" s="26"/>
      <c r="J90" s="26"/>
      <c r="K90" s="26"/>
      <c r="L90" s="26"/>
      <c r="M90" s="29"/>
      <c r="N90" s="29"/>
      <c r="O90" s="29"/>
      <c r="P90" s="29"/>
      <c r="Q90" s="29"/>
      <c r="R90" s="29"/>
      <c r="U90" s="11"/>
      <c r="V90" s="11"/>
      <c r="W90" s="11"/>
      <c r="X90" s="11"/>
      <c r="Y90" s="11"/>
      <c r="Z90" s="11"/>
      <c r="AA90" s="11"/>
      <c r="AB90" s="11"/>
      <c r="AC90" s="11"/>
      <c r="AD90" s="11"/>
      <c r="AE90" s="11"/>
      <c r="AF90" s="11"/>
      <c r="AG90" s="11"/>
      <c r="AH90" s="11"/>
      <c r="AI90" s="11"/>
      <c r="AJ90" s="11"/>
      <c r="AK90" s="11"/>
    </row>
    <row r="91" spans="1:37" ht="15.75" customHeight="1">
      <c r="A91" s="28"/>
      <c r="B91" s="25"/>
      <c r="C91" s="26"/>
      <c r="D91" s="26"/>
      <c r="E91" s="26"/>
      <c r="F91" s="26"/>
      <c r="G91" s="26"/>
      <c r="H91" s="26"/>
      <c r="I91" s="26"/>
      <c r="J91" s="26"/>
      <c r="K91" s="26"/>
      <c r="L91" s="26"/>
      <c r="M91" s="29"/>
      <c r="N91" s="29"/>
      <c r="O91" s="29"/>
      <c r="P91" s="29"/>
      <c r="Q91" s="29"/>
      <c r="R91" s="29"/>
      <c r="U91" s="11"/>
      <c r="V91" s="11"/>
      <c r="W91" s="11"/>
      <c r="X91" s="11"/>
      <c r="Y91" s="11"/>
      <c r="Z91" s="11"/>
      <c r="AA91" s="11"/>
      <c r="AB91" s="11"/>
      <c r="AC91" s="11"/>
      <c r="AD91" s="11"/>
      <c r="AE91" s="11"/>
      <c r="AF91" s="11"/>
      <c r="AG91" s="11"/>
      <c r="AH91" s="11"/>
      <c r="AI91" s="11"/>
      <c r="AJ91" s="11"/>
      <c r="AK91" s="11"/>
    </row>
    <row r="92" spans="1:37" ht="15.75" customHeight="1">
      <c r="A92" s="28"/>
      <c r="B92" s="25"/>
      <c r="C92" s="26"/>
      <c r="D92" s="26"/>
      <c r="E92" s="26"/>
      <c r="F92" s="26"/>
      <c r="G92" s="26"/>
      <c r="H92" s="26"/>
      <c r="I92" s="26"/>
      <c r="J92" s="26"/>
      <c r="K92" s="26"/>
      <c r="L92" s="26"/>
      <c r="M92" s="29"/>
      <c r="N92" s="29"/>
      <c r="O92" s="29"/>
      <c r="P92" s="29"/>
      <c r="Q92" s="29"/>
      <c r="R92" s="29"/>
      <c r="U92" s="11"/>
      <c r="V92" s="11"/>
      <c r="W92" s="11"/>
      <c r="X92" s="11"/>
      <c r="Y92" s="11"/>
      <c r="Z92" s="11"/>
      <c r="AA92" s="11"/>
      <c r="AB92" s="11"/>
      <c r="AC92" s="11"/>
      <c r="AD92" s="11"/>
      <c r="AE92" s="11"/>
      <c r="AF92" s="11"/>
      <c r="AG92" s="11"/>
      <c r="AH92" s="11"/>
      <c r="AI92" s="11"/>
      <c r="AJ92" s="11"/>
      <c r="AK92" s="11"/>
    </row>
    <row r="93" spans="1:37" ht="15.75" customHeight="1">
      <c r="A93" s="28"/>
      <c r="B93" s="25"/>
      <c r="C93" s="26"/>
      <c r="D93" s="26"/>
      <c r="E93" s="26"/>
      <c r="F93" s="26"/>
      <c r="G93" s="26"/>
      <c r="H93" s="26"/>
      <c r="I93" s="26"/>
      <c r="J93" s="26"/>
      <c r="K93" s="26"/>
      <c r="L93" s="26"/>
      <c r="M93" s="29"/>
      <c r="N93" s="29"/>
      <c r="O93" s="29"/>
      <c r="P93" s="29"/>
      <c r="Q93" s="29"/>
      <c r="R93" s="29"/>
    </row>
    <row r="94" spans="1:37" ht="15.75" customHeight="1">
      <c r="A94" s="28"/>
      <c r="B94" s="25"/>
      <c r="C94" s="26"/>
      <c r="D94" s="26"/>
      <c r="E94" s="26"/>
      <c r="F94" s="26"/>
      <c r="G94" s="26"/>
      <c r="H94" s="26"/>
      <c r="I94" s="26"/>
      <c r="J94" s="26"/>
      <c r="K94" s="26"/>
      <c r="L94" s="26"/>
      <c r="M94" s="29"/>
      <c r="N94" s="29"/>
      <c r="O94" s="29"/>
      <c r="P94" s="29"/>
      <c r="Q94" s="29"/>
      <c r="R94" s="29"/>
    </row>
    <row r="95" spans="1:37" ht="15.75" customHeight="1">
      <c r="A95" s="28"/>
      <c r="B95" s="25"/>
      <c r="C95" s="26"/>
      <c r="D95" s="26"/>
      <c r="E95" s="26"/>
      <c r="F95" s="26"/>
      <c r="G95" s="26"/>
      <c r="H95" s="26"/>
      <c r="I95" s="26"/>
      <c r="J95" s="26"/>
      <c r="K95" s="26"/>
      <c r="L95" s="26"/>
      <c r="M95" s="29"/>
      <c r="N95" s="29"/>
      <c r="O95" s="29"/>
      <c r="P95" s="29"/>
      <c r="Q95" s="29"/>
      <c r="R95" s="29"/>
    </row>
    <row r="96" spans="1:37" ht="15.75" customHeight="1">
      <c r="A96" s="28"/>
      <c r="B96" s="25"/>
      <c r="C96" s="26"/>
      <c r="D96" s="26"/>
      <c r="E96" s="26"/>
      <c r="F96" s="26"/>
      <c r="G96" s="26"/>
      <c r="H96" s="26"/>
      <c r="I96" s="26"/>
      <c r="J96" s="26"/>
      <c r="K96" s="26"/>
      <c r="L96" s="26"/>
      <c r="M96" s="29"/>
      <c r="N96" s="29"/>
      <c r="O96" s="29"/>
      <c r="P96" s="29"/>
      <c r="Q96" s="29"/>
      <c r="R96" s="29"/>
    </row>
    <row r="97" spans="1:18" ht="15.75" customHeight="1">
      <c r="A97" s="28"/>
      <c r="B97" s="25"/>
      <c r="C97" s="26"/>
      <c r="D97" s="26"/>
      <c r="E97" s="26"/>
      <c r="F97" s="26"/>
      <c r="G97" s="26"/>
      <c r="H97" s="26"/>
      <c r="I97" s="26"/>
      <c r="J97" s="26"/>
      <c r="K97" s="26"/>
      <c r="L97" s="26"/>
      <c r="M97" s="29"/>
      <c r="N97" s="29"/>
      <c r="O97" s="29"/>
      <c r="P97" s="29"/>
      <c r="Q97" s="29"/>
      <c r="R97" s="29"/>
    </row>
    <row r="98" spans="1:18" ht="15.75" customHeight="1">
      <c r="A98" s="28"/>
      <c r="B98" s="25"/>
      <c r="C98" s="26"/>
      <c r="D98" s="26"/>
      <c r="E98" s="26"/>
      <c r="F98" s="26"/>
      <c r="G98" s="26"/>
      <c r="H98" s="26"/>
      <c r="I98" s="26"/>
      <c r="J98" s="26"/>
      <c r="K98" s="26"/>
      <c r="L98" s="26"/>
      <c r="M98" s="29"/>
      <c r="N98" s="29"/>
      <c r="O98" s="29"/>
      <c r="P98" s="29"/>
      <c r="Q98" s="29"/>
      <c r="R98" s="29"/>
    </row>
    <row r="99" spans="1:18" ht="15.75" customHeight="1">
      <c r="A99" s="28"/>
      <c r="B99" s="25"/>
      <c r="C99" s="26"/>
      <c r="D99" s="26"/>
      <c r="E99" s="26"/>
      <c r="F99" s="26"/>
      <c r="G99" s="26"/>
      <c r="H99" s="26"/>
      <c r="I99" s="26"/>
      <c r="J99" s="26"/>
      <c r="K99" s="26"/>
      <c r="L99" s="26"/>
      <c r="M99" s="29"/>
      <c r="N99" s="29"/>
      <c r="O99" s="29"/>
      <c r="P99" s="29"/>
      <c r="Q99" s="29"/>
      <c r="R99" s="29"/>
    </row>
    <row r="100" spans="1:18" ht="15.75" customHeight="1">
      <c r="A100" s="28"/>
      <c r="B100" s="25"/>
      <c r="C100" s="26"/>
      <c r="D100" s="26"/>
      <c r="E100" s="26"/>
      <c r="F100" s="26"/>
      <c r="G100" s="26"/>
      <c r="H100" s="26"/>
      <c r="I100" s="26"/>
      <c r="J100" s="26"/>
      <c r="K100" s="26"/>
      <c r="L100" s="26"/>
      <c r="M100" s="29"/>
      <c r="N100" s="29"/>
      <c r="O100" s="29"/>
      <c r="P100" s="29"/>
      <c r="Q100" s="29"/>
      <c r="R100" s="29"/>
    </row>
    <row r="101" spans="1:18" ht="15.75" customHeight="1">
      <c r="A101" s="28"/>
      <c r="B101" s="25"/>
      <c r="C101" s="26"/>
      <c r="D101" s="26"/>
      <c r="E101" s="26"/>
      <c r="F101" s="26"/>
      <c r="G101" s="26"/>
      <c r="H101" s="26"/>
      <c r="I101" s="26"/>
      <c r="J101" s="26"/>
      <c r="K101" s="26"/>
      <c r="L101" s="26"/>
      <c r="M101" s="29"/>
      <c r="N101" s="29"/>
      <c r="O101" s="29"/>
      <c r="P101" s="29"/>
      <c r="Q101" s="29"/>
      <c r="R101" s="29"/>
    </row>
    <row r="102" spans="1:18" ht="15.75" customHeight="1">
      <c r="A102" s="28"/>
      <c r="B102" s="25"/>
      <c r="C102" s="26"/>
      <c r="D102" s="26"/>
      <c r="E102" s="26"/>
      <c r="F102" s="26"/>
      <c r="G102" s="26"/>
      <c r="H102" s="26"/>
      <c r="I102" s="26"/>
      <c r="J102" s="26"/>
      <c r="K102" s="26"/>
      <c r="L102" s="26"/>
      <c r="M102" s="29"/>
      <c r="N102" s="29"/>
      <c r="O102" s="29"/>
      <c r="P102" s="29"/>
      <c r="Q102" s="29"/>
      <c r="R102" s="29"/>
    </row>
    <row r="103" spans="1:18" ht="15.75" customHeight="1">
      <c r="A103" s="28"/>
      <c r="B103" s="25"/>
      <c r="C103" s="26"/>
      <c r="D103" s="26"/>
      <c r="E103" s="26"/>
      <c r="F103" s="26"/>
      <c r="G103" s="26"/>
      <c r="H103" s="26"/>
      <c r="I103" s="26"/>
      <c r="J103" s="26"/>
      <c r="K103" s="26"/>
      <c r="L103" s="26"/>
      <c r="M103" s="29"/>
      <c r="N103" s="29"/>
      <c r="O103" s="29"/>
      <c r="P103" s="29"/>
      <c r="Q103" s="29"/>
      <c r="R103" s="29"/>
    </row>
    <row r="104" spans="1:18" ht="15.75" customHeight="1">
      <c r="A104" s="28"/>
      <c r="B104" s="25"/>
      <c r="C104" s="26"/>
      <c r="D104" s="26"/>
      <c r="E104" s="26"/>
      <c r="F104" s="26"/>
      <c r="G104" s="26"/>
      <c r="H104" s="26"/>
      <c r="I104" s="26"/>
      <c r="J104" s="26"/>
      <c r="K104" s="26"/>
      <c r="L104" s="26"/>
      <c r="M104" s="29"/>
      <c r="N104" s="29"/>
      <c r="O104" s="29"/>
      <c r="P104" s="29"/>
      <c r="Q104" s="29"/>
      <c r="R104" s="29"/>
    </row>
    <row r="105" spans="1:18" ht="15.75" customHeight="1">
      <c r="A105" s="28"/>
      <c r="B105" s="25"/>
      <c r="C105" s="26"/>
      <c r="D105" s="26"/>
      <c r="E105" s="26"/>
      <c r="F105" s="26"/>
      <c r="G105" s="26"/>
      <c r="H105" s="26"/>
      <c r="I105" s="26"/>
      <c r="J105" s="26"/>
      <c r="K105" s="26"/>
      <c r="L105" s="26"/>
      <c r="M105" s="29"/>
      <c r="N105" s="29"/>
      <c r="O105" s="29"/>
      <c r="P105" s="29"/>
      <c r="Q105" s="29"/>
      <c r="R105" s="29"/>
    </row>
    <row r="106" spans="1:18" ht="15.75" customHeight="1">
      <c r="A106" s="28"/>
      <c r="B106" s="25"/>
      <c r="C106" s="26"/>
      <c r="D106" s="26"/>
      <c r="E106" s="26"/>
      <c r="F106" s="26"/>
      <c r="G106" s="26"/>
      <c r="H106" s="26"/>
      <c r="I106" s="26"/>
      <c r="J106" s="26"/>
      <c r="K106" s="26"/>
      <c r="L106" s="26"/>
      <c r="M106" s="29"/>
      <c r="N106" s="29"/>
      <c r="O106" s="29"/>
      <c r="P106" s="29"/>
      <c r="Q106" s="29"/>
      <c r="R106" s="29"/>
    </row>
    <row r="107" spans="1:18" ht="15.75" customHeight="1">
      <c r="A107" s="28"/>
      <c r="B107" s="25"/>
      <c r="C107" s="26"/>
      <c r="D107" s="26"/>
      <c r="E107" s="26"/>
      <c r="F107" s="26"/>
      <c r="G107" s="26"/>
      <c r="H107" s="26"/>
      <c r="I107" s="26"/>
      <c r="J107" s="26"/>
      <c r="K107" s="26"/>
      <c r="L107" s="26"/>
      <c r="M107" s="29"/>
      <c r="N107" s="29"/>
      <c r="O107" s="29"/>
      <c r="P107" s="29"/>
      <c r="Q107" s="29"/>
      <c r="R107" s="29"/>
    </row>
    <row r="108" spans="1:18" ht="15.75" customHeight="1">
      <c r="A108" s="28"/>
      <c r="B108" s="25"/>
      <c r="C108" s="26"/>
      <c r="D108" s="26"/>
      <c r="E108" s="26"/>
      <c r="F108" s="26"/>
      <c r="G108" s="26"/>
      <c r="H108" s="26"/>
      <c r="I108" s="26"/>
      <c r="J108" s="26"/>
      <c r="K108" s="26"/>
      <c r="L108" s="26"/>
      <c r="M108" s="29"/>
      <c r="N108" s="29"/>
      <c r="O108" s="29"/>
      <c r="P108" s="29"/>
      <c r="Q108" s="29"/>
      <c r="R108" s="29"/>
    </row>
    <row r="109" spans="1:18" ht="15.75" customHeight="1">
      <c r="A109" s="28"/>
      <c r="B109" s="25"/>
      <c r="C109" s="26"/>
      <c r="D109" s="26"/>
      <c r="E109" s="26"/>
      <c r="F109" s="26"/>
      <c r="G109" s="26"/>
      <c r="H109" s="26"/>
      <c r="I109" s="26"/>
      <c r="J109" s="26"/>
      <c r="K109" s="26"/>
      <c r="L109" s="26"/>
      <c r="M109" s="29"/>
      <c r="N109" s="29"/>
      <c r="O109" s="29"/>
      <c r="P109" s="29"/>
      <c r="Q109" s="29"/>
      <c r="R109" s="29"/>
    </row>
    <row r="110" spans="1:18" ht="15.75" customHeight="1">
      <c r="A110" s="28"/>
      <c r="B110" s="25"/>
      <c r="C110" s="26"/>
      <c r="D110" s="26"/>
      <c r="E110" s="26"/>
      <c r="F110" s="26"/>
      <c r="G110" s="26"/>
      <c r="H110" s="26"/>
      <c r="I110" s="26"/>
      <c r="J110" s="26"/>
      <c r="K110" s="26"/>
      <c r="L110" s="26"/>
      <c r="M110" s="29"/>
      <c r="N110" s="29"/>
      <c r="O110" s="29"/>
      <c r="P110" s="29"/>
      <c r="Q110" s="29"/>
      <c r="R110" s="29"/>
    </row>
    <row r="111" spans="1:18" ht="15.75" customHeight="1">
      <c r="A111" s="28"/>
      <c r="B111" s="25"/>
      <c r="C111" s="26"/>
      <c r="D111" s="26"/>
      <c r="E111" s="26"/>
      <c r="F111" s="26"/>
      <c r="G111" s="26"/>
      <c r="H111" s="26"/>
      <c r="I111" s="26"/>
      <c r="J111" s="26"/>
      <c r="K111" s="26"/>
      <c r="L111" s="26"/>
      <c r="M111" s="29"/>
      <c r="N111" s="29"/>
      <c r="O111" s="29"/>
      <c r="P111" s="29"/>
      <c r="Q111" s="29"/>
      <c r="R111" s="29"/>
    </row>
    <row r="112" spans="1:18" ht="15.75" customHeight="1">
      <c r="A112" s="28"/>
      <c r="B112" s="25"/>
      <c r="C112" s="26"/>
      <c r="D112" s="26"/>
      <c r="E112" s="26"/>
      <c r="F112" s="26"/>
      <c r="G112" s="26"/>
      <c r="H112" s="26"/>
      <c r="I112" s="26"/>
      <c r="J112" s="26"/>
      <c r="K112" s="26"/>
      <c r="L112" s="26"/>
      <c r="M112" s="29"/>
      <c r="N112" s="29"/>
      <c r="O112" s="29"/>
      <c r="P112" s="29"/>
      <c r="Q112" s="29"/>
      <c r="R112" s="29"/>
    </row>
    <row r="113" spans="1:18" ht="15.75" customHeight="1">
      <c r="A113" s="28"/>
      <c r="B113" s="25"/>
      <c r="C113" s="26"/>
      <c r="D113" s="26"/>
      <c r="E113" s="26"/>
      <c r="F113" s="26"/>
      <c r="G113" s="26"/>
      <c r="H113" s="26"/>
      <c r="I113" s="26"/>
      <c r="J113" s="26"/>
      <c r="K113" s="26"/>
      <c r="L113" s="26"/>
      <c r="M113" s="29"/>
      <c r="N113" s="29"/>
      <c r="O113" s="29"/>
      <c r="P113" s="29"/>
      <c r="Q113" s="29"/>
      <c r="R113" s="29"/>
    </row>
    <row r="114" spans="1:18" ht="15.75" customHeight="1">
      <c r="A114" s="28"/>
      <c r="B114" s="25"/>
      <c r="C114" s="26"/>
      <c r="D114" s="26"/>
      <c r="E114" s="26"/>
      <c r="F114" s="26"/>
      <c r="G114" s="26"/>
      <c r="H114" s="26"/>
      <c r="I114" s="26"/>
      <c r="J114" s="26"/>
      <c r="K114" s="26"/>
      <c r="L114" s="26"/>
      <c r="M114" s="29"/>
      <c r="N114" s="29"/>
      <c r="O114" s="29"/>
      <c r="P114" s="29"/>
      <c r="Q114" s="29"/>
      <c r="R114" s="29"/>
    </row>
    <row r="115" spans="1:18" ht="15.75" customHeight="1">
      <c r="A115" s="28"/>
      <c r="B115" s="25"/>
      <c r="C115" s="26"/>
      <c r="D115" s="26"/>
      <c r="E115" s="26"/>
      <c r="F115" s="26"/>
      <c r="G115" s="26"/>
      <c r="H115" s="26"/>
      <c r="I115" s="26"/>
      <c r="J115" s="26"/>
      <c r="K115" s="26"/>
      <c r="L115" s="26"/>
      <c r="M115" s="29"/>
      <c r="N115" s="29"/>
      <c r="O115" s="29"/>
      <c r="P115" s="29"/>
      <c r="Q115" s="29"/>
      <c r="R115" s="29"/>
    </row>
    <row r="116" spans="1:18" ht="15.75" customHeight="1">
      <c r="A116" s="28"/>
      <c r="B116" s="25"/>
      <c r="C116" s="26"/>
      <c r="D116" s="26"/>
      <c r="E116" s="26"/>
      <c r="F116" s="26"/>
      <c r="G116" s="26"/>
      <c r="H116" s="26"/>
      <c r="I116" s="26"/>
      <c r="J116" s="26"/>
      <c r="K116" s="26"/>
      <c r="L116" s="26"/>
      <c r="M116" s="29"/>
      <c r="N116" s="29"/>
      <c r="O116" s="29"/>
      <c r="P116" s="29"/>
      <c r="Q116" s="29"/>
      <c r="R116" s="29"/>
    </row>
    <row r="117" spans="1:18" ht="15.75" customHeight="1">
      <c r="A117" s="28"/>
      <c r="B117" s="25"/>
      <c r="C117" s="26"/>
      <c r="D117" s="26"/>
      <c r="E117" s="26"/>
      <c r="F117" s="26"/>
      <c r="G117" s="26"/>
      <c r="H117" s="26"/>
      <c r="I117" s="26"/>
      <c r="J117" s="26"/>
      <c r="K117" s="26"/>
      <c r="L117" s="26"/>
      <c r="M117" s="29"/>
      <c r="N117" s="29"/>
      <c r="O117" s="29"/>
      <c r="P117" s="29"/>
      <c r="Q117" s="29"/>
      <c r="R117" s="29"/>
    </row>
    <row r="118" spans="1:18" ht="15.75" customHeight="1">
      <c r="A118" s="28"/>
      <c r="B118" s="25"/>
      <c r="C118" s="26"/>
      <c r="D118" s="26"/>
      <c r="E118" s="26"/>
      <c r="F118" s="26"/>
      <c r="G118" s="26"/>
      <c r="H118" s="26"/>
      <c r="I118" s="26"/>
      <c r="J118" s="26"/>
      <c r="K118" s="26"/>
      <c r="L118" s="26"/>
      <c r="M118" s="29"/>
      <c r="N118" s="29"/>
      <c r="O118" s="29"/>
      <c r="P118" s="29"/>
      <c r="Q118" s="29"/>
      <c r="R118" s="29"/>
    </row>
    <row r="119" spans="1:18" ht="15.75" customHeight="1">
      <c r="A119" s="28"/>
      <c r="B119" s="25"/>
      <c r="C119" s="26"/>
      <c r="D119" s="26"/>
      <c r="E119" s="26"/>
      <c r="F119" s="26"/>
      <c r="G119" s="26"/>
      <c r="H119" s="26"/>
      <c r="I119" s="26"/>
      <c r="J119" s="26"/>
      <c r="K119" s="26"/>
      <c r="L119" s="26"/>
      <c r="M119" s="29"/>
      <c r="N119" s="29"/>
      <c r="O119" s="29"/>
      <c r="P119" s="29"/>
      <c r="Q119" s="29"/>
      <c r="R119" s="29"/>
    </row>
    <row r="120" spans="1:18" ht="15.75" customHeight="1">
      <c r="A120" s="28"/>
      <c r="B120" s="25"/>
      <c r="C120" s="26"/>
      <c r="D120" s="26"/>
      <c r="E120" s="26"/>
      <c r="F120" s="26"/>
      <c r="G120" s="26"/>
      <c r="H120" s="26"/>
      <c r="I120" s="26"/>
      <c r="J120" s="26"/>
      <c r="K120" s="26"/>
      <c r="L120" s="26"/>
      <c r="M120" s="29"/>
      <c r="N120" s="29"/>
      <c r="O120" s="29"/>
      <c r="P120" s="29"/>
      <c r="Q120" s="29"/>
      <c r="R120" s="29"/>
    </row>
    <row r="121" spans="1:18" ht="15.75" customHeight="1">
      <c r="A121" s="28"/>
      <c r="B121" s="25"/>
      <c r="C121" s="26"/>
      <c r="D121" s="26"/>
      <c r="E121" s="26"/>
      <c r="F121" s="26"/>
      <c r="G121" s="26"/>
      <c r="H121" s="26"/>
      <c r="I121" s="26"/>
      <c r="J121" s="26"/>
      <c r="K121" s="26"/>
      <c r="L121" s="26"/>
      <c r="M121" s="29"/>
      <c r="N121" s="29"/>
      <c r="O121" s="29"/>
      <c r="P121" s="29"/>
      <c r="Q121" s="29"/>
      <c r="R121" s="29"/>
    </row>
    <row r="122" spans="1:18" ht="15.75" customHeight="1">
      <c r="A122" s="28"/>
      <c r="B122" s="25"/>
      <c r="C122" s="26"/>
      <c r="D122" s="26"/>
      <c r="E122" s="26"/>
      <c r="F122" s="26"/>
      <c r="G122" s="26"/>
      <c r="H122" s="26"/>
      <c r="I122" s="26"/>
      <c r="J122" s="26"/>
      <c r="K122" s="26"/>
      <c r="L122" s="26"/>
      <c r="M122" s="29"/>
      <c r="N122" s="29"/>
      <c r="O122" s="29"/>
      <c r="P122" s="29"/>
      <c r="Q122" s="29"/>
      <c r="R122" s="29"/>
    </row>
    <row r="123" spans="1:18" ht="15.75" customHeight="1">
      <c r="A123" s="28"/>
      <c r="B123" s="25"/>
      <c r="C123" s="26"/>
      <c r="D123" s="26"/>
      <c r="E123" s="26"/>
      <c r="F123" s="26"/>
      <c r="G123" s="26"/>
      <c r="H123" s="26"/>
      <c r="I123" s="26"/>
      <c r="J123" s="26"/>
      <c r="K123" s="26"/>
      <c r="L123" s="26"/>
      <c r="M123" s="29"/>
      <c r="N123" s="29"/>
      <c r="O123" s="29"/>
      <c r="P123" s="29"/>
      <c r="Q123" s="29"/>
      <c r="R123" s="29"/>
    </row>
    <row r="124" spans="1:18" ht="15.75" customHeight="1">
      <c r="A124" s="28"/>
      <c r="B124" s="25"/>
      <c r="C124" s="26"/>
      <c r="D124" s="26"/>
      <c r="E124" s="26"/>
      <c r="F124" s="26"/>
      <c r="G124" s="26"/>
      <c r="H124" s="26"/>
      <c r="I124" s="26"/>
      <c r="J124" s="26"/>
      <c r="K124" s="26"/>
      <c r="L124" s="26"/>
      <c r="M124" s="29"/>
      <c r="N124" s="29"/>
      <c r="O124" s="29"/>
      <c r="P124" s="29"/>
      <c r="Q124" s="29"/>
      <c r="R124" s="29"/>
    </row>
    <row r="125" spans="1:18" ht="15.75" customHeight="1">
      <c r="A125" s="28"/>
      <c r="B125" s="25"/>
      <c r="C125" s="26"/>
      <c r="D125" s="26"/>
      <c r="E125" s="26"/>
      <c r="F125" s="26"/>
      <c r="G125" s="26"/>
      <c r="H125" s="26"/>
      <c r="I125" s="26"/>
      <c r="J125" s="26"/>
      <c r="K125" s="26"/>
      <c r="L125" s="26"/>
      <c r="M125" s="29"/>
      <c r="N125" s="29"/>
      <c r="O125" s="29"/>
      <c r="P125" s="29"/>
      <c r="Q125" s="29"/>
      <c r="R125" s="29"/>
    </row>
    <row r="126" spans="1:18" ht="15.75" customHeight="1">
      <c r="A126" s="28"/>
      <c r="B126" s="25"/>
      <c r="C126" s="26"/>
      <c r="D126" s="26"/>
      <c r="E126" s="26"/>
      <c r="F126" s="26"/>
      <c r="G126" s="26"/>
      <c r="H126" s="26"/>
      <c r="I126" s="26"/>
      <c r="J126" s="26"/>
      <c r="K126" s="26"/>
      <c r="L126" s="26"/>
      <c r="M126" s="29"/>
      <c r="N126" s="29"/>
      <c r="O126" s="29"/>
      <c r="P126" s="29"/>
      <c r="Q126" s="29"/>
      <c r="R126" s="29"/>
    </row>
    <row r="127" spans="1:18" ht="15.75" customHeight="1">
      <c r="A127" s="28"/>
      <c r="B127" s="25"/>
      <c r="C127" s="26"/>
      <c r="D127" s="26"/>
      <c r="E127" s="26"/>
      <c r="F127" s="26"/>
      <c r="G127" s="26"/>
      <c r="H127" s="26"/>
      <c r="I127" s="26"/>
      <c r="J127" s="26"/>
      <c r="K127" s="26"/>
      <c r="L127" s="26"/>
      <c r="M127" s="29"/>
      <c r="N127" s="29"/>
      <c r="O127" s="29"/>
      <c r="P127" s="29"/>
      <c r="Q127" s="29"/>
      <c r="R127" s="29"/>
    </row>
    <row r="128" spans="1:18" ht="15.75" customHeight="1">
      <c r="A128" s="28"/>
      <c r="B128" s="25"/>
      <c r="C128" s="26"/>
      <c r="D128" s="26"/>
      <c r="E128" s="26"/>
      <c r="F128" s="26"/>
      <c r="G128" s="26"/>
      <c r="H128" s="26"/>
      <c r="I128" s="26"/>
      <c r="J128" s="26"/>
      <c r="K128" s="26"/>
      <c r="L128" s="26"/>
      <c r="M128" s="29"/>
      <c r="N128" s="29"/>
      <c r="O128" s="29"/>
      <c r="P128" s="29"/>
      <c r="Q128" s="29"/>
      <c r="R128" s="29"/>
    </row>
    <row r="129" spans="1:18" ht="15.75" customHeight="1">
      <c r="A129" s="28"/>
      <c r="B129" s="25"/>
      <c r="C129" s="26"/>
      <c r="D129" s="26"/>
      <c r="E129" s="26"/>
      <c r="F129" s="26"/>
      <c r="G129" s="26"/>
      <c r="H129" s="26"/>
      <c r="I129" s="26"/>
      <c r="J129" s="26"/>
      <c r="K129" s="26"/>
      <c r="L129" s="26"/>
      <c r="M129" s="29"/>
      <c r="N129" s="29"/>
      <c r="O129" s="29"/>
      <c r="P129" s="29"/>
      <c r="Q129" s="29"/>
      <c r="R129" s="29"/>
    </row>
    <row r="130" spans="1:18" ht="15.75" customHeight="1">
      <c r="A130" s="28"/>
      <c r="B130" s="25"/>
      <c r="C130" s="26"/>
      <c r="D130" s="26"/>
      <c r="E130" s="26"/>
      <c r="F130" s="26"/>
      <c r="G130" s="26"/>
      <c r="H130" s="26"/>
      <c r="I130" s="26"/>
      <c r="J130" s="26"/>
      <c r="K130" s="26"/>
      <c r="L130" s="26"/>
      <c r="M130" s="29"/>
      <c r="N130" s="29"/>
      <c r="O130" s="29"/>
      <c r="P130" s="29"/>
      <c r="Q130" s="29"/>
      <c r="R130" s="29"/>
    </row>
    <row r="131" spans="1:18" ht="15.75" customHeight="1">
      <c r="A131" s="28"/>
      <c r="B131" s="25"/>
      <c r="C131" s="26"/>
      <c r="D131" s="26"/>
      <c r="E131" s="26"/>
      <c r="F131" s="26"/>
      <c r="G131" s="26"/>
      <c r="H131" s="26"/>
      <c r="I131" s="26"/>
      <c r="J131" s="26"/>
      <c r="K131" s="26"/>
      <c r="L131" s="26"/>
      <c r="M131" s="29"/>
      <c r="N131" s="29"/>
      <c r="O131" s="29"/>
      <c r="P131" s="29"/>
      <c r="Q131" s="29"/>
      <c r="R131" s="29"/>
    </row>
    <row r="132" spans="1:18" ht="15.75" customHeight="1">
      <c r="A132" s="28"/>
      <c r="B132" s="25"/>
      <c r="C132" s="26"/>
      <c r="D132" s="26"/>
      <c r="E132" s="26"/>
      <c r="F132" s="26"/>
      <c r="G132" s="26"/>
      <c r="H132" s="26"/>
      <c r="I132" s="26"/>
      <c r="J132" s="26"/>
      <c r="K132" s="26"/>
      <c r="L132" s="26"/>
      <c r="M132" s="29"/>
      <c r="N132" s="29"/>
      <c r="O132" s="29"/>
      <c r="P132" s="29"/>
      <c r="Q132" s="29"/>
      <c r="R132" s="29"/>
    </row>
    <row r="133" spans="1:18" ht="15.75" customHeight="1">
      <c r="A133" s="28"/>
      <c r="B133" s="25"/>
      <c r="C133" s="26"/>
      <c r="D133" s="26"/>
      <c r="E133" s="26"/>
      <c r="F133" s="26"/>
      <c r="G133" s="26"/>
      <c r="H133" s="26"/>
      <c r="I133" s="26"/>
      <c r="J133" s="26"/>
      <c r="K133" s="26"/>
      <c r="L133" s="26"/>
      <c r="M133" s="29"/>
      <c r="N133" s="29"/>
      <c r="O133" s="29"/>
      <c r="P133" s="29"/>
      <c r="Q133" s="29"/>
      <c r="R133" s="29"/>
    </row>
    <row r="134" spans="1:18" ht="15.75" customHeight="1">
      <c r="A134" s="28"/>
      <c r="B134" s="25"/>
      <c r="C134" s="26"/>
      <c r="D134" s="26"/>
      <c r="E134" s="26"/>
      <c r="F134" s="26"/>
      <c r="G134" s="26"/>
      <c r="H134" s="26"/>
      <c r="I134" s="26"/>
      <c r="J134" s="26"/>
      <c r="K134" s="26"/>
      <c r="L134" s="26"/>
      <c r="M134" s="29"/>
      <c r="N134" s="29"/>
      <c r="O134" s="29"/>
      <c r="P134" s="29"/>
      <c r="Q134" s="29"/>
      <c r="R134" s="29"/>
    </row>
    <row r="135" spans="1:18" ht="15.75" customHeight="1">
      <c r="A135" s="28"/>
      <c r="B135" s="25"/>
      <c r="C135" s="26"/>
      <c r="D135" s="26"/>
      <c r="E135" s="26"/>
      <c r="F135" s="26"/>
      <c r="G135" s="26"/>
      <c r="H135" s="26"/>
      <c r="I135" s="26"/>
      <c r="J135" s="26"/>
      <c r="K135" s="26"/>
      <c r="L135" s="26"/>
      <c r="M135" s="29"/>
      <c r="N135" s="29"/>
      <c r="O135" s="29"/>
      <c r="P135" s="29"/>
      <c r="Q135" s="29"/>
      <c r="R135" s="29"/>
    </row>
    <row r="136" spans="1:18" ht="15.75" customHeight="1">
      <c r="A136" s="28"/>
      <c r="B136" s="25"/>
      <c r="C136" s="26"/>
      <c r="D136" s="26"/>
      <c r="E136" s="26"/>
      <c r="F136" s="26"/>
      <c r="G136" s="26"/>
      <c r="H136" s="26"/>
      <c r="I136" s="26"/>
      <c r="J136" s="26"/>
      <c r="K136" s="26"/>
      <c r="L136" s="26"/>
      <c r="M136" s="29"/>
      <c r="N136" s="29"/>
      <c r="O136" s="29"/>
      <c r="P136" s="29"/>
      <c r="Q136" s="29"/>
      <c r="R136" s="29"/>
    </row>
    <row r="137" spans="1:18" ht="15.75" customHeight="1">
      <c r="A137" s="28"/>
      <c r="B137" s="25"/>
      <c r="C137" s="26"/>
      <c r="D137" s="26"/>
      <c r="E137" s="26"/>
      <c r="F137" s="26"/>
      <c r="G137" s="26"/>
      <c r="H137" s="26"/>
      <c r="I137" s="26"/>
      <c r="J137" s="26"/>
      <c r="K137" s="26"/>
      <c r="L137" s="26"/>
      <c r="M137" s="29"/>
      <c r="N137" s="29"/>
      <c r="O137" s="29"/>
      <c r="P137" s="29"/>
      <c r="Q137" s="29"/>
      <c r="R137" s="29"/>
    </row>
    <row r="138" spans="1:18" ht="15.75" customHeight="1">
      <c r="A138" s="28"/>
      <c r="B138" s="25"/>
      <c r="C138" s="26"/>
      <c r="D138" s="26"/>
      <c r="E138" s="26"/>
      <c r="F138" s="26"/>
      <c r="G138" s="26"/>
      <c r="H138" s="26"/>
      <c r="I138" s="26"/>
      <c r="J138" s="26"/>
      <c r="K138" s="26"/>
      <c r="L138" s="26"/>
      <c r="M138" s="29"/>
      <c r="N138" s="29"/>
      <c r="O138" s="29"/>
      <c r="P138" s="29"/>
      <c r="Q138" s="29"/>
      <c r="R138" s="29"/>
    </row>
    <row r="139" spans="1:18" ht="15.75" customHeight="1">
      <c r="A139" s="28"/>
      <c r="B139" s="25"/>
      <c r="C139" s="26"/>
      <c r="D139" s="26"/>
      <c r="E139" s="26"/>
      <c r="F139" s="26"/>
      <c r="G139" s="26"/>
      <c r="H139" s="26"/>
      <c r="I139" s="26"/>
      <c r="J139" s="26"/>
      <c r="K139" s="26"/>
      <c r="L139" s="26"/>
      <c r="M139" s="29"/>
      <c r="N139" s="29"/>
      <c r="O139" s="29"/>
      <c r="P139" s="29"/>
      <c r="Q139" s="29"/>
      <c r="R139" s="29"/>
    </row>
    <row r="140" spans="1:18" ht="15.75" customHeight="1">
      <c r="A140" s="28"/>
      <c r="B140" s="25"/>
      <c r="C140" s="26"/>
      <c r="D140" s="26"/>
      <c r="E140" s="26"/>
      <c r="F140" s="26"/>
      <c r="G140" s="26"/>
      <c r="H140" s="26"/>
      <c r="I140" s="26"/>
      <c r="J140" s="26"/>
      <c r="K140" s="26"/>
      <c r="L140" s="26"/>
      <c r="M140" s="29"/>
      <c r="N140" s="29"/>
      <c r="O140" s="29"/>
      <c r="P140" s="29"/>
      <c r="Q140" s="29"/>
      <c r="R140" s="29"/>
    </row>
    <row r="141" spans="1:18" ht="15.75" customHeight="1">
      <c r="A141" s="28"/>
      <c r="B141" s="25"/>
      <c r="C141" s="26"/>
      <c r="D141" s="26"/>
      <c r="E141" s="26"/>
      <c r="F141" s="26"/>
      <c r="G141" s="26"/>
      <c r="H141" s="26"/>
      <c r="I141" s="26"/>
      <c r="J141" s="26"/>
      <c r="K141" s="26"/>
      <c r="L141" s="26"/>
      <c r="M141" s="29"/>
      <c r="N141" s="29"/>
      <c r="O141" s="29"/>
      <c r="P141" s="29"/>
      <c r="Q141" s="29"/>
      <c r="R141" s="29"/>
    </row>
    <row r="142" spans="1:18" ht="15.75" customHeight="1">
      <c r="A142" s="28"/>
      <c r="B142" s="25"/>
      <c r="C142" s="26"/>
      <c r="D142" s="26"/>
      <c r="E142" s="26"/>
      <c r="F142" s="26"/>
      <c r="G142" s="26"/>
      <c r="H142" s="26"/>
      <c r="I142" s="26"/>
      <c r="J142" s="26"/>
      <c r="K142" s="26"/>
      <c r="L142" s="26"/>
      <c r="M142" s="29"/>
      <c r="N142" s="29"/>
      <c r="O142" s="29"/>
      <c r="P142" s="29"/>
      <c r="Q142" s="29"/>
      <c r="R142" s="29"/>
    </row>
    <row r="143" spans="1:18" ht="15.75" customHeight="1">
      <c r="A143" s="28"/>
      <c r="B143" s="25"/>
      <c r="C143" s="26"/>
      <c r="D143" s="26"/>
      <c r="E143" s="26"/>
      <c r="F143" s="26"/>
      <c r="G143" s="26"/>
      <c r="H143" s="26"/>
      <c r="I143" s="26"/>
      <c r="J143" s="26"/>
      <c r="K143" s="26"/>
      <c r="L143" s="26"/>
      <c r="M143" s="29"/>
      <c r="N143" s="29"/>
      <c r="O143" s="29"/>
      <c r="P143" s="29"/>
      <c r="Q143" s="29"/>
      <c r="R143" s="29"/>
    </row>
    <row r="144" spans="1:18" ht="15.75" customHeight="1">
      <c r="A144" s="28"/>
      <c r="B144" s="25"/>
      <c r="C144" s="26"/>
      <c r="D144" s="26"/>
      <c r="E144" s="26"/>
      <c r="F144" s="26"/>
      <c r="G144" s="26"/>
      <c r="H144" s="26"/>
      <c r="I144" s="26"/>
      <c r="J144" s="26"/>
      <c r="K144" s="26"/>
      <c r="L144" s="26"/>
      <c r="M144" s="29"/>
      <c r="N144" s="29"/>
      <c r="O144" s="29"/>
      <c r="P144" s="29"/>
      <c r="Q144" s="29"/>
      <c r="R144" s="29"/>
    </row>
    <row r="145" spans="1:18" ht="15.75" customHeight="1">
      <c r="A145" s="28"/>
      <c r="B145" s="25"/>
      <c r="C145" s="26"/>
      <c r="D145" s="26"/>
      <c r="E145" s="26"/>
      <c r="F145" s="26"/>
      <c r="G145" s="26"/>
      <c r="H145" s="26"/>
      <c r="I145" s="26"/>
      <c r="J145" s="26"/>
      <c r="K145" s="26"/>
      <c r="L145" s="26"/>
      <c r="M145" s="29"/>
      <c r="N145" s="29"/>
      <c r="O145" s="29"/>
      <c r="P145" s="29"/>
      <c r="Q145" s="29"/>
      <c r="R145" s="29"/>
    </row>
    <row r="146" spans="1:18" ht="15.75" customHeight="1">
      <c r="A146" s="28"/>
      <c r="B146" s="25"/>
      <c r="C146" s="26"/>
      <c r="D146" s="26"/>
      <c r="E146" s="26"/>
      <c r="F146" s="26"/>
      <c r="G146" s="26"/>
      <c r="H146" s="26"/>
      <c r="I146" s="26"/>
      <c r="J146" s="26"/>
      <c r="K146" s="26"/>
      <c r="L146" s="26"/>
      <c r="M146" s="29"/>
      <c r="N146" s="29"/>
      <c r="O146" s="29"/>
      <c r="P146" s="29"/>
      <c r="Q146" s="29"/>
      <c r="R146" s="29"/>
    </row>
    <row r="147" spans="1:18" ht="15.75" customHeight="1">
      <c r="A147" s="28"/>
      <c r="B147" s="25"/>
      <c r="C147" s="26"/>
      <c r="D147" s="26"/>
      <c r="E147" s="26"/>
      <c r="F147" s="26"/>
      <c r="G147" s="26"/>
      <c r="H147" s="26"/>
      <c r="I147" s="26"/>
      <c r="J147" s="26"/>
      <c r="K147" s="26"/>
      <c r="L147" s="26"/>
      <c r="M147" s="29"/>
      <c r="N147" s="29"/>
      <c r="O147" s="29"/>
      <c r="P147" s="29"/>
      <c r="Q147" s="29"/>
      <c r="R147" s="29"/>
    </row>
    <row r="148" spans="1:18" ht="15.75" customHeight="1">
      <c r="A148" s="28"/>
      <c r="B148" s="25"/>
      <c r="C148" s="26"/>
      <c r="D148" s="26"/>
      <c r="E148" s="26"/>
      <c r="F148" s="26"/>
      <c r="G148" s="26"/>
      <c r="H148" s="26"/>
      <c r="I148" s="26"/>
      <c r="J148" s="26"/>
      <c r="K148" s="26"/>
      <c r="L148" s="26"/>
      <c r="M148" s="29"/>
      <c r="N148" s="29"/>
      <c r="O148" s="29"/>
      <c r="P148" s="29"/>
      <c r="Q148" s="29"/>
      <c r="R148" s="29"/>
    </row>
    <row r="149" spans="1:18" ht="15.75" customHeight="1">
      <c r="A149" s="28"/>
      <c r="B149" s="25"/>
      <c r="C149" s="26"/>
      <c r="D149" s="26"/>
      <c r="E149" s="26"/>
      <c r="F149" s="26"/>
      <c r="G149" s="26"/>
      <c r="H149" s="26"/>
      <c r="I149" s="26"/>
      <c r="J149" s="26"/>
      <c r="K149" s="26"/>
      <c r="L149" s="26"/>
      <c r="M149" s="29"/>
      <c r="N149" s="29"/>
      <c r="O149" s="29"/>
      <c r="P149" s="29"/>
      <c r="Q149" s="29"/>
      <c r="R149" s="29"/>
    </row>
    <row r="150" spans="1:18" ht="15.75" customHeight="1">
      <c r="A150" s="28"/>
      <c r="B150" s="25"/>
      <c r="C150" s="26"/>
      <c r="D150" s="26"/>
      <c r="E150" s="26"/>
      <c r="F150" s="26"/>
      <c r="G150" s="26"/>
      <c r="H150" s="26"/>
      <c r="I150" s="26"/>
      <c r="J150" s="26"/>
      <c r="K150" s="26"/>
      <c r="L150" s="26"/>
      <c r="M150" s="29"/>
      <c r="N150" s="29"/>
      <c r="O150" s="29"/>
      <c r="P150" s="29"/>
      <c r="Q150" s="29"/>
      <c r="R150" s="29"/>
    </row>
    <row r="151" spans="1:18" ht="15.75" customHeight="1">
      <c r="A151" s="28"/>
      <c r="B151" s="25"/>
      <c r="C151" s="26"/>
      <c r="D151" s="26"/>
      <c r="E151" s="26"/>
      <c r="F151" s="26"/>
      <c r="G151" s="26"/>
      <c r="H151" s="26"/>
      <c r="I151" s="26"/>
      <c r="J151" s="26"/>
      <c r="K151" s="26"/>
      <c r="L151" s="26"/>
      <c r="M151" s="29"/>
      <c r="N151" s="29"/>
      <c r="O151" s="29"/>
      <c r="P151" s="29"/>
      <c r="Q151" s="29"/>
      <c r="R151" s="29"/>
    </row>
    <row r="152" spans="1:18" ht="15.75" customHeight="1">
      <c r="A152" s="28"/>
      <c r="B152" s="25"/>
      <c r="C152" s="26"/>
      <c r="D152" s="26"/>
      <c r="E152" s="26"/>
      <c r="F152" s="26"/>
      <c r="G152" s="26"/>
      <c r="H152" s="26"/>
      <c r="I152" s="26"/>
      <c r="J152" s="26"/>
      <c r="K152" s="26"/>
      <c r="L152" s="26"/>
      <c r="M152" s="29"/>
      <c r="N152" s="29"/>
      <c r="O152" s="29"/>
      <c r="P152" s="29"/>
      <c r="Q152" s="29"/>
      <c r="R152" s="29"/>
    </row>
    <row r="153" spans="1:18" ht="15.75" customHeight="1">
      <c r="A153" s="28"/>
      <c r="B153" s="25"/>
      <c r="C153" s="26"/>
      <c r="D153" s="26"/>
      <c r="E153" s="26"/>
      <c r="F153" s="26"/>
      <c r="G153" s="26"/>
      <c r="H153" s="26"/>
      <c r="I153" s="26"/>
      <c r="J153" s="26"/>
      <c r="K153" s="26"/>
      <c r="L153" s="26"/>
      <c r="M153" s="29"/>
      <c r="N153" s="29"/>
      <c r="O153" s="29"/>
      <c r="P153" s="29"/>
      <c r="Q153" s="29"/>
      <c r="R153" s="29"/>
    </row>
    <row r="154" spans="1:18" ht="15.75" customHeight="1">
      <c r="A154" s="28"/>
      <c r="B154" s="25"/>
      <c r="C154" s="26"/>
      <c r="D154" s="26"/>
      <c r="E154" s="26"/>
      <c r="F154" s="26"/>
      <c r="G154" s="26"/>
      <c r="H154" s="26"/>
      <c r="I154" s="26"/>
      <c r="J154" s="26"/>
      <c r="K154" s="26"/>
      <c r="L154" s="26"/>
      <c r="M154" s="29"/>
      <c r="N154" s="29"/>
      <c r="O154" s="29"/>
      <c r="P154" s="29"/>
      <c r="Q154" s="29"/>
      <c r="R154" s="29"/>
    </row>
    <row r="155" spans="1:18" ht="15.75" customHeight="1">
      <c r="A155" s="28"/>
      <c r="B155" s="25"/>
      <c r="C155" s="26"/>
      <c r="D155" s="26"/>
      <c r="E155" s="26"/>
      <c r="F155" s="26"/>
      <c r="G155" s="26"/>
      <c r="H155" s="26"/>
      <c r="I155" s="26"/>
      <c r="J155" s="26"/>
      <c r="K155" s="26"/>
      <c r="L155" s="26"/>
      <c r="M155" s="29"/>
      <c r="N155" s="29"/>
      <c r="O155" s="29"/>
      <c r="P155" s="29"/>
      <c r="Q155" s="29"/>
      <c r="R155" s="29"/>
    </row>
    <row r="156" spans="1:18" ht="15.75" customHeight="1">
      <c r="A156" s="28"/>
      <c r="B156" s="25"/>
      <c r="C156" s="26"/>
      <c r="D156" s="26"/>
      <c r="E156" s="26"/>
      <c r="F156" s="26"/>
      <c r="G156" s="26"/>
      <c r="H156" s="26"/>
      <c r="I156" s="26"/>
      <c r="J156" s="26"/>
      <c r="K156" s="26"/>
      <c r="L156" s="26"/>
      <c r="M156" s="29"/>
      <c r="N156" s="29"/>
      <c r="O156" s="29"/>
      <c r="P156" s="29"/>
      <c r="Q156" s="29"/>
      <c r="R156" s="29"/>
    </row>
    <row r="157" spans="1:18" ht="15.75" customHeight="1">
      <c r="A157" s="28"/>
      <c r="B157" s="25"/>
      <c r="C157" s="26"/>
      <c r="D157" s="26"/>
      <c r="E157" s="26"/>
      <c r="F157" s="26"/>
      <c r="G157" s="26"/>
      <c r="H157" s="26"/>
      <c r="I157" s="26"/>
      <c r="J157" s="26"/>
      <c r="K157" s="26"/>
      <c r="L157" s="26"/>
      <c r="M157" s="29"/>
      <c r="N157" s="29"/>
      <c r="O157" s="29"/>
      <c r="P157" s="29"/>
      <c r="Q157" s="29"/>
      <c r="R157" s="29"/>
    </row>
    <row r="158" spans="1:18" ht="15.75" customHeight="1">
      <c r="A158" s="28"/>
      <c r="B158" s="25"/>
      <c r="C158" s="26"/>
      <c r="D158" s="26"/>
      <c r="E158" s="26"/>
      <c r="F158" s="26"/>
      <c r="G158" s="26"/>
      <c r="H158" s="26"/>
      <c r="I158" s="26"/>
      <c r="J158" s="26"/>
      <c r="K158" s="26"/>
      <c r="L158" s="26"/>
      <c r="M158" s="29"/>
      <c r="N158" s="29"/>
      <c r="O158" s="29"/>
      <c r="P158" s="29"/>
      <c r="Q158" s="29"/>
      <c r="R158" s="29"/>
    </row>
    <row r="159" spans="1:18" ht="15.75" customHeight="1">
      <c r="A159" s="28"/>
      <c r="B159" s="25"/>
      <c r="C159" s="26"/>
      <c r="D159" s="26"/>
      <c r="E159" s="26"/>
      <c r="F159" s="26"/>
      <c r="G159" s="26"/>
      <c r="H159" s="26"/>
      <c r="I159" s="26"/>
      <c r="J159" s="26"/>
      <c r="K159" s="26"/>
      <c r="L159" s="26"/>
      <c r="M159" s="29"/>
      <c r="N159" s="29"/>
      <c r="O159" s="29"/>
      <c r="P159" s="29"/>
      <c r="Q159" s="29"/>
      <c r="R159" s="29"/>
    </row>
    <row r="160" spans="1:18" ht="15.75" customHeight="1">
      <c r="A160" s="28"/>
      <c r="B160" s="25"/>
      <c r="C160" s="26"/>
      <c r="D160" s="26"/>
      <c r="E160" s="26"/>
      <c r="F160" s="26"/>
      <c r="G160" s="26"/>
      <c r="H160" s="26"/>
      <c r="I160" s="26"/>
      <c r="J160" s="26"/>
      <c r="K160" s="26"/>
      <c r="L160" s="26"/>
      <c r="M160" s="29"/>
      <c r="N160" s="29"/>
      <c r="O160" s="29"/>
      <c r="P160" s="29"/>
      <c r="Q160" s="29"/>
      <c r="R160" s="29"/>
    </row>
    <row r="161" spans="1:18" ht="15.75" customHeight="1">
      <c r="A161" s="28"/>
      <c r="B161" s="25"/>
      <c r="C161" s="26"/>
      <c r="D161" s="26"/>
      <c r="E161" s="26"/>
      <c r="F161" s="26"/>
      <c r="G161" s="26"/>
      <c r="H161" s="26"/>
      <c r="I161" s="26"/>
      <c r="J161" s="26"/>
      <c r="K161" s="26"/>
      <c r="L161" s="26"/>
      <c r="M161" s="29"/>
      <c r="N161" s="29"/>
      <c r="O161" s="29"/>
      <c r="P161" s="29"/>
      <c r="Q161" s="29"/>
      <c r="R161" s="29"/>
    </row>
    <row r="162" spans="1:18" ht="15.75" customHeight="1">
      <c r="A162" s="28"/>
      <c r="B162" s="25"/>
      <c r="C162" s="26"/>
      <c r="D162" s="26"/>
      <c r="E162" s="26"/>
      <c r="F162" s="26"/>
      <c r="G162" s="26"/>
      <c r="H162" s="26"/>
      <c r="I162" s="26"/>
      <c r="J162" s="26"/>
      <c r="K162" s="26"/>
      <c r="L162" s="26"/>
      <c r="M162" s="29"/>
      <c r="N162" s="29"/>
      <c r="O162" s="29"/>
      <c r="P162" s="29"/>
      <c r="Q162" s="29"/>
      <c r="R162" s="29"/>
    </row>
    <row r="163" spans="1:18" ht="15.75" customHeight="1">
      <c r="A163" s="28"/>
      <c r="B163" s="25"/>
      <c r="C163" s="26"/>
      <c r="D163" s="26"/>
      <c r="E163" s="26"/>
      <c r="F163" s="26"/>
      <c r="G163" s="26"/>
      <c r="H163" s="26"/>
      <c r="I163" s="26"/>
      <c r="J163" s="26"/>
      <c r="K163" s="26"/>
      <c r="L163" s="26"/>
      <c r="M163" s="29"/>
      <c r="N163" s="29"/>
      <c r="O163" s="29"/>
      <c r="P163" s="29"/>
      <c r="Q163" s="29"/>
      <c r="R163" s="29"/>
    </row>
    <row r="164" spans="1:18" ht="15.75" customHeight="1">
      <c r="A164" s="28"/>
      <c r="B164" s="25"/>
      <c r="C164" s="26"/>
      <c r="D164" s="26"/>
      <c r="E164" s="26"/>
      <c r="F164" s="26"/>
      <c r="G164" s="26"/>
      <c r="H164" s="26"/>
      <c r="I164" s="26"/>
      <c r="J164" s="26"/>
      <c r="K164" s="26"/>
      <c r="L164" s="26"/>
      <c r="M164" s="29"/>
      <c r="N164" s="29"/>
      <c r="O164" s="29"/>
      <c r="P164" s="29"/>
      <c r="Q164" s="29"/>
      <c r="R164" s="29"/>
    </row>
    <row r="165" spans="1:18" ht="15.75" customHeight="1">
      <c r="A165" s="28"/>
      <c r="B165" s="25"/>
      <c r="C165" s="26"/>
      <c r="D165" s="26"/>
      <c r="E165" s="26"/>
      <c r="F165" s="26"/>
      <c r="G165" s="26"/>
      <c r="H165" s="26"/>
      <c r="I165" s="26"/>
      <c r="J165" s="26"/>
      <c r="K165" s="26"/>
      <c r="L165" s="26"/>
      <c r="M165" s="29"/>
      <c r="N165" s="29"/>
      <c r="O165" s="29"/>
      <c r="P165" s="29"/>
      <c r="Q165" s="29"/>
      <c r="R165" s="29"/>
    </row>
    <row r="166" spans="1:18" ht="15.75" customHeight="1">
      <c r="A166" s="28"/>
      <c r="B166" s="25"/>
      <c r="C166" s="26"/>
      <c r="D166" s="26"/>
      <c r="E166" s="26"/>
      <c r="F166" s="26"/>
      <c r="G166" s="26"/>
      <c r="H166" s="26"/>
      <c r="I166" s="26"/>
      <c r="J166" s="26"/>
      <c r="K166" s="26"/>
      <c r="L166" s="26"/>
      <c r="M166" s="29"/>
      <c r="N166" s="29"/>
      <c r="O166" s="29"/>
      <c r="P166" s="29"/>
      <c r="Q166" s="29"/>
      <c r="R166" s="29"/>
    </row>
    <row r="167" spans="1:18" ht="15.75" customHeight="1">
      <c r="A167" s="28"/>
      <c r="B167" s="25"/>
      <c r="C167" s="26"/>
      <c r="D167" s="26"/>
      <c r="E167" s="26"/>
      <c r="F167" s="26"/>
      <c r="G167" s="26"/>
      <c r="H167" s="26"/>
      <c r="I167" s="26"/>
      <c r="J167" s="26"/>
      <c r="K167" s="26"/>
      <c r="L167" s="26"/>
      <c r="M167" s="29"/>
      <c r="N167" s="29"/>
      <c r="O167" s="29"/>
      <c r="P167" s="29"/>
      <c r="Q167" s="29"/>
      <c r="R167" s="29"/>
    </row>
    <row r="168" spans="1:18" ht="15.75" customHeight="1">
      <c r="A168" s="28"/>
      <c r="B168" s="25"/>
      <c r="C168" s="26"/>
      <c r="D168" s="26"/>
      <c r="E168" s="26"/>
      <c r="F168" s="26"/>
      <c r="G168" s="26"/>
      <c r="H168" s="26"/>
      <c r="I168" s="26"/>
      <c r="J168" s="26"/>
      <c r="K168" s="26"/>
      <c r="L168" s="26"/>
      <c r="M168" s="29"/>
      <c r="N168" s="29"/>
      <c r="O168" s="29"/>
      <c r="P168" s="29"/>
      <c r="Q168" s="29"/>
      <c r="R168" s="29"/>
    </row>
    <row r="169" spans="1:18" ht="15.75" customHeight="1">
      <c r="A169" s="28"/>
      <c r="B169" s="25"/>
      <c r="C169" s="26"/>
      <c r="D169" s="26"/>
      <c r="E169" s="26"/>
      <c r="F169" s="26"/>
      <c r="G169" s="26"/>
      <c r="H169" s="26"/>
      <c r="I169" s="26"/>
      <c r="J169" s="26"/>
      <c r="K169" s="26"/>
      <c r="L169" s="26"/>
      <c r="M169" s="29"/>
      <c r="N169" s="29"/>
      <c r="O169" s="29"/>
      <c r="P169" s="29"/>
      <c r="Q169" s="29"/>
      <c r="R169" s="29"/>
    </row>
    <row r="170" spans="1:18" ht="15.75" customHeight="1">
      <c r="A170" s="28"/>
      <c r="B170" s="25"/>
      <c r="C170" s="26"/>
      <c r="D170" s="26"/>
      <c r="E170" s="26"/>
      <c r="F170" s="26"/>
      <c r="G170" s="26"/>
      <c r="H170" s="26"/>
      <c r="I170" s="26"/>
      <c r="J170" s="26"/>
      <c r="K170" s="26"/>
      <c r="L170" s="26"/>
      <c r="M170" s="29"/>
      <c r="N170" s="29"/>
      <c r="O170" s="29"/>
      <c r="P170" s="29"/>
      <c r="Q170" s="29"/>
      <c r="R170" s="29"/>
    </row>
    <row r="171" spans="1:18" ht="15.75" customHeight="1">
      <c r="A171" s="28"/>
      <c r="B171" s="25"/>
      <c r="C171" s="26"/>
      <c r="D171" s="26"/>
      <c r="E171" s="26"/>
      <c r="F171" s="26"/>
      <c r="G171" s="26"/>
      <c r="H171" s="26"/>
      <c r="I171" s="26"/>
      <c r="J171" s="26"/>
      <c r="K171" s="26"/>
      <c r="L171" s="26"/>
      <c r="M171" s="29"/>
      <c r="N171" s="29"/>
      <c r="O171" s="29"/>
      <c r="P171" s="29"/>
      <c r="Q171" s="29"/>
      <c r="R171" s="29"/>
    </row>
    <row r="172" spans="1:18" ht="15.75" customHeight="1">
      <c r="A172" s="28"/>
      <c r="B172" s="25"/>
      <c r="C172" s="26"/>
      <c r="D172" s="26"/>
      <c r="E172" s="26"/>
      <c r="F172" s="26"/>
      <c r="G172" s="26"/>
      <c r="H172" s="26"/>
      <c r="I172" s="26"/>
      <c r="J172" s="26"/>
      <c r="K172" s="26"/>
      <c r="L172" s="26"/>
      <c r="M172" s="29"/>
      <c r="N172" s="29"/>
      <c r="O172" s="29"/>
      <c r="P172" s="29"/>
      <c r="Q172" s="29"/>
      <c r="R172" s="29"/>
    </row>
    <row r="173" spans="1:18" ht="15.75" customHeight="1">
      <c r="A173" s="28"/>
      <c r="B173" s="25"/>
      <c r="C173" s="26"/>
      <c r="D173" s="26"/>
      <c r="E173" s="26"/>
      <c r="F173" s="26"/>
      <c r="G173" s="26"/>
      <c r="H173" s="26"/>
      <c r="I173" s="26"/>
      <c r="J173" s="26"/>
      <c r="K173" s="26"/>
      <c r="L173" s="26"/>
      <c r="M173" s="29"/>
      <c r="N173" s="29"/>
      <c r="O173" s="29"/>
      <c r="P173" s="29"/>
      <c r="Q173" s="29"/>
      <c r="R173" s="29"/>
    </row>
    <row r="174" spans="1:18" ht="15.75" customHeight="1">
      <c r="A174" s="28"/>
      <c r="B174" s="25"/>
      <c r="C174" s="26"/>
      <c r="D174" s="26"/>
      <c r="E174" s="26"/>
      <c r="F174" s="26"/>
      <c r="G174" s="26"/>
      <c r="H174" s="26"/>
      <c r="I174" s="26"/>
      <c r="J174" s="26"/>
      <c r="K174" s="26"/>
      <c r="L174" s="26"/>
      <c r="M174" s="29"/>
      <c r="N174" s="29"/>
      <c r="O174" s="29"/>
      <c r="P174" s="29"/>
      <c r="Q174" s="29"/>
      <c r="R174" s="29"/>
    </row>
    <row r="175" spans="1:18" ht="15.75" customHeight="1">
      <c r="A175" s="28"/>
      <c r="B175" s="25"/>
      <c r="C175" s="26"/>
      <c r="D175" s="26"/>
      <c r="E175" s="26"/>
      <c r="F175" s="26"/>
      <c r="G175" s="26"/>
      <c r="H175" s="26"/>
      <c r="I175" s="26"/>
      <c r="J175" s="26"/>
      <c r="K175" s="26"/>
      <c r="L175" s="26"/>
      <c r="M175" s="29"/>
      <c r="N175" s="29"/>
      <c r="O175" s="29"/>
      <c r="P175" s="29"/>
      <c r="Q175" s="29"/>
      <c r="R175" s="29"/>
    </row>
    <row r="176" spans="1:18" ht="15.75" customHeight="1">
      <c r="A176" s="28"/>
      <c r="B176" s="25"/>
      <c r="C176" s="26"/>
      <c r="D176" s="26"/>
      <c r="E176" s="26"/>
      <c r="F176" s="26"/>
      <c r="G176" s="26"/>
      <c r="H176" s="26"/>
      <c r="I176" s="26"/>
      <c r="J176" s="26"/>
      <c r="K176" s="26"/>
      <c r="L176" s="26"/>
      <c r="M176" s="29"/>
      <c r="N176" s="29"/>
      <c r="O176" s="29"/>
      <c r="P176" s="29"/>
      <c r="Q176" s="29"/>
      <c r="R176" s="29"/>
    </row>
    <row r="177" spans="1:18" ht="15.75" customHeight="1">
      <c r="A177" s="28"/>
      <c r="B177" s="25"/>
      <c r="C177" s="26"/>
      <c r="D177" s="26"/>
      <c r="E177" s="26"/>
      <c r="F177" s="26"/>
      <c r="G177" s="26"/>
      <c r="H177" s="26"/>
      <c r="I177" s="26"/>
      <c r="J177" s="26"/>
      <c r="K177" s="26"/>
      <c r="L177" s="26"/>
      <c r="M177" s="29"/>
      <c r="N177" s="29"/>
      <c r="O177" s="29"/>
      <c r="P177" s="29"/>
      <c r="Q177" s="29"/>
      <c r="R177" s="29"/>
    </row>
    <row r="178" spans="1:18" ht="15.75" customHeight="1">
      <c r="A178" s="28"/>
      <c r="B178" s="25"/>
      <c r="C178" s="26"/>
      <c r="D178" s="26"/>
      <c r="E178" s="26"/>
      <c r="F178" s="26"/>
      <c r="G178" s="26"/>
      <c r="H178" s="26"/>
      <c r="I178" s="26"/>
      <c r="J178" s="26"/>
      <c r="K178" s="26"/>
      <c r="L178" s="26"/>
      <c r="M178" s="29"/>
      <c r="N178" s="29"/>
      <c r="O178" s="29"/>
      <c r="P178" s="29"/>
      <c r="Q178" s="29"/>
      <c r="R178" s="29"/>
    </row>
    <row r="179" spans="1:18" ht="15.75" customHeight="1">
      <c r="A179" s="28"/>
      <c r="B179" s="25"/>
      <c r="C179" s="26"/>
      <c r="D179" s="26"/>
      <c r="E179" s="26"/>
      <c r="F179" s="26"/>
      <c r="G179" s="26"/>
      <c r="H179" s="26"/>
      <c r="I179" s="26"/>
      <c r="J179" s="26"/>
      <c r="K179" s="26"/>
      <c r="L179" s="26"/>
      <c r="M179" s="29"/>
      <c r="N179" s="29"/>
      <c r="O179" s="29"/>
      <c r="P179" s="29"/>
      <c r="Q179" s="29"/>
      <c r="R179" s="29"/>
    </row>
    <row r="180" spans="1:18" ht="15.75" customHeight="1">
      <c r="A180" s="28"/>
      <c r="B180" s="25"/>
      <c r="C180" s="26"/>
      <c r="D180" s="26"/>
      <c r="E180" s="26"/>
      <c r="F180" s="26"/>
      <c r="G180" s="26"/>
      <c r="H180" s="26"/>
      <c r="I180" s="26"/>
      <c r="J180" s="26"/>
      <c r="K180" s="26"/>
      <c r="L180" s="26"/>
      <c r="M180" s="29"/>
      <c r="N180" s="29"/>
      <c r="O180" s="29"/>
      <c r="P180" s="29"/>
      <c r="Q180" s="29"/>
      <c r="R180" s="29"/>
    </row>
    <row r="181" spans="1:18" ht="15.75" customHeight="1">
      <c r="A181" s="28"/>
      <c r="B181" s="25"/>
      <c r="C181" s="26"/>
      <c r="D181" s="26"/>
      <c r="E181" s="26"/>
      <c r="F181" s="26"/>
      <c r="G181" s="26"/>
      <c r="H181" s="26"/>
      <c r="I181" s="26"/>
      <c r="J181" s="26"/>
      <c r="K181" s="26"/>
      <c r="L181" s="26"/>
      <c r="M181" s="29"/>
      <c r="N181" s="29"/>
      <c r="O181" s="29"/>
      <c r="P181" s="29"/>
      <c r="Q181" s="29"/>
      <c r="R181" s="29"/>
    </row>
    <row r="182" spans="1:18" ht="15.75" customHeight="1">
      <c r="A182" s="28"/>
      <c r="B182" s="25"/>
      <c r="C182" s="26"/>
      <c r="D182" s="26"/>
      <c r="E182" s="26"/>
      <c r="F182" s="26"/>
      <c r="G182" s="26"/>
      <c r="H182" s="26"/>
      <c r="I182" s="26"/>
      <c r="J182" s="26"/>
      <c r="K182" s="26"/>
      <c r="L182" s="26"/>
      <c r="M182" s="29"/>
      <c r="N182" s="29"/>
      <c r="O182" s="29"/>
      <c r="P182" s="29"/>
      <c r="Q182" s="29"/>
      <c r="R182" s="29"/>
    </row>
    <row r="183" spans="1:18" ht="15.75" customHeight="1">
      <c r="A183" s="28"/>
      <c r="B183" s="25"/>
      <c r="C183" s="26"/>
      <c r="D183" s="26"/>
      <c r="E183" s="26"/>
      <c r="F183" s="26"/>
      <c r="G183" s="26"/>
      <c r="H183" s="26"/>
      <c r="I183" s="26"/>
      <c r="J183" s="26"/>
      <c r="K183" s="26"/>
      <c r="L183" s="26"/>
      <c r="M183" s="29"/>
      <c r="N183" s="29"/>
      <c r="O183" s="29"/>
      <c r="P183" s="29"/>
      <c r="Q183" s="29"/>
      <c r="R183" s="29"/>
    </row>
    <row r="184" spans="1:18" ht="15.75" customHeight="1">
      <c r="A184" s="28"/>
      <c r="B184" s="25"/>
      <c r="C184" s="26"/>
      <c r="D184" s="26"/>
      <c r="E184" s="26"/>
      <c r="F184" s="26"/>
      <c r="G184" s="26"/>
      <c r="H184" s="26"/>
      <c r="I184" s="26"/>
      <c r="J184" s="26"/>
      <c r="K184" s="26"/>
      <c r="L184" s="26"/>
      <c r="M184" s="29"/>
      <c r="N184" s="29"/>
      <c r="O184" s="29"/>
      <c r="P184" s="29"/>
      <c r="Q184" s="29"/>
      <c r="R184" s="29"/>
    </row>
    <row r="185" spans="1:18" ht="15.75" customHeight="1">
      <c r="A185" s="28"/>
      <c r="B185" s="25"/>
      <c r="C185" s="26"/>
      <c r="D185" s="26"/>
      <c r="E185" s="26"/>
      <c r="F185" s="26"/>
      <c r="G185" s="26"/>
      <c r="H185" s="26"/>
      <c r="I185" s="26"/>
      <c r="J185" s="26"/>
      <c r="K185" s="26"/>
      <c r="L185" s="26"/>
      <c r="M185" s="29"/>
      <c r="N185" s="29"/>
      <c r="O185" s="29"/>
      <c r="P185" s="29"/>
      <c r="Q185" s="29"/>
      <c r="R185" s="29"/>
    </row>
    <row r="186" spans="1:18" ht="15.75" customHeight="1">
      <c r="A186" s="28"/>
      <c r="B186" s="25"/>
      <c r="C186" s="26"/>
      <c r="D186" s="26"/>
      <c r="E186" s="26"/>
      <c r="F186" s="26"/>
      <c r="G186" s="26"/>
      <c r="H186" s="26"/>
      <c r="I186" s="26"/>
      <c r="J186" s="26"/>
      <c r="K186" s="26"/>
      <c r="L186" s="26"/>
      <c r="M186" s="29"/>
      <c r="N186" s="29"/>
      <c r="O186" s="29"/>
      <c r="P186" s="29"/>
      <c r="Q186" s="29"/>
      <c r="R186" s="29"/>
    </row>
    <row r="187" spans="1:18" ht="15.75" customHeight="1">
      <c r="A187" s="28"/>
      <c r="B187" s="25"/>
      <c r="C187" s="26"/>
      <c r="D187" s="26"/>
      <c r="E187" s="26"/>
      <c r="F187" s="26"/>
      <c r="G187" s="26"/>
      <c r="H187" s="26"/>
      <c r="I187" s="26"/>
      <c r="J187" s="26"/>
      <c r="K187" s="26"/>
      <c r="L187" s="26"/>
      <c r="M187" s="29"/>
      <c r="N187" s="29"/>
      <c r="O187" s="29"/>
      <c r="P187" s="29"/>
      <c r="Q187" s="29"/>
      <c r="R187" s="29"/>
    </row>
    <row r="188" spans="1:18" ht="15.75" customHeight="1">
      <c r="A188" s="28"/>
      <c r="B188" s="25"/>
      <c r="C188" s="26"/>
      <c r="D188" s="26"/>
      <c r="E188" s="26"/>
      <c r="F188" s="26"/>
      <c r="G188" s="26"/>
      <c r="H188" s="26"/>
      <c r="I188" s="26"/>
      <c r="J188" s="26"/>
      <c r="K188" s="26"/>
      <c r="L188" s="26"/>
      <c r="M188" s="29"/>
      <c r="N188" s="29"/>
      <c r="O188" s="29"/>
      <c r="P188" s="29"/>
      <c r="Q188" s="29"/>
      <c r="R188" s="29"/>
    </row>
    <row r="189" spans="1:18" ht="15.75" customHeight="1">
      <c r="A189" s="28"/>
      <c r="B189" s="25"/>
      <c r="C189" s="26"/>
      <c r="D189" s="26"/>
      <c r="E189" s="26"/>
      <c r="F189" s="26"/>
      <c r="G189" s="26"/>
      <c r="H189" s="26"/>
      <c r="I189" s="26"/>
      <c r="J189" s="26"/>
      <c r="K189" s="26"/>
      <c r="L189" s="26"/>
      <c r="M189" s="29"/>
      <c r="N189" s="29"/>
      <c r="O189" s="29"/>
      <c r="P189" s="29"/>
      <c r="Q189" s="29"/>
      <c r="R189" s="29"/>
    </row>
    <row r="190" spans="1:18" ht="15.75" customHeight="1">
      <c r="A190" s="28"/>
      <c r="B190" s="25"/>
      <c r="C190" s="26"/>
      <c r="D190" s="26"/>
      <c r="E190" s="26"/>
      <c r="F190" s="26"/>
      <c r="G190" s="26"/>
      <c r="H190" s="26"/>
      <c r="I190" s="26"/>
      <c r="J190" s="26"/>
      <c r="K190" s="26"/>
      <c r="L190" s="26"/>
      <c r="M190" s="29"/>
      <c r="N190" s="29"/>
      <c r="O190" s="29"/>
      <c r="P190" s="29"/>
      <c r="Q190" s="29"/>
      <c r="R190" s="29"/>
    </row>
    <row r="191" spans="1:18" ht="15.75" customHeight="1">
      <c r="A191" s="28"/>
      <c r="B191" s="25"/>
      <c r="C191" s="26"/>
      <c r="D191" s="26"/>
      <c r="E191" s="26"/>
      <c r="F191" s="26"/>
      <c r="G191" s="26"/>
      <c r="H191" s="26"/>
      <c r="I191" s="26"/>
      <c r="J191" s="26"/>
      <c r="K191" s="26"/>
      <c r="L191" s="26"/>
      <c r="M191" s="29"/>
      <c r="N191" s="29"/>
      <c r="O191" s="29"/>
      <c r="P191" s="29"/>
      <c r="Q191" s="29"/>
      <c r="R191" s="29"/>
    </row>
    <row r="192" spans="1:18" ht="15.75" customHeight="1">
      <c r="A192" s="28"/>
      <c r="B192" s="25"/>
      <c r="C192" s="26"/>
      <c r="D192" s="26"/>
      <c r="E192" s="26"/>
      <c r="F192" s="26"/>
      <c r="G192" s="26"/>
      <c r="H192" s="26"/>
      <c r="I192" s="26"/>
      <c r="J192" s="26"/>
      <c r="K192" s="26"/>
      <c r="L192" s="26"/>
      <c r="M192" s="29"/>
      <c r="N192" s="29"/>
      <c r="O192" s="29"/>
      <c r="P192" s="29"/>
      <c r="Q192" s="29"/>
      <c r="R192" s="29"/>
    </row>
    <row r="193" spans="1:18" ht="15.75" customHeight="1">
      <c r="A193" s="28"/>
      <c r="B193" s="25"/>
      <c r="C193" s="26"/>
      <c r="D193" s="26"/>
      <c r="E193" s="26"/>
      <c r="F193" s="26"/>
      <c r="G193" s="26"/>
      <c r="H193" s="26"/>
      <c r="I193" s="26"/>
      <c r="J193" s="26"/>
      <c r="K193" s="26"/>
      <c r="L193" s="26"/>
      <c r="M193" s="29"/>
      <c r="N193" s="29"/>
      <c r="O193" s="29"/>
      <c r="P193" s="29"/>
      <c r="Q193" s="29"/>
      <c r="R193" s="29"/>
    </row>
    <row r="194" spans="1:18" ht="15.75" customHeight="1">
      <c r="A194" s="28"/>
      <c r="B194" s="25"/>
      <c r="C194" s="26"/>
      <c r="D194" s="26"/>
      <c r="E194" s="26"/>
      <c r="F194" s="26"/>
      <c r="G194" s="26"/>
      <c r="H194" s="26"/>
      <c r="I194" s="26"/>
      <c r="J194" s="26"/>
      <c r="K194" s="26"/>
      <c r="L194" s="26"/>
      <c r="M194" s="29"/>
      <c r="N194" s="29"/>
      <c r="O194" s="29"/>
      <c r="P194" s="29"/>
      <c r="Q194" s="29"/>
      <c r="R194" s="29"/>
    </row>
    <row r="195" spans="1:18" ht="15.75" customHeight="1">
      <c r="A195" s="28"/>
      <c r="B195" s="25"/>
      <c r="C195" s="26"/>
      <c r="D195" s="26"/>
      <c r="E195" s="26"/>
      <c r="F195" s="26"/>
      <c r="G195" s="26"/>
      <c r="H195" s="26"/>
      <c r="I195" s="26"/>
      <c r="J195" s="26"/>
      <c r="K195" s="26"/>
      <c r="L195" s="26"/>
      <c r="M195" s="29"/>
      <c r="N195" s="29"/>
      <c r="O195" s="29"/>
      <c r="P195" s="29"/>
      <c r="Q195" s="29"/>
      <c r="R195" s="29"/>
    </row>
    <row r="196" spans="1:18" ht="15.75" customHeight="1">
      <c r="A196" s="28"/>
      <c r="B196" s="25"/>
      <c r="C196" s="26"/>
      <c r="D196" s="26"/>
      <c r="E196" s="26"/>
      <c r="F196" s="26"/>
      <c r="G196" s="26"/>
      <c r="H196" s="26"/>
      <c r="I196" s="26"/>
      <c r="J196" s="26"/>
      <c r="K196" s="26"/>
      <c r="L196" s="26"/>
      <c r="M196" s="29"/>
      <c r="N196" s="29"/>
      <c r="O196" s="29"/>
      <c r="P196" s="29"/>
      <c r="Q196" s="29"/>
      <c r="R196" s="29"/>
    </row>
    <row r="197" spans="1:18" ht="15.75" customHeight="1">
      <c r="A197" s="28"/>
      <c r="B197" s="25"/>
      <c r="C197" s="26"/>
      <c r="D197" s="26"/>
      <c r="E197" s="26"/>
      <c r="F197" s="26"/>
      <c r="G197" s="26"/>
      <c r="H197" s="26"/>
      <c r="I197" s="26"/>
      <c r="J197" s="26"/>
      <c r="K197" s="26"/>
      <c r="L197" s="26"/>
      <c r="M197" s="29"/>
      <c r="N197" s="29"/>
      <c r="O197" s="29"/>
      <c r="P197" s="29"/>
      <c r="Q197" s="29"/>
      <c r="R197" s="29"/>
    </row>
    <row r="198" spans="1:18" ht="15.75" customHeight="1">
      <c r="A198" s="28"/>
      <c r="B198" s="25"/>
      <c r="C198" s="26"/>
      <c r="D198" s="26"/>
      <c r="E198" s="26"/>
      <c r="F198" s="26"/>
      <c r="G198" s="26"/>
      <c r="H198" s="26"/>
      <c r="I198" s="26"/>
      <c r="J198" s="26"/>
      <c r="K198" s="26"/>
      <c r="L198" s="26"/>
      <c r="M198" s="29"/>
      <c r="N198" s="29"/>
      <c r="O198" s="29"/>
      <c r="P198" s="29"/>
      <c r="Q198" s="29"/>
      <c r="R198" s="29"/>
    </row>
    <row r="199" spans="1:18" ht="15.75" customHeight="1">
      <c r="A199" s="28"/>
      <c r="B199" s="25"/>
      <c r="C199" s="26"/>
      <c r="D199" s="26"/>
      <c r="E199" s="26"/>
      <c r="F199" s="26"/>
      <c r="G199" s="26"/>
      <c r="H199" s="26"/>
      <c r="I199" s="26"/>
      <c r="J199" s="26"/>
      <c r="K199" s="26"/>
      <c r="L199" s="26"/>
      <c r="M199" s="29"/>
      <c r="N199" s="29"/>
      <c r="O199" s="29"/>
      <c r="P199" s="29"/>
      <c r="Q199" s="29"/>
      <c r="R199" s="29"/>
    </row>
    <row r="200" spans="1:18" ht="15.75" customHeight="1">
      <c r="A200" s="28"/>
      <c r="B200" s="25"/>
      <c r="C200" s="26"/>
      <c r="D200" s="26"/>
      <c r="E200" s="26"/>
      <c r="F200" s="26"/>
      <c r="G200" s="26"/>
      <c r="H200" s="26"/>
      <c r="I200" s="26"/>
      <c r="J200" s="26"/>
      <c r="K200" s="26"/>
      <c r="L200" s="26"/>
      <c r="M200" s="29"/>
      <c r="N200" s="29"/>
      <c r="O200" s="29"/>
      <c r="P200" s="29"/>
      <c r="Q200" s="29"/>
      <c r="R200" s="29"/>
    </row>
    <row r="201" spans="1:18" ht="15.75" customHeight="1">
      <c r="A201" s="28"/>
      <c r="B201" s="25"/>
      <c r="C201" s="26"/>
      <c r="D201" s="26"/>
      <c r="E201" s="26"/>
      <c r="F201" s="26"/>
      <c r="G201" s="26"/>
      <c r="H201" s="26"/>
      <c r="I201" s="26"/>
      <c r="J201" s="26"/>
      <c r="K201" s="26"/>
      <c r="L201" s="26"/>
      <c r="M201" s="29"/>
      <c r="N201" s="29"/>
      <c r="O201" s="29"/>
      <c r="P201" s="29"/>
      <c r="Q201" s="29"/>
      <c r="R201" s="29"/>
    </row>
    <row r="202" spans="1:18" ht="15.75" customHeight="1">
      <c r="A202" s="28"/>
      <c r="B202" s="25"/>
      <c r="C202" s="26"/>
      <c r="D202" s="26"/>
      <c r="E202" s="26"/>
      <c r="F202" s="26"/>
      <c r="G202" s="26"/>
      <c r="H202" s="26"/>
      <c r="I202" s="26"/>
      <c r="J202" s="26"/>
      <c r="K202" s="26"/>
      <c r="L202" s="26"/>
      <c r="M202" s="29"/>
      <c r="N202" s="29"/>
      <c r="O202" s="29"/>
      <c r="P202" s="29"/>
      <c r="Q202" s="29"/>
      <c r="R202" s="29"/>
    </row>
    <row r="203" spans="1:18" ht="15.75" customHeight="1">
      <c r="A203" s="28"/>
      <c r="B203" s="25"/>
      <c r="C203" s="26"/>
      <c r="D203" s="26"/>
      <c r="E203" s="26"/>
      <c r="F203" s="26"/>
      <c r="G203" s="26"/>
      <c r="H203" s="26"/>
      <c r="I203" s="26"/>
      <c r="J203" s="26"/>
      <c r="K203" s="26"/>
      <c r="L203" s="26"/>
      <c r="M203" s="29"/>
      <c r="N203" s="29"/>
      <c r="O203" s="29"/>
      <c r="P203" s="29"/>
      <c r="Q203" s="29"/>
      <c r="R203" s="29"/>
    </row>
    <row r="204" spans="1:18" ht="15.75" customHeight="1">
      <c r="A204" s="28"/>
      <c r="B204" s="25"/>
      <c r="C204" s="26"/>
      <c r="D204" s="26"/>
      <c r="E204" s="26"/>
      <c r="F204" s="26"/>
      <c r="G204" s="26"/>
      <c r="H204" s="26"/>
      <c r="I204" s="26"/>
      <c r="J204" s="26"/>
      <c r="K204" s="26"/>
      <c r="L204" s="26"/>
      <c r="M204" s="29"/>
      <c r="N204" s="29"/>
      <c r="O204" s="29"/>
      <c r="P204" s="29"/>
      <c r="Q204" s="29"/>
      <c r="R204" s="29"/>
    </row>
    <row r="205" spans="1:18" ht="15.75" customHeight="1">
      <c r="A205" s="28"/>
      <c r="B205" s="25"/>
      <c r="C205" s="26"/>
      <c r="D205" s="26"/>
      <c r="E205" s="26"/>
      <c r="F205" s="26"/>
      <c r="G205" s="26"/>
      <c r="H205" s="26"/>
      <c r="I205" s="26"/>
      <c r="J205" s="26"/>
      <c r="K205" s="26"/>
      <c r="L205" s="26"/>
      <c r="M205" s="29"/>
      <c r="N205" s="29"/>
      <c r="O205" s="29"/>
      <c r="P205" s="29"/>
      <c r="Q205" s="29"/>
      <c r="R205" s="29"/>
    </row>
    <row r="206" spans="1:18" ht="15.75" customHeight="1">
      <c r="A206" s="28"/>
      <c r="B206" s="25"/>
      <c r="C206" s="26"/>
      <c r="D206" s="26"/>
      <c r="E206" s="26"/>
      <c r="F206" s="26"/>
      <c r="G206" s="26"/>
      <c r="H206" s="26"/>
      <c r="I206" s="26"/>
      <c r="J206" s="26"/>
      <c r="K206" s="26"/>
      <c r="L206" s="26"/>
      <c r="M206" s="29"/>
      <c r="N206" s="29"/>
      <c r="O206" s="29"/>
      <c r="P206" s="29"/>
      <c r="Q206" s="29"/>
      <c r="R206" s="29"/>
    </row>
    <row r="207" spans="1:18" ht="15.75" customHeight="1">
      <c r="A207" s="28"/>
      <c r="B207" s="25"/>
      <c r="C207" s="26"/>
      <c r="D207" s="26"/>
      <c r="E207" s="26"/>
      <c r="F207" s="26"/>
      <c r="G207" s="26"/>
      <c r="H207" s="26"/>
      <c r="I207" s="26"/>
      <c r="J207" s="26"/>
      <c r="K207" s="26"/>
      <c r="L207" s="26"/>
      <c r="M207" s="29"/>
      <c r="N207" s="29"/>
      <c r="O207" s="29"/>
      <c r="P207" s="29"/>
      <c r="Q207" s="29"/>
      <c r="R207" s="29"/>
    </row>
    <row r="208" spans="1:18" ht="15.75" customHeight="1">
      <c r="A208" s="28"/>
      <c r="B208" s="25"/>
      <c r="C208" s="26"/>
      <c r="D208" s="26"/>
      <c r="E208" s="26"/>
      <c r="F208" s="26"/>
      <c r="G208" s="26"/>
      <c r="H208" s="26"/>
      <c r="I208" s="26"/>
      <c r="J208" s="26"/>
      <c r="K208" s="26"/>
      <c r="L208" s="26"/>
      <c r="M208" s="29"/>
      <c r="N208" s="29"/>
      <c r="O208" s="29"/>
      <c r="P208" s="29"/>
      <c r="Q208" s="29"/>
      <c r="R208" s="29"/>
    </row>
    <row r="209" spans="1:18" ht="15.75" customHeight="1">
      <c r="A209" s="28"/>
      <c r="B209" s="25"/>
      <c r="C209" s="26"/>
      <c r="D209" s="26"/>
      <c r="E209" s="26"/>
      <c r="F209" s="26"/>
      <c r="G209" s="26"/>
      <c r="H209" s="26"/>
      <c r="I209" s="26"/>
      <c r="J209" s="26"/>
      <c r="K209" s="26"/>
      <c r="L209" s="26"/>
      <c r="M209" s="29"/>
      <c r="N209" s="29"/>
      <c r="O209" s="29"/>
      <c r="P209" s="29"/>
      <c r="Q209" s="29"/>
      <c r="R209" s="29"/>
    </row>
    <row r="210" spans="1:18" ht="15.75" customHeight="1">
      <c r="A210" s="28"/>
      <c r="B210" s="25"/>
      <c r="C210" s="26"/>
      <c r="D210" s="26"/>
      <c r="E210" s="26"/>
      <c r="F210" s="26"/>
      <c r="G210" s="26"/>
      <c r="H210" s="26"/>
      <c r="I210" s="26"/>
      <c r="J210" s="26"/>
      <c r="K210" s="26"/>
      <c r="L210" s="26"/>
      <c r="M210" s="29"/>
      <c r="N210" s="29"/>
      <c r="O210" s="29"/>
      <c r="P210" s="29"/>
      <c r="Q210" s="29"/>
      <c r="R210" s="29"/>
    </row>
    <row r="211" spans="1:18" ht="15.75" customHeight="1">
      <c r="A211" s="28"/>
      <c r="B211" s="25"/>
      <c r="C211" s="26"/>
      <c r="D211" s="26"/>
      <c r="E211" s="26"/>
      <c r="F211" s="26"/>
      <c r="G211" s="26"/>
      <c r="H211" s="26"/>
      <c r="I211" s="26"/>
      <c r="J211" s="26"/>
      <c r="K211" s="26"/>
      <c r="L211" s="26"/>
      <c r="M211" s="29"/>
      <c r="N211" s="29"/>
      <c r="O211" s="29"/>
      <c r="P211" s="29"/>
      <c r="Q211" s="29"/>
      <c r="R211" s="29"/>
    </row>
    <row r="212" spans="1:18" ht="15.75" customHeight="1">
      <c r="A212" s="28"/>
      <c r="B212" s="25"/>
      <c r="C212" s="26"/>
      <c r="D212" s="26"/>
      <c r="E212" s="26"/>
      <c r="F212" s="26"/>
      <c r="G212" s="26"/>
      <c r="H212" s="26"/>
      <c r="I212" s="26"/>
      <c r="J212" s="26"/>
      <c r="K212" s="26"/>
      <c r="L212" s="26"/>
      <c r="M212" s="29"/>
      <c r="N212" s="29"/>
      <c r="O212" s="29"/>
      <c r="P212" s="29"/>
      <c r="Q212" s="29"/>
      <c r="R212" s="29"/>
    </row>
    <row r="213" spans="1:18" ht="15.75" customHeight="1">
      <c r="A213" s="28"/>
      <c r="B213" s="25"/>
      <c r="C213" s="26"/>
      <c r="D213" s="26"/>
      <c r="E213" s="26"/>
      <c r="F213" s="26"/>
      <c r="G213" s="26"/>
      <c r="H213" s="26"/>
      <c r="I213" s="26"/>
      <c r="J213" s="26"/>
      <c r="K213" s="26"/>
      <c r="L213" s="26"/>
      <c r="M213" s="29"/>
      <c r="N213" s="29"/>
      <c r="O213" s="29"/>
      <c r="P213" s="29"/>
      <c r="Q213" s="29"/>
      <c r="R213" s="29"/>
    </row>
    <row r="214" spans="1:18" ht="15.75" customHeight="1">
      <c r="A214" s="28"/>
      <c r="B214" s="25"/>
      <c r="C214" s="26"/>
      <c r="D214" s="26"/>
      <c r="E214" s="26"/>
      <c r="F214" s="26"/>
      <c r="G214" s="26"/>
      <c r="H214" s="26"/>
      <c r="I214" s="26"/>
      <c r="J214" s="26"/>
      <c r="K214" s="26"/>
      <c r="L214" s="26"/>
      <c r="M214" s="29"/>
      <c r="N214" s="29"/>
      <c r="O214" s="29"/>
      <c r="P214" s="29"/>
      <c r="Q214" s="29"/>
      <c r="R214" s="29"/>
    </row>
    <row r="215" spans="1:18" ht="15.75" customHeight="1">
      <c r="A215" s="28"/>
      <c r="B215" s="25"/>
      <c r="C215" s="26"/>
      <c r="D215" s="26"/>
      <c r="E215" s="26"/>
      <c r="F215" s="26"/>
      <c r="G215" s="26"/>
      <c r="H215" s="26"/>
      <c r="I215" s="26"/>
      <c r="J215" s="26"/>
      <c r="K215" s="26"/>
      <c r="L215" s="26"/>
      <c r="M215" s="29"/>
      <c r="N215" s="29"/>
      <c r="O215" s="29"/>
      <c r="P215" s="29"/>
      <c r="Q215" s="29"/>
      <c r="R215" s="29"/>
    </row>
    <row r="216" spans="1:18" ht="15.75" customHeight="1">
      <c r="A216" s="28"/>
      <c r="B216" s="25"/>
      <c r="C216" s="26"/>
      <c r="D216" s="26"/>
      <c r="E216" s="26"/>
      <c r="F216" s="26"/>
      <c r="G216" s="26"/>
      <c r="H216" s="26"/>
      <c r="I216" s="26"/>
      <c r="J216" s="26"/>
      <c r="K216" s="26"/>
      <c r="L216" s="26"/>
      <c r="M216" s="29"/>
      <c r="N216" s="29"/>
      <c r="O216" s="29"/>
      <c r="P216" s="29"/>
      <c r="Q216" s="29"/>
      <c r="R216" s="29"/>
    </row>
    <row r="217" spans="1:18" ht="15.75" customHeight="1">
      <c r="A217" s="28"/>
      <c r="B217" s="25"/>
      <c r="C217" s="26"/>
      <c r="D217" s="26"/>
      <c r="E217" s="26"/>
      <c r="F217" s="26"/>
      <c r="G217" s="26"/>
      <c r="H217" s="26"/>
      <c r="I217" s="26"/>
      <c r="J217" s="26"/>
      <c r="K217" s="26"/>
      <c r="L217" s="26"/>
      <c r="M217" s="29"/>
      <c r="N217" s="29"/>
      <c r="O217" s="29"/>
      <c r="P217" s="29"/>
      <c r="Q217" s="29"/>
      <c r="R217" s="29"/>
    </row>
    <row r="218" spans="1:18" ht="15.75" customHeight="1">
      <c r="A218" s="28"/>
      <c r="B218" s="25"/>
      <c r="C218" s="26"/>
      <c r="D218" s="26"/>
      <c r="E218" s="26"/>
      <c r="F218" s="26"/>
      <c r="G218" s="26"/>
      <c r="H218" s="26"/>
      <c r="I218" s="26"/>
      <c r="J218" s="26"/>
      <c r="K218" s="26"/>
      <c r="L218" s="26"/>
      <c r="M218" s="29"/>
      <c r="N218" s="29"/>
      <c r="O218" s="29"/>
      <c r="P218" s="29"/>
      <c r="Q218" s="29"/>
      <c r="R218" s="29"/>
    </row>
    <row r="219" spans="1:18" ht="15.75" customHeight="1">
      <c r="A219" s="28"/>
      <c r="B219" s="25"/>
      <c r="C219" s="26"/>
      <c r="D219" s="26"/>
      <c r="E219" s="26"/>
      <c r="F219" s="26"/>
      <c r="G219" s="26"/>
      <c r="H219" s="26"/>
      <c r="I219" s="26"/>
      <c r="J219" s="26"/>
      <c r="K219" s="26"/>
      <c r="L219" s="26"/>
      <c r="M219" s="29"/>
      <c r="N219" s="29"/>
      <c r="O219" s="29"/>
      <c r="P219" s="29"/>
      <c r="Q219" s="29"/>
      <c r="R219" s="29"/>
    </row>
    <row r="220" spans="1:18" ht="15.75" customHeight="1">
      <c r="A220" s="28"/>
      <c r="B220" s="25"/>
      <c r="C220" s="26"/>
      <c r="D220" s="26"/>
      <c r="E220" s="26"/>
      <c r="F220" s="26"/>
      <c r="G220" s="26"/>
      <c r="H220" s="26"/>
      <c r="I220" s="26"/>
      <c r="J220" s="26"/>
      <c r="K220" s="26"/>
      <c r="L220" s="26"/>
      <c r="M220" s="29"/>
      <c r="N220" s="29"/>
      <c r="O220" s="29"/>
      <c r="P220" s="29"/>
      <c r="Q220" s="29"/>
      <c r="R220" s="29"/>
    </row>
    <row r="221" spans="1:18" ht="15.75" customHeight="1">
      <c r="A221" s="28"/>
      <c r="B221" s="25"/>
      <c r="C221" s="26"/>
      <c r="D221" s="26"/>
      <c r="E221" s="26"/>
      <c r="F221" s="26"/>
      <c r="G221" s="26"/>
      <c r="H221" s="26"/>
      <c r="I221" s="26"/>
      <c r="J221" s="26"/>
      <c r="K221" s="26"/>
      <c r="L221" s="26"/>
      <c r="M221" s="29"/>
      <c r="N221" s="29"/>
      <c r="O221" s="29"/>
      <c r="P221" s="29"/>
      <c r="Q221" s="29"/>
      <c r="R221" s="29"/>
    </row>
    <row r="222" spans="1:18" ht="15.75" customHeight="1">
      <c r="A222" s="28"/>
      <c r="B222" s="25"/>
      <c r="C222" s="26"/>
      <c r="D222" s="26"/>
      <c r="E222" s="26"/>
      <c r="F222" s="26"/>
      <c r="G222" s="26"/>
      <c r="H222" s="26"/>
      <c r="I222" s="26"/>
      <c r="J222" s="26"/>
      <c r="K222" s="26"/>
      <c r="L222" s="26"/>
      <c r="M222" s="29"/>
      <c r="N222" s="29"/>
      <c r="O222" s="29"/>
      <c r="P222" s="29"/>
      <c r="Q222" s="29"/>
      <c r="R222" s="29"/>
    </row>
    <row r="223" spans="1:18" ht="15.75" customHeight="1">
      <c r="A223" s="28"/>
      <c r="B223" s="25"/>
      <c r="C223" s="26"/>
      <c r="D223" s="26"/>
      <c r="E223" s="26"/>
      <c r="F223" s="26"/>
      <c r="G223" s="26"/>
      <c r="H223" s="26"/>
      <c r="I223" s="26"/>
      <c r="J223" s="26"/>
      <c r="K223" s="26"/>
      <c r="L223" s="26"/>
      <c r="M223" s="29"/>
      <c r="N223" s="29"/>
      <c r="O223" s="29"/>
      <c r="P223" s="29"/>
      <c r="Q223" s="29"/>
      <c r="R223" s="29"/>
    </row>
    <row r="224" spans="1:18" ht="15.75" customHeight="1">
      <c r="A224" s="28"/>
      <c r="B224" s="25"/>
      <c r="C224" s="26"/>
      <c r="D224" s="26"/>
      <c r="E224" s="26"/>
      <c r="F224" s="26"/>
      <c r="G224" s="26"/>
      <c r="H224" s="26"/>
      <c r="I224" s="26"/>
      <c r="J224" s="26"/>
      <c r="K224" s="26"/>
      <c r="L224" s="26"/>
      <c r="M224" s="29"/>
      <c r="N224" s="29"/>
      <c r="O224" s="29"/>
      <c r="P224" s="29"/>
      <c r="Q224" s="29"/>
      <c r="R224" s="29"/>
    </row>
    <row r="225" spans="1:18" ht="15.75" customHeight="1">
      <c r="A225" s="28"/>
      <c r="B225" s="25"/>
      <c r="C225" s="26"/>
      <c r="D225" s="26"/>
      <c r="E225" s="26"/>
      <c r="F225" s="26"/>
      <c r="G225" s="26"/>
      <c r="H225" s="26"/>
      <c r="I225" s="26"/>
      <c r="J225" s="26"/>
      <c r="K225" s="26"/>
      <c r="L225" s="26"/>
      <c r="M225" s="29"/>
      <c r="N225" s="29"/>
      <c r="O225" s="29"/>
      <c r="P225" s="29"/>
      <c r="Q225" s="29"/>
      <c r="R225" s="29"/>
    </row>
    <row r="226" spans="1:18" ht="15.75" customHeight="1">
      <c r="A226" s="28"/>
      <c r="B226" s="25"/>
      <c r="C226" s="26"/>
      <c r="D226" s="26"/>
      <c r="E226" s="26"/>
      <c r="F226" s="26"/>
      <c r="G226" s="26"/>
      <c r="H226" s="26"/>
      <c r="I226" s="26"/>
      <c r="J226" s="26"/>
      <c r="K226" s="26"/>
      <c r="L226" s="26"/>
      <c r="M226" s="29"/>
      <c r="N226" s="29"/>
      <c r="O226" s="29"/>
      <c r="P226" s="29"/>
      <c r="Q226" s="29"/>
      <c r="R226" s="29"/>
    </row>
    <row r="227" spans="1:18" ht="15.75" customHeight="1">
      <c r="A227" s="28"/>
      <c r="B227" s="25"/>
      <c r="C227" s="26"/>
      <c r="D227" s="26"/>
      <c r="E227" s="26"/>
      <c r="F227" s="26"/>
      <c r="G227" s="26"/>
      <c r="H227" s="26"/>
      <c r="I227" s="26"/>
      <c r="J227" s="26"/>
      <c r="K227" s="26"/>
      <c r="L227" s="26"/>
      <c r="M227" s="29"/>
      <c r="N227" s="29"/>
      <c r="O227" s="29"/>
      <c r="P227" s="29"/>
      <c r="Q227" s="29"/>
      <c r="R227" s="29"/>
    </row>
    <row r="228" spans="1:18" ht="15.75" customHeight="1">
      <c r="A228" s="28"/>
      <c r="B228" s="25"/>
      <c r="C228" s="26"/>
      <c r="D228" s="26"/>
      <c r="E228" s="26"/>
      <c r="F228" s="26"/>
      <c r="G228" s="26"/>
      <c r="H228" s="26"/>
      <c r="I228" s="26"/>
      <c r="J228" s="26"/>
      <c r="K228" s="26"/>
      <c r="L228" s="26"/>
      <c r="M228" s="29"/>
      <c r="N228" s="29"/>
      <c r="O228" s="29"/>
      <c r="P228" s="29"/>
      <c r="Q228" s="29"/>
      <c r="R228" s="29"/>
    </row>
    <row r="229" spans="1:18" ht="15.75" customHeight="1">
      <c r="A229" s="28"/>
      <c r="B229" s="25"/>
      <c r="C229" s="26"/>
      <c r="D229" s="26"/>
      <c r="E229" s="26"/>
      <c r="F229" s="26"/>
      <c r="G229" s="26"/>
      <c r="H229" s="26"/>
      <c r="I229" s="26"/>
      <c r="J229" s="26"/>
      <c r="K229" s="26"/>
      <c r="L229" s="26"/>
      <c r="M229" s="29"/>
      <c r="N229" s="29"/>
      <c r="O229" s="29"/>
      <c r="P229" s="29"/>
      <c r="Q229" s="29"/>
      <c r="R229" s="29"/>
    </row>
    <row r="230" spans="1:18" ht="15.75" customHeight="1">
      <c r="A230" s="28"/>
      <c r="B230" s="25"/>
      <c r="C230" s="26"/>
      <c r="D230" s="26"/>
      <c r="E230" s="26"/>
      <c r="F230" s="26"/>
      <c r="G230" s="26"/>
      <c r="H230" s="26"/>
      <c r="I230" s="26"/>
      <c r="J230" s="26"/>
      <c r="K230" s="26"/>
      <c r="L230" s="26"/>
      <c r="M230" s="29"/>
      <c r="N230" s="29"/>
      <c r="O230" s="29"/>
      <c r="P230" s="29"/>
      <c r="Q230" s="29"/>
      <c r="R230" s="29"/>
    </row>
    <row r="231" spans="1:18" ht="15.75" customHeight="1">
      <c r="A231" s="28"/>
      <c r="B231" s="25"/>
      <c r="C231" s="26"/>
      <c r="D231" s="26"/>
      <c r="E231" s="26"/>
      <c r="F231" s="26"/>
      <c r="G231" s="26"/>
      <c r="H231" s="26"/>
      <c r="I231" s="26"/>
      <c r="J231" s="26"/>
      <c r="K231" s="26"/>
      <c r="L231" s="26"/>
      <c r="M231" s="29"/>
      <c r="N231" s="29"/>
      <c r="O231" s="29"/>
      <c r="P231" s="29"/>
      <c r="Q231" s="29"/>
      <c r="R231" s="29"/>
    </row>
    <row r="232" spans="1:18" ht="15.75" customHeight="1">
      <c r="A232" s="28"/>
      <c r="B232" s="25"/>
      <c r="C232" s="26"/>
      <c r="D232" s="26"/>
      <c r="E232" s="26"/>
      <c r="F232" s="26"/>
      <c r="G232" s="26"/>
      <c r="H232" s="26"/>
      <c r="I232" s="26"/>
      <c r="J232" s="26"/>
      <c r="K232" s="26"/>
      <c r="L232" s="26"/>
      <c r="M232" s="29"/>
      <c r="N232" s="29"/>
      <c r="O232" s="29"/>
      <c r="P232" s="29"/>
      <c r="Q232" s="29"/>
      <c r="R232" s="29"/>
    </row>
    <row r="233" spans="1:18" ht="15.75" customHeight="1">
      <c r="A233" s="28"/>
      <c r="B233" s="25"/>
      <c r="C233" s="26"/>
      <c r="D233" s="26"/>
      <c r="E233" s="26"/>
      <c r="F233" s="26"/>
      <c r="G233" s="26"/>
      <c r="H233" s="26"/>
      <c r="I233" s="26"/>
      <c r="J233" s="26"/>
      <c r="K233" s="26"/>
      <c r="L233" s="26"/>
      <c r="M233" s="29"/>
      <c r="N233" s="29"/>
      <c r="O233" s="29"/>
      <c r="P233" s="29"/>
      <c r="Q233" s="29"/>
      <c r="R233" s="29"/>
    </row>
    <row r="234" spans="1:18" ht="15.75" customHeight="1">
      <c r="A234" s="28"/>
      <c r="B234" s="25"/>
      <c r="C234" s="26"/>
      <c r="D234" s="26"/>
      <c r="E234" s="26"/>
      <c r="F234" s="26"/>
      <c r="G234" s="26"/>
      <c r="H234" s="26"/>
      <c r="I234" s="26"/>
      <c r="J234" s="26"/>
      <c r="K234" s="26"/>
      <c r="L234" s="26"/>
      <c r="M234" s="29"/>
      <c r="N234" s="29"/>
      <c r="O234" s="29"/>
      <c r="P234" s="29"/>
      <c r="Q234" s="29"/>
      <c r="R234" s="29"/>
    </row>
    <row r="235" spans="1:18" ht="15.75" customHeight="1">
      <c r="A235" s="28"/>
      <c r="B235" s="25"/>
      <c r="C235" s="26"/>
      <c r="D235" s="26"/>
      <c r="E235" s="26"/>
      <c r="F235" s="26"/>
      <c r="G235" s="26"/>
      <c r="H235" s="26"/>
      <c r="I235" s="26"/>
      <c r="J235" s="26"/>
      <c r="K235" s="26"/>
      <c r="L235" s="26"/>
      <c r="M235" s="29"/>
      <c r="N235" s="29"/>
      <c r="O235" s="29"/>
      <c r="P235" s="29"/>
      <c r="Q235" s="29"/>
      <c r="R235" s="29"/>
    </row>
    <row r="236" spans="1:18" ht="15.75" customHeight="1">
      <c r="A236" s="28"/>
      <c r="B236" s="25"/>
      <c r="C236" s="26"/>
      <c r="D236" s="26"/>
      <c r="E236" s="26"/>
      <c r="F236" s="26"/>
      <c r="G236" s="26"/>
      <c r="H236" s="26"/>
      <c r="I236" s="26"/>
      <c r="J236" s="26"/>
      <c r="K236" s="26"/>
      <c r="L236" s="26"/>
      <c r="M236" s="29"/>
      <c r="N236" s="29"/>
      <c r="O236" s="29"/>
      <c r="P236" s="29"/>
      <c r="Q236" s="29"/>
      <c r="R236" s="29"/>
    </row>
    <row r="237" spans="1:18" ht="15.75" customHeight="1">
      <c r="A237" s="28"/>
      <c r="B237" s="25"/>
      <c r="C237" s="26"/>
      <c r="D237" s="26"/>
      <c r="E237" s="26"/>
      <c r="F237" s="26"/>
      <c r="G237" s="26"/>
      <c r="H237" s="26"/>
      <c r="I237" s="26"/>
      <c r="J237" s="26"/>
      <c r="K237" s="26"/>
      <c r="L237" s="26"/>
      <c r="M237" s="29"/>
      <c r="N237" s="29"/>
      <c r="O237" s="29"/>
      <c r="P237" s="29"/>
      <c r="Q237" s="29"/>
      <c r="R237" s="29"/>
    </row>
    <row r="238" spans="1:18" ht="15.75" customHeight="1">
      <c r="A238" s="28"/>
      <c r="B238" s="25"/>
      <c r="C238" s="26"/>
      <c r="D238" s="26"/>
      <c r="E238" s="26"/>
      <c r="F238" s="26"/>
      <c r="G238" s="26"/>
      <c r="H238" s="26"/>
      <c r="I238" s="26"/>
      <c r="J238" s="26"/>
      <c r="K238" s="26"/>
      <c r="L238" s="26"/>
      <c r="M238" s="29"/>
      <c r="N238" s="29"/>
      <c r="O238" s="29"/>
      <c r="P238" s="29"/>
      <c r="Q238" s="29"/>
      <c r="R238" s="29"/>
    </row>
    <row r="239" spans="1:18" ht="15.75" customHeight="1">
      <c r="A239" s="28"/>
      <c r="B239" s="25"/>
      <c r="C239" s="26"/>
      <c r="D239" s="26"/>
      <c r="E239" s="26"/>
      <c r="F239" s="26"/>
      <c r="G239" s="26"/>
      <c r="H239" s="26"/>
      <c r="I239" s="26"/>
      <c r="J239" s="26"/>
      <c r="K239" s="26"/>
      <c r="L239" s="26"/>
      <c r="M239" s="29"/>
      <c r="N239" s="29"/>
      <c r="O239" s="29"/>
      <c r="P239" s="29"/>
      <c r="Q239" s="29"/>
      <c r="R239" s="29"/>
    </row>
    <row r="240" spans="1:18" ht="15.75" customHeight="1">
      <c r="A240" s="28"/>
      <c r="B240" s="25"/>
      <c r="C240" s="26"/>
      <c r="D240" s="26"/>
      <c r="E240" s="26"/>
      <c r="F240" s="26"/>
      <c r="G240" s="26"/>
      <c r="H240" s="26"/>
      <c r="I240" s="26"/>
      <c r="J240" s="26"/>
      <c r="K240" s="26"/>
      <c r="L240" s="26"/>
      <c r="M240" s="29"/>
      <c r="N240" s="29"/>
      <c r="O240" s="29"/>
      <c r="P240" s="29"/>
      <c r="Q240" s="29"/>
      <c r="R240" s="29"/>
    </row>
    <row r="241" spans="1:18" ht="15.75" customHeight="1">
      <c r="A241" s="28"/>
      <c r="B241" s="25"/>
      <c r="C241" s="26"/>
      <c r="D241" s="26"/>
      <c r="E241" s="26"/>
      <c r="F241" s="26"/>
      <c r="G241" s="26"/>
      <c r="H241" s="26"/>
      <c r="I241" s="26"/>
      <c r="J241" s="26"/>
      <c r="K241" s="26"/>
      <c r="L241" s="26"/>
      <c r="M241" s="29"/>
      <c r="N241" s="29"/>
      <c r="O241" s="29"/>
      <c r="P241" s="29"/>
      <c r="Q241" s="29"/>
      <c r="R241" s="29"/>
    </row>
    <row r="242" spans="1:18" ht="15.75" customHeight="1">
      <c r="A242" s="28"/>
      <c r="B242" s="25"/>
      <c r="C242" s="26"/>
      <c r="D242" s="26"/>
      <c r="E242" s="26"/>
      <c r="F242" s="26"/>
      <c r="G242" s="26"/>
      <c r="H242" s="26"/>
      <c r="I242" s="26"/>
      <c r="J242" s="26"/>
      <c r="K242" s="26"/>
      <c r="L242" s="26"/>
      <c r="M242" s="29"/>
      <c r="N242" s="29"/>
      <c r="O242" s="29"/>
      <c r="P242" s="29"/>
      <c r="Q242" s="29"/>
      <c r="R242" s="29"/>
    </row>
    <row r="243" spans="1:18" ht="15.75" customHeight="1">
      <c r="A243" s="28"/>
      <c r="B243" s="25"/>
      <c r="C243" s="26"/>
      <c r="D243" s="26"/>
      <c r="E243" s="26"/>
      <c r="F243" s="26"/>
      <c r="G243" s="26"/>
      <c r="H243" s="26"/>
      <c r="I243" s="26"/>
      <c r="J243" s="26"/>
      <c r="K243" s="26"/>
      <c r="L243" s="26"/>
      <c r="M243" s="29"/>
      <c r="N243" s="29"/>
      <c r="O243" s="29"/>
      <c r="P243" s="29"/>
      <c r="Q243" s="29"/>
      <c r="R243" s="29"/>
    </row>
    <row r="244" spans="1:18" ht="15.75" customHeight="1">
      <c r="A244" s="28"/>
      <c r="B244" s="25"/>
      <c r="C244" s="26"/>
      <c r="D244" s="26"/>
      <c r="E244" s="26"/>
      <c r="F244" s="26"/>
      <c r="G244" s="26"/>
      <c r="H244" s="26"/>
      <c r="I244" s="26"/>
      <c r="J244" s="26"/>
      <c r="K244" s="26"/>
      <c r="L244" s="26"/>
      <c r="M244" s="29"/>
      <c r="N244" s="29"/>
      <c r="O244" s="29"/>
      <c r="P244" s="29"/>
      <c r="Q244" s="29"/>
      <c r="R244" s="29"/>
    </row>
    <row r="245" spans="1:18" ht="15.75" customHeight="1">
      <c r="A245" s="28"/>
      <c r="B245" s="25"/>
      <c r="C245" s="26"/>
      <c r="D245" s="26"/>
      <c r="E245" s="26"/>
      <c r="F245" s="26"/>
      <c r="G245" s="26"/>
      <c r="H245" s="26"/>
      <c r="I245" s="26"/>
      <c r="J245" s="26"/>
      <c r="K245" s="26"/>
      <c r="L245" s="26"/>
      <c r="M245" s="29"/>
      <c r="N245" s="29"/>
      <c r="O245" s="29"/>
      <c r="P245" s="29"/>
      <c r="Q245" s="29"/>
      <c r="R245" s="29"/>
    </row>
    <row r="246" spans="1:18" ht="15.75" customHeight="1">
      <c r="A246" s="28"/>
      <c r="B246" s="25"/>
      <c r="C246" s="26"/>
      <c r="D246" s="26"/>
      <c r="E246" s="26"/>
      <c r="F246" s="26"/>
      <c r="G246" s="26"/>
      <c r="H246" s="26"/>
      <c r="I246" s="26"/>
      <c r="J246" s="26"/>
      <c r="K246" s="26"/>
      <c r="L246" s="26"/>
      <c r="M246" s="29"/>
      <c r="N246" s="29"/>
      <c r="O246" s="29"/>
      <c r="P246" s="29"/>
      <c r="Q246" s="29"/>
      <c r="R246" s="29"/>
    </row>
    <row r="247" spans="1:18" ht="15.75" customHeight="1">
      <c r="A247" s="28"/>
      <c r="B247" s="25"/>
      <c r="C247" s="26"/>
      <c r="D247" s="26"/>
      <c r="E247" s="26"/>
      <c r="F247" s="26"/>
      <c r="G247" s="26"/>
      <c r="H247" s="26"/>
      <c r="I247" s="26"/>
      <c r="J247" s="26"/>
      <c r="K247" s="26"/>
      <c r="L247" s="26"/>
      <c r="M247" s="29"/>
      <c r="N247" s="29"/>
      <c r="O247" s="29"/>
      <c r="P247" s="29"/>
      <c r="Q247" s="29"/>
      <c r="R247" s="29"/>
    </row>
    <row r="248" spans="1:18" ht="15.75" customHeight="1">
      <c r="A248" s="28"/>
      <c r="B248" s="25"/>
      <c r="C248" s="26"/>
      <c r="D248" s="26"/>
      <c r="E248" s="26"/>
      <c r="F248" s="26"/>
      <c r="G248" s="26"/>
      <c r="H248" s="26"/>
      <c r="I248" s="26"/>
      <c r="J248" s="26"/>
      <c r="K248" s="26"/>
      <c r="L248" s="26"/>
      <c r="M248" s="29"/>
      <c r="N248" s="29"/>
      <c r="O248" s="29"/>
      <c r="P248" s="29"/>
      <c r="Q248" s="29"/>
      <c r="R248" s="29"/>
    </row>
    <row r="249" spans="1:18" ht="15.75" customHeight="1"/>
    <row r="250" spans="1:18" ht="15.75" customHeight="1"/>
    <row r="251" spans="1:18" ht="15.75" customHeight="1"/>
    <row r="252" spans="1:18" ht="15.75" customHeight="1"/>
    <row r="253" spans="1:18" ht="15.75" customHeight="1"/>
    <row r="254" spans="1:18" ht="15.75" customHeight="1"/>
    <row r="255" spans="1:18" ht="15.75" customHeight="1"/>
    <row r="256" spans="1:1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honeticPr fontId="21"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2015</vt:lpstr>
      <vt:lpstr>2016</vt:lpstr>
      <vt:lpstr>2017</vt:lpstr>
      <vt:lpstr>2018</vt:lpstr>
      <vt:lpstr>2019</vt:lpstr>
      <vt:lpstr>2020</vt:lpstr>
      <vt:lpstr>2021</vt:lpstr>
      <vt:lpstr>2022</vt:lpstr>
      <vt:lpstr>2023</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葉佩純</dc:creator>
  <cp:lastModifiedBy>葉佩純 YEH PEI-CHUN</cp:lastModifiedBy>
  <dcterms:created xsi:type="dcterms:W3CDTF">2024-09-24T07:15:57Z</dcterms:created>
  <dcterms:modified xsi:type="dcterms:W3CDTF">2026-06-24T06:54:07Z</dcterms:modified>
</cp:coreProperties>
</file>